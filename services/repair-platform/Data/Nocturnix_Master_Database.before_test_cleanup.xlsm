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59.xml" ContentType="application/vnd.openxmlformats-officedocument.spreadsheetml.table+xml"/>
  <Override PartName="/xl/worksheets/sheet9.xml" ContentType="application/vnd.openxmlformats-officedocument.spreadsheetml.worksheet+xml"/>
  <Override PartName="/xl/tables/table60.xml" ContentType="application/vnd.openxmlformats-officedocument.spreadsheetml.table+xml"/>
  <Override PartName="/xl/worksheets/sheet10.xml" ContentType="application/vnd.openxmlformats-officedocument.spreadsheetml.worksheet+xml"/>
  <Override PartName="/xl/tables/table61.xml" ContentType="application/vnd.openxmlformats-officedocument.spreadsheetml.table+xml"/>
  <Override PartName="/xl/worksheets/sheet11.xml" ContentType="application/vnd.openxmlformats-officedocument.spreadsheetml.worksheet+xml"/>
  <Override PartName="/xl/tables/table62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ables/table63.xml" ContentType="application/vnd.openxmlformats-officedocument.spreadsheetml.table+xml"/>
  <Override PartName="/xl/worksheets/sheet14.xml" ContentType="application/vnd.openxmlformats-officedocument.spreadsheetml.worksheet+xml"/>
  <Override PartName="/xl/tables/table64.xml" ContentType="application/vnd.openxmlformats-officedocument.spreadsheetml.table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ables/table65.xml" ContentType="application/vnd.openxmlformats-officedocument.spreadsheetml.table+xml"/>
  <Override PartName="/xl/worksheets/sheet17.xml" ContentType="application/vnd.openxmlformats-officedocument.spreadsheetml.worksheet+xml"/>
  <Override PartName="/xl/tables/table66.xml" ContentType="application/vnd.openxmlformats-officedocument.spreadsheetml.table+xml"/>
  <Override PartName="/xl/worksheets/sheet18.xml" ContentType="application/vnd.openxmlformats-officedocument.spreadsheetml.worksheet+xml"/>
  <Override PartName="/xl/tables/table67.xml" ContentType="application/vnd.openxmlformats-officedocument.spreadsheetml.table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ables/table68.xml" ContentType="application/vnd.openxmlformats-officedocument.spreadsheetml.table+xml"/>
  <Override PartName="/xl/worksheets/sheet21.xml" ContentType="application/vnd.openxmlformats-officedocument.spreadsheetml.worksheet+xml"/>
  <Override PartName="/xl/tables/table69.xml" ContentType="application/vnd.openxmlformats-officedocument.spreadsheetml.table+xml"/>
  <Override PartName="/xl/worksheets/sheet22.xml" ContentType="application/vnd.openxmlformats-officedocument.spreadsheetml.worksheet+xml"/>
  <Override PartName="/xl/tables/table70.xml" ContentType="application/vnd.openxmlformats-officedocument.spreadsheetml.table+xml"/>
  <Override PartName="/xl/worksheets/sheet23.xml" ContentType="application/vnd.openxmlformats-officedocument.spreadsheetml.worksheet+xml"/>
  <Override PartName="/xl/comments/comment1.xml" ContentType="application/vnd.openxmlformats-officedocument.spreadsheetml.comments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worksheets/sheet24.xml" ContentType="application/vnd.openxmlformats-officedocument.spreadsheetml.worksheet+xml"/>
  <Override PartName="/xl/comments/comment2.xml" ContentType="application/vnd.openxmlformats-officedocument.spreadsheetml.comments+xml"/>
  <Override PartName="/xl/tables/table73.xml" ContentType="application/vnd.openxmlformats-officedocument.spreadsheetml.table+xml"/>
  <Override PartName="/xl/worksheets/sheet25.xml" ContentType="application/vnd.openxmlformats-officedocument.spreadsheetml.worksheet+xml"/>
  <Override PartName="/xl/tables/table74.xml" ContentType="application/vnd.openxmlformats-officedocument.spreadsheetml.table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ables/table75.xml" ContentType="application/vnd.openxmlformats-officedocument.spreadsheetml.table+xml"/>
  <Override PartName="/xl/worksheets/sheet28.xml" ContentType="application/vnd.openxmlformats-officedocument.spreadsheetml.worksheet+xml"/>
  <Override PartName="/xl/tables/table76.xml" ContentType="application/vnd.openxmlformats-officedocument.spreadsheetml.table+xml"/>
  <Override PartName="/xl/worksheets/sheet29.xml" ContentType="application/vnd.openxmlformats-officedocument.spreadsheetml.worksheet+xml"/>
  <Override PartName="/xl/tables/table77.xml" ContentType="application/vnd.openxmlformats-officedocument.spreadsheetml.table+xml"/>
  <Override PartName="/xl/worksheets/sheet30.xml" ContentType="application/vnd.openxmlformats-officedocument.spreadsheetml.worksheet+xml"/>
  <Override PartName="/xl/tables/table78.xml" ContentType="application/vnd.openxmlformats-officedocument.spreadsheetml.table+xml"/>
  <Override PartName="/xl/worksheets/sheet31.xml" ContentType="application/vnd.openxmlformats-officedocument.spreadsheetml.worksheet+xml"/>
  <Override PartName="/xl/tables/table79.xml" ContentType="application/vnd.openxmlformats-officedocument.spreadsheetml.table+xml"/>
  <Override PartName="/xl/worksheets/sheet32.xml" ContentType="application/vnd.openxmlformats-officedocument.spreadsheetml.worksheet+xml"/>
  <Override PartName="/xl/tables/table80.xml" ContentType="application/vnd.openxmlformats-officedocument.spreadsheetml.table+xml"/>
  <Override PartName="/xl/worksheets/sheet33.xml" ContentType="application/vnd.openxmlformats-officedocument.spreadsheetml.worksheet+xml"/>
  <Override PartName="/xl/tables/table81.xml" ContentType="application/vnd.openxmlformats-officedocument.spreadsheetml.table+xml"/>
  <Override PartName="/xl/worksheets/sheet34.xml" ContentType="application/vnd.openxmlformats-officedocument.spreadsheetml.worksheet+xml"/>
  <Override PartName="/xl/tables/table82.xml" ContentType="application/vnd.openxmlformats-officedocument.spreadsheetml.table+xml"/>
  <Override PartName="/xl/worksheets/sheet35.xml" ContentType="application/vnd.openxmlformats-officedocument.spreadsheetml.worksheet+xml"/>
  <Override PartName="/xl/tables/table83.xml" ContentType="application/vnd.openxmlformats-officedocument.spreadsheetml.table+xml"/>
  <Override PartName="/xl/worksheets/sheet36.xml" ContentType="application/vnd.openxmlformats-officedocument.spreadsheetml.worksheet+xml"/>
  <Override PartName="/xl/tables/table84.xml" ContentType="application/vnd.openxmlformats-officedocument.spreadsheetml.table+xml"/>
  <Override PartName="/xl/worksheets/sheet37.xml" ContentType="application/vnd.openxmlformats-officedocument.spreadsheetml.worksheet+xml"/>
  <Override PartName="/xl/tables/table85.xml" ContentType="application/vnd.openxmlformats-officedocument.spreadsheetml.table+xml"/>
  <Override PartName="/xl/worksheets/sheet38.xml" ContentType="application/vnd.openxmlformats-officedocument.spreadsheetml.worksheet+xml"/>
  <Override PartName="/xl/tables/table86.xml" ContentType="application/vnd.openxmlformats-officedocument.spreadsheetml.table+xml"/>
  <Override PartName="/xl/worksheets/sheet39.xml" ContentType="application/vnd.openxmlformats-officedocument.spreadsheetml.worksheet+xml"/>
  <Override PartName="/xl/tables/table87.xml" ContentType="application/vnd.openxmlformats-officedocument.spreadsheetml.table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ables/table88.xml" ContentType="application/vnd.openxmlformats-officedocument.spreadsheetml.table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ables/table89.xml" ContentType="application/vnd.openxmlformats-officedocument.spreadsheetml.table+xml"/>
  <Override PartName="/xl/worksheets/sheet44.xml" ContentType="application/vnd.openxmlformats-officedocument.spreadsheetml.worksheet+xml"/>
  <Override PartName="/xl/tables/table90.xml" ContentType="application/vnd.openxmlformats-officedocument.spreadsheetml.table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ables/table95.xml" ContentType="application/vnd.openxmlformats-officedocument.spreadsheetml.table+xml"/>
  <Override PartName="/xl/worksheets/sheet49.xml" ContentType="application/vnd.openxmlformats-officedocument.spreadsheetml.worksheet+xml"/>
  <Override PartName="/xl/tables/table96.xml" ContentType="application/vnd.openxmlformats-officedocument.spreadsheetml.table+xml"/>
  <Override PartName="/xl/worksheets/sheet50.xml" ContentType="application/vnd.openxmlformats-officedocument.spreadsheetml.worksheet+xml"/>
  <Override PartName="/xl/tables/table97.xml" ContentType="application/vnd.openxmlformats-officedocument.spreadsheetml.table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ables/table98.xml" ContentType="application/vnd.openxmlformats-officedocument.spreadsheetml.table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10" yWindow="-110" windowWidth="25820" windowHeight="15500" tabRatio="780" firstSheet="0" activeTab="10" autoFilterDateGrouping="1"/>
  </bookViews>
  <sheets>
    <sheet name="Table of Contents" sheetId="1" state="visible" r:id="rId1"/>
    <sheet name="Database Schema" sheetId="2" state="visible" r:id="rId2"/>
    <sheet name="Dashboard" sheetId="3" state="visible" r:id="rId3"/>
    <sheet name="00 Documentation" sheetId="4" state="visible" r:id="rId4"/>
    <sheet name="01 Configuration" sheetId="5" state="visible" r:id="rId5"/>
    <sheet name="02 Lookup Lists" sheetId="6" state="visible" r:id="rId6"/>
    <sheet name="10 Customer System" sheetId="7" state="visible" r:id="rId7"/>
    <sheet name="10 Customers" sheetId="8" state="visible" r:id="rId8"/>
    <sheet name="11 Customer Devices" sheetId="9" state="visible" r:id="rId9"/>
    <sheet name="12 Addresses" sheetId="10" state="visible" r:id="rId10"/>
    <sheet name="13 Communications" sheetId="11" state="visible" r:id="rId11"/>
    <sheet name="20 Repair System" sheetId="12" state="visible" r:id="rId12"/>
    <sheet name="20 Repair Tickets" sheetId="13" state="visible" r:id="rId13"/>
    <sheet name="21 Diagnostics" sheetId="14" state="visible" r:id="rId14"/>
    <sheet name="22 Repair Notes" sheetId="15" state="visible" r:id="rId15"/>
    <sheet name="23 Parts Used" sheetId="16" state="visible" r:id="rId16"/>
    <sheet name="24 Quality Control" sheetId="17" state="visible" r:id="rId17"/>
    <sheet name="25 Repair Timeline" sheetId="18" state="visible" r:id="rId18"/>
    <sheet name="30 Catalog System" sheetId="19" state="visible" r:id="rId19"/>
    <sheet name="30 Manufacturers" sheetId="20" state="visible" r:id="rId20"/>
    <sheet name="31 Device Families" sheetId="21" state="visible" r:id="rId21"/>
    <sheet name="32 Devices" sheetId="22" state="visible" r:id="rId22"/>
    <sheet name="33 Service Types" sheetId="23" state="visible" r:id="rId23"/>
    <sheet name="34 Master Services" sheetId="24" state="visible" r:id="rId24"/>
    <sheet name="35 Compatibility Matrix" sheetId="25" state="visible" r:id="rId25"/>
    <sheet name="36 Technical Knowledge System" sheetId="26" state="visible" r:id="rId26"/>
    <sheet name="36 Guide Categories" sheetId="27" state="visible" r:id="rId27"/>
    <sheet name="37 Guide Sources" sheetId="28" state="visible" r:id="rId28"/>
    <sheet name="38 Repair Guides" sheetId="29" state="visible" r:id="rId29"/>
    <sheet name="39 Technical Library" sheetId="30" state="visible" r:id="rId30"/>
    <sheet name="39.1 Labor Standards" sheetId="31" state="visible" r:id="rId31"/>
    <sheet name="39.2 Tool Library" sheetId="32" state="visible" r:id="rId32"/>
    <sheet name="39.3 Repair Tools" sheetId="33" state="visible" r:id="rId33"/>
    <sheet name="39.4 Repair Parts" sheetId="34" state="visible" r:id="rId34"/>
    <sheet name="39.5 Technical Documents" sheetId="35" state="visible" r:id="rId35"/>
    <sheet name="39.6 Common Failures" sheetId="36" state="visible" r:id="rId36"/>
    <sheet name="39.7 Quality Checklists" sheetId="37" state="visible" r:id="rId37"/>
    <sheet name="39.8 Training Videos" sheetId="38" state="visible" r:id="rId38"/>
    <sheet name="39.9 Repair Notes Library" sheetId="39" state="visible" r:id="rId39"/>
    <sheet name="40 Inventory" sheetId="40" state="visible" r:id="rId40"/>
    <sheet name="41 Parts" sheetId="41" state="visible" r:id="rId41"/>
    <sheet name="42 Inventory" sheetId="42" state="visible" r:id="rId42"/>
    <sheet name="43 Suppliers" sheetId="43" state="visible" r:id="rId43"/>
    <sheet name="44 Purchase Orders" sheetId="44" state="visible" r:id="rId44"/>
    <sheet name="50 Financial" sheetId="45" state="visible" r:id="rId45"/>
    <sheet name="50 Pricing" sheetId="46" state="visible" r:id="rId46"/>
    <sheet name="51 Labor" sheetId="47" state="visible" r:id="rId47"/>
    <sheet name="52 Estimates" sheetId="48" state="visible" r:id="rId48"/>
    <sheet name="53 Invoices" sheetId="49" state="visible" r:id="rId49"/>
    <sheet name="54 Payments" sheetId="50" state="visible" r:id="rId50"/>
    <sheet name="60 Reports" sheetId="51" state="visible" r:id="rId51"/>
    <sheet name="60.1 Business Analytics" sheetId="52" state="visible" r:id="rId52"/>
    <sheet name="60.2 Customer Analytics" sheetId="53" state="visible" r:id="rId53"/>
    <sheet name="61.1 Business Reports" sheetId="54" state="visible" r:id="rId54"/>
    <sheet name="61.2 Financial Reports" sheetId="55" state="visible" r:id="rId55"/>
    <sheet name="62 Repair Statistics" sheetId="56" state="visible" r:id="rId56"/>
    <sheet name="70 Website &amp; Square" sheetId="57" state="visible" r:id="rId57"/>
    <sheet name="70" sheetId="58" state="visible" r:id="rId58"/>
    <sheet name="71 " sheetId="59" state="visible" r:id="rId59"/>
    <sheet name="72 " sheetId="60" state="visible" r:id="rId60"/>
    <sheet name="73 " sheetId="61" state="visible" r:id="rId61"/>
    <sheet name="74 " sheetId="62" state="visible" r:id="rId62"/>
    <sheet name="75 " sheetId="63" state="visible" r:id="rId63"/>
    <sheet name="76 " sheetId="64" state="visible" r:id="rId64"/>
    <sheet name="77" sheetId="65" state="visible" r:id="rId65"/>
    <sheet name="78 " sheetId="66" state="visible" r:id="rId66"/>
    <sheet name="79 " sheetId="67" state="visible" r:id="rId67"/>
    <sheet name="80 Administration" sheetId="68" state="visible" r:id="rId68"/>
    <sheet name="90 AI &amp; Automation" sheetId="69" state="visible" r:id="rId69"/>
    <sheet name="000 List Sheet" sheetId="70" state="visible" r:id="rId70"/>
  </sheets>
  <externalReferences>
    <externalReference r:id="rId71"/>
    <externalReference r:id="rId72"/>
  </externalReferences>
  <definedNames>
    <definedName name="Device_Family_Code">tblDeviceCatalog[Device Family]</definedName>
    <definedName name="Device_Family_Code_New">[1]!tblDeviceFamiliesV2[Device Family]</definedName>
    <definedName name="Difficulty">'000 List Sheet'!$G$1:$G$5</definedName>
    <definedName name="DocType">'000 List Sheet'!$I$1:$I$4</definedName>
    <definedName name="Guide_Status">'000 List Sheet'!$H$1:$H$4</definedName>
    <definedName name="IstBoolean">'[2]120.Helper'!$A$8:$A$9</definedName>
    <definedName name="IstDeviceFamilies">tblDeviceCatalog[Device Family Code]</definedName>
    <definedName name="IstServiceNames">#REF!</definedName>
    <definedName name="LookupGroupIDs">tblLookupCatalogID[LookupGroupID]</definedName>
    <definedName name="Manufacturer_ID">tblManufacturerCatalog[[#All],[Manufacturer ID]]</definedName>
    <definedName name="Service_ID">tblMasterServices[Service ID]</definedName>
    <definedName name="Source">'000 List Sheet'!$E$1:$E$6</definedName>
    <definedName name="T_F">'000 List Sheet'!$F$1:$F$2</definedName>
    <definedName name="Service_ID" localSheetId="19">[1]!tblMasterServicesV2[Service ID]</definedName>
    <definedName name="Manufacturer_ID" localSheetId="20">[1]!tblManufacturersV1[[#All],[Manufacturer ID]]</definedName>
    <definedName name="Service_ID" localSheetId="20">[1]!tblMasterServicesV2[Service ID]</definedName>
    <definedName name="Service_ID" localSheetId="24">[1]!tblMasterServicesV2[Service ID]</definedName>
    <definedName name="Audio" localSheetId="40">#REF!</definedName>
    <definedName name="Battery" localSheetId="40">#REF!</definedName>
    <definedName name="Buttons" localSheetId="40">#REF!</definedName>
    <definedName name="Camera" localSheetId="40">#REF!</definedName>
    <definedName name="Charging" localSheetId="40">#REF!</definedName>
    <definedName name="Cleaning" localSheetId="40">#REF!</definedName>
    <definedName name="Data_Recovery" localSheetId="40">#REF!</definedName>
    <definedName name="Device_Family_Code" localSheetId="40">[1]!tblDeviceFamiliesV2[Device Family]</definedName>
    <definedName name="Diagnostics" localSheetId="40">#REF!</definedName>
    <definedName name="Display" localSheetId="40">#REF!</definedName>
    <definedName name="Housing" localSheetId="40">#REF!</definedName>
    <definedName name="IstBoolean" localSheetId="40">#REF!</definedName>
    <definedName name="IstDeviceFamilies" localSheetId="40">[1]!tblDeviceFamiliesV2[Device Family Code]</definedName>
    <definedName name="IstServiceCategories" localSheetId="40">#REF!</definedName>
    <definedName name="IstServiceNames" localSheetId="40">#REF!</definedName>
    <definedName name="Manufacturer_ID" localSheetId="40">[1]!tblManufacturersV1[[#All],[Manufacturer ID]]</definedName>
    <definedName name="Motherboard" localSheetId="40">#REF!</definedName>
    <definedName name="Repair_Type" localSheetId="40">#REF!</definedName>
    <definedName name="Service_ID" localSheetId="40">[1]!tblMasterServicesV2[Service ID]</definedName>
    <definedName name="Service_Type" localSheetId="40">#REF!</definedName>
    <definedName name="Software" localSheetId="40">#REF!</definedName>
    <definedName name="Audio" localSheetId="41">#REF!</definedName>
    <definedName name="Battery" localSheetId="41">#REF!</definedName>
    <definedName name="Buttons" localSheetId="41">#REF!</definedName>
    <definedName name="Camera" localSheetId="41">#REF!</definedName>
    <definedName name="Charging" localSheetId="41">#REF!</definedName>
    <definedName name="Cleaning" localSheetId="41">#REF!</definedName>
    <definedName name="Data_Recovery" localSheetId="41">#REF!</definedName>
    <definedName name="Device_Family_Code" localSheetId="41">[1]!tblDeviceFamiliesV2[Device Family]</definedName>
    <definedName name="Diagnostics" localSheetId="41">#REF!</definedName>
    <definedName name="Display" localSheetId="41">#REF!</definedName>
    <definedName name="Housing" localSheetId="41">#REF!</definedName>
    <definedName name="IstBoolean" localSheetId="41">#REF!</definedName>
    <definedName name="IstDeviceFamilies" localSheetId="41">[1]!tblDeviceFamiliesV2[Device Family Code]</definedName>
    <definedName name="IstServiceCategories" localSheetId="41">#REF!</definedName>
    <definedName name="IstServiceNames" localSheetId="41">#REF!</definedName>
    <definedName name="Motherboard" localSheetId="41">#REF!</definedName>
    <definedName name="Repair_Type" localSheetId="41">#REF!</definedName>
    <definedName name="Service_ID" localSheetId="41">[1]!tblMasterServicesV2[Service ID]</definedName>
    <definedName name="Service_Type" localSheetId="41">#REF!</definedName>
    <definedName name="Software" localSheetId="41">#REF!</definedName>
    <definedName name="Audio" localSheetId="42">#REF!</definedName>
    <definedName name="Battery" localSheetId="42">#REF!</definedName>
    <definedName name="Buttons" localSheetId="42">#REF!</definedName>
    <definedName name="Camera" localSheetId="42">#REF!</definedName>
    <definedName name="Charging" localSheetId="42">#REF!</definedName>
    <definedName name="Cleaning" localSheetId="42">#REF!</definedName>
    <definedName name="Data_Recovery" localSheetId="42">#REF!</definedName>
    <definedName name="Device_Family_Code" localSheetId="42">[1]!tblDeviceFamiliesV2[Device Family]</definedName>
    <definedName name="Diagnostics" localSheetId="42">#REF!</definedName>
    <definedName name="Display" localSheetId="42">#REF!</definedName>
    <definedName name="Housing" localSheetId="42">#REF!</definedName>
    <definedName name="IstBoolean" localSheetId="42">#REF!</definedName>
    <definedName name="IstDeviceFamilies" localSheetId="42">[1]!tblDeviceFamiliesV2[Device Family Code]</definedName>
    <definedName name="IstServiceCategories" localSheetId="42">#REF!</definedName>
    <definedName name="IstServiceNames" localSheetId="42">#REF!</definedName>
    <definedName name="Manufacturer_ID" localSheetId="42">[1]!tblManufacturersV1[[#All],[Manufacturer ID]]</definedName>
    <definedName name="Motherboard" localSheetId="42">#REF!</definedName>
    <definedName name="Repair_Type" localSheetId="42">#REF!</definedName>
    <definedName name="Service_ID" localSheetId="42">[1]!tblMasterServicesV2[Service ID]</definedName>
    <definedName name="Service_Type" localSheetId="42">#REF!</definedName>
    <definedName name="Software" localSheetId="42">#REF!</definedName>
    <definedName name="Device_Family_Code" localSheetId="43">[1]!tblDeviceFamiliesV2[Device Family]</definedName>
    <definedName name="IstDeviceFamilies" localSheetId="43">[1]!tblDeviceFamiliesV2[Device Family Code]</definedName>
    <definedName name="Service_ID" localSheetId="43">[1]!tblMasterServicesV2[Service ID]</definedName>
    <definedName name="Device_Family_Code" localSheetId="45">[1]!tblDeviceFamiliesV2[Device Family]</definedName>
    <definedName name="IstDeviceFamilies" localSheetId="45">[1]!tblDeviceFamiliesV2[Device Family Code]</definedName>
    <definedName name="Service_ID" localSheetId="45">[1]!tblMasterServicesV2[Service ID]</definedName>
    <definedName name="Device_Family_Code" localSheetId="47">[1]!tblDeviceFamiliesV2[Device Family]</definedName>
    <definedName name="IstDeviceFamilies" localSheetId="47">[1]!tblDeviceFamiliesV2[Device Family Code]</definedName>
    <definedName name="Service_ID" localSheetId="47">[1]!tblMasterServicesV2[Service ID]</definedName>
    <definedName name="Device_Family_Code" localSheetId="48">[1]!tblDeviceFamiliesV2[Device Family]</definedName>
    <definedName name="IstDeviceFamilies" localSheetId="48">[1]!tblDeviceFamiliesV2[Device Family Code]</definedName>
    <definedName name="Service_ID" localSheetId="48">[1]!tblMasterServicesV2[Service ID]</definedName>
    <definedName name="Device_Family_Code" localSheetId="49">[1]!tblDeviceFamiliesV2[Device Family]</definedName>
    <definedName name="IstDeviceFamilies" localSheetId="49">[1]!tblDeviceFamiliesV2[Device Family Code]</definedName>
    <definedName name="Service_ID" localSheetId="49">[1]!tblMasterServicesV2[Service ID]</definedName>
    <definedName name="Device_Family_Code" localSheetId="53">[1]!tblDeviceFamiliesV2[Device Family]</definedName>
    <definedName name="IstDeviceFamilies" localSheetId="53">[1]!tblDeviceFamiliesV2[Device Family Code]</definedName>
    <definedName name="Service_ID" localSheetId="53">[1]!tblMasterServicesV2[Service ID]</definedName>
    <definedName name="Device_Family_Code" localSheetId="54">[1]!tblDeviceFamiliesV2[Device Family]</definedName>
    <definedName name="IstDeviceFamilies" localSheetId="54">[1]!tblDeviceFamiliesV2[Device Family Code]</definedName>
    <definedName name="Service_ID" localSheetId="54">[1]!tblMasterServicesV2[Service ID]</definedName>
    <definedName name="Device_Family_Code" localSheetId="55">[1]!tblDeviceFamiliesV2[Device Family]</definedName>
    <definedName name="IstDeviceFamilies" localSheetId="55">[1]!tblDeviceFamiliesV2[Device Family Code]</definedName>
    <definedName name="Service_ID" localSheetId="55">[1]!tblMasterServicesV2[Service ID]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yyyy\-mm\-dd;@"/>
    <numFmt numFmtId="165" formatCode="&quot;$&quot;#,##0.00"/>
    <numFmt numFmtId="166" formatCode="&quot;$&quot;#,##0.000"/>
    <numFmt numFmtId="167" formatCode="0.0%"/>
    <numFmt numFmtId="168" formatCode="yyyy-mm-dd h:mm:ss"/>
  </numFmts>
  <fonts count="29">
    <font>
      <name val="Aptos Narrow"/>
      <family val="2"/>
      <color theme="1"/>
      <sz val="11"/>
      <scheme val="minor"/>
    </font>
    <font>
      <name val="Aptos Narrow"/>
      <family val="2"/>
      <b val="1"/>
      <color theme="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color theme="10"/>
      <sz val="11"/>
      <u val="single"/>
      <scheme val="minor"/>
    </font>
    <font>
      <name val="Poppins"/>
      <color theme="1"/>
      <sz val="10"/>
    </font>
    <font>
      <name val="Poppins"/>
      <color theme="1"/>
      <sz val="11"/>
    </font>
    <font>
      <name val="Poppins"/>
      <b val="1"/>
      <sz val="11"/>
    </font>
    <font>
      <name val="Poppins"/>
      <sz val="11"/>
    </font>
    <font>
      <name val="Poppins"/>
      <b val="1"/>
      <sz val="14"/>
    </font>
    <font>
      <name val="Poppins"/>
      <b val="1"/>
      <color rgb="FF002060"/>
      <sz val="18"/>
    </font>
    <font>
      <name val="Poppins"/>
      <color rgb="FF000000"/>
      <sz val="11"/>
    </font>
    <font>
      <name val="Poppins"/>
      <b val="1"/>
      <color theme="1"/>
      <sz val="10"/>
    </font>
    <font>
      <name val="Poppins"/>
      <color rgb="FF000000"/>
      <sz val="10"/>
    </font>
    <font>
      <name val="Poppins"/>
      <b val="1"/>
      <color theme="0"/>
      <sz val="10"/>
    </font>
    <font>
      <name val="Poppins"/>
      <b val="1"/>
      <color theme="1"/>
      <sz val="11"/>
    </font>
    <font>
      <name val="Poppins"/>
      <sz val="10"/>
    </font>
    <font>
      <name val="Poppins"/>
      <b val="1"/>
      <color rgb="FFFFFFFF"/>
      <sz val="10"/>
    </font>
    <font>
      <name val="Poppins"/>
      <b val="1"/>
      <color theme="0"/>
      <sz val="11"/>
    </font>
    <font>
      <name val="Poppins"/>
      <color theme="10"/>
      <sz val="10"/>
      <u val="single"/>
    </font>
    <font>
      <name val="Aptos Narrow"/>
      <family val="2"/>
      <color rgb="FF000000"/>
      <sz val="11"/>
      <scheme val="minor"/>
    </font>
    <font>
      <name val="Aptos Narrow"/>
      <family val="2"/>
      <b val="1"/>
      <color rgb="FFFFFFFF"/>
      <sz val="11"/>
      <scheme val="minor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Calibri"/>
      <family val="2"/>
      <color theme="1"/>
      <sz val="11"/>
    </font>
    <font>
      <name val="Calibri"/>
      <family val="2"/>
      <color theme="10"/>
      <sz val="11"/>
      <u val="single"/>
    </font>
    <font>
      <name val="Calibri"/>
      <family val="2"/>
      <b val="1"/>
      <color theme="1"/>
      <sz val="11"/>
    </font>
    <font>
      <name val="Calibri"/>
      <family val="2"/>
      <b val="1"/>
      <color theme="0"/>
      <sz val="11"/>
    </font>
    <font>
      <name val="Aptos Narrow"/>
      <family val="2"/>
      <sz val="8"/>
      <scheme val="minor"/>
    </font>
    <font>
      <name val="Aptos Narrow"/>
      <family val="2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 tint="0.7999816888943144"/>
        <bgColor theme="5" tint="0.7999816888943144"/>
      </patternFill>
    </fill>
    <fill>
      <patternFill patternType="solid">
        <fgColor rgb="FF081630"/>
        <bgColor indexed="64"/>
      </patternFill>
    </fill>
    <fill>
      <patternFill patternType="solid">
        <fgColor rgb="FFFBE2D5"/>
        <bgColor rgb="FFFBE2D5"/>
      </patternFill>
    </fill>
    <fill>
      <patternFill patternType="solid">
        <fgColor rgb="FFE97132"/>
        <bgColor rgb="FFE97132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 tint="0.7999816888943144"/>
      </patternFill>
    </fill>
  </fills>
  <borders count="18">
    <border>
      <left/>
      <right/>
      <top/>
      <bottom/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 style="thin">
        <color theme="4" tint="0.3999755851924192"/>
      </left>
      <right/>
      <top/>
      <bottom style="thin">
        <color theme="4" tint="0.3999755851924192"/>
      </bottom>
      <diagonal/>
    </border>
    <border>
      <left/>
      <right style="thin">
        <color theme="5" tint="0.3999755851924192"/>
      </right>
      <top style="thin">
        <color theme="5" tint="0.3999755851924192"/>
      </top>
      <bottom/>
      <diagonal/>
    </border>
    <border>
      <left/>
      <right/>
      <top style="thin">
        <color theme="5" tint="0.3999755851924192"/>
      </top>
      <bottom/>
      <diagonal/>
    </border>
    <border>
      <left style="thin">
        <color theme="5" tint="0.3999755851924192"/>
      </left>
      <right/>
      <top style="thin">
        <color theme="5" tint="0.3999755851924192"/>
      </top>
      <bottom/>
      <diagonal/>
    </border>
    <border>
      <left/>
      <right style="thin">
        <color theme="5" tint="0.3999755851924192"/>
      </right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5" tint="0.3999755851924192"/>
      </left>
      <right/>
      <top style="thin">
        <color theme="4" tint="0.3999755851924192"/>
      </top>
      <bottom/>
      <diagonal/>
    </border>
    <border>
      <left/>
      <right/>
      <top style="thin">
        <color rgb="FFF1A983"/>
      </top>
      <bottom/>
      <diagonal/>
    </border>
    <border>
      <left/>
      <right/>
      <top/>
      <bottom style="thin">
        <color rgb="FFF1A983"/>
      </bottom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/>
      <diagonal/>
    </border>
  </borders>
  <cellStyleXfs count="2">
    <xf numFmtId="0" fontId="0" fillId="0" borderId="0"/>
    <xf numFmtId="0" fontId="3" fillId="0" borderId="0"/>
  </cellStyleXfs>
  <cellXfs count="133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1"/>
    <xf numFmtId="0" fontId="4" fillId="0" borderId="0" pivotButton="0" quotePrefix="0" xfId="0"/>
    <xf numFmtId="0" fontId="4" fillId="0" borderId="0" applyAlignment="1" pivotButton="0" quotePrefix="0" xfId="0">
      <alignment horizontal="center"/>
    </xf>
    <xf numFmtId="0" fontId="5" fillId="0" borderId="0" pivotButton="0" quotePrefix="0" xfId="0"/>
    <xf numFmtId="0" fontId="6" fillId="0" borderId="0" pivotButton="0" quotePrefix="0" xfId="0"/>
    <xf numFmtId="0" fontId="5" fillId="0" borderId="2" pivotButton="0" quotePrefix="0" xfId="0"/>
    <xf numFmtId="0" fontId="5" fillId="0" borderId="2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left" vertical="center"/>
    </xf>
    <xf numFmtId="9" fontId="5" fillId="0" borderId="0" pivotButton="0" quotePrefix="0" xfId="0"/>
    <xf numFmtId="0" fontId="6" fillId="2" borderId="4" pivotButton="0" quotePrefix="0" xfId="0"/>
    <xf numFmtId="0" fontId="6" fillId="2" borderId="5" pivotButton="0" quotePrefix="0" xfId="0"/>
    <xf numFmtId="0" fontId="6" fillId="2" borderId="6" pivotButton="0" quotePrefix="0" xfId="0"/>
    <xf numFmtId="0" fontId="10" fillId="0" borderId="0" pivotButton="0" quotePrefix="0" xfId="0"/>
    <xf numFmtId="0" fontId="5" fillId="0" borderId="0" applyAlignment="1" pivotButton="0" quotePrefix="0" xfId="0">
      <alignment vertical="center" wrapText="1"/>
    </xf>
    <xf numFmtId="0" fontId="4" fillId="0" borderId="0" applyAlignment="1" pivotButton="0" quotePrefix="0" xfId="0">
      <alignment vertical="center" wrapText="1"/>
    </xf>
    <xf numFmtId="0" fontId="10" fillId="0" borderId="2" pivotButton="0" quotePrefix="0" xfId="0"/>
    <xf numFmtId="0" fontId="10" fillId="0" borderId="2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0" fontId="4" fillId="0" borderId="7" pivotButton="0" quotePrefix="0" xfId="0"/>
    <xf numFmtId="0" fontId="4" fillId="0" borderId="8" pivotButton="0" quotePrefix="0" xfId="0"/>
    <xf numFmtId="0" fontId="10" fillId="0" borderId="8" pivotButton="0" quotePrefix="0" xfId="0"/>
    <xf numFmtId="0" fontId="4" fillId="0" borderId="9" pivotButton="0" quotePrefix="0" xfId="0"/>
    <xf numFmtId="0" fontId="4" fillId="3" borderId="7" pivotButton="0" quotePrefix="0" xfId="0"/>
    <xf numFmtId="0" fontId="4" fillId="3" borderId="8" pivotButton="0" quotePrefix="0" xfId="0"/>
    <xf numFmtId="0" fontId="10" fillId="3" borderId="8" pivotButton="0" quotePrefix="0" xfId="0"/>
    <xf numFmtId="0" fontId="4" fillId="3" borderId="9" pivotButton="0" quotePrefix="0" xfId="0"/>
    <xf numFmtId="0" fontId="4" fillId="3" borderId="10" pivotButton="0" quotePrefix="0" xfId="0"/>
    <xf numFmtId="0" fontId="4" fillId="3" borderId="11" pivotButton="0" quotePrefix="0" xfId="0"/>
    <xf numFmtId="0" fontId="10" fillId="3" borderId="11" pivotButton="0" quotePrefix="0" xfId="0"/>
    <xf numFmtId="0" fontId="4" fillId="3" borderId="12" pivotButton="0" quotePrefix="0" xfId="0"/>
    <xf numFmtId="164" fontId="4" fillId="0" borderId="0" applyAlignment="1" pivotButton="0" quotePrefix="0" xfId="0">
      <alignment vertical="center" wrapText="1"/>
    </xf>
    <xf numFmtId="0" fontId="12" fillId="0" borderId="0" pivotButton="0" quotePrefix="0" xfId="0"/>
    <xf numFmtId="0" fontId="5" fillId="0" borderId="2" applyAlignment="1" pivotButton="0" quotePrefix="0" xfId="0">
      <alignment horizontal="right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2" applyAlignment="1" pivotButton="0" quotePrefix="0" xfId="0">
      <alignment vertical="center" wrapText="1"/>
    </xf>
    <xf numFmtId="0" fontId="13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14" fillId="0" borderId="0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right" vertical="center" wrapText="1"/>
    </xf>
    <xf numFmtId="0" fontId="14" fillId="0" borderId="0" applyAlignment="1" pivotButton="0" quotePrefix="0" xfId="0">
      <alignment horizontal="right" vertical="center" wrapText="1"/>
    </xf>
    <xf numFmtId="0" fontId="12" fillId="0" borderId="0" applyAlignment="1" pivotButton="0" quotePrefix="0" xfId="0">
      <alignment vertical="center" wrapText="1"/>
    </xf>
    <xf numFmtId="0" fontId="8" fillId="0" borderId="0" applyAlignment="1" pivotButton="0" quotePrefix="1" xfId="0">
      <alignment horizontal="left" vertical="center"/>
    </xf>
    <xf numFmtId="0" fontId="16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0" fontId="17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18" fillId="0" borderId="0" pivotButton="0" quotePrefix="0" xfId="1"/>
    <xf numFmtId="0" fontId="2" fillId="0" borderId="0" applyAlignment="1" pivotButton="0" quotePrefix="0" xfId="0">
      <alignment horizontal="center" vertical="center" wrapText="1"/>
    </xf>
    <xf numFmtId="0" fontId="19" fillId="5" borderId="13" pivotButton="0" quotePrefix="0" xfId="0"/>
    <xf numFmtId="0" fontId="20" fillId="6" borderId="14" applyAlignment="1" pivotButton="0" quotePrefix="0" xfId="0">
      <alignment horizontal="center" vertical="center" wrapText="1"/>
    </xf>
    <xf numFmtId="0" fontId="20" fillId="6" borderId="0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5" fillId="0" borderId="15" applyAlignment="1" pivotButton="0" quotePrefix="0" xfId="0">
      <alignment horizontal="left" vertical="center"/>
    </xf>
    <xf numFmtId="0" fontId="5" fillId="0" borderId="15" applyAlignment="1" pivotButton="0" quotePrefix="0" xfId="0">
      <alignment horizontal="left"/>
    </xf>
    <xf numFmtId="0" fontId="5" fillId="0" borderId="15" applyAlignment="1" pivotButton="0" quotePrefix="0" xfId="0">
      <alignment horizontal="left" vertical="center" wrapText="1"/>
    </xf>
    <xf numFmtId="0" fontId="10" fillId="0" borderId="15" applyAlignment="1" pivotButton="0" quotePrefix="0" xfId="0">
      <alignment horizontal="left"/>
    </xf>
    <xf numFmtId="0" fontId="5" fillId="0" borderId="3" applyAlignment="1" pivotButton="0" quotePrefix="0" xfId="0">
      <alignment horizontal="left"/>
    </xf>
    <xf numFmtId="0" fontId="0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right" vertical="center" wrapText="1"/>
    </xf>
    <xf numFmtId="0" fontId="1" fillId="2" borderId="1" applyAlignment="1" pivotButton="0" quotePrefix="0" xfId="0">
      <alignment horizontal="center" vertical="center"/>
    </xf>
    <xf numFmtId="0" fontId="1" fillId="2" borderId="16" applyAlignment="1" pivotButton="0" quotePrefix="0" xfId="0">
      <alignment horizontal="center" vertical="center"/>
    </xf>
    <xf numFmtId="0" fontId="1" fillId="2" borderId="11" applyAlignment="1" pivotButton="0" quotePrefix="0" xfId="0">
      <alignment horizontal="center" vertical="center"/>
    </xf>
    <xf numFmtId="0" fontId="1" fillId="2" borderId="15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0" fillId="0" borderId="2" applyAlignment="1" pivotButton="0" quotePrefix="0" xfId="0">
      <alignment vertical="center"/>
    </xf>
    <xf numFmtId="0" fontId="0" fillId="0" borderId="15" pivotButton="0" quotePrefix="0" xfId="0"/>
    <xf numFmtId="0" fontId="0" fillId="0" borderId="11" applyAlignment="1" pivotButton="0" quotePrefix="0" xfId="0">
      <alignment vertical="center"/>
    </xf>
    <xf numFmtId="0" fontId="23" fillId="0" borderId="0" pivotButton="0" quotePrefix="0" xfId="0"/>
    <xf numFmtId="0" fontId="24" fillId="0" borderId="0" applyAlignment="1" pivotButton="0" quotePrefix="0" xfId="1">
      <alignment vertical="center"/>
    </xf>
    <xf numFmtId="0" fontId="23" fillId="0" borderId="0" applyAlignment="1" pivotButton="0" quotePrefix="0" xfId="0">
      <alignment vertical="center" wrapText="1"/>
    </xf>
    <xf numFmtId="0" fontId="25" fillId="0" borderId="0" pivotButton="0" quotePrefix="0" xfId="0"/>
    <xf numFmtId="0" fontId="26" fillId="0" borderId="0" pivotButton="0" quotePrefix="0" xfId="0"/>
    <xf numFmtId="0" fontId="0" fillId="0" borderId="0" applyAlignment="1" pivotButton="0" quotePrefix="0" xfId="0">
      <alignment wrapText="1"/>
    </xf>
    <xf numFmtId="165" fontId="0" fillId="0" borderId="0" pivotButton="0" quotePrefix="0" xfId="0"/>
    <xf numFmtId="9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0" fillId="0" borderId="0" applyAlignment="1" pivotButton="0" quotePrefix="0" xfId="0">
      <alignment horizontal="right" vertical="center"/>
    </xf>
    <xf numFmtId="165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 wrapText="1"/>
    </xf>
    <xf numFmtId="166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/>
    </xf>
    <xf numFmtId="0" fontId="3" fillId="0" borderId="0" applyAlignment="1" pivotButton="0" quotePrefix="0" xfId="1">
      <alignment vertical="center"/>
    </xf>
    <xf numFmtId="0" fontId="5" fillId="0" borderId="0" pivotButton="0" quotePrefix="0" xfId="0"/>
    <xf numFmtId="0" fontId="20" fillId="0" borderId="14" applyAlignment="1" pivotButton="0" quotePrefix="0" xfId="0">
      <alignment horizontal="center" vertical="center" wrapText="1"/>
    </xf>
    <xf numFmtId="0" fontId="19" fillId="0" borderId="0" pivotButton="0" quotePrefix="0" xfId="0"/>
    <xf numFmtId="0" fontId="19" fillId="0" borderId="13" pivotButton="0" quotePrefix="0" xfId="0"/>
    <xf numFmtId="0" fontId="0" fillId="0" borderId="0" pivotButton="0" quotePrefix="0" xfId="0"/>
    <xf numFmtId="0" fontId="17" fillId="2" borderId="5" applyAlignment="1" pivotButton="0" quotePrefix="0" xfId="0">
      <alignment vertical="center"/>
    </xf>
    <xf numFmtId="0" fontId="17" fillId="0" borderId="5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5" fillId="7" borderId="2" applyAlignment="1" pivotButton="0" quotePrefix="0" xfId="0">
      <alignment vertical="center"/>
    </xf>
    <xf numFmtId="0" fontId="5" fillId="0" borderId="0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11" applyAlignment="1" pivotButton="0" quotePrefix="0" xfId="0">
      <alignment vertical="center"/>
    </xf>
    <xf numFmtId="0" fontId="5" fillId="7" borderId="11" applyAlignment="1" pivotButton="0" quotePrefix="0" xfId="0">
      <alignment vertical="center"/>
    </xf>
    <xf numFmtId="0" fontId="5" fillId="0" borderId="2" applyAlignment="1" pivotButton="0" quotePrefix="0" xfId="0">
      <alignment horizontal="center" vertical="center"/>
    </xf>
    <xf numFmtId="0" fontId="5" fillId="0" borderId="17" applyAlignment="1" pivotButton="0" quotePrefix="0" xfId="0">
      <alignment horizontal="left" vertical="center"/>
    </xf>
    <xf numFmtId="164" fontId="5" fillId="7" borderId="2" applyAlignment="1" pivotButton="0" quotePrefix="0" xfId="0">
      <alignment vertical="center"/>
    </xf>
    <xf numFmtId="164" fontId="5" fillId="0" borderId="2" applyAlignment="1" pivotButton="0" quotePrefix="0" xfId="0">
      <alignment vertical="center"/>
    </xf>
    <xf numFmtId="164" fontId="5" fillId="7" borderId="11" applyAlignment="1" pivotButton="0" quotePrefix="0" xfId="0">
      <alignment vertical="center"/>
    </xf>
    <xf numFmtId="0" fontId="0" fillId="8" borderId="2" applyAlignment="1" pivotButton="0" quotePrefix="0" xfId="0">
      <alignment vertical="center"/>
    </xf>
    <xf numFmtId="0" fontId="0" fillId="9" borderId="2" applyAlignment="1" pivotButton="0" quotePrefix="0" xfId="0">
      <alignment vertical="center"/>
    </xf>
    <xf numFmtId="0" fontId="28" fillId="0" borderId="0" applyAlignment="1" pivotButton="0" quotePrefix="0" xfId="0">
      <alignment vertical="center"/>
    </xf>
    <xf numFmtId="0" fontId="28" fillId="9" borderId="2" applyAlignment="1" pivotButton="0" quotePrefix="0" xfId="0">
      <alignment vertical="center"/>
    </xf>
    <xf numFmtId="0" fontId="9" fillId="0" borderId="0" applyAlignment="1" pivotButton="0" quotePrefix="0" xfId="0">
      <alignment horizontal="center" vertical="center"/>
    </xf>
    <xf numFmtId="0" fontId="13" fillId="4" borderId="0" applyAlignment="1" pivotButton="0" quotePrefix="0" xfId="0">
      <alignment horizontal="center" vertical="center"/>
    </xf>
    <xf numFmtId="0" fontId="0" fillId="7" borderId="1" pivotButton="0" quotePrefix="0" xfId="0"/>
    <xf numFmtId="0" fontId="0" fillId="7" borderId="2" pivotButton="0" quotePrefix="0" xfId="0"/>
    <xf numFmtId="0" fontId="0" fillId="7" borderId="3" pivotButton="0" quotePrefix="0" xfId="0"/>
    <xf numFmtId="0" fontId="0" fillId="0" borderId="1" pivotButton="0" quotePrefix="0" xfId="0"/>
    <xf numFmtId="0" fontId="0" fillId="0" borderId="2" pivotButton="0" quotePrefix="0" xfId="0"/>
    <xf numFmtId="0" fontId="0" fillId="0" borderId="3" pivotButton="0" quotePrefix="0" xfId="0"/>
    <xf numFmtId="9" fontId="0" fillId="0" borderId="0" applyAlignment="1" pivotButton="0" quotePrefix="0" xfId="0">
      <alignment horizontal="right" vertical="center" wrapText="1"/>
    </xf>
    <xf numFmtId="0" fontId="0" fillId="0" borderId="0" pivotButton="0" quotePrefix="0" xfId="0"/>
    <xf numFmtId="0" fontId="0" fillId="7" borderId="2" applyAlignment="1" pivotButton="0" quotePrefix="0" xfId="0">
      <alignment vertical="center"/>
    </xf>
    <xf numFmtId="0" fontId="0" fillId="7" borderId="2" applyAlignment="1" pivotButton="0" quotePrefix="0" xfId="0">
      <alignment horizontal="right" vertical="center" wrapText="1"/>
    </xf>
    <xf numFmtId="0" fontId="0" fillId="0" borderId="2" applyAlignment="1" pivotButton="0" quotePrefix="0" xfId="0">
      <alignment vertical="center"/>
    </xf>
    <xf numFmtId="0" fontId="0" fillId="0" borderId="2" applyAlignment="1" pivotButton="0" quotePrefix="0" xfId="0">
      <alignment horizontal="right" vertical="center" wrapText="1"/>
    </xf>
    <xf numFmtId="9" fontId="0" fillId="7" borderId="2" applyAlignment="1" pivotButton="0" quotePrefix="0" xfId="0">
      <alignment horizontal="right" vertical="center" wrapText="1"/>
    </xf>
    <xf numFmtId="9" fontId="0" fillId="0" borderId="2" applyAlignment="1" pivotButton="0" quotePrefix="0" xfId="0">
      <alignment horizontal="right" vertical="center" wrapText="1"/>
    </xf>
    <xf numFmtId="168" fontId="0" fillId="0" borderId="0" pivotButton="0" quotePrefix="0" xfId="0"/>
  </cellXfs>
  <cellStyles count="2">
    <cellStyle name="Normal" xfId="0" builtinId="0"/>
    <cellStyle name="Hyperlink" xfId="1" builtinId="8"/>
  </cellStyles>
  <dxfs count="6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numFmt numFmtId="165" formatCode="&quot;$&quot;#,##0.00"/>
    </dxf>
    <dxf>
      <numFmt numFmtId="165" formatCode="&quot;$&quot;#,##0.00"/>
    </dxf>
    <dxf>
      <numFmt numFmtId="167" formatCode="0.0%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general" vertical="center"/>
    </dxf>
    <dxf>
      <numFmt numFmtId="165" formatCode="&quot;$&quot;#,##0.00"/>
      <alignment horizontal="center" vertical="center" wrapText="1"/>
    </dxf>
    <dxf>
      <numFmt numFmtId="0" formatCode="General"/>
      <alignment horizontal="center" vertical="center" wrapText="1"/>
    </dxf>
    <dxf>
      <numFmt numFmtId="165" formatCode="&quot;$&quot;#,##0.00"/>
      <alignment horizontal="center" vertical="center" wrapText="1"/>
    </dxf>
    <dxf>
      <numFmt numFmtId="165" formatCode="&quot;$&quot;#,##0.00"/>
      <alignment horizontal="center" vertical="center" wrapText="1"/>
    </dxf>
    <dxf>
      <alignment horizontal="center" vertical="center" wrapText="1"/>
    </dxf>
    <dxf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alignment horizontal="right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alignment horizontal="right" vertical="center"/>
    </dxf>
    <dxf>
      <alignment horizontal="right" vertical="center"/>
    </dxf>
    <dxf>
      <alignment horizontal="general" vertical="center"/>
    </dxf>
    <dxf>
      <alignment vertical="center"/>
    </dxf>
    <dxf>
      <alignment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right" vertical="center"/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numFmt numFmtId="164" formatCode="yyyy\-mm\-dd;@"/>
      <fill>
        <patternFill>
          <fgColor indexed="64"/>
          <bgColor indexed="65"/>
        </patternFill>
      </fill>
      <alignment horizontal="general" vertical="center"/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numFmt numFmtId="164" formatCode="yyyy\-mm\-dd;@"/>
      <fill>
        <patternFill patternType="solid">
          <fgColor theme="4" tint="0.7999816888943144"/>
          <bgColor theme="4" tint="0.7999816888943144"/>
        </patternFill>
      </fill>
      <alignment horizontal="general" vertical="center"/>
      <border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left" vertical="center"/>
      <border outline="0">
        <left/>
        <right/>
        <top style="thin">
          <color theme="4" tint="0.3999755851924192"/>
        </top>
        <bottom/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center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center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border outline="0">
        <top style="thin">
          <color theme="4" tint="0.3999755851924192"/>
        </top>
      </border>
    </dxf>
    <dxf>
      <border outline="0">
        <left style="thin">
          <color theme="4" tint="0.3999755851924192"/>
        </left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theme="4" tint="0.7999816888943144"/>
          <bgColor theme="4" tint="0.7999816888943144"/>
        </patternFill>
      </fill>
      <alignment horizontal="general" vertical="center"/>
    </dxf>
    <dxf>
      <border outline="0">
        <bottom style="thin">
          <color theme="4" tint="0.3999755851924192"/>
        </bottom>
      </border>
    </dxf>
    <dxf>
      <font>
        <name val="Poppins"/>
        <b val="1"/>
        <strike val="0"/>
        <outline val="0"/>
        <shadow val="0"/>
        <condense val="0"/>
        <color theme="0"/>
        <extend val="0"/>
        <sz val="11"/>
        <vertAlign val="baseline"/>
      </font>
      <fill>
        <patternFill patternType="solid">
          <fgColor theme="4"/>
          <bgColor theme="4"/>
        </patternFill>
      </fill>
      <alignment horizontal="general" vertical="center"/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Aptos Narrow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>
          <fgColor indexed="64"/>
          <bgColor auto="1"/>
        </patternFill>
      </fill>
      <alignment horizontal="general" vertical="center"/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Aptos Narrow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4"/>
          <bgColor theme="4"/>
        </patternFill>
      </fill>
      <alignment horizontal="center" vertical="center"/>
      <border outline="0">
        <left style="thin">
          <color theme="4" tint="0.3999755851924192"/>
        </left>
        <right style="thin">
          <color theme="4" tint="0.3999755851924192"/>
        </right>
        <top/>
        <bottom/>
      </border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alignment horizontal="general" vertical="center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vertical="center"/>
    </dxf>
    <dxf>
      <alignment vertical="center"/>
    </dxf>
    <dxf>
      <alignment horizontal="general" vertical="center" wrapText="1"/>
    </dxf>
    <dxf>
      <alignment horizontal="general" vertical="center"/>
    </dxf>
    <dxf>
      <alignment horizontal="general" vertical="center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numFmt numFmtId="0" formatCode="General"/>
    </dxf>
    <dxf>
      <numFmt numFmtId="0" formatCode="General"/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  <alignment horizontal="left" vertical="center"/>
      <border outline="0">
        <left/>
        <right style="thin">
          <color theme="4" tint="0.3999755851924192"/>
        </right>
        <top style="thin">
          <color theme="4" tint="0.3999755851924192"/>
        </top>
        <bottom/>
      </border>
    </dxf>
    <dxf>
      <alignment horizontal="center" vertical="bottom"/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Calibri"/>
        <family val="2"/>
        <strike val="0"/>
        <outline val="0"/>
        <shadow val="0"/>
        <condense val="0"/>
        <color theme="10"/>
        <extend val="0"/>
        <sz val="11"/>
        <u val="single"/>
        <vertAlign val="baseline"/>
      </font>
      <alignment horizontal="general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indexed="65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alignment horizontal="general" vertical="center" wrapText="1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  <border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name val="Aptos Narrow"/>
        <family val="2"/>
        <strike val="0"/>
        <outline val="0"/>
        <shadow val="0"/>
        <condense val="0"/>
        <color rgb="FF000000"/>
        <extend val="0"/>
        <sz val="11"/>
        <vertAlign val="baseline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name val="Aptos Narrow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  <scheme val="minor"/>
      </font>
      <fill>
        <patternFill patternType="solid">
          <fgColor rgb="FFE97132"/>
          <bgColor rgb="FFE97132"/>
        </patternFill>
      </fill>
      <alignment horizontal="center" vertical="center" wrapText="1"/>
    </dxf>
    <dxf/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alignment horizontal="general"/>
    </dxf>
    <dxf>
      <alignment horizontal="general"/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numFmt numFmtId="0" formatCode="General"/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right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numFmt numFmtId="0" formatCode="General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b val="1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vertAlign val="baseline"/>
      </font>
      <alignment horizontal="center" vertical="bottom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vertAlign val="baseline"/>
      </font>
      <alignment horizontal="center" vertical="bottom"/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vertAlign val="baseline"/>
      </font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vertAlign val="baseline"/>
      </font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vertAlign val="baseline"/>
      </font>
      <border outline="0">
        <left/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condense val="0"/>
        <color auto="1"/>
        <extend val="0"/>
        <sz val="11"/>
        <vertAlign val="baseline"/>
      </font>
      <alignment horizontal="center" vertical="center" wrapText="1"/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border outline="0">
        <left/>
        <right style="thin">
          <color theme="5" tint="0.3999755851924192"/>
        </right>
        <top style="thin">
          <color theme="5" tint="0.3999755851924192"/>
        </top>
        <bottom/>
      </border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border outline="0">
        <left/>
        <right/>
        <top style="thin">
          <color theme="5" tint="0.3999755851924192"/>
        </top>
        <bottom/>
      </border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  <border outline="0">
        <left/>
        <right/>
        <top style="thin">
          <color theme="5" tint="0.3999755851924192"/>
        </top>
        <bottom/>
      </border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  <border outline="0">
        <left/>
        <right/>
        <top style="thin">
          <color theme="5" tint="0.3999755851924192"/>
        </top>
        <bottom/>
      </border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border outline="0">
        <left style="thin">
          <color theme="5" tint="0.3999755851924192"/>
        </left>
        <right/>
        <top style="thin">
          <color theme="5" tint="0.3999755851924192"/>
        </top>
        <bottom/>
      </border>
    </dxf>
    <dxf>
      <border outline="0">
        <top style="thin">
          <color theme="4" tint="0.3999755851924192"/>
        </top>
        <bottom style="thin">
          <color theme="5" tint="0.3999755851924192"/>
        </bottom>
      </border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  <numFmt numFmtId="13" formatCode="0%"/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alignment horizontal="center" vertical="bottom"/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alignment horizontal="center" vertical="bottom"/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theme="4"/>
          <bgColor theme="4"/>
        </patternFill>
      </fill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alignment horizontal="center" vertical="bottom"/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alignment horizontal="center" vertical="bottom"/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  <fill>
        <patternFill patternType="solid">
          <fgColor theme="4"/>
          <bgColor theme="4"/>
        </patternFill>
      </fill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alignment horizontal="center" vertical="bottom"/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alignment horizontal="center" vertical="bottom"/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alignment horizontal="center" vertical="bottom"/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  <alignment horizontal="center" vertical="bottom"/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top style="thin">
          <color theme="4" tint="0.3999755851924192"/>
        </top>
      </border>
    </dxf>
    <dxf>
      <font>
        <name val="Poppins"/>
        <strike val="0"/>
        <outline val="0"/>
        <shadow val="0"/>
        <condense val="0"/>
        <color theme="1"/>
        <extend val="0"/>
        <sz val="10"/>
        <vertAlign val="baseline"/>
      </font>
    </dxf>
    <dxf>
      <border outline="0">
        <bottom style="thin">
          <color theme="4" tint="0.3999755851924192"/>
        </bottom>
      </border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strike val="0"/>
        <outline val="0"/>
        <shadow val="0"/>
        <condense val="0"/>
        <color rgb="FF000000"/>
        <extend val="0"/>
        <sz val="11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b val="1"/>
        <strike val="0"/>
        <outline val="0"/>
        <shadow val="0"/>
        <condense val="0"/>
        <color auto="1"/>
        <extend val="0"/>
        <sz val="11"/>
        <vertAlign val="baseline"/>
      </font>
    </dxf>
    <dxf>
      <font>
        <name val="Poppins"/>
        <strike val="0"/>
        <outline val="0"/>
        <shadow val="0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right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b val="1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right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b val="1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right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b val="1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b val="1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right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b val="1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right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strike val="0"/>
        <outline val="0"/>
        <shadow val="0"/>
        <vertAlign val="baseline"/>
      </font>
      <alignment horizontal="general" vertical="center" wrapText="1"/>
    </dxf>
    <dxf>
      <font>
        <name val="Poppins"/>
        <b val="1"/>
        <strike val="0"/>
        <outline val="0"/>
        <shadow val="0"/>
        <condense val="0"/>
        <color theme="1"/>
        <extend val="0"/>
        <sz val="11"/>
        <vertAlign val="baseline"/>
      </font>
      <alignment horizontal="center" vertical="center" wrapText="1"/>
    </dxf>
    <dxf>
      <font>
        <name val="Poppins"/>
        <strike val="0"/>
        <outline val="0"/>
        <shadow val="0"/>
        <vertAlign val="baseline"/>
      </font>
      <alignment horizontal="right" vertical="center" wrapText="1"/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Poppins"/>
        <strike val="0"/>
        <outline val="0"/>
        <shadow val="0"/>
        <vertAlign val="baseline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name val="Aptos Narrow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worksheet" Target="/xl/worksheets/sheet35.xml" Id="rId35" /><Relationship Type="http://schemas.openxmlformats.org/officeDocument/2006/relationships/worksheet" Target="/xl/worksheets/sheet36.xml" Id="rId36" /><Relationship Type="http://schemas.openxmlformats.org/officeDocument/2006/relationships/worksheet" Target="/xl/worksheets/sheet37.xml" Id="rId37" /><Relationship Type="http://schemas.openxmlformats.org/officeDocument/2006/relationships/worksheet" Target="/xl/worksheets/sheet38.xml" Id="rId38" /><Relationship Type="http://schemas.openxmlformats.org/officeDocument/2006/relationships/worksheet" Target="/xl/worksheets/sheet39.xml" Id="rId39" /><Relationship Type="http://schemas.openxmlformats.org/officeDocument/2006/relationships/worksheet" Target="/xl/worksheets/sheet40.xml" Id="rId40" /><Relationship Type="http://schemas.openxmlformats.org/officeDocument/2006/relationships/worksheet" Target="/xl/worksheets/sheet41.xml" Id="rId41" /><Relationship Type="http://schemas.openxmlformats.org/officeDocument/2006/relationships/worksheet" Target="/xl/worksheets/sheet42.xml" Id="rId42" /><Relationship Type="http://schemas.openxmlformats.org/officeDocument/2006/relationships/worksheet" Target="/xl/worksheets/sheet43.xml" Id="rId43" /><Relationship Type="http://schemas.openxmlformats.org/officeDocument/2006/relationships/worksheet" Target="/xl/worksheets/sheet44.xml" Id="rId44" /><Relationship Type="http://schemas.openxmlformats.org/officeDocument/2006/relationships/worksheet" Target="/xl/worksheets/sheet45.xml" Id="rId45" /><Relationship Type="http://schemas.openxmlformats.org/officeDocument/2006/relationships/worksheet" Target="/xl/worksheets/sheet46.xml" Id="rId46" /><Relationship Type="http://schemas.openxmlformats.org/officeDocument/2006/relationships/worksheet" Target="/xl/worksheets/sheet47.xml" Id="rId47" /><Relationship Type="http://schemas.openxmlformats.org/officeDocument/2006/relationships/worksheet" Target="/xl/worksheets/sheet48.xml" Id="rId48" /><Relationship Type="http://schemas.openxmlformats.org/officeDocument/2006/relationships/worksheet" Target="/xl/worksheets/sheet49.xml" Id="rId49" /><Relationship Type="http://schemas.openxmlformats.org/officeDocument/2006/relationships/worksheet" Target="/xl/worksheets/sheet50.xml" Id="rId50" /><Relationship Type="http://schemas.openxmlformats.org/officeDocument/2006/relationships/worksheet" Target="/xl/worksheets/sheet51.xml" Id="rId51" /><Relationship Type="http://schemas.openxmlformats.org/officeDocument/2006/relationships/worksheet" Target="/xl/worksheets/sheet52.xml" Id="rId52" /><Relationship Type="http://schemas.openxmlformats.org/officeDocument/2006/relationships/worksheet" Target="/xl/worksheets/sheet53.xml" Id="rId53" /><Relationship Type="http://schemas.openxmlformats.org/officeDocument/2006/relationships/worksheet" Target="/xl/worksheets/sheet54.xml" Id="rId54" /><Relationship Type="http://schemas.openxmlformats.org/officeDocument/2006/relationships/worksheet" Target="/xl/worksheets/sheet55.xml" Id="rId55" /><Relationship Type="http://schemas.openxmlformats.org/officeDocument/2006/relationships/worksheet" Target="/xl/worksheets/sheet56.xml" Id="rId56" /><Relationship Type="http://schemas.openxmlformats.org/officeDocument/2006/relationships/worksheet" Target="/xl/worksheets/sheet57.xml" Id="rId57" /><Relationship Type="http://schemas.openxmlformats.org/officeDocument/2006/relationships/worksheet" Target="/xl/worksheets/sheet58.xml" Id="rId58" /><Relationship Type="http://schemas.openxmlformats.org/officeDocument/2006/relationships/worksheet" Target="/xl/worksheets/sheet59.xml" Id="rId59" /><Relationship Type="http://schemas.openxmlformats.org/officeDocument/2006/relationships/worksheet" Target="/xl/worksheets/sheet60.xml" Id="rId60" /><Relationship Type="http://schemas.openxmlformats.org/officeDocument/2006/relationships/worksheet" Target="/xl/worksheets/sheet61.xml" Id="rId61" /><Relationship Type="http://schemas.openxmlformats.org/officeDocument/2006/relationships/worksheet" Target="/xl/worksheets/sheet62.xml" Id="rId62" /><Relationship Type="http://schemas.openxmlformats.org/officeDocument/2006/relationships/worksheet" Target="/xl/worksheets/sheet63.xml" Id="rId63" /><Relationship Type="http://schemas.openxmlformats.org/officeDocument/2006/relationships/worksheet" Target="/xl/worksheets/sheet64.xml" Id="rId64" /><Relationship Type="http://schemas.openxmlformats.org/officeDocument/2006/relationships/worksheet" Target="/xl/worksheets/sheet65.xml" Id="rId65" /><Relationship Type="http://schemas.openxmlformats.org/officeDocument/2006/relationships/worksheet" Target="/xl/worksheets/sheet66.xml" Id="rId66" /><Relationship Type="http://schemas.openxmlformats.org/officeDocument/2006/relationships/worksheet" Target="/xl/worksheets/sheet67.xml" Id="rId67" /><Relationship Type="http://schemas.openxmlformats.org/officeDocument/2006/relationships/worksheet" Target="/xl/worksheets/sheet68.xml" Id="rId68" /><Relationship Type="http://schemas.openxmlformats.org/officeDocument/2006/relationships/worksheet" Target="/xl/worksheets/sheet69.xml" Id="rId69" /><Relationship Type="http://schemas.openxmlformats.org/officeDocument/2006/relationships/worksheet" Target="/xl/worksheets/sheet70.xml" Id="rId70" /><Relationship Type="http://schemas.openxmlformats.org/officeDocument/2006/relationships/externalLink" Target="/xl/externalLinks/externalLink1.xml" Id="rId71" /><Relationship Type="http://schemas.openxmlformats.org/officeDocument/2006/relationships/externalLink" Target="/xl/externalLinks/externalLink2.xml" Id="rId72" /><Relationship Type="http://schemas.openxmlformats.org/officeDocument/2006/relationships/styles" Target="styles.xml" Id="rId73" /><Relationship Type="http://schemas.openxmlformats.org/officeDocument/2006/relationships/theme" Target="theme/theme1.xml" Id="rId74" /><Relationship Type="http://schemas.microsoft.com/office/2006/relationships/vbaProject" Target="vbaProject.bin" Id="rId75" /></Relationships>
</file>

<file path=xl/comments/comment1.xml><?xml version="1.0" encoding="utf-8"?>
<comments xmlns="http://schemas.openxmlformats.org/spreadsheetml/2006/main">
  <authors>
    <author>Ryan Brown</author>
  </authors>
  <commentList>
    <comment ref="L4" authorId="0" shapeId="0">
      <text>
        <t>Ryan Brown:
Hardware, Software, Diagnostics, etc.</t>
      </text>
    </comment>
    <comment ref="M4" authorId="0" shapeId="0">
      <text>
        <t>Ryan Brown:
Screen Replacement, Battery Replacement, etc.</t>
      </text>
    </comment>
    <comment ref="N4" authorId="0" shapeId="0">
      <text>
        <t>Ryan Brown:
Customer-friendly description</t>
      </text>
    </comment>
    <comment ref="O4" authorId="0" shapeId="0">
      <text>
        <t>Ryan Brown:
Phone, Tablet, Computer, Gaming, Wearable, or All</t>
      </text>
    </comment>
    <comment ref="P4" authorId="0" shapeId="0">
      <text>
        <t xml:space="preserve">Ryan Brown:
Default Repair Time
</t>
      </text>
    </comment>
    <comment ref="Q4" authorId="0" shapeId="0">
      <text>
        <t xml:space="preserve">Ryan Brown:
Warranty Length
</t>
      </text>
    </comment>
    <comment ref="T4" authorId="0" shapeId="0">
      <text>
        <t xml:space="preserve">Ryan Brown:
Technician Notes
</t>
      </text>
    </comment>
  </commentList>
</comments>
</file>

<file path=xl/comments/comment2.xml><?xml version="1.0" encoding="utf-8"?>
<comments xmlns="http://schemas.openxmlformats.org/spreadsheetml/2006/main">
  <authors>
    <author>Ryan Brown</author>
  </authors>
  <commentList>
    <comment ref="E1" authorId="0" shapeId="0">
      <text>
        <t xml:space="preserve">Ryan Brown:
Default - True
</t>
      </text>
    </comment>
    <comment ref="F1" authorId="0" shapeId="0">
      <text>
        <t>Ryan Brown:
Default - True</t>
      </text>
    </comment>
    <comment ref="H1" authorId="0" shapeId="0">
      <text>
        <t>Ryan Brown:
True, Set FALSE for Diagnostics, cleaning, data recovery</t>
      </text>
    </comment>
    <comment ref="J1" authorId="0" shapeId="0">
      <text>
        <t>Ryan Brown:
Default - True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../../Development_Master_Database.xlsx" TargetMode="External" Id="rId3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../../Nocturnix%20Catalog%20Generator/Data/ARCHIVED_Nocturnix_Master_Database.xlsm" TargetMode="External" Id="rId3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101. Manufacturers"/>
      <sheetName val="102. Device Families"/>
      <sheetName val="103. Devices"/>
      <sheetName val="104. Master Services"/>
      <sheetName val="105. Service Lookup"/>
      <sheetName val="106. Capabilities"/>
      <sheetName val="107. Compatibility Matrix"/>
      <sheetName val="108. Pricing"/>
      <sheetName val="109. Labor Guide"/>
      <sheetName val="110. Parts Catalog"/>
      <sheetName val="111. Suppliers"/>
      <sheetName val="Development_Master_Database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TOC - Table of Contents"/>
      <sheetName val="2. Workbook Standards"/>
      <sheetName val="3. Brand Colors &amp; Theme"/>
      <sheetName val="4. System Blueprint"/>
      <sheetName val="5. System Architecture"/>
      <sheetName val="6. Entity Relationship Diagram"/>
      <sheetName val="7. Data Dictonary"/>
      <sheetName val="8A. Master Device Catalog"/>
      <sheetName val="9. Repair Settings"/>
      <sheetName val="10. System Settings"/>
      <sheetName val="11. Data Validation"/>
      <sheetName val="22. Repair Attachments"/>
      <sheetName val="23. Master Service Catalog"/>
      <sheetName val="24. Labor Guide"/>
      <sheetName val="25. Pricing Matrix"/>
      <sheetName val="29. Taxes &amp; Fees"/>
      <sheetName val="30. Discounts"/>
      <sheetName val="31. Parts Catalog"/>
      <sheetName val="32. Inventory Tracking"/>
      <sheetName val="33. Tool Inventory"/>
      <sheetName val="34. Suppliers"/>
      <sheetName val="36. Inventory Transactions"/>
      <sheetName val="37. Raw Import"/>
      <sheetName val="43. Inventory Reports"/>
      <sheetName val="44. Audit Log"/>
      <sheetName val="45. Suppliers"/>
      <sheetName val="46. Defined Lists"/>
      <sheetName val="47. Sorted List"/>
      <sheetName val="48. Lists"/>
      <sheetName val="49. Catalog"/>
      <sheetName val="51. Compatibility Matrix"/>
      <sheetName val="52. Categories"/>
      <sheetName val="55. Devices"/>
      <sheetName val="56. Capabilities"/>
      <sheetName val="58. Master Services"/>
      <sheetName val="100. Dashboard"/>
      <sheetName val="113. Customers"/>
      <sheetName val="114. Repair Tickets"/>
      <sheetName val="115. Diagnostics"/>
      <sheetName val="116. Estimates"/>
      <sheetName val="117. Invoices"/>
      <sheetName val="118. Payments"/>
      <sheetName val="119. Reports"/>
      <sheetName val="120.Helper"/>
      <sheetName val="121. Raw Data"/>
      <sheetName val="199. Data Dictionary"/>
      <sheetName val="200. Dropdown Sheet"/>
      <sheetName val="00. Import"/>
      <sheetName val="31. Warranty Typ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F5" t="str">
            <v>iPhone (2G)</v>
          </cell>
          <cell r="G5" t="str">
            <v>A1203</v>
          </cell>
          <cell r="H5">
            <v>2007</v>
          </cell>
        </row>
        <row r="6">
          <cell r="F6" t="str">
            <v>iPhone 3G</v>
          </cell>
          <cell r="G6" t="str">
            <v>A1241</v>
          </cell>
          <cell r="H6">
            <v>2008</v>
          </cell>
        </row>
        <row r="7">
          <cell r="F7" t="str">
            <v>iPhone 3GS</v>
          </cell>
          <cell r="G7" t="str">
            <v>A1303</v>
          </cell>
          <cell r="H7">
            <v>2009</v>
          </cell>
        </row>
        <row r="8">
          <cell r="F8" t="str">
            <v>iPhone 4</v>
          </cell>
          <cell r="G8" t="str">
            <v>A1332</v>
          </cell>
          <cell r="H8">
            <v>2010</v>
          </cell>
        </row>
        <row r="9">
          <cell r="F9" t="str">
            <v>iPhone 4s</v>
          </cell>
          <cell r="G9" t="str">
            <v>A1387</v>
          </cell>
          <cell r="H9">
            <v>2011</v>
          </cell>
        </row>
        <row r="10">
          <cell r="F10" t="str">
            <v>iPhone 5</v>
          </cell>
          <cell r="G10" t="str">
            <v>A1428</v>
          </cell>
          <cell r="H10">
            <v>2012</v>
          </cell>
        </row>
        <row r="11">
          <cell r="F11" t="str">
            <v>iPhone 5c</v>
          </cell>
          <cell r="G11" t="str">
            <v>A1532</v>
          </cell>
          <cell r="H11">
            <v>2013</v>
          </cell>
        </row>
        <row r="12">
          <cell r="F12" t="str">
            <v>iPhone 5s</v>
          </cell>
          <cell r="G12" t="str">
            <v>A1533</v>
          </cell>
          <cell r="H12">
            <v>2013</v>
          </cell>
        </row>
        <row r="13">
          <cell r="F13" t="str">
            <v>iPhone 6</v>
          </cell>
          <cell r="G13" t="str">
            <v>A1549</v>
          </cell>
          <cell r="H13">
            <v>2014</v>
          </cell>
        </row>
        <row r="14">
          <cell r="F14" t="str">
            <v>iPhone 6 Plus</v>
          </cell>
          <cell r="G14" t="str">
            <v>A1522</v>
          </cell>
          <cell r="H14">
            <v>2014</v>
          </cell>
        </row>
        <row r="15">
          <cell r="F15" t="str">
            <v>iPhone 6s</v>
          </cell>
          <cell r="G15" t="str">
            <v>A1633</v>
          </cell>
          <cell r="H15">
            <v>2015</v>
          </cell>
        </row>
        <row r="16">
          <cell r="F16" t="str">
            <v>iPhone 6s Plus</v>
          </cell>
          <cell r="G16" t="str">
            <v>A1634</v>
          </cell>
          <cell r="H16">
            <v>2015</v>
          </cell>
        </row>
        <row r="17">
          <cell r="F17" t="str">
            <v>iPhone SE (1st Gen)</v>
          </cell>
          <cell r="G17" t="str">
            <v>A1662</v>
          </cell>
          <cell r="H17">
            <v>2016</v>
          </cell>
        </row>
        <row r="18">
          <cell r="F18" t="str">
            <v>iPhone 7</v>
          </cell>
          <cell r="G18" t="str">
            <v>A1660</v>
          </cell>
          <cell r="H18">
            <v>2016</v>
          </cell>
        </row>
        <row r="19">
          <cell r="F19" t="str">
            <v>iPhone 7 Plus</v>
          </cell>
          <cell r="G19" t="str">
            <v>A1661</v>
          </cell>
          <cell r="H19">
            <v>2016</v>
          </cell>
        </row>
        <row r="20">
          <cell r="F20" t="str">
            <v>iPhone 8</v>
          </cell>
          <cell r="G20" t="str">
            <v>A1863</v>
          </cell>
          <cell r="H20">
            <v>2017</v>
          </cell>
        </row>
        <row r="21">
          <cell r="F21" t="str">
            <v>iPhone 8 Plus</v>
          </cell>
          <cell r="G21" t="str">
            <v>A1864</v>
          </cell>
          <cell r="H21">
            <v>2017</v>
          </cell>
        </row>
        <row r="22">
          <cell r="F22" t="str">
            <v>iPhone X</v>
          </cell>
          <cell r="G22" t="str">
            <v>A1865</v>
          </cell>
          <cell r="H22">
            <v>2017</v>
          </cell>
        </row>
        <row r="23">
          <cell r="F23" t="str">
            <v>iPhone XR</v>
          </cell>
          <cell r="G23" t="str">
            <v>A1984</v>
          </cell>
          <cell r="H23">
            <v>2018</v>
          </cell>
        </row>
        <row r="24">
          <cell r="F24" t="str">
            <v>iPhone XS</v>
          </cell>
          <cell r="G24" t="str">
            <v>A1920</v>
          </cell>
          <cell r="H24">
            <v>2018</v>
          </cell>
        </row>
        <row r="25">
          <cell r="F25" t="str">
            <v>iPhone XS Max</v>
          </cell>
          <cell r="G25" t="str">
            <v>A1921</v>
          </cell>
          <cell r="H25">
            <v>2018</v>
          </cell>
        </row>
        <row r="26">
          <cell r="F26" t="str">
            <v>iPhone 11</v>
          </cell>
          <cell r="G26" t="str">
            <v>A2111</v>
          </cell>
          <cell r="H26">
            <v>2019</v>
          </cell>
        </row>
        <row r="27">
          <cell r="F27" t="str">
            <v>iPhone 11 Pro</v>
          </cell>
          <cell r="G27" t="str">
            <v>A2160</v>
          </cell>
          <cell r="H27">
            <v>2019</v>
          </cell>
        </row>
        <row r="28">
          <cell r="F28" t="str">
            <v>iPhone 11 Pro Max</v>
          </cell>
          <cell r="G28" t="str">
            <v>A2161</v>
          </cell>
          <cell r="H28">
            <v>2019</v>
          </cell>
        </row>
        <row r="29">
          <cell r="F29" t="str">
            <v>iPhone SE (2nd Generation)</v>
          </cell>
          <cell r="G29" t="str">
            <v>A2275</v>
          </cell>
          <cell r="H29">
            <v>2020</v>
          </cell>
        </row>
        <row r="30">
          <cell r="F30" t="str">
            <v>iPhone 12 mini</v>
          </cell>
          <cell r="G30" t="str">
            <v>A2176</v>
          </cell>
          <cell r="H30">
            <v>2020</v>
          </cell>
        </row>
        <row r="31">
          <cell r="F31" t="str">
            <v>iPhone 12</v>
          </cell>
          <cell r="G31" t="str">
            <v>A2172</v>
          </cell>
          <cell r="H31">
            <v>2020</v>
          </cell>
        </row>
        <row r="32">
          <cell r="F32" t="str">
            <v>iPhone 12 Pro</v>
          </cell>
          <cell r="G32" t="str">
            <v>A2341</v>
          </cell>
          <cell r="H32">
            <v>2020</v>
          </cell>
        </row>
        <row r="33">
          <cell r="F33" t="str">
            <v>iPhone 12 Pro Max</v>
          </cell>
          <cell r="G33" t="str">
            <v>A2342</v>
          </cell>
          <cell r="H33">
            <v>2020</v>
          </cell>
        </row>
        <row r="34">
          <cell r="F34" t="str">
            <v>iPhone 13 mini</v>
          </cell>
          <cell r="G34" t="str">
            <v>A2481</v>
          </cell>
          <cell r="H34">
            <v>2021</v>
          </cell>
        </row>
        <row r="35">
          <cell r="F35" t="str">
            <v>iPhone 13</v>
          </cell>
          <cell r="G35" t="str">
            <v>A2482</v>
          </cell>
          <cell r="H35">
            <v>2021</v>
          </cell>
        </row>
        <row r="36">
          <cell r="F36" t="str">
            <v>iPhone 13 Pro</v>
          </cell>
          <cell r="G36" t="str">
            <v>A2483</v>
          </cell>
          <cell r="H36">
            <v>2021</v>
          </cell>
        </row>
        <row r="37">
          <cell r="F37" t="str">
            <v>iPhone 13 Pro Max</v>
          </cell>
          <cell r="G37" t="str">
            <v>A2484</v>
          </cell>
          <cell r="H37">
            <v>2021</v>
          </cell>
        </row>
        <row r="38">
          <cell r="F38" t="str">
            <v>iPhone SE (3rd Generation)</v>
          </cell>
          <cell r="G38" t="str">
            <v>A2595</v>
          </cell>
          <cell r="H38">
            <v>2022</v>
          </cell>
        </row>
        <row r="39">
          <cell r="F39" t="str">
            <v>iPhone 14</v>
          </cell>
          <cell r="G39" t="str">
            <v>A2649</v>
          </cell>
          <cell r="H39">
            <v>2022</v>
          </cell>
        </row>
        <row r="40">
          <cell r="F40" t="str">
            <v>iPhone 14 Plus</v>
          </cell>
          <cell r="G40" t="str">
            <v>A2632</v>
          </cell>
          <cell r="H40">
            <v>2022</v>
          </cell>
        </row>
        <row r="41">
          <cell r="F41" t="str">
            <v>iPhone 14 Pro</v>
          </cell>
          <cell r="G41" t="str">
            <v>A2650</v>
          </cell>
          <cell r="H41">
            <v>2022</v>
          </cell>
        </row>
        <row r="42">
          <cell r="F42" t="str">
            <v>iPhone 14 Pro Max</v>
          </cell>
          <cell r="G42" t="str">
            <v>A2651</v>
          </cell>
          <cell r="H42">
            <v>2022</v>
          </cell>
        </row>
        <row r="43">
          <cell r="F43" t="str">
            <v>iPhone 15</v>
          </cell>
          <cell r="G43" t="str">
            <v>A2846</v>
          </cell>
          <cell r="H43">
            <v>2023</v>
          </cell>
        </row>
        <row r="44">
          <cell r="F44" t="str">
            <v>iPhone 15 Plus</v>
          </cell>
          <cell r="G44" t="str">
            <v>A2847</v>
          </cell>
          <cell r="H44">
            <v>2023</v>
          </cell>
        </row>
        <row r="45">
          <cell r="F45" t="str">
            <v>iPhone 15 Pro</v>
          </cell>
          <cell r="G45" t="str">
            <v>A2848</v>
          </cell>
          <cell r="H45">
            <v>2023</v>
          </cell>
        </row>
        <row r="46">
          <cell r="F46" t="str">
            <v>iPhone 15 Pro Max</v>
          </cell>
          <cell r="G46" t="str">
            <v>A2849</v>
          </cell>
          <cell r="H46">
            <v>2023</v>
          </cell>
        </row>
        <row r="47">
          <cell r="F47" t="str">
            <v>iPhone 16</v>
          </cell>
          <cell r="G47" t="str">
            <v>A3287</v>
          </cell>
          <cell r="H47">
            <v>2024</v>
          </cell>
        </row>
        <row r="48">
          <cell r="F48" t="str">
            <v>iPhone 16 Plus</v>
          </cell>
          <cell r="G48" t="str">
            <v>A3288</v>
          </cell>
          <cell r="H48">
            <v>2024</v>
          </cell>
        </row>
        <row r="49">
          <cell r="F49" t="str">
            <v>iPhone 16 Pro</v>
          </cell>
          <cell r="G49" t="str">
            <v>A3293</v>
          </cell>
          <cell r="H49">
            <v>2024</v>
          </cell>
        </row>
        <row r="50">
          <cell r="F50" t="str">
            <v>iPhone 16 Pro Max</v>
          </cell>
          <cell r="G50" t="str">
            <v>A3295</v>
          </cell>
          <cell r="H50">
            <v>2024</v>
          </cell>
        </row>
        <row r="51">
          <cell r="F51" t="str">
            <v>iPhone 16e</v>
          </cell>
          <cell r="G51" t="str">
            <v>A3409</v>
          </cell>
          <cell r="H51">
            <v>2025</v>
          </cell>
        </row>
        <row r="52">
          <cell r="F52" t="str">
            <v>iPad (1st Generation)</v>
          </cell>
          <cell r="G52" t="str">
            <v>A1219</v>
          </cell>
          <cell r="H52">
            <v>2010</v>
          </cell>
        </row>
        <row r="53">
          <cell r="F53" t="str">
            <v>iPad 2</v>
          </cell>
          <cell r="G53" t="str">
            <v>A1395</v>
          </cell>
          <cell r="H53">
            <v>2011</v>
          </cell>
        </row>
        <row r="54">
          <cell r="F54" t="str">
            <v>iPad (3rd Generation)</v>
          </cell>
          <cell r="G54" t="str">
            <v>A1416</v>
          </cell>
          <cell r="H54">
            <v>2012</v>
          </cell>
        </row>
        <row r="55">
          <cell r="F55" t="str">
            <v>iPad (4th Generation)</v>
          </cell>
          <cell r="G55" t="str">
            <v>A1458</v>
          </cell>
          <cell r="H55">
            <v>2012</v>
          </cell>
        </row>
        <row r="56">
          <cell r="F56" t="str">
            <v>iPad (5th Generation)</v>
          </cell>
          <cell r="G56" t="str">
            <v>A1822</v>
          </cell>
          <cell r="H56">
            <v>2017</v>
          </cell>
        </row>
        <row r="57">
          <cell r="F57" t="str">
            <v>iPad (6th Generation)</v>
          </cell>
          <cell r="G57" t="str">
            <v>A1893</v>
          </cell>
          <cell r="H57">
            <v>2018</v>
          </cell>
        </row>
        <row r="58">
          <cell r="F58" t="str">
            <v>iPad (7th Generation)</v>
          </cell>
          <cell r="G58" t="str">
            <v>A2197</v>
          </cell>
          <cell r="H58">
            <v>2019</v>
          </cell>
        </row>
        <row r="59">
          <cell r="F59" t="str">
            <v>iPad (8th Generation)</v>
          </cell>
          <cell r="G59" t="str">
            <v>A2270</v>
          </cell>
          <cell r="H59">
            <v>2020</v>
          </cell>
        </row>
        <row r="60">
          <cell r="F60" t="str">
            <v>iPad (9th Generation)</v>
          </cell>
          <cell r="G60" t="str">
            <v>A2602</v>
          </cell>
          <cell r="H60">
            <v>2021</v>
          </cell>
        </row>
        <row r="61">
          <cell r="F61" t="str">
            <v>iPad (10th Generation)</v>
          </cell>
          <cell r="G61" t="str">
            <v>A2696</v>
          </cell>
          <cell r="H61">
            <v>2022</v>
          </cell>
        </row>
        <row r="62">
          <cell r="F62" t="str">
            <v>iPad mini</v>
          </cell>
          <cell r="G62" t="str">
            <v>A1432</v>
          </cell>
          <cell r="H62">
            <v>2012</v>
          </cell>
        </row>
        <row r="63">
          <cell r="F63" t="str">
            <v>iPad mini 2</v>
          </cell>
          <cell r="G63" t="str">
            <v>A1489</v>
          </cell>
          <cell r="H63">
            <v>2013</v>
          </cell>
        </row>
        <row r="64">
          <cell r="F64" t="str">
            <v>iPad mini 3</v>
          </cell>
          <cell r="G64" t="str">
            <v>A1599</v>
          </cell>
          <cell r="H64">
            <v>2014</v>
          </cell>
        </row>
        <row r="65">
          <cell r="F65" t="str">
            <v>iPad mini 4</v>
          </cell>
          <cell r="G65" t="str">
            <v>A1538</v>
          </cell>
          <cell r="H65">
            <v>2015</v>
          </cell>
        </row>
        <row r="66">
          <cell r="F66" t="str">
            <v>iPad mini (5th Generation)</v>
          </cell>
          <cell r="G66" t="str">
            <v>A2133</v>
          </cell>
          <cell r="H66">
            <v>2019</v>
          </cell>
        </row>
        <row r="67">
          <cell r="F67" t="str">
            <v>iPad mini (6th Generation)</v>
          </cell>
          <cell r="G67" t="str">
            <v>A2567</v>
          </cell>
          <cell r="H67">
            <v>2021</v>
          </cell>
        </row>
        <row r="68">
          <cell r="F68" t="str">
            <v>iPad Air</v>
          </cell>
          <cell r="G68" t="str">
            <v>A1474</v>
          </cell>
          <cell r="H68">
            <v>2013</v>
          </cell>
        </row>
        <row r="69">
          <cell r="F69" t="str">
            <v>iPad Air 2</v>
          </cell>
          <cell r="G69" t="str">
            <v>A1566</v>
          </cell>
          <cell r="H69">
            <v>2014</v>
          </cell>
        </row>
        <row r="70">
          <cell r="F70" t="str">
            <v>iPad Air (3rd Generation)</v>
          </cell>
          <cell r="G70" t="str">
            <v>A2152</v>
          </cell>
          <cell r="H70">
            <v>2019</v>
          </cell>
        </row>
        <row r="71">
          <cell r="F71" t="str">
            <v>iPad Air (4th Generation)</v>
          </cell>
          <cell r="G71" t="str">
            <v>A2316</v>
          </cell>
          <cell r="H71">
            <v>2020</v>
          </cell>
        </row>
        <row r="72">
          <cell r="F72" t="str">
            <v>iPad Air (5th Generation)</v>
          </cell>
          <cell r="G72" t="str">
            <v>A2588</v>
          </cell>
          <cell r="H72">
            <v>2022</v>
          </cell>
        </row>
        <row r="73">
          <cell r="F73" t="str">
            <v>iPad Air 11-inch (M2)</v>
          </cell>
          <cell r="G73" t="str">
            <v>A2902</v>
          </cell>
          <cell r="H73">
            <v>2024</v>
          </cell>
        </row>
        <row r="74">
          <cell r="F74" t="str">
            <v>iPad Air 13-inch (M2)</v>
          </cell>
          <cell r="G74" t="str">
            <v>A2898</v>
          </cell>
          <cell r="H74">
            <v>2024</v>
          </cell>
        </row>
        <row r="75">
          <cell r="F75" t="str">
            <v>iPad Pro 12.9-inch (1st Generation)</v>
          </cell>
          <cell r="G75" t="str">
            <v>A1584</v>
          </cell>
          <cell r="H75">
            <v>2015</v>
          </cell>
        </row>
        <row r="76">
          <cell r="F76" t="str">
            <v>iPad Pro 9.7-inch</v>
          </cell>
          <cell r="G76" t="str">
            <v>A1673</v>
          </cell>
          <cell r="H76">
            <v>2016</v>
          </cell>
        </row>
        <row r="77">
          <cell r="F77" t="str">
            <v>iPad Pro 10.5-inch</v>
          </cell>
          <cell r="G77" t="str">
            <v>A1701</v>
          </cell>
          <cell r="H77">
            <v>2017</v>
          </cell>
        </row>
        <row r="78">
          <cell r="F78" t="str">
            <v>iPad Pro 12.9-inch (2nd Generation)</v>
          </cell>
          <cell r="G78" t="str">
            <v>A1670</v>
          </cell>
          <cell r="H78">
            <v>2017</v>
          </cell>
        </row>
        <row r="79">
          <cell r="F79" t="str">
            <v>iPad Pro 11-inch (1st Generation)</v>
          </cell>
          <cell r="G79" t="str">
            <v>A1980</v>
          </cell>
          <cell r="H79">
            <v>2018</v>
          </cell>
        </row>
        <row r="80">
          <cell r="F80" t="str">
            <v>iPad Pro 12.9-inch (3rd Generation)</v>
          </cell>
          <cell r="G80" t="str">
            <v>A1876</v>
          </cell>
          <cell r="H80">
            <v>2018</v>
          </cell>
        </row>
        <row r="81">
          <cell r="F81" t="str">
            <v>iPad Pro 11-inch (2nd Generation)</v>
          </cell>
          <cell r="G81" t="str">
            <v>A2228</v>
          </cell>
          <cell r="H81">
            <v>2020</v>
          </cell>
        </row>
        <row r="82">
          <cell r="F82" t="str">
            <v>iPad Pro 12.9-inch (4th Generation)</v>
          </cell>
          <cell r="G82" t="str">
            <v>A2229</v>
          </cell>
          <cell r="H82">
            <v>2020</v>
          </cell>
        </row>
        <row r="83">
          <cell r="F83" t="str">
            <v>iPad Pro 11-inch (3rd Generation)</v>
          </cell>
          <cell r="G83" t="str">
            <v>A2377</v>
          </cell>
          <cell r="H83">
            <v>2021</v>
          </cell>
        </row>
        <row r="84">
          <cell r="F84" t="str">
            <v>iPad Pro 12.9-inch (5th Generation)</v>
          </cell>
          <cell r="G84" t="str">
            <v>A2378</v>
          </cell>
          <cell r="H84">
            <v>2021</v>
          </cell>
        </row>
        <row r="85">
          <cell r="F85" t="str">
            <v>iPad Pro 11-inch (4th Generation)</v>
          </cell>
          <cell r="G85" t="str">
            <v>A2759</v>
          </cell>
          <cell r="H85">
            <v>2022</v>
          </cell>
        </row>
        <row r="86">
          <cell r="F86" t="str">
            <v>iPad Pro 12.9-inch (6th Generation)</v>
          </cell>
          <cell r="G86" t="str">
            <v>A2764</v>
          </cell>
          <cell r="H86">
            <v>2022</v>
          </cell>
        </row>
        <row r="87">
          <cell r="F87" t="str">
            <v>iPad Pro 11-inch (M4)</v>
          </cell>
          <cell r="G87" t="str">
            <v>A2836</v>
          </cell>
          <cell r="H87">
            <v>2024</v>
          </cell>
        </row>
        <row r="88">
          <cell r="F88" t="str">
            <v>iPad Pro 13-inch (M4)</v>
          </cell>
          <cell r="G88" t="str">
            <v>A2925</v>
          </cell>
          <cell r="H88">
            <v>2024</v>
          </cell>
        </row>
        <row r="89">
          <cell r="F89" t="str">
            <v>MacBook (Original)</v>
          </cell>
          <cell r="G89" t="str">
            <v>A1181</v>
          </cell>
          <cell r="H89">
            <v>2006</v>
          </cell>
        </row>
        <row r="90">
          <cell r="F90" t="str">
            <v>MacBook (Late 2008 Aluminum)</v>
          </cell>
          <cell r="G90" t="str">
            <v>A1278</v>
          </cell>
          <cell r="H90">
            <v>2008</v>
          </cell>
        </row>
        <row r="91">
          <cell r="F91" t="str">
            <v>MacBook (Retina 12-inch)</v>
          </cell>
          <cell r="G91" t="str">
            <v>A1534</v>
          </cell>
          <cell r="H91">
            <v>2015</v>
          </cell>
        </row>
        <row r="92">
          <cell r="F92" t="str">
            <v>MacBook Air (Original)</v>
          </cell>
          <cell r="G92" t="str">
            <v>A1237</v>
          </cell>
          <cell r="H92">
            <v>2008</v>
          </cell>
        </row>
        <row r="93">
          <cell r="F93" t="str">
            <v>MacBook Air 11-inch</v>
          </cell>
          <cell r="G93" t="str">
            <v>A1370</v>
          </cell>
          <cell r="H93">
            <v>2010</v>
          </cell>
        </row>
        <row r="94">
          <cell r="F94" t="str">
            <v>MacBook Air 13-inch (Intel)</v>
          </cell>
          <cell r="G94" t="str">
            <v>A1369</v>
          </cell>
          <cell r="H94">
            <v>2010</v>
          </cell>
        </row>
        <row r="95">
          <cell r="F95" t="str">
            <v>MacBook Air (Retina)</v>
          </cell>
          <cell r="G95" t="str">
            <v>A1932</v>
          </cell>
          <cell r="H95">
            <v>2018</v>
          </cell>
        </row>
        <row r="96">
          <cell r="F96" t="str">
            <v>MacBook Air (M1)</v>
          </cell>
          <cell r="G96" t="str">
            <v>A2337</v>
          </cell>
          <cell r="H96">
            <v>2020</v>
          </cell>
        </row>
        <row r="97">
          <cell r="F97" t="str">
            <v>MacBook Air (M2)</v>
          </cell>
          <cell r="G97" t="str">
            <v>A2681</v>
          </cell>
          <cell r="H97">
            <v>2022</v>
          </cell>
        </row>
        <row r="98">
          <cell r="F98" t="str">
            <v>MacBook Air 15-inch (M2)</v>
          </cell>
          <cell r="G98" t="str">
            <v>A2941</v>
          </cell>
          <cell r="H98">
            <v>2023</v>
          </cell>
        </row>
        <row r="99">
          <cell r="F99" t="str">
            <v>MacBook Air (M3)</v>
          </cell>
          <cell r="G99" t="str">
            <v>A3113</v>
          </cell>
          <cell r="H99">
            <v>2024</v>
          </cell>
        </row>
        <row r="100">
          <cell r="F100" t="str">
            <v>MacBook Air 15-inch (M3)</v>
          </cell>
          <cell r="G100" t="str">
            <v>A3114</v>
          </cell>
          <cell r="H100">
            <v>2024</v>
          </cell>
        </row>
        <row r="101">
          <cell r="F101" t="str">
            <v>MacBook Pro 13-inch (Intel)</v>
          </cell>
          <cell r="G101" t="str">
            <v>A1278</v>
          </cell>
          <cell r="H101">
            <v>2009</v>
          </cell>
        </row>
        <row r="102">
          <cell r="F102" t="str">
            <v>MacBook Pro Retina 13-inch</v>
          </cell>
          <cell r="G102" t="str">
            <v>A1425</v>
          </cell>
          <cell r="H102">
            <v>2012</v>
          </cell>
        </row>
        <row r="103">
          <cell r="F103" t="str">
            <v>MacBook Pro 14-inch (M1 Pro/Max)</v>
          </cell>
          <cell r="G103" t="str">
            <v>A2442</v>
          </cell>
          <cell r="H103">
            <v>2021</v>
          </cell>
        </row>
        <row r="104">
          <cell r="F104" t="str">
            <v>MacBook Pro 16-inch (M1 Pro/Max)</v>
          </cell>
          <cell r="G104" t="str">
            <v>A2485</v>
          </cell>
          <cell r="H104">
            <v>2021</v>
          </cell>
        </row>
        <row r="105">
          <cell r="F105" t="str">
            <v>MacBook Pro 14-inch (M3 Family)</v>
          </cell>
          <cell r="G105" t="str">
            <v>A2992</v>
          </cell>
          <cell r="H105">
            <v>2023</v>
          </cell>
        </row>
        <row r="106">
          <cell r="F106" t="str">
            <v>MacBook Pro 16-inch (M3 Family)</v>
          </cell>
          <cell r="G106" t="str">
            <v>A2991</v>
          </cell>
          <cell r="H106">
            <v>2023</v>
          </cell>
        </row>
        <row r="107">
          <cell r="F107" t="str">
            <v>iMac G3</v>
          </cell>
          <cell r="G107" t="str">
            <v>M4984</v>
          </cell>
          <cell r="H107">
            <v>1998</v>
          </cell>
        </row>
        <row r="108">
          <cell r="F108" t="str">
            <v>iMac G4</v>
          </cell>
          <cell r="G108" t="str">
            <v>M8893</v>
          </cell>
          <cell r="H108">
            <v>2002</v>
          </cell>
        </row>
        <row r="109">
          <cell r="F109" t="str">
            <v>iMac G5</v>
          </cell>
          <cell r="G109" t="str">
            <v>A1058</v>
          </cell>
          <cell r="H109">
            <v>2004</v>
          </cell>
        </row>
        <row r="110">
          <cell r="F110" t="str">
            <v>iMac Intel</v>
          </cell>
          <cell r="G110" t="str">
            <v>A1173</v>
          </cell>
          <cell r="H110">
            <v>2006</v>
          </cell>
        </row>
        <row r="111">
          <cell r="F111" t="str">
            <v>iMac 21.5-inch</v>
          </cell>
          <cell r="G111" t="str">
            <v>A1311</v>
          </cell>
          <cell r="H111">
            <v>2009</v>
          </cell>
        </row>
        <row r="112">
          <cell r="F112" t="str">
            <v>iMac 27-inch</v>
          </cell>
          <cell r="G112" t="str">
            <v>A1312</v>
          </cell>
          <cell r="H112">
            <v>2009</v>
          </cell>
        </row>
        <row r="113">
          <cell r="F113" t="str">
            <v>iMac Retina 4K</v>
          </cell>
          <cell r="G113" t="str">
            <v>A1418</v>
          </cell>
          <cell r="H113">
            <v>2015</v>
          </cell>
        </row>
        <row r="114">
          <cell r="F114" t="str">
            <v>iMac Retina 5K</v>
          </cell>
          <cell r="G114" t="str">
            <v>A1419</v>
          </cell>
          <cell r="H114">
            <v>2015</v>
          </cell>
        </row>
        <row r="115">
          <cell r="F115" t="str">
            <v>iMac 24-inch (M1)</v>
          </cell>
          <cell r="G115" t="str">
            <v>A2438</v>
          </cell>
          <cell r="H115">
            <v>2021</v>
          </cell>
        </row>
        <row r="116">
          <cell r="F116" t="str">
            <v>iMac Pro</v>
          </cell>
          <cell r="G116" t="str">
            <v>A1862</v>
          </cell>
          <cell r="H116">
            <v>2017</v>
          </cell>
        </row>
        <row r="117">
          <cell r="F117" t="str">
            <v>Mac mini (PowerPC)</v>
          </cell>
          <cell r="G117" t="str">
            <v>A1103</v>
          </cell>
          <cell r="H117">
            <v>2005</v>
          </cell>
        </row>
        <row r="118">
          <cell r="F118" t="str">
            <v>Mac mini (Intel)</v>
          </cell>
          <cell r="G118" t="str">
            <v>A1176</v>
          </cell>
          <cell r="H118">
            <v>2006</v>
          </cell>
        </row>
        <row r="119">
          <cell r="F119" t="str">
            <v>Mac mini (M1)</v>
          </cell>
          <cell r="G119" t="str">
            <v>A2348</v>
          </cell>
          <cell r="H119">
            <v>2020</v>
          </cell>
        </row>
        <row r="120">
          <cell r="F120" t="str">
            <v>Mac mini (M2)</v>
          </cell>
          <cell r="G120" t="str">
            <v>A2686</v>
          </cell>
          <cell r="H120">
            <v>2023</v>
          </cell>
        </row>
        <row r="121">
          <cell r="F121" t="str">
            <v>Mac Studio (M1 Max)</v>
          </cell>
          <cell r="G121" t="str">
            <v>A2615</v>
          </cell>
          <cell r="H121">
            <v>2022</v>
          </cell>
        </row>
        <row r="122">
          <cell r="F122" t="str">
            <v>Mac Studio (M1 Ultra)</v>
          </cell>
          <cell r="G122" t="str">
            <v>A2615</v>
          </cell>
          <cell r="H122">
            <v>2022</v>
          </cell>
        </row>
        <row r="123">
          <cell r="F123" t="str">
            <v>Mac Studio (M2 Max)</v>
          </cell>
          <cell r="G123" t="str">
            <v>A2901</v>
          </cell>
          <cell r="H123">
            <v>2023</v>
          </cell>
        </row>
        <row r="124">
          <cell r="F124" t="str">
            <v>Mac Studio (M2 Ultra)</v>
          </cell>
          <cell r="G124" t="str">
            <v>A2901</v>
          </cell>
          <cell r="H124">
            <v>2023</v>
          </cell>
        </row>
        <row r="125">
          <cell r="F125" t="str">
            <v>Mac Pro (Intel Tower)</v>
          </cell>
          <cell r="G125" t="str">
            <v>A1481</v>
          </cell>
          <cell r="H125">
            <v>2013</v>
          </cell>
        </row>
        <row r="126">
          <cell r="F126" t="str">
            <v>Mac Pro (2019)</v>
          </cell>
          <cell r="G126" t="str">
            <v>A1991</v>
          </cell>
          <cell r="H126">
            <v>2019</v>
          </cell>
        </row>
        <row r="127">
          <cell r="F127" t="str">
            <v>Mac Pro (M2 Ultra)</v>
          </cell>
          <cell r="G127" t="str">
            <v>A2786</v>
          </cell>
          <cell r="H127">
            <v>2023</v>
          </cell>
        </row>
        <row r="128">
          <cell r="F128" t="str">
            <v>Apple Watch (1st Generation)</v>
          </cell>
          <cell r="G128" t="str">
            <v>A1553</v>
          </cell>
          <cell r="H128">
            <v>2015</v>
          </cell>
        </row>
        <row r="129">
          <cell r="F129" t="str">
            <v>Apple Watch Series 1</v>
          </cell>
          <cell r="G129" t="str">
            <v>A1802</v>
          </cell>
          <cell r="H129">
            <v>2016</v>
          </cell>
        </row>
        <row r="130">
          <cell r="F130" t="str">
            <v>Apple Watch Series 2</v>
          </cell>
          <cell r="G130" t="str">
            <v>A1757</v>
          </cell>
          <cell r="H130">
            <v>2016</v>
          </cell>
        </row>
        <row r="131">
          <cell r="F131" t="str">
            <v>Apple Watch Series 3</v>
          </cell>
          <cell r="G131" t="str">
            <v>A1858</v>
          </cell>
          <cell r="H131">
            <v>2017</v>
          </cell>
        </row>
        <row r="132">
          <cell r="F132" t="str">
            <v>Apple Watch Series 4</v>
          </cell>
          <cell r="G132" t="str">
            <v>A1977</v>
          </cell>
          <cell r="H132">
            <v>2018</v>
          </cell>
        </row>
        <row r="133">
          <cell r="F133" t="str">
            <v>Apple Watch Series 5</v>
          </cell>
          <cell r="G133" t="str">
            <v>A2092</v>
          </cell>
          <cell r="H133">
            <v>2019</v>
          </cell>
        </row>
        <row r="134">
          <cell r="F134" t="str">
            <v>Apple Watch Series 6</v>
          </cell>
          <cell r="G134" t="str">
            <v>A2291</v>
          </cell>
          <cell r="H134">
            <v>2020</v>
          </cell>
        </row>
        <row r="135">
          <cell r="F135" t="str">
            <v>Apple Watch SE (1st Generation)</v>
          </cell>
          <cell r="G135" t="str">
            <v>A2351</v>
          </cell>
          <cell r="H135">
            <v>2020</v>
          </cell>
        </row>
        <row r="136">
          <cell r="F136" t="str">
            <v>Apple Watch Series 7</v>
          </cell>
          <cell r="G136" t="str">
            <v>A2473</v>
          </cell>
          <cell r="H136">
            <v>2021</v>
          </cell>
        </row>
        <row r="137">
          <cell r="F137" t="str">
            <v>Apple Watch Series 8</v>
          </cell>
          <cell r="G137" t="str">
            <v>A2770</v>
          </cell>
          <cell r="H137">
            <v>2022</v>
          </cell>
        </row>
        <row r="138">
          <cell r="F138" t="str">
            <v>Apple Watch Ultra</v>
          </cell>
          <cell r="G138" t="str">
            <v>A2622</v>
          </cell>
          <cell r="H138">
            <v>2022</v>
          </cell>
        </row>
        <row r="139">
          <cell r="F139" t="str">
            <v>Apple Watch SE (2nd Generation)</v>
          </cell>
          <cell r="G139" t="str">
            <v>A2722</v>
          </cell>
          <cell r="H139">
            <v>2022</v>
          </cell>
        </row>
        <row r="140">
          <cell r="F140" t="str">
            <v>Apple Watch Series 9</v>
          </cell>
          <cell r="G140" t="str">
            <v>A2982</v>
          </cell>
          <cell r="H140">
            <v>2023</v>
          </cell>
        </row>
        <row r="141">
          <cell r="F141" t="str">
            <v>Apple Watch Ultra 2</v>
          </cell>
          <cell r="G141" t="str">
            <v>A2986</v>
          </cell>
          <cell r="H141">
            <v>2023</v>
          </cell>
        </row>
        <row r="142">
          <cell r="F142" t="str">
            <v>Apple Watch Series 10</v>
          </cell>
          <cell r="G142" t="str">
            <v>A2997</v>
          </cell>
          <cell r="H142">
            <v>2024</v>
          </cell>
        </row>
        <row r="143">
          <cell r="F143" t="str">
            <v>Apple TV (1st Generation)</v>
          </cell>
          <cell r="G143" t="str">
            <v>A1218</v>
          </cell>
          <cell r="H143">
            <v>2007</v>
          </cell>
        </row>
        <row r="144">
          <cell r="F144" t="str">
            <v>Apple TV (2nd Generation)</v>
          </cell>
          <cell r="G144" t="str">
            <v>A1378</v>
          </cell>
          <cell r="H144">
            <v>2010</v>
          </cell>
        </row>
        <row r="145">
          <cell r="F145" t="str">
            <v>Apple TV (3rd Generation)</v>
          </cell>
          <cell r="G145" t="str">
            <v>A1427</v>
          </cell>
          <cell r="H145">
            <v>2012</v>
          </cell>
        </row>
        <row r="146">
          <cell r="F146" t="str">
            <v>Apple TV HD</v>
          </cell>
          <cell r="G146" t="str">
            <v>A1625</v>
          </cell>
          <cell r="H146">
            <v>2015</v>
          </cell>
        </row>
        <row r="147">
          <cell r="F147" t="str">
            <v>Apple TV 4K (1st Gen)</v>
          </cell>
          <cell r="G147" t="str">
            <v>A1842</v>
          </cell>
          <cell r="H147">
            <v>2017</v>
          </cell>
        </row>
        <row r="148">
          <cell r="F148" t="str">
            <v>Apple TV 4K (2nd Gen)</v>
          </cell>
          <cell r="G148" t="str">
            <v>A2169</v>
          </cell>
          <cell r="H148">
            <v>2021</v>
          </cell>
        </row>
        <row r="149">
          <cell r="F149" t="str">
            <v>Apple TV 4K (3rd Gen)</v>
          </cell>
          <cell r="G149" t="str">
            <v>A2843</v>
          </cell>
          <cell r="H149">
            <v>2022</v>
          </cell>
        </row>
        <row r="150">
          <cell r="F150" t="str">
            <v>Apple Vision Pro</v>
          </cell>
          <cell r="G150" t="str">
            <v>A2117</v>
          </cell>
          <cell r="H150">
            <v>2024</v>
          </cell>
        </row>
        <row r="151">
          <cell r="F151" t="str">
            <v>Galaxy S</v>
          </cell>
          <cell r="G151" t="str">
            <v>GT-I9000</v>
          </cell>
          <cell r="H151">
            <v>2010</v>
          </cell>
        </row>
        <row r="152">
          <cell r="F152" t="str">
            <v>Galaxy S II</v>
          </cell>
          <cell r="G152" t="str">
            <v>GT-I9100</v>
          </cell>
          <cell r="H152">
            <v>2011</v>
          </cell>
        </row>
        <row r="153">
          <cell r="F153" t="str">
            <v>Galaxy S III</v>
          </cell>
          <cell r="G153" t="str">
            <v>GT-I9300</v>
          </cell>
          <cell r="H153">
            <v>2012</v>
          </cell>
        </row>
        <row r="154">
          <cell r="F154" t="str">
            <v>Galaxy S4</v>
          </cell>
          <cell r="G154" t="str">
            <v>GT-I9505</v>
          </cell>
          <cell r="H154">
            <v>2013</v>
          </cell>
        </row>
        <row r="155">
          <cell r="F155" t="str">
            <v>Galaxy S5</v>
          </cell>
          <cell r="G155" t="str">
            <v>SM-G900</v>
          </cell>
          <cell r="H155">
            <v>2014</v>
          </cell>
        </row>
        <row r="156">
          <cell r="F156" t="str">
            <v>Galaxy S6</v>
          </cell>
          <cell r="G156" t="str">
            <v>SM-G920</v>
          </cell>
          <cell r="H156">
            <v>2015</v>
          </cell>
        </row>
        <row r="157">
          <cell r="F157" t="str">
            <v>Galaxy S6 edge</v>
          </cell>
          <cell r="G157" t="str">
            <v>SM-G925</v>
          </cell>
          <cell r="H157">
            <v>2015</v>
          </cell>
        </row>
        <row r="158">
          <cell r="F158" t="str">
            <v>Galaxy S6 edge+</v>
          </cell>
          <cell r="G158" t="str">
            <v>SM-G928</v>
          </cell>
          <cell r="H158">
            <v>2015</v>
          </cell>
        </row>
        <row r="159">
          <cell r="F159" t="str">
            <v>Galaxy S6 Active</v>
          </cell>
          <cell r="G159" t="str">
            <v>SM-G890</v>
          </cell>
          <cell r="H159">
            <v>2015</v>
          </cell>
        </row>
        <row r="160">
          <cell r="F160" t="str">
            <v>Galaxy S7</v>
          </cell>
          <cell r="G160" t="str">
            <v>SM-G930</v>
          </cell>
          <cell r="H160">
            <v>2016</v>
          </cell>
        </row>
        <row r="161">
          <cell r="F161" t="str">
            <v>Galaxy S7 edge</v>
          </cell>
          <cell r="G161" t="str">
            <v>SM-G935</v>
          </cell>
          <cell r="H161">
            <v>2016</v>
          </cell>
        </row>
        <row r="162">
          <cell r="F162" t="str">
            <v>Galaxy S8</v>
          </cell>
          <cell r="G162" t="str">
            <v>SM-G950</v>
          </cell>
          <cell r="H162">
            <v>2017</v>
          </cell>
        </row>
        <row r="163">
          <cell r="F163" t="str">
            <v>Galaxy S8+</v>
          </cell>
          <cell r="G163" t="str">
            <v>SM-G955</v>
          </cell>
          <cell r="H163">
            <v>2017</v>
          </cell>
        </row>
        <row r="164">
          <cell r="F164" t="str">
            <v>Galaxy S9</v>
          </cell>
          <cell r="G164" t="str">
            <v>SM-G960</v>
          </cell>
          <cell r="H164">
            <v>2018</v>
          </cell>
        </row>
        <row r="165">
          <cell r="F165" t="str">
            <v>Galaxy S9+</v>
          </cell>
          <cell r="G165" t="str">
            <v>SM-G965</v>
          </cell>
          <cell r="H165">
            <v>2018</v>
          </cell>
        </row>
        <row r="166">
          <cell r="F166" t="str">
            <v>Galaxy S10e</v>
          </cell>
          <cell r="G166" t="str">
            <v>SM-G970</v>
          </cell>
          <cell r="H166">
            <v>2019</v>
          </cell>
        </row>
        <row r="167">
          <cell r="F167" t="str">
            <v>Galaxy S10</v>
          </cell>
          <cell r="G167" t="str">
            <v>SM-G973</v>
          </cell>
          <cell r="H167">
            <v>2019</v>
          </cell>
        </row>
        <row r="168">
          <cell r="F168" t="str">
            <v>Galaxy S10+</v>
          </cell>
          <cell r="G168" t="str">
            <v>SM-G975</v>
          </cell>
          <cell r="H168">
            <v>2019</v>
          </cell>
        </row>
        <row r="169">
          <cell r="F169" t="str">
            <v>Galaxy S10 5G</v>
          </cell>
          <cell r="G169" t="str">
            <v>SM-G977</v>
          </cell>
          <cell r="H169">
            <v>2019</v>
          </cell>
        </row>
        <row r="170">
          <cell r="F170" t="str">
            <v>Galaxy S20</v>
          </cell>
          <cell r="G170" t="str">
            <v>SM-G981</v>
          </cell>
          <cell r="H170">
            <v>2020</v>
          </cell>
        </row>
        <row r="171">
          <cell r="F171" t="str">
            <v>Galaxy S20+</v>
          </cell>
          <cell r="G171" t="str">
            <v>SM-G986</v>
          </cell>
          <cell r="H171">
            <v>2020</v>
          </cell>
        </row>
        <row r="172">
          <cell r="F172" t="str">
            <v>Galaxy S20 Ultra</v>
          </cell>
          <cell r="G172" t="str">
            <v>SM-G988</v>
          </cell>
          <cell r="H172">
            <v>2020</v>
          </cell>
        </row>
        <row r="173">
          <cell r="F173" t="str">
            <v>Galaxy S20 FE</v>
          </cell>
          <cell r="G173" t="str">
            <v>SM-G781</v>
          </cell>
          <cell r="H173">
            <v>2020</v>
          </cell>
        </row>
        <row r="174">
          <cell r="F174" t="str">
            <v>Galaxy S21</v>
          </cell>
          <cell r="G174" t="str">
            <v>SM-G991</v>
          </cell>
          <cell r="H174">
            <v>2021</v>
          </cell>
        </row>
        <row r="175">
          <cell r="F175" t="str">
            <v>Galaxy S21+</v>
          </cell>
          <cell r="G175" t="str">
            <v>SM-G996</v>
          </cell>
          <cell r="H175">
            <v>2021</v>
          </cell>
        </row>
        <row r="176">
          <cell r="F176" t="str">
            <v>Galaxy S21 Ultra</v>
          </cell>
          <cell r="G176" t="str">
            <v>SM-G998</v>
          </cell>
          <cell r="H176">
            <v>2021</v>
          </cell>
        </row>
        <row r="177">
          <cell r="F177" t="str">
            <v>Galaxy S21 FE</v>
          </cell>
          <cell r="G177" t="str">
            <v>SM-G990</v>
          </cell>
          <cell r="H177">
            <v>2022</v>
          </cell>
        </row>
        <row r="178">
          <cell r="F178" t="str">
            <v>Galaxy S22</v>
          </cell>
          <cell r="G178" t="str">
            <v>SM-S901</v>
          </cell>
          <cell r="H178">
            <v>2022</v>
          </cell>
        </row>
        <row r="179">
          <cell r="F179" t="str">
            <v>Galaxy S22+</v>
          </cell>
          <cell r="G179" t="str">
            <v>SM-S906</v>
          </cell>
          <cell r="H179">
            <v>2022</v>
          </cell>
        </row>
        <row r="180">
          <cell r="F180" t="str">
            <v>Galaxy S22 Ultra</v>
          </cell>
          <cell r="G180" t="str">
            <v>SM-S908</v>
          </cell>
          <cell r="H180">
            <v>2022</v>
          </cell>
        </row>
        <row r="181">
          <cell r="F181" t="str">
            <v>Galaxy S23</v>
          </cell>
          <cell r="G181" t="str">
            <v>SM-S911</v>
          </cell>
          <cell r="H181">
            <v>2023</v>
          </cell>
        </row>
        <row r="182">
          <cell r="F182" t="str">
            <v>Galaxy S23+</v>
          </cell>
          <cell r="G182" t="str">
            <v>SM-S916</v>
          </cell>
          <cell r="H182">
            <v>2023</v>
          </cell>
        </row>
        <row r="183">
          <cell r="F183" t="str">
            <v>Galaxy S23 Ultra</v>
          </cell>
          <cell r="G183" t="str">
            <v>SM-S918</v>
          </cell>
          <cell r="H183">
            <v>2023</v>
          </cell>
        </row>
        <row r="184">
          <cell r="F184" t="str">
            <v>Galaxy S23 FE</v>
          </cell>
          <cell r="G184" t="str">
            <v>SM-S711</v>
          </cell>
          <cell r="H184">
            <v>2023</v>
          </cell>
        </row>
        <row r="185">
          <cell r="F185" t="str">
            <v>Galaxy S24</v>
          </cell>
          <cell r="G185" t="str">
            <v>SM-S921</v>
          </cell>
          <cell r="H185">
            <v>2024</v>
          </cell>
        </row>
        <row r="186">
          <cell r="F186" t="str">
            <v>Galaxy S24+</v>
          </cell>
          <cell r="G186" t="str">
            <v>SM-S926</v>
          </cell>
          <cell r="H186">
            <v>2024</v>
          </cell>
        </row>
        <row r="187">
          <cell r="F187" t="str">
            <v>Galaxy S24 Ultra</v>
          </cell>
          <cell r="G187" t="str">
            <v>SM-S928</v>
          </cell>
          <cell r="H187">
            <v>2024</v>
          </cell>
        </row>
        <row r="188">
          <cell r="F188" t="str">
            <v>Galaxy S24 FE</v>
          </cell>
          <cell r="G188" t="str">
            <v>SM-S721</v>
          </cell>
          <cell r="H188">
            <v>2024</v>
          </cell>
        </row>
        <row r="189">
          <cell r="F189" t="str">
            <v>Galaxy S25</v>
          </cell>
          <cell r="G189" t="str">
            <v>SM-S931</v>
          </cell>
          <cell r="H189">
            <v>2025</v>
          </cell>
        </row>
        <row r="190">
          <cell r="F190" t="str">
            <v>Galaxy S25+</v>
          </cell>
          <cell r="G190" t="str">
            <v>SM-S936</v>
          </cell>
          <cell r="H190">
            <v>2025</v>
          </cell>
        </row>
        <row r="191">
          <cell r="F191" t="str">
            <v>Galaxy S25 Ultra</v>
          </cell>
          <cell r="G191" t="str">
            <v>SM-S938</v>
          </cell>
          <cell r="H191">
            <v>2025</v>
          </cell>
        </row>
        <row r="192">
          <cell r="F192" t="str">
            <v>Galaxy S25 Edge</v>
          </cell>
          <cell r="G192" t="str">
            <v>SM-S937</v>
          </cell>
          <cell r="H192">
            <v>2025</v>
          </cell>
        </row>
        <row r="193">
          <cell r="F193" t="str">
            <v>Galaxy Note</v>
          </cell>
          <cell r="G193" t="str">
            <v>GT-N7000</v>
          </cell>
          <cell r="H193">
            <v>2011</v>
          </cell>
        </row>
        <row r="194">
          <cell r="F194" t="str">
            <v>Galaxy Note II</v>
          </cell>
          <cell r="G194" t="str">
            <v>GT-N7100</v>
          </cell>
          <cell r="H194">
            <v>2012</v>
          </cell>
        </row>
        <row r="195">
          <cell r="F195" t="str">
            <v>Galaxy Note 3</v>
          </cell>
          <cell r="G195" t="str">
            <v>SM-N900</v>
          </cell>
          <cell r="H195">
            <v>2013</v>
          </cell>
        </row>
        <row r="196">
          <cell r="F196" t="str">
            <v>Galaxy Note 4</v>
          </cell>
          <cell r="G196" t="str">
            <v>SM-N910</v>
          </cell>
          <cell r="H196">
            <v>2014</v>
          </cell>
        </row>
        <row r="197">
          <cell r="F197" t="str">
            <v>Galaxy Note Edge</v>
          </cell>
          <cell r="G197" t="str">
            <v>SM-N915</v>
          </cell>
          <cell r="H197">
            <v>2014</v>
          </cell>
        </row>
        <row r="198">
          <cell r="F198" t="str">
            <v>Galaxy Note5</v>
          </cell>
          <cell r="G198" t="str">
            <v>SM-N920</v>
          </cell>
          <cell r="H198">
            <v>2015</v>
          </cell>
        </row>
        <row r="199">
          <cell r="F199" t="str">
            <v>Galaxy Note FE</v>
          </cell>
          <cell r="G199" t="str">
            <v>SM-N935</v>
          </cell>
          <cell r="H199">
            <v>2017</v>
          </cell>
        </row>
        <row r="200">
          <cell r="F200" t="str">
            <v>Galaxy Note8</v>
          </cell>
          <cell r="G200" t="str">
            <v>SM-N950</v>
          </cell>
          <cell r="H200">
            <v>2017</v>
          </cell>
        </row>
        <row r="201">
          <cell r="F201" t="str">
            <v>Galaxy Note9</v>
          </cell>
          <cell r="G201" t="str">
            <v>SM-N960</v>
          </cell>
          <cell r="H201">
            <v>2018</v>
          </cell>
        </row>
        <row r="202">
          <cell r="F202" t="str">
            <v>Galaxy Note10</v>
          </cell>
          <cell r="G202" t="str">
            <v>SM-N970</v>
          </cell>
          <cell r="H202">
            <v>2019</v>
          </cell>
        </row>
        <row r="203">
          <cell r="F203" t="str">
            <v>Galaxy Note10+</v>
          </cell>
          <cell r="G203" t="str">
            <v>SM-N975</v>
          </cell>
          <cell r="H203">
            <v>2019</v>
          </cell>
        </row>
        <row r="204">
          <cell r="F204" t="str">
            <v>Galaxy Note10+ 5G</v>
          </cell>
          <cell r="G204" t="str">
            <v>SM-N976</v>
          </cell>
          <cell r="H204">
            <v>2019</v>
          </cell>
        </row>
        <row r="205">
          <cell r="F205" t="str">
            <v>Galaxy Note20</v>
          </cell>
          <cell r="G205" t="str">
            <v>SM-N981</v>
          </cell>
          <cell r="H205">
            <v>2020</v>
          </cell>
        </row>
        <row r="206">
          <cell r="F206" t="str">
            <v>Galaxy Note20 Ultra</v>
          </cell>
          <cell r="G206" t="str">
            <v>SM-N986</v>
          </cell>
          <cell r="H206">
            <v>2020</v>
          </cell>
        </row>
        <row r="207">
          <cell r="F207" t="str">
            <v>Galaxy Fold</v>
          </cell>
          <cell r="G207" t="str">
            <v>SM-F900</v>
          </cell>
          <cell r="H207">
            <v>2019</v>
          </cell>
        </row>
        <row r="208">
          <cell r="F208" t="str">
            <v>Galaxy Z Fold2</v>
          </cell>
          <cell r="G208" t="str">
            <v>SM-F916</v>
          </cell>
          <cell r="H208">
            <v>2020</v>
          </cell>
        </row>
        <row r="209">
          <cell r="F209" t="str">
            <v>Galaxy Z Fold3</v>
          </cell>
          <cell r="G209" t="str">
            <v>SM-F926</v>
          </cell>
          <cell r="H209">
            <v>2021</v>
          </cell>
        </row>
        <row r="210">
          <cell r="F210" t="str">
            <v>Galaxy Z Fold4</v>
          </cell>
          <cell r="G210" t="str">
            <v>SM-F936</v>
          </cell>
          <cell r="H210">
            <v>2022</v>
          </cell>
        </row>
        <row r="211">
          <cell r="F211" t="str">
            <v>Galaxy Z Fold5</v>
          </cell>
          <cell r="G211" t="str">
            <v>SM-F946</v>
          </cell>
          <cell r="H211">
            <v>2023</v>
          </cell>
        </row>
        <row r="212">
          <cell r="F212" t="str">
            <v>Galaxy Z Fold6</v>
          </cell>
          <cell r="G212" t="str">
            <v>SM-F956</v>
          </cell>
          <cell r="H212">
            <v>2024</v>
          </cell>
        </row>
        <row r="213">
          <cell r="F213" t="str">
            <v>Galaxy Z Fold7</v>
          </cell>
          <cell r="G213" t="str">
            <v>SM-F966</v>
          </cell>
          <cell r="H213">
            <v>2025</v>
          </cell>
        </row>
        <row r="214">
          <cell r="F214" t="str">
            <v>Galaxy A01</v>
          </cell>
          <cell r="G214" t="str">
            <v>SM-A015</v>
          </cell>
          <cell r="H214">
            <v>2019</v>
          </cell>
        </row>
        <row r="215">
          <cell r="F215" t="str">
            <v>Galaxy A01 Core</v>
          </cell>
          <cell r="G215" t="str">
            <v>SM-A013</v>
          </cell>
          <cell r="H215">
            <v>2020</v>
          </cell>
        </row>
        <row r="216">
          <cell r="F216" t="str">
            <v>Galaxy A02</v>
          </cell>
          <cell r="G216" t="str">
            <v>SM-A022</v>
          </cell>
          <cell r="H216">
            <v>2021</v>
          </cell>
        </row>
        <row r="217">
          <cell r="F217" t="str">
            <v>Galaxy A02s</v>
          </cell>
          <cell r="G217" t="str">
            <v>SM-A025</v>
          </cell>
          <cell r="H217">
            <v>2021</v>
          </cell>
        </row>
        <row r="218">
          <cell r="F218" t="str">
            <v>Galaxy A03</v>
          </cell>
          <cell r="G218" t="str">
            <v>SM-A035</v>
          </cell>
          <cell r="H218">
            <v>2021</v>
          </cell>
        </row>
        <row r="219">
          <cell r="F219" t="str">
            <v>Galaxy A03 Core</v>
          </cell>
          <cell r="G219" t="str">
            <v>SM-A032</v>
          </cell>
          <cell r="H219">
            <v>2021</v>
          </cell>
        </row>
        <row r="220">
          <cell r="F220" t="str">
            <v>Galaxy A03s</v>
          </cell>
          <cell r="G220" t="str">
            <v>SM-A037</v>
          </cell>
          <cell r="H220">
            <v>2021</v>
          </cell>
        </row>
        <row r="221">
          <cell r="F221" t="str">
            <v>Galaxy A04</v>
          </cell>
          <cell r="G221" t="str">
            <v>SM-A045</v>
          </cell>
          <cell r="H221">
            <v>2022</v>
          </cell>
        </row>
        <row r="222">
          <cell r="F222" t="str">
            <v>Galaxy A04e</v>
          </cell>
          <cell r="G222" t="str">
            <v>SM-A042</v>
          </cell>
          <cell r="H222">
            <v>2022</v>
          </cell>
        </row>
        <row r="223">
          <cell r="F223" t="str">
            <v>Galaxy A04s</v>
          </cell>
          <cell r="G223" t="str">
            <v>SM-A047</v>
          </cell>
          <cell r="H223">
            <v>2022</v>
          </cell>
        </row>
        <row r="224">
          <cell r="F224" t="str">
            <v>Galaxy A05</v>
          </cell>
          <cell r="G224" t="str">
            <v>SM-A055</v>
          </cell>
          <cell r="H224">
            <v>2023</v>
          </cell>
        </row>
        <row r="225">
          <cell r="F225" t="str">
            <v>Galaxy A05s</v>
          </cell>
          <cell r="G225" t="str">
            <v>SM-A057</v>
          </cell>
          <cell r="H225">
            <v>2023</v>
          </cell>
        </row>
        <row r="226">
          <cell r="F226" t="str">
            <v>Galaxy A06</v>
          </cell>
          <cell r="G226" t="str">
            <v>SM-A065</v>
          </cell>
          <cell r="H226">
            <v>2024</v>
          </cell>
        </row>
        <row r="227">
          <cell r="F227" t="str">
            <v>Galaxy A06 5G</v>
          </cell>
          <cell r="G227" t="str">
            <v>SM-A066</v>
          </cell>
          <cell r="H227">
            <v>2025</v>
          </cell>
        </row>
        <row r="228">
          <cell r="F228" t="str">
            <v>Galaxy A10</v>
          </cell>
          <cell r="G228" t="str">
            <v>SM-A105</v>
          </cell>
          <cell r="H228">
            <v>2019</v>
          </cell>
        </row>
        <row r="229">
          <cell r="F229" t="str">
            <v>Galaxy A10e</v>
          </cell>
          <cell r="G229" t="str">
            <v>SM-A102</v>
          </cell>
          <cell r="H229">
            <v>2019</v>
          </cell>
        </row>
        <row r="230">
          <cell r="F230" t="str">
            <v>Galaxy A11</v>
          </cell>
          <cell r="G230" t="str">
            <v>SM-A115</v>
          </cell>
          <cell r="H230">
            <v>2020</v>
          </cell>
        </row>
        <row r="231">
          <cell r="F231" t="str">
            <v>Galaxy A12</v>
          </cell>
          <cell r="G231" t="str">
            <v>SM-A125</v>
          </cell>
          <cell r="H231">
            <v>2020</v>
          </cell>
        </row>
        <row r="232">
          <cell r="F232" t="str">
            <v>Galaxy A13</v>
          </cell>
          <cell r="G232" t="str">
            <v>SM-A135</v>
          </cell>
          <cell r="H232">
            <v>2022</v>
          </cell>
        </row>
        <row r="233">
          <cell r="F233" t="str">
            <v>Galaxy A14</v>
          </cell>
          <cell r="G233" t="str">
            <v>SM-A145</v>
          </cell>
          <cell r="H233">
            <v>2023</v>
          </cell>
        </row>
        <row r="234">
          <cell r="F234" t="str">
            <v>Galaxy A14 5G</v>
          </cell>
          <cell r="G234" t="str">
            <v>SM-A146</v>
          </cell>
          <cell r="H234">
            <v>2023</v>
          </cell>
        </row>
        <row r="235">
          <cell r="F235" t="str">
            <v>Galaxy A15</v>
          </cell>
          <cell r="G235" t="str">
            <v>SM-A155</v>
          </cell>
          <cell r="H235">
            <v>2024</v>
          </cell>
        </row>
        <row r="236">
          <cell r="F236" t="str">
            <v>Galaxy A15 5G</v>
          </cell>
          <cell r="G236" t="str">
            <v>SM-A156</v>
          </cell>
          <cell r="H236">
            <v>2024</v>
          </cell>
        </row>
        <row r="237">
          <cell r="F237" t="str">
            <v>Galaxy A16</v>
          </cell>
          <cell r="G237" t="str">
            <v>SM-A165</v>
          </cell>
          <cell r="H237">
            <v>2025</v>
          </cell>
        </row>
        <row r="238">
          <cell r="F238" t="str">
            <v>Galaxy A20</v>
          </cell>
          <cell r="G238" t="str">
            <v>SM-A205</v>
          </cell>
          <cell r="H238">
            <v>2019</v>
          </cell>
        </row>
        <row r="239">
          <cell r="F239" t="str">
            <v>Galaxy A20e</v>
          </cell>
          <cell r="G239" t="str">
            <v>SM-A202</v>
          </cell>
          <cell r="H239">
            <v>2019</v>
          </cell>
        </row>
        <row r="240">
          <cell r="F240" t="str">
            <v>Galaxy A21</v>
          </cell>
          <cell r="G240" t="str">
            <v>SM-A215</v>
          </cell>
          <cell r="H240">
            <v>2020</v>
          </cell>
        </row>
        <row r="241">
          <cell r="F241" t="str">
            <v>Galaxy A21s</v>
          </cell>
          <cell r="G241" t="str">
            <v>SM-A217</v>
          </cell>
          <cell r="H241">
            <v>2020</v>
          </cell>
        </row>
        <row r="242">
          <cell r="F242" t="str">
            <v>Galaxy A22</v>
          </cell>
          <cell r="G242" t="str">
            <v>SM-A225</v>
          </cell>
          <cell r="H242">
            <v>2021</v>
          </cell>
        </row>
        <row r="243">
          <cell r="F243" t="str">
            <v>Galaxy A22 5G</v>
          </cell>
          <cell r="G243" t="str">
            <v>SM-A226</v>
          </cell>
          <cell r="H243">
            <v>2021</v>
          </cell>
        </row>
        <row r="244">
          <cell r="F244" t="str">
            <v>Galaxy A23</v>
          </cell>
          <cell r="G244" t="str">
            <v>SM-A235</v>
          </cell>
          <cell r="H244">
            <v>2022</v>
          </cell>
        </row>
        <row r="245">
          <cell r="F245" t="str">
            <v>Galaxy A23 5G</v>
          </cell>
          <cell r="G245" t="str">
            <v>SM-A236</v>
          </cell>
          <cell r="H245">
            <v>2022</v>
          </cell>
        </row>
        <row r="246">
          <cell r="F246" t="str">
            <v>Galaxy A24</v>
          </cell>
          <cell r="G246" t="str">
            <v>SM-A245</v>
          </cell>
          <cell r="H246">
            <v>2023</v>
          </cell>
        </row>
        <row r="247">
          <cell r="F247" t="str">
            <v>Galaxy A25 5G</v>
          </cell>
          <cell r="G247" t="str">
            <v>SM-A256</v>
          </cell>
          <cell r="H247">
            <v>2024</v>
          </cell>
        </row>
        <row r="248">
          <cell r="F248" t="str">
            <v>Galaxy A26 5G</v>
          </cell>
          <cell r="G248" t="str">
            <v>SM-A266</v>
          </cell>
          <cell r="H248">
            <v>2025</v>
          </cell>
        </row>
        <row r="249">
          <cell r="F249" t="str">
            <v>Galaxy A30</v>
          </cell>
          <cell r="G249" t="str">
            <v>SM-A305</v>
          </cell>
          <cell r="H249">
            <v>2019</v>
          </cell>
        </row>
        <row r="250">
          <cell r="F250" t="str">
            <v>Galaxy A30s</v>
          </cell>
          <cell r="G250" t="str">
            <v>SM-A307</v>
          </cell>
          <cell r="H250">
            <v>2019</v>
          </cell>
        </row>
        <row r="251">
          <cell r="F251" t="str">
            <v>Galaxy A31</v>
          </cell>
          <cell r="G251" t="str">
            <v>SM-A315</v>
          </cell>
          <cell r="H251">
            <v>2020</v>
          </cell>
        </row>
        <row r="252">
          <cell r="F252" t="str">
            <v>Galaxy A32</v>
          </cell>
          <cell r="G252" t="str">
            <v>SM-A325</v>
          </cell>
          <cell r="H252">
            <v>2021</v>
          </cell>
        </row>
        <row r="253">
          <cell r="F253" t="str">
            <v>Galaxy A32 5G</v>
          </cell>
          <cell r="G253" t="str">
            <v>SM-A326</v>
          </cell>
          <cell r="H253">
            <v>2021</v>
          </cell>
        </row>
        <row r="254">
          <cell r="F254" t="str">
            <v>Galaxy A33 5G</v>
          </cell>
          <cell r="G254" t="str">
            <v>SM-A336</v>
          </cell>
          <cell r="H254">
            <v>2022</v>
          </cell>
        </row>
        <row r="255">
          <cell r="F255" t="str">
            <v>Galaxy A34 5G</v>
          </cell>
          <cell r="G255" t="str">
            <v>SM-A346</v>
          </cell>
          <cell r="H255">
            <v>2023</v>
          </cell>
        </row>
        <row r="256">
          <cell r="F256" t="str">
            <v>Galaxy A35 5G</v>
          </cell>
          <cell r="G256" t="str">
            <v>SM-A356</v>
          </cell>
          <cell r="H256">
            <v>2024</v>
          </cell>
        </row>
        <row r="257">
          <cell r="F257" t="str">
            <v>Galaxy A36 5G</v>
          </cell>
          <cell r="G257" t="str">
            <v>SM-A366</v>
          </cell>
          <cell r="H257">
            <v>2025</v>
          </cell>
        </row>
        <row r="258">
          <cell r="F258" t="str">
            <v>Galaxy A50</v>
          </cell>
          <cell r="G258" t="str">
            <v>SM-A505</v>
          </cell>
          <cell r="H258">
            <v>2019</v>
          </cell>
        </row>
        <row r="259">
          <cell r="F259" t="str">
            <v>Galaxy A50s</v>
          </cell>
          <cell r="G259" t="str">
            <v>SM-A507</v>
          </cell>
          <cell r="H259">
            <v>2019</v>
          </cell>
        </row>
        <row r="260">
          <cell r="F260" t="str">
            <v>Galaxy A51</v>
          </cell>
          <cell r="G260" t="str">
            <v>SM-A515</v>
          </cell>
          <cell r="H260">
            <v>2020</v>
          </cell>
        </row>
        <row r="261">
          <cell r="F261" t="str">
            <v>Galaxy A51 5G</v>
          </cell>
          <cell r="G261" t="str">
            <v>SM-A516</v>
          </cell>
          <cell r="H261">
            <v>2020</v>
          </cell>
        </row>
        <row r="262">
          <cell r="F262" t="str">
            <v>Galaxy A52</v>
          </cell>
          <cell r="G262" t="str">
            <v>SM-A525</v>
          </cell>
          <cell r="H262">
            <v>2021</v>
          </cell>
        </row>
        <row r="263">
          <cell r="F263" t="str">
            <v>Galaxy A52 5G</v>
          </cell>
          <cell r="G263" t="str">
            <v>SM-A526</v>
          </cell>
          <cell r="H263">
            <v>2021</v>
          </cell>
        </row>
        <row r="264">
          <cell r="F264" t="str">
            <v>Galaxy A52s 5G</v>
          </cell>
          <cell r="G264" t="str">
            <v>SM-A528</v>
          </cell>
          <cell r="H264">
            <v>2021</v>
          </cell>
        </row>
        <row r="265">
          <cell r="F265" t="str">
            <v>Galaxy A53 5G</v>
          </cell>
          <cell r="G265" t="str">
            <v>SM-A536</v>
          </cell>
          <cell r="H265">
            <v>2022</v>
          </cell>
        </row>
        <row r="266">
          <cell r="F266" t="str">
            <v>Galaxy A54 5G</v>
          </cell>
          <cell r="G266" t="str">
            <v>SM-A546</v>
          </cell>
          <cell r="H266">
            <v>2023</v>
          </cell>
        </row>
        <row r="267">
          <cell r="F267" t="str">
            <v>Galaxy A55 5G</v>
          </cell>
          <cell r="G267" t="str">
            <v>SM-A556</v>
          </cell>
          <cell r="H267">
            <v>2024</v>
          </cell>
        </row>
        <row r="268">
          <cell r="F268" t="str">
            <v>Galaxy A56 5G</v>
          </cell>
          <cell r="G268" t="str">
            <v>SM-A566</v>
          </cell>
          <cell r="H268">
            <v>2025</v>
          </cell>
        </row>
        <row r="269">
          <cell r="F269" t="str">
            <v>Galaxy A70</v>
          </cell>
          <cell r="G269" t="str">
            <v>SM-A705</v>
          </cell>
          <cell r="H269">
            <v>2019</v>
          </cell>
        </row>
        <row r="270">
          <cell r="F270" t="str">
            <v>Galaxy A70s</v>
          </cell>
          <cell r="G270" t="str">
            <v>SM-A707</v>
          </cell>
          <cell r="H270">
            <v>2019</v>
          </cell>
        </row>
        <row r="271">
          <cell r="F271" t="str">
            <v>Galaxy A71</v>
          </cell>
          <cell r="G271" t="str">
            <v>SM-A715</v>
          </cell>
          <cell r="H271">
            <v>2020</v>
          </cell>
        </row>
        <row r="272">
          <cell r="F272" t="str">
            <v>Galaxy A71 5G</v>
          </cell>
          <cell r="G272" t="str">
            <v>SM-A716</v>
          </cell>
          <cell r="H272">
            <v>2020</v>
          </cell>
        </row>
        <row r="273">
          <cell r="F273" t="str">
            <v>Galaxy A72</v>
          </cell>
          <cell r="G273" t="str">
            <v>SM-A725</v>
          </cell>
          <cell r="H273">
            <v>2021</v>
          </cell>
        </row>
        <row r="274">
          <cell r="F274" t="str">
            <v>Galaxy A73 5G</v>
          </cell>
          <cell r="G274" t="str">
            <v>SM-A736</v>
          </cell>
          <cell r="H274">
            <v>2022</v>
          </cell>
        </row>
        <row r="275">
          <cell r="F275" t="str">
            <v>Galaxy M10</v>
          </cell>
          <cell r="G275" t="str">
            <v>SM-M105</v>
          </cell>
          <cell r="H275">
            <v>2019</v>
          </cell>
        </row>
        <row r="276">
          <cell r="F276" t="str">
            <v>Galaxy M11</v>
          </cell>
          <cell r="G276" t="str">
            <v>SM-M115</v>
          </cell>
          <cell r="H276">
            <v>2020</v>
          </cell>
        </row>
        <row r="277">
          <cell r="F277" t="str">
            <v>Galaxy M12</v>
          </cell>
          <cell r="G277" t="str">
            <v>SM-M127</v>
          </cell>
          <cell r="H277">
            <v>2021</v>
          </cell>
        </row>
        <row r="278">
          <cell r="F278" t="str">
            <v>Galaxy M13</v>
          </cell>
          <cell r="G278" t="str">
            <v>SM-M135</v>
          </cell>
          <cell r="H278">
            <v>2022</v>
          </cell>
        </row>
        <row r="279">
          <cell r="F279" t="str">
            <v>Galaxy M14 5G</v>
          </cell>
          <cell r="G279" t="str">
            <v>SM-M146</v>
          </cell>
          <cell r="H279">
            <v>2023</v>
          </cell>
        </row>
        <row r="280">
          <cell r="F280" t="str">
            <v>Galaxy M15 5G</v>
          </cell>
          <cell r="G280" t="str">
            <v>SM-M156</v>
          </cell>
          <cell r="H280">
            <v>2024</v>
          </cell>
        </row>
        <row r="281">
          <cell r="F281" t="str">
            <v>Galaxy M16 5G</v>
          </cell>
          <cell r="G281" t="str">
            <v>SM-M166</v>
          </cell>
          <cell r="H281">
            <v>2025</v>
          </cell>
        </row>
        <row r="282">
          <cell r="F282" t="str">
            <v>Galaxy M20</v>
          </cell>
          <cell r="G282" t="str">
            <v>SM-M205</v>
          </cell>
          <cell r="H282">
            <v>2019</v>
          </cell>
        </row>
        <row r="283">
          <cell r="F283" t="str">
            <v>Galaxy M21</v>
          </cell>
          <cell r="G283" t="str">
            <v>SM-M215</v>
          </cell>
          <cell r="H283">
            <v>2020</v>
          </cell>
        </row>
        <row r="284">
          <cell r="F284" t="str">
            <v>Galaxy M22</v>
          </cell>
          <cell r="G284" t="str">
            <v>SM-M225</v>
          </cell>
          <cell r="H284">
            <v>2021</v>
          </cell>
        </row>
        <row r="285">
          <cell r="F285" t="str">
            <v>Galaxy M23 5G</v>
          </cell>
          <cell r="G285" t="str">
            <v>SM-M236</v>
          </cell>
          <cell r="H285">
            <v>2022</v>
          </cell>
        </row>
        <row r="286">
          <cell r="F286" t="str">
            <v>Galaxy M24</v>
          </cell>
          <cell r="G286" t="str">
            <v>SM-M245</v>
          </cell>
          <cell r="H286">
            <v>2023</v>
          </cell>
        </row>
        <row r="287">
          <cell r="F287" t="str">
            <v>Galaxy M25 5G</v>
          </cell>
          <cell r="G287" t="str">
            <v>SM-M256</v>
          </cell>
          <cell r="H287">
            <v>2024</v>
          </cell>
        </row>
        <row r="288">
          <cell r="F288" t="str">
            <v>Galaxy J1</v>
          </cell>
          <cell r="G288" t="str">
            <v>SM-J100</v>
          </cell>
          <cell r="H288">
            <v>2015</v>
          </cell>
        </row>
        <row r="289">
          <cell r="F289" t="str">
            <v>Galaxy J1 Ace</v>
          </cell>
          <cell r="G289" t="str">
            <v>SM-J110</v>
          </cell>
          <cell r="H289">
            <v>2015</v>
          </cell>
        </row>
        <row r="290">
          <cell r="F290" t="str">
            <v>Galaxy J2</v>
          </cell>
          <cell r="G290" t="str">
            <v>SM-J200</v>
          </cell>
          <cell r="H290">
            <v>2015</v>
          </cell>
        </row>
        <row r="291">
          <cell r="F291" t="str">
            <v>Galaxy J2 Prime</v>
          </cell>
          <cell r="G291" t="str">
            <v>SM-G532</v>
          </cell>
          <cell r="H291">
            <v>2016</v>
          </cell>
        </row>
        <row r="292">
          <cell r="F292" t="str">
            <v>Galaxy J3</v>
          </cell>
          <cell r="G292" t="str">
            <v>SM-J320</v>
          </cell>
          <cell r="H292">
            <v>2016</v>
          </cell>
        </row>
        <row r="293">
          <cell r="F293" t="str">
            <v>Galaxy J4</v>
          </cell>
          <cell r="G293" t="str">
            <v>SM-J400</v>
          </cell>
          <cell r="H293">
            <v>2018</v>
          </cell>
        </row>
        <row r="294">
          <cell r="F294" t="str">
            <v>Galaxy J4+</v>
          </cell>
          <cell r="G294" t="str">
            <v>SM-J415</v>
          </cell>
          <cell r="H294">
            <v>2018</v>
          </cell>
        </row>
        <row r="295">
          <cell r="F295" t="str">
            <v>Galaxy J5</v>
          </cell>
          <cell r="G295" t="str">
            <v>SM-J500</v>
          </cell>
          <cell r="H295">
            <v>2015</v>
          </cell>
        </row>
        <row r="296">
          <cell r="F296" t="str">
            <v>Galaxy J6</v>
          </cell>
          <cell r="G296" t="str">
            <v>SM-J600</v>
          </cell>
          <cell r="H296">
            <v>2018</v>
          </cell>
        </row>
        <row r="297">
          <cell r="F297" t="str">
            <v>Galaxy J7</v>
          </cell>
          <cell r="G297" t="str">
            <v>SM-J700</v>
          </cell>
          <cell r="H297">
            <v>2015</v>
          </cell>
        </row>
        <row r="298">
          <cell r="F298" t="str">
            <v>Galaxy J7 Prime</v>
          </cell>
          <cell r="G298" t="str">
            <v>SM-G610</v>
          </cell>
          <cell r="H298">
            <v>2016</v>
          </cell>
        </row>
        <row r="299">
          <cell r="F299" t="str">
            <v>Galaxy J8</v>
          </cell>
          <cell r="G299" t="str">
            <v>SM-J810</v>
          </cell>
          <cell r="H299">
            <v>2018</v>
          </cell>
        </row>
        <row r="300">
          <cell r="F300" t="str">
            <v>Galaxy XCover</v>
          </cell>
          <cell r="G300" t="str">
            <v>GT-S5690</v>
          </cell>
          <cell r="H300">
            <v>2011</v>
          </cell>
        </row>
        <row r="301">
          <cell r="F301" t="str">
            <v>Galaxy XCover 2</v>
          </cell>
          <cell r="G301" t="str">
            <v>GT-S7710</v>
          </cell>
          <cell r="H301">
            <v>2013</v>
          </cell>
        </row>
        <row r="302">
          <cell r="F302" t="str">
            <v>Galaxy XCover 3</v>
          </cell>
          <cell r="G302" t="str">
            <v>SM-G388</v>
          </cell>
          <cell r="H302">
            <v>2015</v>
          </cell>
        </row>
        <row r="303">
          <cell r="F303" t="str">
            <v>Galaxy XCover 4</v>
          </cell>
          <cell r="G303" t="str">
            <v>SM-G390</v>
          </cell>
          <cell r="H303">
            <v>2017</v>
          </cell>
        </row>
        <row r="304">
          <cell r="F304" t="str">
            <v>Galaxy XCover 4s</v>
          </cell>
          <cell r="G304" t="str">
            <v>SM-G398</v>
          </cell>
          <cell r="H304">
            <v>2019</v>
          </cell>
        </row>
        <row r="305">
          <cell r="F305" t="str">
            <v>Galaxy XCover FieldPro</v>
          </cell>
          <cell r="G305" t="str">
            <v>SM-G889</v>
          </cell>
          <cell r="H305">
            <v>2020</v>
          </cell>
        </row>
        <row r="306">
          <cell r="F306" t="str">
            <v>Galaxy XCover Pro</v>
          </cell>
          <cell r="G306" t="str">
            <v>SM-G715</v>
          </cell>
          <cell r="H306">
            <v>2020</v>
          </cell>
        </row>
        <row r="307">
          <cell r="F307" t="str">
            <v>Galaxy XCover5</v>
          </cell>
          <cell r="G307" t="str">
            <v>SM-G525</v>
          </cell>
          <cell r="H307">
            <v>2021</v>
          </cell>
        </row>
        <row r="308">
          <cell r="F308" t="str">
            <v>Galaxy XCover6 Pro</v>
          </cell>
          <cell r="G308" t="str">
            <v>SM-G736</v>
          </cell>
          <cell r="H308">
            <v>2022</v>
          </cell>
        </row>
        <row r="309">
          <cell r="F309" t="str">
            <v>Galaxy XCover7</v>
          </cell>
          <cell r="G309" t="str">
            <v>SM-G556</v>
          </cell>
          <cell r="H309">
            <v>2024</v>
          </cell>
        </row>
        <row r="310">
          <cell r="F310" t="str">
            <v>Galaxy Tab</v>
          </cell>
          <cell r="G310" t="str">
            <v>GT-P1000</v>
          </cell>
          <cell r="H310">
            <v>2010</v>
          </cell>
        </row>
        <row r="311">
          <cell r="F311" t="str">
            <v>Galaxy Tab 2 7.0</v>
          </cell>
          <cell r="G311" t="str">
            <v>GT-P3113</v>
          </cell>
          <cell r="H311">
            <v>2012</v>
          </cell>
        </row>
        <row r="312">
          <cell r="F312" t="str">
            <v>Galaxy Tab 2 10.1</v>
          </cell>
          <cell r="G312" t="str">
            <v>GT-P5113</v>
          </cell>
          <cell r="H312">
            <v>2012</v>
          </cell>
        </row>
        <row r="313">
          <cell r="F313" t="str">
            <v>Galaxy Tab 3 7.0</v>
          </cell>
          <cell r="G313" t="str">
            <v>SM-T210</v>
          </cell>
          <cell r="H313">
            <v>2013</v>
          </cell>
        </row>
        <row r="314">
          <cell r="F314" t="str">
            <v>Galaxy Tab 3 8.0</v>
          </cell>
          <cell r="G314" t="str">
            <v>SM-T310</v>
          </cell>
          <cell r="H314">
            <v>2013</v>
          </cell>
        </row>
        <row r="315">
          <cell r="F315" t="str">
            <v>Galaxy Tab 3 10.1</v>
          </cell>
          <cell r="G315" t="str">
            <v>SM-T510</v>
          </cell>
          <cell r="H315">
            <v>2013</v>
          </cell>
        </row>
        <row r="316">
          <cell r="F316" t="str">
            <v>Galaxy Tab 4 7.0</v>
          </cell>
          <cell r="G316" t="str">
            <v>SM-T230</v>
          </cell>
          <cell r="H316">
            <v>2014</v>
          </cell>
        </row>
        <row r="317">
          <cell r="F317" t="str">
            <v>Galaxy Tab 4 8.0</v>
          </cell>
          <cell r="G317" t="str">
            <v>SM-T330</v>
          </cell>
          <cell r="H317">
            <v>2014</v>
          </cell>
        </row>
        <row r="318">
          <cell r="F318" t="str">
            <v>Galaxy Tab 4 10.1</v>
          </cell>
          <cell r="G318" t="str">
            <v>SM-T530</v>
          </cell>
          <cell r="H318">
            <v>2014</v>
          </cell>
        </row>
        <row r="319">
          <cell r="F319" t="str">
            <v>Galaxy Tab A 8.0</v>
          </cell>
          <cell r="G319" t="str">
            <v>SM-T350</v>
          </cell>
          <cell r="H319">
            <v>2015</v>
          </cell>
        </row>
        <row r="320">
          <cell r="F320" t="str">
            <v>Galaxy Tab A 10.1</v>
          </cell>
          <cell r="G320" t="str">
            <v>SM-T580</v>
          </cell>
          <cell r="H320">
            <v>2016</v>
          </cell>
        </row>
        <row r="321">
          <cell r="F321" t="str">
            <v>Galaxy Tab A 8.0 (2019)</v>
          </cell>
          <cell r="G321" t="str">
            <v>SM-T290</v>
          </cell>
          <cell r="H321">
            <v>2019</v>
          </cell>
        </row>
        <row r="322">
          <cell r="F322" t="str">
            <v>Galaxy Tab A7</v>
          </cell>
          <cell r="G322" t="str">
            <v>SM-T500</v>
          </cell>
          <cell r="H322">
            <v>2020</v>
          </cell>
        </row>
        <row r="323">
          <cell r="F323" t="str">
            <v>Galaxy Tab A8</v>
          </cell>
          <cell r="G323" t="str">
            <v>SM-X200</v>
          </cell>
          <cell r="H323">
            <v>2021</v>
          </cell>
        </row>
        <row r="324">
          <cell r="F324" t="str">
            <v>Galaxy Tab S6 Lite</v>
          </cell>
          <cell r="G324" t="str">
            <v>SM-P610</v>
          </cell>
          <cell r="H324">
            <v>2020</v>
          </cell>
        </row>
        <row r="325">
          <cell r="F325" t="str">
            <v>Galaxy Tab S7</v>
          </cell>
          <cell r="G325" t="str">
            <v>SM-T870</v>
          </cell>
          <cell r="H325">
            <v>2020</v>
          </cell>
        </row>
        <row r="326">
          <cell r="F326" t="str">
            <v>Galaxy Tab S8</v>
          </cell>
          <cell r="G326" t="str">
            <v>SM-X700</v>
          </cell>
          <cell r="H326">
            <v>2022</v>
          </cell>
        </row>
        <row r="327">
          <cell r="F327" t="str">
            <v>Galaxy Tab S9</v>
          </cell>
          <cell r="G327" t="str">
            <v>SM-X710</v>
          </cell>
          <cell r="H327">
            <v>2023</v>
          </cell>
        </row>
        <row r="328">
          <cell r="F328" t="str">
            <v>Galaxy Tab S10+</v>
          </cell>
          <cell r="G328" t="str">
            <v>SM-X820</v>
          </cell>
          <cell r="H328">
            <v>2024</v>
          </cell>
        </row>
        <row r="329">
          <cell r="F329" t="str">
            <v>Galaxy Tab Active5</v>
          </cell>
          <cell r="G329" t="str">
            <v>SM-X300</v>
          </cell>
          <cell r="H329">
            <v>2024</v>
          </cell>
        </row>
        <row r="330">
          <cell r="F330" t="str">
            <v>Galaxy Book</v>
          </cell>
          <cell r="G330" t="str">
            <v>NP750XDA</v>
          </cell>
          <cell r="H330">
            <v>2021</v>
          </cell>
        </row>
        <row r="331">
          <cell r="F331" t="str">
            <v>Galaxy Book Pro</v>
          </cell>
          <cell r="G331" t="str">
            <v>NP950XDB</v>
          </cell>
          <cell r="H331">
            <v>2021</v>
          </cell>
        </row>
        <row r="332">
          <cell r="F332" t="str">
            <v>Galaxy Book Pro 360</v>
          </cell>
          <cell r="G332" t="str">
            <v>NP950QDB</v>
          </cell>
          <cell r="H332">
            <v>2021</v>
          </cell>
        </row>
        <row r="333">
          <cell r="F333" t="str">
            <v>Galaxy Book2</v>
          </cell>
          <cell r="G333" t="str">
            <v>NP750XED</v>
          </cell>
          <cell r="H333">
            <v>2022</v>
          </cell>
        </row>
        <row r="334">
          <cell r="F334" t="str">
            <v>Galaxy Book2 Pro</v>
          </cell>
          <cell r="G334" t="str">
            <v>NP950XEE</v>
          </cell>
          <cell r="H334">
            <v>2022</v>
          </cell>
        </row>
        <row r="335">
          <cell r="F335" t="str">
            <v>Galaxy Book3</v>
          </cell>
          <cell r="G335" t="str">
            <v>NP750XFG</v>
          </cell>
          <cell r="H335">
            <v>2023</v>
          </cell>
        </row>
        <row r="336">
          <cell r="F336" t="str">
            <v>Galaxy Book3 Pro</v>
          </cell>
          <cell r="G336" t="str">
            <v>NP960XFG</v>
          </cell>
          <cell r="H336">
            <v>2023</v>
          </cell>
        </row>
        <row r="337">
          <cell r="F337" t="str">
            <v>Galaxy Book4</v>
          </cell>
          <cell r="G337" t="str">
            <v>NP750XGK</v>
          </cell>
          <cell r="H337">
            <v>2024</v>
          </cell>
        </row>
        <row r="338">
          <cell r="F338" t="str">
            <v>Galaxy Book4 Pro</v>
          </cell>
          <cell r="G338" t="str">
            <v>NP960XGK</v>
          </cell>
          <cell r="H338">
            <v>2024</v>
          </cell>
        </row>
        <row r="339">
          <cell r="F339" t="str">
            <v>Galaxy Book5 Pro</v>
          </cell>
          <cell r="G339" t="str">
            <v>NP960XHA</v>
          </cell>
          <cell r="H339">
            <v>2025</v>
          </cell>
        </row>
        <row r="340">
          <cell r="F340" t="str">
            <v>Galaxy Gear</v>
          </cell>
          <cell r="G340" t="str">
            <v>SM-V700</v>
          </cell>
          <cell r="H340">
            <v>2013</v>
          </cell>
        </row>
        <row r="341">
          <cell r="F341" t="str">
            <v>Gear S2</v>
          </cell>
          <cell r="G341" t="str">
            <v>SM-R720</v>
          </cell>
          <cell r="H341">
            <v>2015</v>
          </cell>
        </row>
        <row r="342">
          <cell r="F342" t="str">
            <v>Gear S3 Frontier</v>
          </cell>
          <cell r="G342" t="str">
            <v>SM-R760</v>
          </cell>
          <cell r="H342">
            <v>2016</v>
          </cell>
        </row>
        <row r="343">
          <cell r="F343" t="str">
            <v>Galaxy Watch</v>
          </cell>
          <cell r="G343" t="str">
            <v>SM-R800</v>
          </cell>
          <cell r="H343">
            <v>2018</v>
          </cell>
        </row>
        <row r="344">
          <cell r="F344" t="str">
            <v>Galaxy Watch Active</v>
          </cell>
          <cell r="G344" t="str">
            <v>SM-R500</v>
          </cell>
          <cell r="H344">
            <v>2019</v>
          </cell>
        </row>
        <row r="345">
          <cell r="F345" t="str">
            <v>Galaxy Watch3</v>
          </cell>
          <cell r="G345" t="str">
            <v>SM-R840</v>
          </cell>
          <cell r="H345">
            <v>2020</v>
          </cell>
        </row>
        <row r="346">
          <cell r="F346" t="str">
            <v>Galaxy Watch4</v>
          </cell>
          <cell r="G346" t="str">
            <v>SM-R870</v>
          </cell>
          <cell r="H346">
            <v>2021</v>
          </cell>
        </row>
        <row r="347">
          <cell r="F347" t="str">
            <v>Galaxy Watch5</v>
          </cell>
          <cell r="G347" t="str">
            <v>SM-R910</v>
          </cell>
          <cell r="H347">
            <v>2022</v>
          </cell>
        </row>
        <row r="348">
          <cell r="F348" t="str">
            <v>Galaxy Watch6</v>
          </cell>
          <cell r="G348" t="str">
            <v>SM-R940</v>
          </cell>
          <cell r="H348">
            <v>2023</v>
          </cell>
        </row>
        <row r="349">
          <cell r="F349" t="str">
            <v>Galaxy Watch Ultra</v>
          </cell>
          <cell r="G349" t="str">
            <v>SM-L705</v>
          </cell>
          <cell r="H349">
            <v>2024</v>
          </cell>
        </row>
        <row r="350">
          <cell r="F350" t="str">
            <v>Galaxy Buds</v>
          </cell>
          <cell r="G350" t="str">
            <v>SM-R170</v>
          </cell>
          <cell r="H350">
            <v>2019</v>
          </cell>
        </row>
        <row r="351">
          <cell r="F351" t="str">
            <v>Galaxy Buds+</v>
          </cell>
          <cell r="G351" t="str">
            <v>SM-R175</v>
          </cell>
          <cell r="H351">
            <v>2020</v>
          </cell>
        </row>
        <row r="352">
          <cell r="F352" t="str">
            <v>Galaxy Buds Live</v>
          </cell>
          <cell r="G352" t="str">
            <v>SM-R180</v>
          </cell>
          <cell r="H352">
            <v>2020</v>
          </cell>
        </row>
        <row r="353">
          <cell r="F353" t="str">
            <v>Galaxy Buds Pro</v>
          </cell>
          <cell r="G353" t="str">
            <v>SM-R190</v>
          </cell>
          <cell r="H353">
            <v>2021</v>
          </cell>
        </row>
        <row r="354">
          <cell r="F354" t="str">
            <v>Galaxy Buds2</v>
          </cell>
          <cell r="G354" t="str">
            <v>SM-R177</v>
          </cell>
          <cell r="H354">
            <v>2021</v>
          </cell>
        </row>
        <row r="355">
          <cell r="F355" t="str">
            <v>Galaxy Buds2 Pro</v>
          </cell>
          <cell r="G355" t="str">
            <v>SM-R510</v>
          </cell>
          <cell r="H355">
            <v>2022</v>
          </cell>
        </row>
        <row r="356">
          <cell r="F356" t="str">
            <v>Galaxy Buds FE</v>
          </cell>
          <cell r="G356" t="str">
            <v>SM-R400</v>
          </cell>
          <cell r="H356">
            <v>2023</v>
          </cell>
        </row>
        <row r="357">
          <cell r="F357" t="str">
            <v>Galaxy Buds3</v>
          </cell>
          <cell r="G357" t="str">
            <v>SM-R530</v>
          </cell>
          <cell r="H357">
            <v>2024</v>
          </cell>
        </row>
        <row r="358">
          <cell r="F358" t="str">
            <v>Galaxy Buds3 Pro</v>
          </cell>
          <cell r="G358" t="str">
            <v>SM-R630</v>
          </cell>
          <cell r="H358">
            <v>2024</v>
          </cell>
        </row>
        <row r="359">
          <cell r="F359" t="str">
            <v>Pixel</v>
          </cell>
          <cell r="G359" t="str">
            <v>G-2PW4100</v>
          </cell>
          <cell r="H359">
            <v>2016</v>
          </cell>
        </row>
        <row r="360">
          <cell r="F360" t="str">
            <v>Pixel XL</v>
          </cell>
          <cell r="G360" t="str">
            <v>G-2PW2100</v>
          </cell>
          <cell r="H360">
            <v>2016</v>
          </cell>
        </row>
        <row r="361">
          <cell r="F361" t="str">
            <v>Pixel 2</v>
          </cell>
          <cell r="G361" t="str">
            <v>G011A</v>
          </cell>
          <cell r="H361">
            <v>2017</v>
          </cell>
        </row>
        <row r="362">
          <cell r="F362" t="str">
            <v>Pixel 2 XL</v>
          </cell>
          <cell r="G362" t="str">
            <v>G011C</v>
          </cell>
          <cell r="H362">
            <v>2017</v>
          </cell>
        </row>
        <row r="363">
          <cell r="F363" t="str">
            <v>Pixel 3</v>
          </cell>
          <cell r="G363" t="str">
            <v>G013A</v>
          </cell>
          <cell r="H363">
            <v>2018</v>
          </cell>
        </row>
        <row r="364">
          <cell r="F364" t="str">
            <v>Pixel 3 XL</v>
          </cell>
          <cell r="G364" t="str">
            <v>G013C</v>
          </cell>
          <cell r="H364">
            <v>2018</v>
          </cell>
        </row>
        <row r="365">
          <cell r="F365" t="str">
            <v>Pixel 3a</v>
          </cell>
          <cell r="G365" t="str">
            <v>G020A</v>
          </cell>
          <cell r="H365">
            <v>2019</v>
          </cell>
        </row>
        <row r="366">
          <cell r="F366" t="str">
            <v>Pixel 3a XL</v>
          </cell>
          <cell r="G366" t="str">
            <v>G020C</v>
          </cell>
          <cell r="H366">
            <v>2019</v>
          </cell>
        </row>
        <row r="367">
          <cell r="F367" t="str">
            <v>Pixel 4</v>
          </cell>
          <cell r="G367" t="str">
            <v>G020I</v>
          </cell>
          <cell r="H367">
            <v>2019</v>
          </cell>
        </row>
        <row r="368">
          <cell r="F368" t="str">
            <v>Pixel 4 XL</v>
          </cell>
          <cell r="G368" t="str">
            <v>G020J</v>
          </cell>
          <cell r="H368">
            <v>2019</v>
          </cell>
        </row>
        <row r="369">
          <cell r="F369" t="str">
            <v>Pixel 4a</v>
          </cell>
          <cell r="G369" t="str">
            <v>G025J</v>
          </cell>
          <cell r="H369">
            <v>2020</v>
          </cell>
        </row>
        <row r="370">
          <cell r="F370" t="str">
            <v>Pixel 4a (5G)</v>
          </cell>
          <cell r="G370" t="str">
            <v>G025E</v>
          </cell>
          <cell r="H370">
            <v>2020</v>
          </cell>
        </row>
        <row r="371">
          <cell r="F371" t="str">
            <v>Pixel 5</v>
          </cell>
          <cell r="G371" t="str">
            <v>GD1YQ</v>
          </cell>
          <cell r="H371">
            <v>2020</v>
          </cell>
        </row>
        <row r="372">
          <cell r="F372" t="str">
            <v>Pixel 5a</v>
          </cell>
          <cell r="G372" t="str">
            <v>G4S1M</v>
          </cell>
          <cell r="H372">
            <v>2021</v>
          </cell>
        </row>
        <row r="373">
          <cell r="F373" t="str">
            <v>Pixel 6</v>
          </cell>
          <cell r="G373" t="str">
            <v>GB7N6</v>
          </cell>
          <cell r="H373">
            <v>2021</v>
          </cell>
        </row>
        <row r="374">
          <cell r="F374" t="str">
            <v>Pixel 6 Pro</v>
          </cell>
          <cell r="G374" t="str">
            <v>GLU0G</v>
          </cell>
          <cell r="H374">
            <v>2021</v>
          </cell>
        </row>
        <row r="375">
          <cell r="F375" t="str">
            <v>Pixel 6a</v>
          </cell>
          <cell r="G375" t="str">
            <v>GX7AS</v>
          </cell>
          <cell r="H375">
            <v>2022</v>
          </cell>
        </row>
        <row r="376">
          <cell r="F376" t="str">
            <v>Pixel 7</v>
          </cell>
          <cell r="G376" t="str">
            <v>GVU6C</v>
          </cell>
          <cell r="H376">
            <v>2022</v>
          </cell>
        </row>
        <row r="377">
          <cell r="F377" t="str">
            <v>Pixel 7 Pro</v>
          </cell>
          <cell r="G377" t="str">
            <v>GE2AE</v>
          </cell>
          <cell r="H377">
            <v>2022</v>
          </cell>
        </row>
        <row r="378">
          <cell r="F378" t="str">
            <v>Pixel 7a</v>
          </cell>
          <cell r="G378" t="str">
            <v>GWKK3</v>
          </cell>
          <cell r="H378">
            <v>2023</v>
          </cell>
        </row>
        <row r="379">
          <cell r="F379" t="str">
            <v>Pixel Fold</v>
          </cell>
          <cell r="G379" t="str">
            <v>GC3VE</v>
          </cell>
          <cell r="H379">
            <v>2023</v>
          </cell>
        </row>
        <row r="380">
          <cell r="F380" t="str">
            <v>Pixel Tablet</v>
          </cell>
          <cell r="G380" t="str">
            <v>GTU8P</v>
          </cell>
          <cell r="H380">
            <v>2023</v>
          </cell>
        </row>
        <row r="381">
          <cell r="F381" t="str">
            <v>Pixel 8</v>
          </cell>
          <cell r="G381" t="str">
            <v>GKWS6</v>
          </cell>
          <cell r="H381">
            <v>2023</v>
          </cell>
        </row>
        <row r="382">
          <cell r="F382" t="str">
            <v>Pixel 8 Pro</v>
          </cell>
          <cell r="G382" t="str">
            <v>GC3HQ</v>
          </cell>
          <cell r="H382">
            <v>2023</v>
          </cell>
        </row>
        <row r="383">
          <cell r="F383" t="str">
            <v>Pixel 8a</v>
          </cell>
          <cell r="G383" t="str">
            <v>G8HNN</v>
          </cell>
          <cell r="H383">
            <v>2024</v>
          </cell>
        </row>
        <row r="384">
          <cell r="F384" t="str">
            <v>Pixel 9</v>
          </cell>
          <cell r="G384" t="str">
            <v>GR83Y</v>
          </cell>
          <cell r="H384">
            <v>2024</v>
          </cell>
        </row>
        <row r="385">
          <cell r="F385" t="str">
            <v>Pixel 9 Pro</v>
          </cell>
          <cell r="G385" t="str">
            <v>GGX8B</v>
          </cell>
          <cell r="H385">
            <v>2024</v>
          </cell>
        </row>
        <row r="386">
          <cell r="F386" t="str">
            <v>Pixel 9 Pro XL</v>
          </cell>
          <cell r="G386" t="str">
            <v>GZC4K</v>
          </cell>
          <cell r="H386">
            <v>2024</v>
          </cell>
        </row>
        <row r="387">
          <cell r="F387" t="str">
            <v>Pixel 9 Pro Fold</v>
          </cell>
          <cell r="G387" t="str">
            <v>GGH2X</v>
          </cell>
          <cell r="H387">
            <v>2024</v>
          </cell>
        </row>
        <row r="388">
          <cell r="F388" t="str">
            <v>Pixel 9a</v>
          </cell>
          <cell r="G388" t="str">
            <v>GXQ96</v>
          </cell>
          <cell r="H388">
            <v>2025</v>
          </cell>
        </row>
        <row r="389">
          <cell r="F389" t="str">
            <v>Moto G</v>
          </cell>
          <cell r="G389" t="str">
            <v>XT1032</v>
          </cell>
          <cell r="H389">
            <v>2013</v>
          </cell>
        </row>
        <row r="390">
          <cell r="F390" t="str">
            <v>Moto G (2nd Gen)</v>
          </cell>
          <cell r="G390" t="str">
            <v>XT1063</v>
          </cell>
          <cell r="H390">
            <v>2014</v>
          </cell>
        </row>
        <row r="391">
          <cell r="F391" t="str">
            <v>Moto G3</v>
          </cell>
          <cell r="G391" t="str">
            <v>XT1540</v>
          </cell>
          <cell r="H391">
            <v>2015</v>
          </cell>
        </row>
        <row r="392">
          <cell r="F392" t="str">
            <v>Moto G4</v>
          </cell>
          <cell r="G392" t="str">
            <v>XT1625</v>
          </cell>
          <cell r="H392">
            <v>2016</v>
          </cell>
        </row>
        <row r="393">
          <cell r="F393" t="str">
            <v>Moto G5</v>
          </cell>
          <cell r="G393" t="str">
            <v>XT1670</v>
          </cell>
          <cell r="H393">
            <v>2017</v>
          </cell>
        </row>
        <row r="394">
          <cell r="F394" t="str">
            <v>Moto G6</v>
          </cell>
          <cell r="G394" t="str">
            <v>XT1925</v>
          </cell>
          <cell r="H394">
            <v>2018</v>
          </cell>
        </row>
        <row r="395">
          <cell r="F395" t="str">
            <v>Moto G7</v>
          </cell>
          <cell r="G395" t="str">
            <v>XT1962</v>
          </cell>
          <cell r="H395">
            <v>2019</v>
          </cell>
        </row>
        <row r="396">
          <cell r="F396" t="str">
            <v>Moto G Power</v>
          </cell>
          <cell r="G396" t="str">
            <v>XT2041</v>
          </cell>
          <cell r="H396">
            <v>2020</v>
          </cell>
        </row>
        <row r="397">
          <cell r="F397" t="str">
            <v>Moto G Stylus</v>
          </cell>
          <cell r="G397" t="str">
            <v>XT2043</v>
          </cell>
          <cell r="H397">
            <v>2020</v>
          </cell>
        </row>
        <row r="398">
          <cell r="F398" t="str">
            <v>Moto G 5G</v>
          </cell>
          <cell r="G398" t="str">
            <v>XT2113</v>
          </cell>
          <cell r="H398">
            <v>2020</v>
          </cell>
        </row>
        <row r="399">
          <cell r="F399" t="str">
            <v>Moto G Power (2021)</v>
          </cell>
          <cell r="G399" t="str">
            <v>XT2117</v>
          </cell>
          <cell r="H399">
            <v>2021</v>
          </cell>
        </row>
        <row r="400">
          <cell r="F400" t="str">
            <v>Moto G Stylus 5G</v>
          </cell>
          <cell r="G400" t="str">
            <v>XT2131</v>
          </cell>
          <cell r="H400">
            <v>2021</v>
          </cell>
        </row>
        <row r="401">
          <cell r="F401" t="str">
            <v>Moto E7</v>
          </cell>
          <cell r="G401" t="str">
            <v>XT2095</v>
          </cell>
          <cell r="H401">
            <v>2020</v>
          </cell>
        </row>
        <row r="402">
          <cell r="F402" t="str">
            <v>Moto E13</v>
          </cell>
          <cell r="G402" t="str">
            <v>XT2345</v>
          </cell>
          <cell r="H402">
            <v>2023</v>
          </cell>
        </row>
        <row r="403">
          <cell r="F403" t="str">
            <v>Motorola One 5G</v>
          </cell>
          <cell r="G403" t="str">
            <v>XT2075</v>
          </cell>
          <cell r="H403">
            <v>2020</v>
          </cell>
        </row>
        <row r="404">
          <cell r="F404" t="str">
            <v>Motorola Edge</v>
          </cell>
          <cell r="G404" t="str">
            <v>XT2063</v>
          </cell>
          <cell r="H404">
            <v>2020</v>
          </cell>
        </row>
        <row r="405">
          <cell r="F405" t="str">
            <v>Motorola Edge+</v>
          </cell>
          <cell r="G405" t="str">
            <v>XT2061</v>
          </cell>
          <cell r="H405">
            <v>2020</v>
          </cell>
        </row>
        <row r="406">
          <cell r="F406" t="str">
            <v>Motorola Razr 5G</v>
          </cell>
          <cell r="G406" t="str">
            <v>XT2071</v>
          </cell>
          <cell r="H406">
            <v>2020</v>
          </cell>
        </row>
        <row r="407">
          <cell r="F407" t="str">
            <v>Motorola Razr 2023</v>
          </cell>
          <cell r="G407" t="str">
            <v>XT2323</v>
          </cell>
          <cell r="H407">
            <v>2023</v>
          </cell>
        </row>
        <row r="408">
          <cell r="F408" t="str">
            <v>Moto G54 5G</v>
          </cell>
          <cell r="G408" t="str">
            <v>XT2343</v>
          </cell>
          <cell r="H408">
            <v>2023</v>
          </cell>
        </row>
        <row r="409">
          <cell r="F409" t="str">
            <v>Moto G84 5G</v>
          </cell>
          <cell r="G409" t="str">
            <v>XT2347</v>
          </cell>
          <cell r="H409">
            <v>2023</v>
          </cell>
        </row>
        <row r="410">
          <cell r="F410" t="str">
            <v>Moto G85 5G</v>
          </cell>
          <cell r="G410" t="str">
            <v>XT2427</v>
          </cell>
          <cell r="H410">
            <v>2024</v>
          </cell>
        </row>
        <row r="411">
          <cell r="F411" t="str">
            <v>Motorola Edge 40</v>
          </cell>
          <cell r="G411" t="str">
            <v>XT2303</v>
          </cell>
          <cell r="H411">
            <v>2023</v>
          </cell>
        </row>
        <row r="412">
          <cell r="F412" t="str">
            <v>Motorola Edge 40 Pro</v>
          </cell>
          <cell r="G412" t="str">
            <v>XT2301</v>
          </cell>
          <cell r="H412">
            <v>2023</v>
          </cell>
        </row>
        <row r="413">
          <cell r="F413" t="str">
            <v>Motorola Edge 50 Pro</v>
          </cell>
          <cell r="G413" t="str">
            <v>XT2403</v>
          </cell>
          <cell r="H413">
            <v>2024</v>
          </cell>
        </row>
        <row r="414">
          <cell r="F414" t="str">
            <v>Motorola Edge 50 Ultra</v>
          </cell>
          <cell r="G414" t="str">
            <v>XT2401</v>
          </cell>
          <cell r="H414">
            <v>2024</v>
          </cell>
        </row>
        <row r="415">
          <cell r="F415" t="str">
            <v>Motorola Razr+ (2024)</v>
          </cell>
          <cell r="G415" t="str">
            <v>XT2451</v>
          </cell>
          <cell r="H415">
            <v>2024</v>
          </cell>
        </row>
        <row r="416">
          <cell r="F416" t="str">
            <v>ThinkPhone</v>
          </cell>
          <cell r="G416" t="str">
            <v>XT2309</v>
          </cell>
          <cell r="H416">
            <v>2023</v>
          </cell>
        </row>
        <row r="417">
          <cell r="F417" t="str">
            <v>ThinkPhone 25</v>
          </cell>
          <cell r="G417" t="str">
            <v>XT2445</v>
          </cell>
          <cell r="H417">
            <v>2024</v>
          </cell>
        </row>
        <row r="418">
          <cell r="F418" t="str">
            <v>LG G2</v>
          </cell>
          <cell r="G418" t="str">
            <v>D800</v>
          </cell>
          <cell r="H418">
            <v>2013</v>
          </cell>
        </row>
        <row r="419">
          <cell r="F419" t="str">
            <v>LG G3</v>
          </cell>
          <cell r="G419" t="str">
            <v>D850</v>
          </cell>
          <cell r="H419">
            <v>2014</v>
          </cell>
        </row>
        <row r="420">
          <cell r="F420" t="str">
            <v>LG G4</v>
          </cell>
          <cell r="G420" t="str">
            <v>H815</v>
          </cell>
          <cell r="H420">
            <v>2015</v>
          </cell>
        </row>
        <row r="421">
          <cell r="F421" t="str">
            <v>LG G5</v>
          </cell>
          <cell r="G421" t="str">
            <v>H830</v>
          </cell>
          <cell r="H421">
            <v>2016</v>
          </cell>
        </row>
        <row r="422">
          <cell r="F422" t="str">
            <v>LG G6</v>
          </cell>
          <cell r="G422" t="str">
            <v>H870</v>
          </cell>
          <cell r="H422">
            <v>2017</v>
          </cell>
        </row>
        <row r="423">
          <cell r="F423" t="str">
            <v>LG G7 ThinQ</v>
          </cell>
          <cell r="G423" t="str">
            <v>LM-G710</v>
          </cell>
          <cell r="H423">
            <v>2018</v>
          </cell>
        </row>
        <row r="424">
          <cell r="F424" t="str">
            <v>LG G8 ThinQ</v>
          </cell>
          <cell r="G424" t="str">
            <v>LM-G820</v>
          </cell>
          <cell r="H424">
            <v>2019</v>
          </cell>
        </row>
        <row r="425">
          <cell r="F425" t="str">
            <v>LG V20</v>
          </cell>
          <cell r="G425" t="str">
            <v>H910</v>
          </cell>
          <cell r="H425">
            <v>2016</v>
          </cell>
        </row>
        <row r="426">
          <cell r="F426" t="str">
            <v>LG V30</v>
          </cell>
          <cell r="G426" t="str">
            <v>H932</v>
          </cell>
          <cell r="H426">
            <v>2017</v>
          </cell>
        </row>
        <row r="427">
          <cell r="F427" t="str">
            <v>LG V60 ThinQ 5G</v>
          </cell>
          <cell r="G427" t="str">
            <v>LM-V600</v>
          </cell>
          <cell r="H427">
            <v>2020</v>
          </cell>
        </row>
        <row r="428">
          <cell r="F428" t="str">
            <v>LG Velvet</v>
          </cell>
          <cell r="G428" t="str">
            <v>LM-G900</v>
          </cell>
          <cell r="H428">
            <v>2020</v>
          </cell>
        </row>
        <row r="429">
          <cell r="F429" t="str">
            <v>LG Wing</v>
          </cell>
          <cell r="G429" t="str">
            <v>LM-F100</v>
          </cell>
          <cell r="H429">
            <v>2020</v>
          </cell>
        </row>
        <row r="430">
          <cell r="F430" t="str">
            <v>LG Stylo 5</v>
          </cell>
          <cell r="G430" t="str">
            <v>LM-Q720</v>
          </cell>
          <cell r="H430">
            <v>2019</v>
          </cell>
        </row>
        <row r="431">
          <cell r="F431" t="str">
            <v>LG Stylo 6</v>
          </cell>
          <cell r="G431" t="str">
            <v>LM-Q730</v>
          </cell>
          <cell r="H431">
            <v>2020</v>
          </cell>
        </row>
        <row r="432">
          <cell r="F432" t="str">
            <v>LG Stylo 7</v>
          </cell>
          <cell r="G432" t="str">
            <v>LM-Q740</v>
          </cell>
          <cell r="H432">
            <v>2021</v>
          </cell>
        </row>
        <row r="433">
          <cell r="F433" t="str">
            <v>LG K51</v>
          </cell>
          <cell r="G433" t="str">
            <v>LM-K500</v>
          </cell>
          <cell r="H433">
            <v>2020</v>
          </cell>
        </row>
        <row r="434">
          <cell r="F434" t="str">
            <v>LG K61</v>
          </cell>
          <cell r="G434" t="str">
            <v>LM-Q630</v>
          </cell>
          <cell r="H434">
            <v>2020</v>
          </cell>
        </row>
        <row r="435">
          <cell r="F435" t="str">
            <v>LG Q60</v>
          </cell>
          <cell r="G435" t="str">
            <v>LM-X525</v>
          </cell>
          <cell r="H435">
            <v>2019</v>
          </cell>
        </row>
        <row r="436">
          <cell r="F436" t="str">
            <v>LG Q92 5G</v>
          </cell>
          <cell r="G436" t="str">
            <v>LM-Q920</v>
          </cell>
          <cell r="H436">
            <v>2020</v>
          </cell>
        </row>
        <row r="437">
          <cell r="F437" t="str">
            <v>LG K92 5G</v>
          </cell>
          <cell r="G437" t="str">
            <v>LM-K920</v>
          </cell>
          <cell r="H437">
            <v>2020</v>
          </cell>
        </row>
        <row r="438">
          <cell r="F438" t="str">
            <v>Xperia Z3</v>
          </cell>
          <cell r="G438" t="str">
            <v>D6603</v>
          </cell>
          <cell r="H438">
            <v>2014</v>
          </cell>
        </row>
        <row r="439">
          <cell r="F439" t="str">
            <v>Xperia Z5</v>
          </cell>
          <cell r="G439" t="str">
            <v>E6653</v>
          </cell>
          <cell r="H439">
            <v>2015</v>
          </cell>
        </row>
        <row r="440">
          <cell r="F440" t="str">
            <v>Xperia XZ</v>
          </cell>
          <cell r="G440" t="str">
            <v>F8331</v>
          </cell>
          <cell r="H440">
            <v>2016</v>
          </cell>
        </row>
        <row r="441">
          <cell r="F441" t="str">
            <v>Xperia XZ1</v>
          </cell>
          <cell r="G441" t="str">
            <v>G8341</v>
          </cell>
          <cell r="H441">
            <v>2017</v>
          </cell>
        </row>
        <row r="442">
          <cell r="F442" t="str">
            <v>Xperia XZ2</v>
          </cell>
          <cell r="G442" t="str">
            <v>H8266</v>
          </cell>
          <cell r="H442">
            <v>2018</v>
          </cell>
        </row>
        <row r="443">
          <cell r="F443" t="str">
            <v>Xperia 1</v>
          </cell>
          <cell r="G443" t="str">
            <v>J8110</v>
          </cell>
          <cell r="H443">
            <v>2019</v>
          </cell>
        </row>
        <row r="444">
          <cell r="F444" t="str">
            <v>Xperia 1 II</v>
          </cell>
          <cell r="G444" t="str">
            <v>XQ-AT51</v>
          </cell>
          <cell r="H444">
            <v>2020</v>
          </cell>
        </row>
        <row r="445">
          <cell r="F445" t="str">
            <v>Xperia 1 III</v>
          </cell>
          <cell r="G445" t="str">
            <v>XQ-BC52</v>
          </cell>
          <cell r="H445">
            <v>2021</v>
          </cell>
        </row>
        <row r="446">
          <cell r="F446" t="str">
            <v>Xperia 1 V</v>
          </cell>
          <cell r="G446" t="str">
            <v>XQ-DQ72</v>
          </cell>
          <cell r="H446">
            <v>2023</v>
          </cell>
        </row>
        <row r="447">
          <cell r="F447" t="str">
            <v>Xperia 5 V</v>
          </cell>
          <cell r="G447" t="str">
            <v>XQ-DE72</v>
          </cell>
          <cell r="H447">
            <v>2023</v>
          </cell>
        </row>
        <row r="448">
          <cell r="F448" t="str">
            <v>Xperia 5</v>
          </cell>
          <cell r="G448" t="str">
            <v>J9210</v>
          </cell>
          <cell r="H448">
            <v>2019</v>
          </cell>
        </row>
        <row r="449">
          <cell r="F449" t="str">
            <v>Xperia 5 II</v>
          </cell>
          <cell r="G449" t="str">
            <v>XQ-AS52</v>
          </cell>
          <cell r="H449">
            <v>2020</v>
          </cell>
        </row>
        <row r="450">
          <cell r="F450" t="str">
            <v>Xperia 5 III</v>
          </cell>
          <cell r="G450" t="str">
            <v>XQ-BQ72</v>
          </cell>
          <cell r="H450">
            <v>2021</v>
          </cell>
        </row>
        <row r="451">
          <cell r="F451" t="str">
            <v>Xperia 10 III</v>
          </cell>
          <cell r="G451" t="str">
            <v>XQ-BT52</v>
          </cell>
          <cell r="H451">
            <v>2021</v>
          </cell>
        </row>
        <row r="452">
          <cell r="F452" t="str">
            <v>Xperia 10 V</v>
          </cell>
          <cell r="G452" t="str">
            <v>XQ-DC72</v>
          </cell>
          <cell r="H452">
            <v>2023</v>
          </cell>
        </row>
        <row r="453">
          <cell r="F453" t="str">
            <v>Xperia PRO</v>
          </cell>
          <cell r="G453" t="str">
            <v>XQ-AQ62</v>
          </cell>
          <cell r="H453">
            <v>2021</v>
          </cell>
        </row>
        <row r="454">
          <cell r="F454" t="str">
            <v>Xperia PRO-I</v>
          </cell>
          <cell r="G454" t="str">
            <v>XQ-BE62</v>
          </cell>
          <cell r="H454">
            <v>2021</v>
          </cell>
        </row>
        <row r="455">
          <cell r="F455" t="str">
            <v>Xperia Ace</v>
          </cell>
          <cell r="G455" t="str">
            <v>SO-02L</v>
          </cell>
          <cell r="H455">
            <v>2019</v>
          </cell>
        </row>
        <row r="456">
          <cell r="F456" t="str">
            <v>Xperia Ace II</v>
          </cell>
          <cell r="G456" t="str">
            <v>SO-41B</v>
          </cell>
          <cell r="H456">
            <v>2021</v>
          </cell>
        </row>
        <row r="457">
          <cell r="F457" t="str">
            <v>Xperia Ace III</v>
          </cell>
          <cell r="G457" t="str">
            <v>SO-53C</v>
          </cell>
          <cell r="H457">
            <v>2022</v>
          </cell>
        </row>
        <row r="458">
          <cell r="F458" t="str">
            <v>Nokia 6</v>
          </cell>
          <cell r="G458" t="str">
            <v>TA-1000</v>
          </cell>
          <cell r="H458">
            <v>2017</v>
          </cell>
        </row>
        <row r="459">
          <cell r="F459" t="str">
            <v>Nokia 6.1</v>
          </cell>
          <cell r="G459" t="str">
            <v>TA-1043</v>
          </cell>
          <cell r="H459">
            <v>2018</v>
          </cell>
        </row>
        <row r="460">
          <cell r="F460" t="str">
            <v>Nokia 7 Plus</v>
          </cell>
          <cell r="G460" t="str">
            <v>TA-1046</v>
          </cell>
          <cell r="H460">
            <v>2018</v>
          </cell>
        </row>
        <row r="461">
          <cell r="F461" t="str">
            <v>Nokia 7.2</v>
          </cell>
          <cell r="G461" t="str">
            <v>TA-1196</v>
          </cell>
          <cell r="H461">
            <v>2019</v>
          </cell>
        </row>
        <row r="462">
          <cell r="F462" t="str">
            <v>Nokia 8.3 5G</v>
          </cell>
          <cell r="G462" t="str">
            <v>TA-1243</v>
          </cell>
          <cell r="H462">
            <v>2020</v>
          </cell>
        </row>
        <row r="463">
          <cell r="F463" t="str">
            <v>Nokia G20</v>
          </cell>
          <cell r="G463" t="str">
            <v>TA-1365</v>
          </cell>
          <cell r="H463">
            <v>2021</v>
          </cell>
        </row>
        <row r="464">
          <cell r="F464" t="str">
            <v>Nokia G21</v>
          </cell>
          <cell r="G464" t="str">
            <v>TA-1418</v>
          </cell>
          <cell r="H464">
            <v>2022</v>
          </cell>
        </row>
        <row r="465">
          <cell r="F465" t="str">
            <v>Nokia G42 5G</v>
          </cell>
          <cell r="G465" t="str">
            <v>TA-1591</v>
          </cell>
          <cell r="H465">
            <v>2023</v>
          </cell>
        </row>
        <row r="466">
          <cell r="F466" t="str">
            <v>Nokia XR20</v>
          </cell>
          <cell r="G466" t="str">
            <v>TA-1368</v>
          </cell>
          <cell r="H466">
            <v>2021</v>
          </cell>
        </row>
        <row r="467">
          <cell r="F467" t="str">
            <v>Nokia XR21</v>
          </cell>
          <cell r="G467" t="str">
            <v>TA-1486</v>
          </cell>
          <cell r="H467">
            <v>2023</v>
          </cell>
        </row>
        <row r="468">
          <cell r="F468" t="str">
            <v>Nokia X10</v>
          </cell>
          <cell r="G468" t="str">
            <v>TA-1332</v>
          </cell>
          <cell r="H468">
            <v>2021</v>
          </cell>
        </row>
        <row r="469">
          <cell r="F469" t="str">
            <v>Nokia X20</v>
          </cell>
          <cell r="G469" t="str">
            <v>TA-1341</v>
          </cell>
          <cell r="H469">
            <v>2021</v>
          </cell>
        </row>
        <row r="470">
          <cell r="F470" t="str">
            <v>Nokia X30 5G</v>
          </cell>
          <cell r="G470" t="str">
            <v>TA-1450</v>
          </cell>
          <cell r="H470">
            <v>2022</v>
          </cell>
        </row>
        <row r="471">
          <cell r="F471" t="str">
            <v>Nokia C21</v>
          </cell>
          <cell r="G471" t="str">
            <v>TA-1387</v>
          </cell>
          <cell r="H471">
            <v>2022</v>
          </cell>
        </row>
        <row r="472">
          <cell r="F472" t="str">
            <v>Nokia C32</v>
          </cell>
          <cell r="G472" t="str">
            <v>TA-1491</v>
          </cell>
          <cell r="H472">
            <v>2023</v>
          </cell>
        </row>
        <row r="473">
          <cell r="F473" t="str">
            <v>Nokia G60 5G</v>
          </cell>
          <cell r="G473" t="str">
            <v>TA-1481</v>
          </cell>
          <cell r="H473">
            <v>2022</v>
          </cell>
        </row>
        <row r="474">
          <cell r="F474" t="str">
            <v>Nokia G310 5G</v>
          </cell>
          <cell r="G474" t="str">
            <v>TA-1536</v>
          </cell>
          <cell r="H474">
            <v>2023</v>
          </cell>
        </row>
        <row r="475">
          <cell r="F475" t="str">
            <v>Nokia T10</v>
          </cell>
          <cell r="G475" t="str">
            <v>TA-1462</v>
          </cell>
          <cell r="H475">
            <v>2022</v>
          </cell>
        </row>
        <row r="476">
          <cell r="F476" t="str">
            <v>Nokia T21</v>
          </cell>
          <cell r="G476" t="str">
            <v>TA-1495</v>
          </cell>
          <cell r="H476">
            <v>2022</v>
          </cell>
        </row>
        <row r="477">
          <cell r="F477" t="str">
            <v>HMD Skyline</v>
          </cell>
          <cell r="G477" t="str">
            <v>TA-1688</v>
          </cell>
          <cell r="H477">
            <v>2024</v>
          </cell>
        </row>
        <row r="478">
          <cell r="F478" t="str">
            <v>Zenfone 5</v>
          </cell>
          <cell r="G478" t="str">
            <v>ZE620KL</v>
          </cell>
          <cell r="H478">
            <v>2018</v>
          </cell>
        </row>
        <row r="479">
          <cell r="F479" t="str">
            <v>Zenfone 6</v>
          </cell>
          <cell r="G479" t="str">
            <v>ZS630KL</v>
          </cell>
          <cell r="H479">
            <v>2019</v>
          </cell>
        </row>
        <row r="480">
          <cell r="F480" t="str">
            <v>Zenfone 7</v>
          </cell>
          <cell r="G480" t="str">
            <v>ZS670KS</v>
          </cell>
          <cell r="H480">
            <v>2020</v>
          </cell>
        </row>
        <row r="481">
          <cell r="F481" t="str">
            <v>Zenfone 8</v>
          </cell>
          <cell r="G481" t="str">
            <v>ZS590KS</v>
          </cell>
          <cell r="H481">
            <v>2021</v>
          </cell>
        </row>
        <row r="482">
          <cell r="F482" t="str">
            <v>Zenfone 9</v>
          </cell>
          <cell r="G482" t="str">
            <v>AI2202</v>
          </cell>
          <cell r="H482">
            <v>2022</v>
          </cell>
        </row>
        <row r="483">
          <cell r="F483" t="str">
            <v>Zenfone 10</v>
          </cell>
          <cell r="G483" t="str">
            <v>AI2302</v>
          </cell>
          <cell r="H483">
            <v>2023</v>
          </cell>
        </row>
        <row r="484">
          <cell r="F484" t="str">
            <v>ROG Phone</v>
          </cell>
          <cell r="G484" t="str">
            <v>ZS600KL</v>
          </cell>
          <cell r="H484">
            <v>2018</v>
          </cell>
        </row>
        <row r="485">
          <cell r="F485" t="str">
            <v>ROG Phone II</v>
          </cell>
          <cell r="G485" t="str">
            <v>ZS660KL</v>
          </cell>
          <cell r="H485">
            <v>2019</v>
          </cell>
        </row>
        <row r="486">
          <cell r="F486" t="str">
            <v>ROG Phone 5</v>
          </cell>
          <cell r="G486" t="str">
            <v>ZS673KS</v>
          </cell>
          <cell r="H486">
            <v>2021</v>
          </cell>
        </row>
        <row r="487">
          <cell r="F487" t="str">
            <v>ROG Phone 8 Pro</v>
          </cell>
          <cell r="G487" t="str">
            <v>AI2401</v>
          </cell>
          <cell r="H487">
            <v>2024</v>
          </cell>
        </row>
        <row r="488">
          <cell r="F488" t="str">
            <v>ROG Phone 3</v>
          </cell>
          <cell r="G488" t="str">
            <v>ZS661KS</v>
          </cell>
          <cell r="H488">
            <v>2020</v>
          </cell>
        </row>
        <row r="489">
          <cell r="F489" t="str">
            <v>ROG Phone 5s</v>
          </cell>
          <cell r="G489" t="str">
            <v>ZS676KS</v>
          </cell>
          <cell r="H489">
            <v>2021</v>
          </cell>
        </row>
        <row r="490">
          <cell r="F490" t="str">
            <v>ROG Phone 6</v>
          </cell>
          <cell r="G490" t="str">
            <v>AI2201</v>
          </cell>
          <cell r="H490">
            <v>2022</v>
          </cell>
        </row>
        <row r="491">
          <cell r="F491" t="str">
            <v>ROG Phone 6 Pro</v>
          </cell>
          <cell r="G491" t="str">
            <v>AI2201</v>
          </cell>
          <cell r="H491">
            <v>2022</v>
          </cell>
        </row>
        <row r="492">
          <cell r="F492" t="str">
            <v>ROG Phone 7</v>
          </cell>
          <cell r="G492" t="str">
            <v>AI2205</v>
          </cell>
          <cell r="H492">
            <v>2023</v>
          </cell>
        </row>
        <row r="493">
          <cell r="F493" t="str">
            <v>ROG Phone 7 Ultimate</v>
          </cell>
          <cell r="G493" t="str">
            <v>AI2205</v>
          </cell>
          <cell r="H493">
            <v>2023</v>
          </cell>
        </row>
        <row r="494">
          <cell r="F494" t="str">
            <v>ROG Phone 8</v>
          </cell>
          <cell r="G494" t="str">
            <v>AI2401</v>
          </cell>
          <cell r="H494">
            <v>2024</v>
          </cell>
        </row>
        <row r="495">
          <cell r="F495" t="str">
            <v>Zenfone 11 Ultra</v>
          </cell>
          <cell r="G495" t="str">
            <v>AI2401</v>
          </cell>
          <cell r="H495">
            <v>2024</v>
          </cell>
        </row>
        <row r="496">
          <cell r="F496" t="str">
            <v>ZenPad 3S 10</v>
          </cell>
          <cell r="G496" t="str">
            <v>Z500M</v>
          </cell>
          <cell r="H496">
            <v>2016</v>
          </cell>
        </row>
        <row r="497">
          <cell r="F497" t="str">
            <v>ROG Flow Z13</v>
          </cell>
          <cell r="G497" t="str">
            <v>GZ301</v>
          </cell>
          <cell r="H497">
            <v>2023</v>
          </cell>
        </row>
        <row r="498">
          <cell r="F498" t="str">
            <v>OnePlus One</v>
          </cell>
          <cell r="G498" t="str">
            <v>A0001</v>
          </cell>
          <cell r="H498">
            <v>2014</v>
          </cell>
        </row>
        <row r="499">
          <cell r="F499" t="str">
            <v>OnePlus 2</v>
          </cell>
          <cell r="G499" t="str">
            <v>A2001</v>
          </cell>
          <cell r="H499">
            <v>2015</v>
          </cell>
        </row>
        <row r="500">
          <cell r="F500" t="str">
            <v>OnePlus 3</v>
          </cell>
          <cell r="G500" t="str">
            <v>A3000</v>
          </cell>
          <cell r="H500">
            <v>2016</v>
          </cell>
        </row>
        <row r="501">
          <cell r="F501" t="str">
            <v>OnePlus 3T</v>
          </cell>
          <cell r="G501" t="str">
            <v>A3010</v>
          </cell>
          <cell r="H501">
            <v>2016</v>
          </cell>
        </row>
        <row r="502">
          <cell r="F502" t="str">
            <v>OnePlus 5</v>
          </cell>
          <cell r="G502" t="str">
            <v>A5000</v>
          </cell>
          <cell r="H502">
            <v>2017</v>
          </cell>
        </row>
        <row r="503">
          <cell r="F503" t="str">
            <v>OnePlus 5T</v>
          </cell>
          <cell r="G503" t="str">
            <v>A5010</v>
          </cell>
          <cell r="H503">
            <v>2017</v>
          </cell>
        </row>
        <row r="504">
          <cell r="F504" t="str">
            <v>OnePlus 6</v>
          </cell>
          <cell r="G504" t="str">
            <v>A6003</v>
          </cell>
          <cell r="H504">
            <v>2018</v>
          </cell>
        </row>
        <row r="505">
          <cell r="F505" t="str">
            <v>OnePlus 6T</v>
          </cell>
          <cell r="G505" t="str">
            <v>A6013</v>
          </cell>
          <cell r="H505">
            <v>2018</v>
          </cell>
        </row>
        <row r="506">
          <cell r="F506" t="str">
            <v>OnePlus 7</v>
          </cell>
          <cell r="G506" t="str">
            <v>GM1900</v>
          </cell>
          <cell r="H506">
            <v>2019</v>
          </cell>
        </row>
        <row r="507">
          <cell r="F507" t="str">
            <v>OnePlus 7 Pro</v>
          </cell>
          <cell r="G507" t="str">
            <v>GM1917</v>
          </cell>
          <cell r="H507">
            <v>2019</v>
          </cell>
        </row>
        <row r="508">
          <cell r="F508" t="str">
            <v>OnePlus 7T</v>
          </cell>
          <cell r="G508" t="str">
            <v>HD1905</v>
          </cell>
          <cell r="H508">
            <v>2019</v>
          </cell>
        </row>
        <row r="509">
          <cell r="F509" t="str">
            <v>OnePlus 7T Pro</v>
          </cell>
          <cell r="G509" t="str">
            <v>HD1913</v>
          </cell>
          <cell r="H509">
            <v>2019</v>
          </cell>
        </row>
        <row r="510">
          <cell r="F510" t="str">
            <v>OnePlus 8</v>
          </cell>
          <cell r="G510" t="str">
            <v>IN2015</v>
          </cell>
          <cell r="H510">
            <v>2020</v>
          </cell>
        </row>
        <row r="511">
          <cell r="F511" t="str">
            <v>OnePlus 8 Pro</v>
          </cell>
          <cell r="G511" t="str">
            <v>IN2025</v>
          </cell>
          <cell r="H511">
            <v>2020</v>
          </cell>
        </row>
        <row r="512">
          <cell r="F512" t="str">
            <v>OnePlus 8T</v>
          </cell>
          <cell r="G512" t="str">
            <v>KB2005</v>
          </cell>
          <cell r="H512">
            <v>2020</v>
          </cell>
        </row>
        <row r="513">
          <cell r="F513" t="str">
            <v>OnePlus 9</v>
          </cell>
          <cell r="G513" t="str">
            <v>LE2115</v>
          </cell>
          <cell r="H513">
            <v>2021</v>
          </cell>
        </row>
        <row r="514">
          <cell r="F514" t="str">
            <v>OnePlus 9 Pro</v>
          </cell>
          <cell r="G514" t="str">
            <v>LE2125</v>
          </cell>
          <cell r="H514">
            <v>2021</v>
          </cell>
        </row>
        <row r="515">
          <cell r="F515" t="str">
            <v>OnePlus 9R</v>
          </cell>
          <cell r="G515" t="str">
            <v>LE2101</v>
          </cell>
          <cell r="H515">
            <v>2021</v>
          </cell>
        </row>
        <row r="516">
          <cell r="F516" t="str">
            <v>OnePlus 10 Pro</v>
          </cell>
          <cell r="G516" t="str">
            <v>NE2215</v>
          </cell>
          <cell r="H516">
            <v>2022</v>
          </cell>
        </row>
        <row r="517">
          <cell r="F517" t="str">
            <v>OnePlus 10T</v>
          </cell>
          <cell r="G517" t="str">
            <v>CPH2415</v>
          </cell>
          <cell r="H517">
            <v>2022</v>
          </cell>
        </row>
        <row r="518">
          <cell r="F518" t="str">
            <v>OnePlus 11</v>
          </cell>
          <cell r="G518" t="str">
            <v>CPH2449</v>
          </cell>
          <cell r="H518">
            <v>2023</v>
          </cell>
        </row>
        <row r="519">
          <cell r="F519" t="str">
            <v>OnePlus 12</v>
          </cell>
          <cell r="G519" t="str">
            <v>CPH2583</v>
          </cell>
          <cell r="H519">
            <v>2024</v>
          </cell>
        </row>
        <row r="520">
          <cell r="F520" t="str">
            <v>OnePlus 12R</v>
          </cell>
          <cell r="G520" t="str">
            <v>CPH2611</v>
          </cell>
          <cell r="H520">
            <v>2024</v>
          </cell>
        </row>
        <row r="521">
          <cell r="F521" t="str">
            <v>OnePlus 13</v>
          </cell>
          <cell r="G521" t="str">
            <v>PJZ110</v>
          </cell>
          <cell r="H521">
            <v>2025</v>
          </cell>
        </row>
        <row r="522">
          <cell r="F522" t="str">
            <v>OnePlus Nord</v>
          </cell>
          <cell r="G522" t="str">
            <v>AC2003</v>
          </cell>
          <cell r="H522">
            <v>2020</v>
          </cell>
        </row>
        <row r="523">
          <cell r="F523" t="str">
            <v>OnePlus Nord CE 3 Lite</v>
          </cell>
          <cell r="G523" t="str">
            <v>CPH2465</v>
          </cell>
          <cell r="H523">
            <v>2023</v>
          </cell>
        </row>
        <row r="524">
          <cell r="F524" t="str">
            <v>OnePlus Nord N30 5G</v>
          </cell>
          <cell r="G524" t="str">
            <v>CPH2513</v>
          </cell>
          <cell r="H524">
            <v>2023</v>
          </cell>
        </row>
        <row r="525">
          <cell r="F525" t="str">
            <v>OnePlus Open</v>
          </cell>
          <cell r="G525" t="str">
            <v>CPH2551</v>
          </cell>
          <cell r="H525">
            <v>2023</v>
          </cell>
        </row>
        <row r="526">
          <cell r="F526" t="str">
            <v>OnePlus Pad</v>
          </cell>
          <cell r="G526" t="str">
            <v>OPD2203</v>
          </cell>
          <cell r="H526">
            <v>2023</v>
          </cell>
        </row>
        <row r="527">
          <cell r="F527" t="str">
            <v>OnePlus Pad 2</v>
          </cell>
          <cell r="G527" t="str">
            <v>OPD2404</v>
          </cell>
          <cell r="H527">
            <v>2024</v>
          </cell>
        </row>
        <row r="528">
          <cell r="F528" t="str">
            <v>Mi 8</v>
          </cell>
          <cell r="G528" t="str">
            <v>M1803E1A</v>
          </cell>
          <cell r="H528">
            <v>2018</v>
          </cell>
        </row>
        <row r="529">
          <cell r="F529" t="str">
            <v>Mi 9</v>
          </cell>
          <cell r="G529" t="str">
            <v>M1902F1G</v>
          </cell>
          <cell r="H529">
            <v>2019</v>
          </cell>
        </row>
        <row r="530">
          <cell r="F530" t="str">
            <v>Mi 10</v>
          </cell>
          <cell r="G530" t="str">
            <v>M2001J2G</v>
          </cell>
          <cell r="H530">
            <v>2020</v>
          </cell>
        </row>
        <row r="531">
          <cell r="F531" t="str">
            <v>Mi 11</v>
          </cell>
          <cell r="G531" t="str">
            <v>M2011K2G</v>
          </cell>
          <cell r="H531">
            <v>2021</v>
          </cell>
        </row>
        <row r="532">
          <cell r="F532" t="str">
            <v>Xiaomi 12</v>
          </cell>
          <cell r="G532" t="str">
            <v>2201123G</v>
          </cell>
          <cell r="H532">
            <v>2022</v>
          </cell>
        </row>
        <row r="533">
          <cell r="F533" t="str">
            <v>Xiaomi 13</v>
          </cell>
          <cell r="G533" t="str">
            <v>2211133G</v>
          </cell>
          <cell r="H533">
            <v>2023</v>
          </cell>
        </row>
        <row r="534">
          <cell r="F534" t="str">
            <v>Xiaomi 14</v>
          </cell>
          <cell r="G534" t="str">
            <v>23127PN0CG</v>
          </cell>
          <cell r="H534">
            <v>2024</v>
          </cell>
        </row>
        <row r="535">
          <cell r="F535" t="str">
            <v>Redmi Note 10</v>
          </cell>
          <cell r="G535" t="str">
            <v>M2101K7AG</v>
          </cell>
          <cell r="H535">
            <v>2021</v>
          </cell>
        </row>
        <row r="536">
          <cell r="F536" t="str">
            <v>Redmi Note 11</v>
          </cell>
          <cell r="G536" t="str">
            <v>2201117TG</v>
          </cell>
          <cell r="H536">
            <v>2022</v>
          </cell>
        </row>
        <row r="537">
          <cell r="F537" t="str">
            <v>Redmi Note 12 Pro 5G</v>
          </cell>
          <cell r="G537" t="str">
            <v>22101316G</v>
          </cell>
          <cell r="H537">
            <v>2023</v>
          </cell>
        </row>
        <row r="538">
          <cell r="F538" t="str">
            <v>Xiaomi 14 Ultra</v>
          </cell>
          <cell r="G538" t="str">
            <v>24030PN60G</v>
          </cell>
          <cell r="H538">
            <v>2024</v>
          </cell>
        </row>
        <row r="539">
          <cell r="F539" t="str">
            <v>Xiaomi 15</v>
          </cell>
          <cell r="G539" t="str">
            <v>24129PN74G</v>
          </cell>
          <cell r="H539">
            <v>2025</v>
          </cell>
        </row>
        <row r="540">
          <cell r="F540" t="str">
            <v>Xiaomi 15 Pro</v>
          </cell>
          <cell r="G540" t="str">
            <v>24129PN74C</v>
          </cell>
          <cell r="H540">
            <v>2025</v>
          </cell>
        </row>
        <row r="541">
          <cell r="F541" t="str">
            <v>Redmi Note 13 Pro 5G</v>
          </cell>
          <cell r="G541" t="str">
            <v>2312DRA50G</v>
          </cell>
          <cell r="H541">
            <v>2024</v>
          </cell>
        </row>
        <row r="542">
          <cell r="F542" t="str">
            <v>Redmi Note 14 Pro+</v>
          </cell>
          <cell r="G542" t="str">
            <v>24090RA29G</v>
          </cell>
          <cell r="H542">
            <v>2025</v>
          </cell>
        </row>
        <row r="543">
          <cell r="F543" t="str">
            <v>Redmi K70</v>
          </cell>
          <cell r="G543" t="str">
            <v>23117RK66C</v>
          </cell>
          <cell r="H543">
            <v>2023</v>
          </cell>
        </row>
        <row r="544">
          <cell r="F544" t="str">
            <v>POCO F6 Pro</v>
          </cell>
          <cell r="G544" t="str">
            <v>23113RKC6G</v>
          </cell>
          <cell r="H544">
            <v>2024</v>
          </cell>
        </row>
        <row r="545">
          <cell r="F545" t="str">
            <v>POCO X6 Pro</v>
          </cell>
          <cell r="G545" t="str">
            <v>2311DRK48G</v>
          </cell>
          <cell r="H545">
            <v>2024</v>
          </cell>
        </row>
        <row r="546">
          <cell r="F546" t="str">
            <v>POCO M6 Pro</v>
          </cell>
          <cell r="G546" t="str">
            <v>2312FPCA6G</v>
          </cell>
          <cell r="H546">
            <v>2024</v>
          </cell>
        </row>
        <row r="547">
          <cell r="F547" t="str">
            <v>Xiaomi Pad 6S Pro</v>
          </cell>
          <cell r="G547" t="str">
            <v>24018RPACC</v>
          </cell>
          <cell r="H547">
            <v>2024</v>
          </cell>
        </row>
        <row r="548">
          <cell r="F548" t="str">
            <v>OPPO Find X8 Pro</v>
          </cell>
          <cell r="G548" t="str">
            <v>PKC110</v>
          </cell>
          <cell r="H548">
            <v>2025</v>
          </cell>
        </row>
        <row r="549">
          <cell r="F549" t="str">
            <v>OPPO Find X7</v>
          </cell>
          <cell r="G549" t="str">
            <v>PHZ110</v>
          </cell>
          <cell r="H549">
            <v>2024</v>
          </cell>
        </row>
        <row r="550">
          <cell r="F550" t="str">
            <v>OPPO Find X7 Ultra</v>
          </cell>
          <cell r="G550" t="str">
            <v>PHY110</v>
          </cell>
          <cell r="H550">
            <v>2024</v>
          </cell>
        </row>
        <row r="551">
          <cell r="F551" t="str">
            <v>OPPO Reno12</v>
          </cell>
          <cell r="G551" t="str">
            <v>CPH2625</v>
          </cell>
          <cell r="H551">
            <v>2024</v>
          </cell>
        </row>
        <row r="552">
          <cell r="F552" t="str">
            <v>OPPO Reno12 Pro</v>
          </cell>
          <cell r="G552" t="str">
            <v>CPH2629</v>
          </cell>
          <cell r="H552">
            <v>2024</v>
          </cell>
        </row>
        <row r="553">
          <cell r="F553" t="str">
            <v>OPPO A98 5G</v>
          </cell>
          <cell r="G553" t="str">
            <v>CPH2529</v>
          </cell>
          <cell r="H553">
            <v>2023</v>
          </cell>
        </row>
        <row r="554">
          <cell r="F554" t="str">
            <v>OPPO A79 5G</v>
          </cell>
          <cell r="G554" t="str">
            <v>CPH2553</v>
          </cell>
          <cell r="H554">
            <v>2023</v>
          </cell>
        </row>
        <row r="555">
          <cell r="F555" t="str">
            <v>OPPO A60</v>
          </cell>
          <cell r="G555" t="str">
            <v>CPH2631</v>
          </cell>
          <cell r="H555">
            <v>2024</v>
          </cell>
        </row>
        <row r="556">
          <cell r="F556" t="str">
            <v>OPPO Find N3</v>
          </cell>
          <cell r="G556" t="str">
            <v>CPH2499</v>
          </cell>
          <cell r="H556">
            <v>2023</v>
          </cell>
        </row>
        <row r="557">
          <cell r="F557" t="str">
            <v>OPPO Find N3 Flip</v>
          </cell>
          <cell r="G557" t="str">
            <v>PHT110</v>
          </cell>
          <cell r="H557">
            <v>2023</v>
          </cell>
        </row>
        <row r="558">
          <cell r="F558" t="str">
            <v>OPPO Pad 2</v>
          </cell>
          <cell r="G558" t="str">
            <v>OPD2202</v>
          </cell>
          <cell r="H558">
            <v>2023</v>
          </cell>
        </row>
        <row r="559">
          <cell r="F559" t="str">
            <v>OPPO Reno11</v>
          </cell>
          <cell r="G559" t="str">
            <v>CPH2599</v>
          </cell>
          <cell r="H559">
            <v>2024</v>
          </cell>
        </row>
        <row r="560">
          <cell r="F560" t="str">
            <v>OPPO Reno11 Pro</v>
          </cell>
          <cell r="G560" t="str">
            <v>CPH2607</v>
          </cell>
          <cell r="H560">
            <v>2024</v>
          </cell>
        </row>
        <row r="561">
          <cell r="F561" t="str">
            <v>OPPO A58</v>
          </cell>
          <cell r="G561" t="str">
            <v>CPH2577</v>
          </cell>
          <cell r="H561">
            <v>2023</v>
          </cell>
        </row>
        <row r="562">
          <cell r="F562" t="str">
            <v>OPPO A78 5G</v>
          </cell>
          <cell r="G562" t="str">
            <v>CPH2483</v>
          </cell>
          <cell r="H562">
            <v>2023</v>
          </cell>
        </row>
        <row r="563">
          <cell r="F563" t="str">
            <v>vivo X100</v>
          </cell>
          <cell r="G563" t="str">
            <v>V2309</v>
          </cell>
          <cell r="H563">
            <v>2024</v>
          </cell>
        </row>
        <row r="564">
          <cell r="F564" t="str">
            <v>vivo X100 Pro</v>
          </cell>
          <cell r="G564" t="str">
            <v>V2309A</v>
          </cell>
          <cell r="H564">
            <v>2024</v>
          </cell>
        </row>
        <row r="565">
          <cell r="F565" t="str">
            <v>vivo V30</v>
          </cell>
          <cell r="G565" t="str">
            <v>V2318</v>
          </cell>
          <cell r="H565">
            <v>2024</v>
          </cell>
        </row>
        <row r="566">
          <cell r="F566" t="str">
            <v>iQOO 12</v>
          </cell>
          <cell r="G566" t="str">
            <v>I2302</v>
          </cell>
          <cell r="H566">
            <v>2024</v>
          </cell>
        </row>
        <row r="567">
          <cell r="F567" t="str">
            <v>vivo X100 Ultra</v>
          </cell>
          <cell r="G567" t="str">
            <v>V2366</v>
          </cell>
          <cell r="H567">
            <v>2024</v>
          </cell>
        </row>
        <row r="568">
          <cell r="F568" t="str">
            <v>vivo X200</v>
          </cell>
          <cell r="G568" t="str">
            <v>V2405</v>
          </cell>
          <cell r="H568">
            <v>2025</v>
          </cell>
        </row>
        <row r="569">
          <cell r="F569" t="str">
            <v>vivo X200 Pro</v>
          </cell>
          <cell r="G569" t="str">
            <v>V2406</v>
          </cell>
          <cell r="H569">
            <v>2025</v>
          </cell>
        </row>
        <row r="570">
          <cell r="F570" t="str">
            <v>vivo V40</v>
          </cell>
          <cell r="G570" t="str">
            <v>V2348</v>
          </cell>
          <cell r="H570">
            <v>2024</v>
          </cell>
        </row>
        <row r="571">
          <cell r="F571" t="str">
            <v>vivo Y200</v>
          </cell>
          <cell r="G571" t="str">
            <v>V2336</v>
          </cell>
          <cell r="H571">
            <v>2024</v>
          </cell>
        </row>
        <row r="572">
          <cell r="F572" t="str">
            <v>iQOO 12 Pro</v>
          </cell>
          <cell r="G572" t="str">
            <v>I2303</v>
          </cell>
          <cell r="H572">
            <v>2024</v>
          </cell>
        </row>
        <row r="573">
          <cell r="F573" t="str">
            <v>realme GT 6</v>
          </cell>
          <cell r="G573" t="str">
            <v>RMX3851</v>
          </cell>
          <cell r="H573">
            <v>2024</v>
          </cell>
        </row>
        <row r="574">
          <cell r="F574" t="str">
            <v>realme GT 6T</v>
          </cell>
          <cell r="G574" t="str">
            <v>RMX3853</v>
          </cell>
          <cell r="H574">
            <v>2024</v>
          </cell>
        </row>
        <row r="575">
          <cell r="F575" t="str">
            <v>realme 12 Pro+</v>
          </cell>
          <cell r="G575" t="str">
            <v>RMX3840</v>
          </cell>
          <cell r="H575">
            <v>2024</v>
          </cell>
        </row>
        <row r="576">
          <cell r="F576" t="str">
            <v>realme Narzo 70 Pro</v>
          </cell>
          <cell r="G576" t="str">
            <v>RMX3868</v>
          </cell>
          <cell r="H576">
            <v>2024</v>
          </cell>
        </row>
        <row r="577">
          <cell r="F577" t="str">
            <v>realme GT Neo 6</v>
          </cell>
          <cell r="G577" t="str">
            <v>RMX3852</v>
          </cell>
          <cell r="H577">
            <v>2024</v>
          </cell>
        </row>
        <row r="578">
          <cell r="F578" t="str">
            <v>realme 12 Pro</v>
          </cell>
          <cell r="G578" t="str">
            <v>RMX3842</v>
          </cell>
          <cell r="H578">
            <v>2024</v>
          </cell>
        </row>
        <row r="579">
          <cell r="F579" t="str">
            <v>realme C67</v>
          </cell>
          <cell r="G579" t="str">
            <v>RMX3890</v>
          </cell>
          <cell r="H579">
            <v>2024</v>
          </cell>
        </row>
        <row r="580">
          <cell r="F580" t="str">
            <v>realme C65</v>
          </cell>
          <cell r="G580" t="str">
            <v>RMX3910</v>
          </cell>
          <cell r="H580">
            <v>2024</v>
          </cell>
        </row>
        <row r="581">
          <cell r="F581" t="str">
            <v>HONOR Magic6</v>
          </cell>
          <cell r="G581" t="str">
            <v>BVL-AN00</v>
          </cell>
          <cell r="H581">
            <v>2024</v>
          </cell>
        </row>
        <row r="582">
          <cell r="F582" t="str">
            <v>HONOR Magic6 Pro</v>
          </cell>
          <cell r="G582" t="str">
            <v>BVL-AN16</v>
          </cell>
          <cell r="H582">
            <v>2024</v>
          </cell>
        </row>
        <row r="583">
          <cell r="F583" t="str">
            <v>HONOR Magic V2</v>
          </cell>
          <cell r="G583" t="str">
            <v>VER-AN10</v>
          </cell>
          <cell r="H583">
            <v>2023</v>
          </cell>
        </row>
        <row r="584">
          <cell r="F584" t="str">
            <v>HONOR Magic V3</v>
          </cell>
          <cell r="G584" t="str">
            <v>FCP-AN10</v>
          </cell>
          <cell r="H584">
            <v>2024</v>
          </cell>
        </row>
        <row r="585">
          <cell r="F585" t="str">
            <v>HONOR 200</v>
          </cell>
          <cell r="G585" t="str">
            <v>ELP-AN00</v>
          </cell>
          <cell r="H585">
            <v>2024</v>
          </cell>
        </row>
        <row r="586">
          <cell r="F586" t="str">
            <v>HONOR X9b</v>
          </cell>
          <cell r="G586" t="str">
            <v>ALI-NX1</v>
          </cell>
          <cell r="H586">
            <v>2024</v>
          </cell>
        </row>
        <row r="587">
          <cell r="F587" t="str">
            <v>Huawei Mate 60 Pro</v>
          </cell>
          <cell r="G587" t="str">
            <v>ALN-AL10</v>
          </cell>
          <cell r="H587">
            <v>2023</v>
          </cell>
        </row>
        <row r="588">
          <cell r="F588" t="str">
            <v>Huawei Mate X5</v>
          </cell>
          <cell r="G588" t="str">
            <v>ALT-AL10</v>
          </cell>
          <cell r="H588">
            <v>2023</v>
          </cell>
        </row>
        <row r="589">
          <cell r="F589" t="str">
            <v>Huawei P60 Pro</v>
          </cell>
          <cell r="G589" t="str">
            <v>MNA-AL00</v>
          </cell>
          <cell r="H589">
            <v>2023</v>
          </cell>
        </row>
        <row r="590">
          <cell r="F590" t="str">
            <v>Huawei Pura 70 Ultra</v>
          </cell>
          <cell r="G590" t="str">
            <v>HBN-AL80</v>
          </cell>
          <cell r="H590">
            <v>2024</v>
          </cell>
        </row>
        <row r="591">
          <cell r="F591" t="str">
            <v>Huawei Nova 12</v>
          </cell>
          <cell r="G591" t="str">
            <v>FIN-AL60</v>
          </cell>
          <cell r="H591">
            <v>2024</v>
          </cell>
        </row>
        <row r="592">
          <cell r="F592" t="str">
            <v>Huawei MatePad 11.5 S</v>
          </cell>
          <cell r="G592" t="str">
            <v>TGR-W09</v>
          </cell>
          <cell r="H592">
            <v>2024</v>
          </cell>
        </row>
        <row r="593">
          <cell r="F593" t="str">
            <v>ZTE Axon 50 Ultra</v>
          </cell>
          <cell r="G593" t="str">
            <v>A2024</v>
          </cell>
          <cell r="H593">
            <v>2023</v>
          </cell>
        </row>
        <row r="594">
          <cell r="F594" t="str">
            <v>nubia Z60 Ultra</v>
          </cell>
          <cell r="G594" t="str">
            <v>NX721J</v>
          </cell>
          <cell r="H594">
            <v>2024</v>
          </cell>
        </row>
        <row r="595">
          <cell r="F595" t="str">
            <v>Nothing Phone (2)</v>
          </cell>
          <cell r="G595" t="str">
            <v>A065</v>
          </cell>
          <cell r="H595">
            <v>2023</v>
          </cell>
        </row>
        <row r="596">
          <cell r="F596" t="str">
            <v>Nothing Phone (2a)</v>
          </cell>
          <cell r="G596" t="str">
            <v>A142</v>
          </cell>
          <cell r="H596">
            <v>2024</v>
          </cell>
        </row>
        <row r="597">
          <cell r="F597" t="str">
            <v>Nothing Phone (3a)</v>
          </cell>
          <cell r="G597" t="str">
            <v>A110</v>
          </cell>
          <cell r="H597">
            <v>2025</v>
          </cell>
        </row>
        <row r="598">
          <cell r="F598" t="str">
            <v>CMF Phone 1</v>
          </cell>
          <cell r="G598" t="str">
            <v>A015</v>
          </cell>
          <cell r="H598">
            <v>2024</v>
          </cell>
        </row>
        <row r="599">
          <cell r="F599" t="str">
            <v>TCL 50 Pro NXTPAPER</v>
          </cell>
          <cell r="G599" t="str">
            <v>T810H</v>
          </cell>
          <cell r="H599">
            <v>2024</v>
          </cell>
        </row>
        <row r="600">
          <cell r="F600" t="str">
            <v>TCL 40 XL</v>
          </cell>
          <cell r="G600" t="str">
            <v>T608DL</v>
          </cell>
          <cell r="H600">
            <v>2023</v>
          </cell>
        </row>
        <row r="601">
          <cell r="F601" t="str">
            <v>BLU G93</v>
          </cell>
          <cell r="G601" t="str">
            <v>G0930WW</v>
          </cell>
          <cell r="H601">
            <v>2024</v>
          </cell>
        </row>
        <row r="602">
          <cell r="F602" t="str">
            <v>Kyocera DuraForce Pro 3</v>
          </cell>
          <cell r="G602" t="str">
            <v>E7200</v>
          </cell>
          <cell r="H602">
            <v>2023</v>
          </cell>
        </row>
        <row r="603">
          <cell r="F603" t="str">
            <v>CAT S75</v>
          </cell>
          <cell r="G603" t="str">
            <v>S75</v>
          </cell>
          <cell r="H603">
            <v>2023</v>
          </cell>
        </row>
        <row r="604">
          <cell r="F604" t="str">
            <v>Fairphone 5</v>
          </cell>
          <cell r="G604" t="str">
            <v>FP5</v>
          </cell>
          <cell r="H604">
            <v>2023</v>
          </cell>
        </row>
        <row r="605">
          <cell r="F605" t="str">
            <v>Blackview BV9300</v>
          </cell>
          <cell r="G605" t="str">
            <v>BV9300</v>
          </cell>
          <cell r="H605">
            <v>2023</v>
          </cell>
        </row>
        <row r="606">
          <cell r="F606" t="str">
            <v>Doogee V Max</v>
          </cell>
          <cell r="G606" t="str">
            <v>V Max</v>
          </cell>
          <cell r="H606">
            <v>2023</v>
          </cell>
        </row>
        <row r="607">
          <cell r="F607" t="str">
            <v>Ulefone Armor 24</v>
          </cell>
          <cell r="G607" t="str">
            <v>Armor24</v>
          </cell>
          <cell r="H607">
            <v>2024</v>
          </cell>
        </row>
        <row r="608">
          <cell r="F608" t="str">
            <v>UMIDIGI G9</v>
          </cell>
          <cell r="G608" t="str">
            <v>G9</v>
          </cell>
          <cell r="H608">
            <v>2024</v>
          </cell>
        </row>
        <row r="609">
          <cell r="F609" t="str">
            <v>Sharp Aquos R9</v>
          </cell>
          <cell r="G609" t="str">
            <v>SH-R9</v>
          </cell>
          <cell r="H609">
            <v>2024</v>
          </cell>
        </row>
        <row r="610">
          <cell r="F610" t="str">
            <v>Meizu 21 Pro</v>
          </cell>
          <cell r="G610" t="str">
            <v>M481Q</v>
          </cell>
          <cell r="H610">
            <v>2024</v>
          </cell>
        </row>
        <row r="611">
          <cell r="F611" t="str">
            <v>Amazon Fire Max 11</v>
          </cell>
          <cell r="G611">
            <v>2023</v>
          </cell>
          <cell r="H611" t="str">
            <v>Fire OS</v>
          </cell>
        </row>
        <row r="612">
          <cell r="F612" t="str">
            <v>Lenovo Tab P12</v>
          </cell>
          <cell r="G612" t="str">
            <v>TB370FU</v>
          </cell>
          <cell r="H612">
            <v>2023</v>
          </cell>
        </row>
        <row r="613">
          <cell r="F613" t="str">
            <v>Surface Pro 11</v>
          </cell>
          <cell r="G613" t="str">
            <v>2076</v>
          </cell>
          <cell r="H613">
            <v>2024</v>
          </cell>
        </row>
        <row r="614">
          <cell r="F614" t="str">
            <v>Dell XPS 13 9350</v>
          </cell>
          <cell r="G614" t="str">
            <v>9350</v>
          </cell>
          <cell r="H614">
            <v>2025</v>
          </cell>
        </row>
        <row r="615">
          <cell r="F615" t="str">
            <v>HP Spectre x360 14</v>
          </cell>
          <cell r="G615" t="str">
            <v>14-eu</v>
          </cell>
          <cell r="H615">
            <v>2024</v>
          </cell>
        </row>
        <row r="616">
          <cell r="F616" t="str">
            <v>Lenovo ThinkPad X1 Carbon Gen12</v>
          </cell>
          <cell r="G616" t="str">
            <v>21KC</v>
          </cell>
          <cell r="H616">
            <v>2024</v>
          </cell>
        </row>
        <row r="617">
          <cell r="F617" t="str">
            <v>Dell Latitude 7450</v>
          </cell>
          <cell r="G617" t="str">
            <v>7450</v>
          </cell>
          <cell r="H617">
            <v>2024</v>
          </cell>
        </row>
        <row r="618">
          <cell r="F618" t="str">
            <v>Dell Precision 3591</v>
          </cell>
          <cell r="G618" t="str">
            <v>3591</v>
          </cell>
          <cell r="H618">
            <v>2024</v>
          </cell>
        </row>
        <row r="619">
          <cell r="F619" t="str">
            <v>HP EliteBook 840 G11</v>
          </cell>
          <cell r="G619" t="str">
            <v>840 G11</v>
          </cell>
          <cell r="H619">
            <v>2024</v>
          </cell>
        </row>
        <row r="620">
          <cell r="F620" t="str">
            <v>HP Envy x360 14</v>
          </cell>
          <cell r="G620" t="str">
            <v>14-fa</v>
          </cell>
          <cell r="H620">
            <v>2024</v>
          </cell>
        </row>
        <row r="621">
          <cell r="F621" t="str">
            <v>Lenovo Yoga 9i Gen9</v>
          </cell>
          <cell r="G621" t="str">
            <v>83AC</v>
          </cell>
          <cell r="H621">
            <v>2024</v>
          </cell>
        </row>
        <row r="622">
          <cell r="F622" t="str">
            <v>ASUS Zenbook 14 OLED</v>
          </cell>
          <cell r="G622" t="str">
            <v>UX3405</v>
          </cell>
          <cell r="H622">
            <v>2024</v>
          </cell>
        </row>
        <row r="623">
          <cell r="F623" t="str">
            <v>Acer Swift Go 14</v>
          </cell>
          <cell r="G623" t="str">
            <v>SFG14</v>
          </cell>
          <cell r="H623">
            <v>2024</v>
          </cell>
        </row>
        <row r="624">
          <cell r="F624" t="str">
            <v>MSI Stealth 16 AI</v>
          </cell>
          <cell r="G624" t="str">
            <v>A1V</v>
          </cell>
          <cell r="H624">
            <v>2024</v>
          </cell>
        </row>
        <row r="625">
          <cell r="F625" t="str">
            <v>Samsung Galaxy Book4 Pro</v>
          </cell>
          <cell r="G625" t="str">
            <v>NP940XGK</v>
          </cell>
          <cell r="H625">
            <v>2024</v>
          </cell>
        </row>
        <row r="626">
          <cell r="F626" t="str">
            <v>LG Gram 16</v>
          </cell>
          <cell r="G626" t="str">
            <v>16Z90S</v>
          </cell>
          <cell r="H626">
            <v>2024</v>
          </cell>
        </row>
        <row r="627">
          <cell r="F627" t="str">
            <v>Framework Laptop 13</v>
          </cell>
          <cell r="G627" t="str">
            <v>FW13</v>
          </cell>
          <cell r="H627">
            <v>2024</v>
          </cell>
        </row>
        <row r="628">
          <cell r="F628" t="str">
            <v>Alienware m16 R2</v>
          </cell>
          <cell r="G628" t="str">
            <v>m16R2</v>
          </cell>
          <cell r="H628">
            <v>2024</v>
          </cell>
        </row>
        <row r="629">
          <cell r="F629" t="str">
            <v>Razer Blade 16</v>
          </cell>
          <cell r="G629" t="str">
            <v>Blade16</v>
          </cell>
          <cell r="H629">
            <v>2024</v>
          </cell>
        </row>
        <row r="630">
          <cell r="F630" t="str">
            <v>Surface Laptop 7</v>
          </cell>
          <cell r="G630" t="str">
            <v>2037</v>
          </cell>
          <cell r="H630">
            <v>2024</v>
          </cell>
        </row>
        <row r="631">
          <cell r="F631" t="str">
            <v>Surface Laptop Studio 2</v>
          </cell>
          <cell r="G631" t="str">
            <v>2023</v>
          </cell>
          <cell r="H631">
            <v>2023</v>
          </cell>
        </row>
        <row r="632">
          <cell r="F632" t="str">
            <v>Nintendo Switch OLED</v>
          </cell>
          <cell r="G632" t="str">
            <v>HEG-001</v>
          </cell>
          <cell r="H632">
            <v>2021</v>
          </cell>
        </row>
        <row r="633">
          <cell r="F633" t="str">
            <v>Steam Deck OLED</v>
          </cell>
          <cell r="G633" t="str">
            <v>1030</v>
          </cell>
          <cell r="H633">
            <v>2023</v>
          </cell>
        </row>
        <row r="634">
          <cell r="F634" t="str">
            <v>ROG Ally X</v>
          </cell>
          <cell r="G634" t="str">
            <v>RC72LA</v>
          </cell>
          <cell r="H634">
            <v>2024</v>
          </cell>
        </row>
        <row r="635">
          <cell r="F635" t="str">
            <v>Lenovo Legion Go</v>
          </cell>
          <cell r="G635" t="str">
            <v>83E1</v>
          </cell>
          <cell r="H635">
            <v>2023</v>
          </cell>
        </row>
        <row r="636">
          <cell r="F636" t="str">
            <v>PlayStation Portal</v>
          </cell>
          <cell r="G636" t="str">
            <v>CFI-Y1001</v>
          </cell>
          <cell r="H636">
            <v>2023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8">
          <cell r="A8" t="b">
            <v>1</v>
          </cell>
        </row>
        <row r="9">
          <cell r="A9" t="b">
            <v>0</v>
          </cell>
        </row>
      </sheetData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tables/table1.xml><?xml version="1.0" encoding="utf-8"?>
<table xmlns="http://schemas.openxmlformats.org/spreadsheetml/2006/main" id="1" name="tblDashboard" displayName="tblDashboard" ref="A2:L1048576" headerRowCount="0" totalsRowShown="0" headerRowDxfId="654">
  <tableColumns count="12">
    <tableColumn id="1" name="Column1" headerRowDxfId="653"/>
    <tableColumn id="2" name="Column2" headerRowDxfId="652"/>
    <tableColumn id="3" name="Column3" headerRowDxfId="651"/>
    <tableColumn id="4" name="Column4" headerRowDxfId="650"/>
    <tableColumn id="5" name="Column5" headerRowDxfId="649"/>
    <tableColumn id="6" name="Column6" headerRowDxfId="648"/>
    <tableColumn id="7" name="Column7" headerRowDxfId="647"/>
    <tableColumn id="8" name="Column8" headerRowDxfId="646"/>
    <tableColumn id="9" name="Column9" headerRowDxfId="645"/>
    <tableColumn id="10" name="Column10" headerRowDxfId="644"/>
    <tableColumn id="11" name="Column11" headerRowDxfId="643"/>
    <tableColumn id="12" name="Column12" headerRowDxfId="64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ustomerStatus" displayName="tblCustomerStatus" ref="A99:D105" headerRowCount="1" totalsRowShown="0" headerRowDxfId="641" dataDxfId="640">
  <autoFilter ref="A99:D105"/>
  <tableColumns count="4">
    <tableColumn id="1" name="CustomerStatusID" dataDxfId="639"/>
    <tableColumn id="2" name="Status" dataDxfId="638"/>
    <tableColumn id="3" name="Description" dataDxfId="637"/>
    <tableColumn id="4" name="Sort Order" dataDxfId="6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ustomerTypes" displayName="tblCustomerTypes" ref="A82:E88" headerRowCount="1" totalsRowShown="0" headerRowDxfId="635" dataDxfId="634">
  <autoFilter ref="A82:E88"/>
  <tableColumns count="5">
    <tableColumn id="1" name="CustomerTypeID" dataDxfId="633"/>
    <tableColumn id="2" name="Customer Type" dataDxfId="632"/>
    <tableColumn id="3" name="Description" dataDxfId="631"/>
    <tableColumn id="4" name="Sort Order" dataDxfId="630"/>
    <tableColumn id="5" name="IsActive" dataDxfId="6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referredContactMethods" displayName="tblPreferredContactMethods" ref="A91:E96" headerRowCount="1" totalsRowShown="0" headerRowDxfId="628" dataDxfId="627">
  <autoFilter ref="A91:E96"/>
  <tableColumns count="5">
    <tableColumn id="1" name="PreferredContactMethodID" dataDxfId="626"/>
    <tableColumn id="2" name="Contact Method" dataDxfId="625"/>
    <tableColumn id="3" name="Description" dataDxfId="624"/>
    <tableColumn id="4" name="Sort Order" dataDxfId="623"/>
    <tableColumn id="5" name="IsActive" dataDxfId="6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LookupStandards" displayName="tblLookupStandards" ref="B5:C10" headerRowCount="1" totalsRowShown="0" headerRowDxfId="621" dataDxfId="620">
  <autoFilter ref="B5:C10"/>
  <tableColumns count="2">
    <tableColumn id="1" name="Column" dataDxfId="619"/>
    <tableColumn id="2" name="Purpose" dataDxfId="6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DeviceTypes" displayName="tblDeviceTypes" ref="A111:E123" headerRowCount="1" totalsRowShown="0" headerRowDxfId="617" dataDxfId="616">
  <autoFilter ref="A111:E123"/>
  <tableColumns count="5">
    <tableColumn id="1" name="DeviceTypeID" dataDxfId="615"/>
    <tableColumn id="2" name="Device Type" dataDxfId="614"/>
    <tableColumn id="3" name="Description" dataDxfId="613"/>
    <tableColumn id="4" name="Sort Order" dataDxfId="612"/>
    <tableColumn id="5" name="IsActive" dataDxfId="6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Manufacturers" displayName="tblManufacturers" ref="A126:E146" headerRowCount="1" totalsRowShown="0" headerRowDxfId="610" dataDxfId="609">
  <autoFilter ref="A126:E146"/>
  <tableColumns count="5">
    <tableColumn id="1" name="ManufacturerID" dataDxfId="608"/>
    <tableColumn id="2" name="Manufacturer" dataDxfId="607"/>
    <tableColumn id="3" name="Description" dataDxfId="606"/>
    <tableColumn id="4" name="Sort Order" dataDxfId="605"/>
    <tableColumn id="5" name="IsActive" dataDxfId="60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DeviceFamilies" displayName="tblDeviceFamilies" ref="A151:E164" headerRowCount="1" totalsRowShown="0" headerRowDxfId="603" dataDxfId="602">
  <autoFilter ref="A151:E164"/>
  <tableColumns count="5">
    <tableColumn id="1" name="DeviceFamilyID" dataDxfId="601"/>
    <tableColumn id="2" name="Device Family" dataDxfId="600"/>
    <tableColumn id="3" name="Manufacturer" dataDxfId="599"/>
    <tableColumn id="4" name="Sort Order" dataDxfId="598"/>
    <tableColumn id="5" name="IsActive" dataDxfId="59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OperatingSystems" displayName="tblOperatingSystems" ref="A207:B219" headerRowCount="1" totalsRowShown="0" headerRowDxfId="596" dataDxfId="595">
  <autoFilter ref="A207:B219"/>
  <tableColumns count="2">
    <tableColumn id="1" name="OperatingSystemID" dataDxfId="594"/>
    <tableColumn id="2" name="OperatingSystem" dataDxfId="59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0" name="ChargingTypeID" displayName="ChargingTypeID" ref="A222:B230" headerRowCount="1" totalsRowShown="0" headerRowDxfId="592" dataDxfId="591">
  <autoFilter ref="A222:B230"/>
  <tableColumns count="2">
    <tableColumn id="1" name="ChargingTypeID" dataDxfId="590"/>
    <tableColumn id="2" name="ChargingType" dataDxfId="589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id="11" name="tblWaterResistanceRatings" displayName="tblWaterResistanceRatings" ref="A233:E241" headerRowCount="1" totalsRowShown="0" headerRowDxfId="588" dataDxfId="587">
  <autoFilter ref="A233:E241"/>
  <tableColumns count="5">
    <tableColumn id="1" name="ID" dataDxfId="586"/>
    <tableColumn id="2" name="Name" dataDxfId="585"/>
    <tableColumn id="3" name="Description" dataDxfId="584"/>
    <tableColumn id="4" name="DisplayOrder" dataDxfId="583"/>
    <tableColumn id="5" name="Active" dataDxfId="58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SIMType" displayName="tblSIMType" ref="A244:E251" headerRowCount="1" totalsRowShown="0" headerRowDxfId="581" dataDxfId="580">
  <autoFilter ref="A244:E251"/>
  <tableColumns count="5">
    <tableColumn id="1" name="ID" dataDxfId="579"/>
    <tableColumn id="2" name="Name" dataDxfId="578"/>
    <tableColumn id="3" name="Description" dataDxfId="577"/>
    <tableColumn id="4" name="DisplayOrder" dataDxfId="576"/>
    <tableColumn id="5" name="Active" dataDxfId="575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13" name="tblNetworkGenerations" displayName="tblNetworkGenerations" ref="A254:E260" headerRowCount="1" totalsRowShown="0" headerRowDxfId="574" dataDxfId="573">
  <autoFilter ref="A254:E260"/>
  <tableColumns count="5">
    <tableColumn id="1" name="ID" dataDxfId="572"/>
    <tableColumn id="2" name="Name" dataDxfId="571"/>
    <tableColumn id="3" name="Description" dataDxfId="570"/>
    <tableColumn id="4" name="DisplayOrder" dataDxfId="569"/>
    <tableColumn id="5" name="Active" dataDxfId="568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id="14" name="tblScreenTechnologies" displayName="tblScreenTechnologies" ref="A263:E273" headerRowCount="1" totalsRowShown="0" headerRowDxfId="567" dataDxfId="566">
  <autoFilter ref="A263:E273"/>
  <tableColumns count="5">
    <tableColumn id="1" name="ID" dataDxfId="565"/>
    <tableColumn id="2" name="Name" dataDxfId="564"/>
    <tableColumn id="3" name="Description" dataDxfId="563"/>
    <tableColumn id="4" name="DisplayOrder" dataDxfId="562"/>
    <tableColumn id="5" name="Active" dataDxfId="561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id="15" name="tblProcessorManufacturers" displayName="tblProcessorManufacturers" ref="A276:E286" headerRowCount="1" totalsRowShown="0" headerRowDxfId="560" dataDxfId="559">
  <autoFilter ref="A276:E286"/>
  <tableColumns count="5">
    <tableColumn id="1" name="ID" dataDxfId="558"/>
    <tableColumn id="2" name="Name" dataDxfId="557"/>
    <tableColumn id="3" name="Description" dataDxfId="556"/>
    <tableColumn id="4" name="DisplayOrder" dataDxfId="555"/>
    <tableColumn id="5" name="Active" dataDxfId="554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id="16" name="tblRefreshRates" displayName="tblRefreshRates" ref="A289:E295" headerRowCount="1" totalsRowShown="0" headerRowDxfId="553" dataDxfId="552">
  <autoFilter ref="A289:E295"/>
  <tableColumns count="5">
    <tableColumn id="1" name="ID" dataDxfId="551"/>
    <tableColumn id="2" name="Name" dataDxfId="550"/>
    <tableColumn id="3" name="Description" dataDxfId="549"/>
    <tableColumn id="4" name="DisplayOrder" dataDxfId="548"/>
    <tableColumn id="5" name="Active" dataDxfId="547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17" name="tblRepairabilityRatings" displayName="tblRepairabilityRatings" ref="A298:E308" headerRowCount="1" totalsRowShown="0" headerRowDxfId="546" dataDxfId="545">
  <autoFilter ref="A298:E308"/>
  <tableColumns count="5">
    <tableColumn id="1" name="ID" dataDxfId="544"/>
    <tableColumn id="2" name="Name" dataDxfId="543"/>
    <tableColumn id="3" name="Description" dataDxfId="542"/>
    <tableColumn id="4" name="DisplayOrder" dataDxfId="541"/>
    <tableColumn id="5" name="Active" dataDxfId="540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id="18" name="tblDeviceStatus" displayName="tblDeviceStatus" ref="A311:E316" headerRowCount="1" totalsRowShown="0" headerRowDxfId="539" dataDxfId="538">
  <autoFilter ref="A311:E316"/>
  <tableColumns count="5">
    <tableColumn id="1" name="ID" dataDxfId="537"/>
    <tableColumn id="2" name="Name" dataDxfId="536"/>
    <tableColumn id="3" name="Description" dataDxfId="535"/>
    <tableColumn id="4" name="DisplayOrder" dataDxfId="534"/>
    <tableColumn id="5" name="Active" dataDxfId="533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id="19" name="tblMarketRegions" displayName="tblMarketRegions" ref="A319:E330" headerRowCount="1" totalsRowShown="0" headerRowDxfId="532" dataDxfId="531">
  <autoFilter ref="A319:E330"/>
  <tableColumns count="5">
    <tableColumn id="1" name="ID" dataDxfId="530"/>
    <tableColumn id="2" name="Name" dataDxfId="529"/>
    <tableColumn id="3" name="Description" dataDxfId="528"/>
    <tableColumn id="4" name="DisplayOrder" dataDxfId="527"/>
    <tableColumn id="5" name="Active" dataDxfId="526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id="20" name="tblMemoryOptions" displayName="tblMemoryOptions" ref="A333:E340" headerRowCount="1" totalsRowShown="0" headerRowDxfId="525" dataDxfId="524">
  <autoFilter ref="A333:E340"/>
  <tableColumns count="5">
    <tableColumn id="1" name="ID" dataDxfId="523"/>
    <tableColumn id="2" name="Name" dataDxfId="522"/>
    <tableColumn id="3" name="Description" dataDxfId="521"/>
    <tableColumn id="4" name="DisplayOrder" dataDxfId="520"/>
    <tableColumn id="5" name="Active" dataDxfId="51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blStorageOptions" displayName="tblStorageOptions" ref="A343:E349" headerRowCount="1" totalsRowShown="0" headerRowDxfId="518" dataDxfId="517">
  <autoFilter ref="A343:E349"/>
  <tableColumns count="5">
    <tableColumn id="1" name="ID" dataDxfId="516"/>
    <tableColumn id="2" name="Name" dataDxfId="515"/>
    <tableColumn id="3" name="Description" dataDxfId="514"/>
    <tableColumn id="4" name="DisplayOrder" dataDxfId="513"/>
    <tableColumn id="5" name="Active" dataDxfId="5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blRepairTypes" displayName="tblRepairTypes" ref="A356:E406" headerRowCount="1" totalsRowShown="0" headerRowDxfId="511" dataDxfId="510">
  <autoFilter ref="A356:E406"/>
  <tableColumns count="5">
    <tableColumn id="1" name="ID" dataDxfId="509"/>
    <tableColumn id="2" name="Name" dataDxfId="508"/>
    <tableColumn id="3" name="Description" dataDxfId="507"/>
    <tableColumn id="4" name="DisplayOrder" dataDxfId="506"/>
    <tableColumn id="5" name="Active" dataDxfId="505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id="23" name="tblRepairCategories" displayName="tblRepairCategories" ref="A409:E421" headerRowCount="1" totalsRowShown="0" headerRowDxfId="504" dataDxfId="502" headerRowBorderDxfId="503" tableBorderDxfId="501">
  <autoFilter ref="A409:E421"/>
  <tableColumns count="5">
    <tableColumn id="1" name="ID" dataDxfId="500"/>
    <tableColumn id="2" name="Name" dataDxfId="499"/>
    <tableColumn id="3" name="Description" dataDxfId="498"/>
    <tableColumn id="4" name="DisplayOrder" dataDxfId="497"/>
    <tableColumn id="5" name="Active" dataDxfId="496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24" name="tblRepairPriorities" displayName="tblRepairPriorities" ref="A424:E429" headerRowCount="1" totalsRowShown="0" headerRowDxfId="495" dataDxfId="494">
  <autoFilter ref="A424:E429"/>
  <tableColumns count="5">
    <tableColumn id="1" name="ID" dataDxfId="493"/>
    <tableColumn id="2" name="Name" dataDxfId="492"/>
    <tableColumn id="3" name="Description" dataDxfId="491"/>
    <tableColumn id="4" name="DisplayOrder" dataDxfId="490"/>
    <tableColumn id="5" name="Active" dataDxfId="489"/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id="25" name="tblRepairOutcomes" displayName="tblRepairOutcomes" ref="A455:E461" headerRowCount="1" totalsRowShown="0" headerRowDxfId="488" dataDxfId="487">
  <autoFilter ref="A455:E461"/>
  <tableColumns count="5">
    <tableColumn id="1" name="ID" dataDxfId="486"/>
    <tableColumn id="2" name="Name" dataDxfId="485"/>
    <tableColumn id="3" name="Description" dataDxfId="484"/>
    <tableColumn id="4" name="DisplayOrder" dataDxfId="483"/>
    <tableColumn id="5" name="Active" dataDxfId="482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id="26" name="tblRepairComplexities" displayName="tblRepairComplexities" ref="A464:E469" headerRowCount="1" totalsRowShown="0" headerRowDxfId="481" dataDxfId="480">
  <autoFilter ref="A464:E469"/>
  <tableColumns count="5">
    <tableColumn id="1" name="ID" dataDxfId="479"/>
    <tableColumn id="2" name="Name" dataDxfId="478"/>
    <tableColumn id="3" name="Description" dataDxfId="477"/>
    <tableColumn id="4" name="DisplayOrder" dataDxfId="476"/>
    <tableColumn id="5" name="Active" dataDxfId="475"/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id="27" name="tblDiagnosticResults" displayName="tblDiagnosticResults" ref="A472:E480" headerRowCount="1" totalsRowShown="0" headerRowDxfId="474" dataDxfId="473">
  <autoFilter ref="A472:E480"/>
  <tableColumns count="5">
    <tableColumn id="1" name="ID" dataDxfId="472"/>
    <tableColumn id="2" name="Name" dataDxfId="471"/>
    <tableColumn id="3" name="Description" dataDxfId="470"/>
    <tableColumn id="4" name="DisplayOrder" dataDxfId="469"/>
    <tableColumn id="5" name="Active" dataDxfId="468"/>
  </tableColumns>
  <tableStyleInfo name="TableStyleMedium3" showFirstColumn="0" showLastColumn="0" showRowStripes="1" showColumnStripes="0"/>
</table>
</file>

<file path=xl/tables/table28.xml><?xml version="1.0" encoding="utf-8"?>
<table xmlns="http://schemas.openxmlformats.org/spreadsheetml/2006/main" id="28" name="tblPartCategories" displayName="tblPartCategories" ref="A487:E497" headerRowCount="1" totalsRowShown="0" headerRowDxfId="467" dataDxfId="466">
  <autoFilter ref="A487:E497"/>
  <tableColumns count="5">
    <tableColumn id="1" name="ID" dataDxfId="465"/>
    <tableColumn id="2" name="Name" dataDxfId="464"/>
    <tableColumn id="3" name="Description" dataDxfId="463"/>
    <tableColumn id="4" name="DisplayOrder" dataDxfId="462"/>
    <tableColumn id="5" name="Active" dataDxfId="46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tblPartTypes" displayName="tblPartTypes" ref="A500:E507" headerRowCount="1" totalsRowShown="0" headerRowDxfId="460" dataDxfId="459">
  <autoFilter ref="A500:E507"/>
  <tableColumns count="5">
    <tableColumn id="1" name="ID" dataDxfId="458"/>
    <tableColumn id="2" name="Name" dataDxfId="457"/>
    <tableColumn id="3" name="Description" dataDxfId="456"/>
    <tableColumn id="4" name="DisplayOrder" dataDxfId="455"/>
    <tableColumn id="5" name="Active" dataDxfId="45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0" name="tblPartConditions" displayName="tblPartConditions" ref="A510:E517" headerRowCount="1" totalsRowShown="0" headerRowDxfId="453" dataDxfId="452">
  <autoFilter ref="A510:E517"/>
  <tableColumns count="5">
    <tableColumn id="1" name="ID" dataDxfId="451"/>
    <tableColumn id="2" name="Name" dataDxfId="450"/>
    <tableColumn id="3" name="Description" dataDxfId="449"/>
    <tableColumn id="4" name="DisplayOrder" dataDxfId="448"/>
    <tableColumn id="5" name="Active" dataDxfId="44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1" name="tblPartStatus" displayName="tblPartStatus" ref="A520:E527" headerRowCount="1" totalsRowShown="0" headerRowDxfId="446" dataDxfId="445">
  <autoFilter ref="A520:E527"/>
  <tableColumns count="5">
    <tableColumn id="1" name="ID" dataDxfId="444"/>
    <tableColumn id="2" name="Name" dataDxfId="443"/>
    <tableColumn id="3" name="Description" dataDxfId="442"/>
    <tableColumn id="4" name="DisplayOrder" dataDxfId="441"/>
    <tableColumn id="5" name="Active" dataDxfId="440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id="32" name="tblPartManufacturers" displayName="tblPartManufacturers" ref="A530:E553" headerRowCount="1" totalsRowShown="0" headerRowDxfId="439" dataDxfId="437" headerRowBorderDxfId="438" tableBorderDxfId="436">
  <autoFilter ref="A530:E553"/>
  <tableColumns count="5">
    <tableColumn id="1" name="ID" dataDxfId="435"/>
    <tableColumn id="2" name="Name" dataDxfId="434"/>
    <tableColumn id="3" name="Description" dataDxfId="433"/>
    <tableColumn id="4" name="DisplayOrder" dataDxfId="432"/>
    <tableColumn id="5" name="Active" dataDxfId="431"/>
  </tableColumns>
  <tableStyleInfo name="TableStyleMedium3" showFirstColumn="0" showLastColumn="0" showRowStripes="1" showColumnStripes="0"/>
</table>
</file>

<file path=xl/tables/table33.xml><?xml version="1.0" encoding="utf-8"?>
<table xmlns="http://schemas.openxmlformats.org/spreadsheetml/2006/main" id="33" name="tblPartSuppliers" displayName="tblPartSuppliers" ref="A556:E566" headerRowCount="1" totalsRowShown="0" headerRowDxfId="430" dataDxfId="428" headerRowBorderDxfId="429" tableBorderDxfId="427">
  <autoFilter ref="A556:E566"/>
  <tableColumns count="5">
    <tableColumn id="1" name="ID" dataDxfId="426"/>
    <tableColumn id="2" name="Name" dataDxfId="425"/>
    <tableColumn id="3" name="Description" dataDxfId="424"/>
    <tableColumn id="4" name="DisplayOrder" dataDxfId="423"/>
    <tableColumn id="5" name="Active" dataDxfId="422"/>
  </tableColumns>
  <tableStyleInfo name="TableStyleMedium3" showFirstColumn="0" showLastColumn="0" showRowStripes="1" showColumnStripes="0"/>
</table>
</file>

<file path=xl/tables/table34.xml><?xml version="1.0" encoding="utf-8"?>
<table xmlns="http://schemas.openxmlformats.org/spreadsheetml/2006/main" id="34" name="tblInventoryLocations" displayName="tblInventoryLocations" ref="A582:E590" headerRowCount="1" totalsRowShown="0" headerRowDxfId="421" dataDxfId="420">
  <autoFilter ref="A582:E590"/>
  <tableColumns count="5">
    <tableColumn id="1" name="ID" dataDxfId="419"/>
    <tableColumn id="2" name="Name" dataDxfId="418"/>
    <tableColumn id="3" name="Description" dataDxfId="417"/>
    <tableColumn id="4" name="DisplayOrder" dataDxfId="416"/>
    <tableColumn id="5" name="Active" dataDxfId="41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5" name="tblInventoryStatus" displayName="tblInventoryStatus" ref="A593:E599" headerRowCount="1" totalsRowShown="0" headerRowDxfId="414" dataDxfId="413">
  <autoFilter ref="A593:E599"/>
  <tableColumns count="5">
    <tableColumn id="1" name="ID" dataDxfId="412"/>
    <tableColumn id="2" name="Name" dataDxfId="411"/>
    <tableColumn id="3" name="Description" dataDxfId="410"/>
    <tableColumn id="4" name="DisplayOrder" dataDxfId="409"/>
    <tableColumn id="5" name="Active" dataDxfId="40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6" name="tblShelfLocations" displayName="tblShelfLocations" ref="A569:E575" headerRowCount="1" totalsRowShown="0" headerRowDxfId="407" dataDxfId="406">
  <autoFilter ref="A569:E575"/>
  <tableColumns count="5">
    <tableColumn id="1" name="ID" dataDxfId="405"/>
    <tableColumn id="2" name="Name" dataDxfId="404"/>
    <tableColumn id="3" name="Description" dataDxfId="403"/>
    <tableColumn id="4" name="DisplayOrder" dataDxfId="402"/>
    <tableColumn id="5" name="Active" dataDxfId="401"/>
  </tableColumns>
  <tableStyleInfo name="TableStyleMedium3" showFirstColumn="0" showLastColumn="0" showRowStripes="1" showColumnStripes="0"/>
</table>
</file>

<file path=xl/tables/table37.xml><?xml version="1.0" encoding="utf-8"?>
<table xmlns="http://schemas.openxmlformats.org/spreadsheetml/2006/main" id="37" name="tblWarrantyTypes" displayName="tblWarrantyTypes" ref="A607:E615" headerRowCount="1" totalsRowShown="0" headerRowDxfId="400" dataDxfId="399">
  <autoFilter ref="A607:E615"/>
  <tableColumns count="5">
    <tableColumn id="1" name="ID" dataDxfId="398"/>
    <tableColumn id="2" name="Name" dataDxfId="397"/>
    <tableColumn id="3" name="Description" dataDxfId="396"/>
    <tableColumn id="4" name="DisplayOrder" dataDxfId="395"/>
    <tableColumn id="5" name="Active" dataDxfId="394"/>
  </tableColumns>
  <tableStyleInfo name="TableStyleMedium3" showFirstColumn="0" showLastColumn="0" showRowStripes="1" showColumnStripes="0"/>
</table>
</file>

<file path=xl/tables/table38.xml><?xml version="1.0" encoding="utf-8"?>
<table xmlns="http://schemas.openxmlformats.org/spreadsheetml/2006/main" id="38" name="tblWarrantyStatus" displayName="tblWarrantyStatus" ref="A618:E622" headerRowCount="1" totalsRowShown="0" headerRowDxfId="393" dataDxfId="392">
  <autoFilter ref="A618:E622"/>
  <tableColumns count="5">
    <tableColumn id="1" name="ID" dataDxfId="391"/>
    <tableColumn id="2" name="Name" dataDxfId="390"/>
    <tableColumn id="3" name="Description" dataDxfId="389"/>
    <tableColumn id="4" name="DisplayOrder" dataDxfId="388"/>
    <tableColumn id="5" name="Active" dataDxfId="387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9" name="tblWarrantyProviders" displayName="tblWarrantyProviders" ref="A625:E631" headerRowCount="1" totalsRowShown="0" headerRowDxfId="386" dataDxfId="385">
  <autoFilter ref="A625:E631"/>
  <tableColumns count="5">
    <tableColumn id="1" name="ID" dataDxfId="384"/>
    <tableColumn id="2" name="Name" dataDxfId="383"/>
    <tableColumn id="3" name="Description" dataDxfId="382"/>
    <tableColumn id="4" name="DisplayOrder" dataDxfId="381"/>
    <tableColumn id="5" name="Active" dataDxfId="38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0" name="tblPaymentMethods" displayName="tblPaymentMethods" ref="A638:E646" headerRowCount="1" totalsRowShown="0" headerRowDxfId="379" dataDxfId="378">
  <autoFilter ref="A638:E646"/>
  <tableColumns count="5">
    <tableColumn id="1" name="ID" dataDxfId="377"/>
    <tableColumn id="2" name="Name" dataDxfId="376"/>
    <tableColumn id="3" name="Description" dataDxfId="375"/>
    <tableColumn id="4" name="DisplayOrder" dataDxfId="374"/>
    <tableColumn id="5" name="Active" dataDxfId="373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tblPaymentStatus" displayName="tblPaymentStatus" ref="A649:E660" headerRowCount="1" totalsRowShown="0" headerRowDxfId="372" dataDxfId="370" headerRowBorderDxfId="371" tableBorderDxfId="369">
  <autoFilter ref="A649:E660"/>
  <tableColumns count="5">
    <tableColumn id="1" name="ID" dataDxfId="368"/>
    <tableColumn id="2" name="Name" dataDxfId="367"/>
    <tableColumn id="3" name="Description" dataDxfId="366"/>
    <tableColumn id="4" name="DisplayOrder" dataDxfId="365"/>
    <tableColumn id="5" name="Active" dataDxfId="364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2" name="tblShippingMethods" displayName="tblShippingMethods" ref="A663:E669" headerRowCount="1" totalsRowShown="0" headerRowDxfId="363" dataDxfId="362">
  <autoFilter ref="A663:E669"/>
  <tableColumns count="5">
    <tableColumn id="1" name="ID" dataDxfId="361"/>
    <tableColumn id="2" name="Name" dataDxfId="360"/>
    <tableColumn id="3" name="Description" dataDxfId="359"/>
    <tableColumn id="4" name="DisplayOrder" dataDxfId="358"/>
    <tableColumn id="5" name="Active" dataDxfId="357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3" name="tblShippingStatus" displayName="tblShippingStatus" ref="A672:E683" headerRowCount="1" totalsRowShown="0" headerRowDxfId="356" dataDxfId="354" headerRowBorderDxfId="355" tableBorderDxfId="353">
  <autoFilter ref="A672:E683"/>
  <tableColumns count="5">
    <tableColumn id="1" name="ID" dataDxfId="352"/>
    <tableColumn id="2" name="Name" dataDxfId="351"/>
    <tableColumn id="3" name="Description" dataDxfId="350"/>
    <tableColumn id="4" name="DisplayOrder" dataDxfId="349"/>
    <tableColumn id="5" name="Active" dataDxfId="34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4" name="tblCarriers" displayName="tblCarriers" ref="A186:E196" headerRowCount="1" totalsRowShown="0" headerRowDxfId="347" dataDxfId="346">
  <autoFilter ref="A186:E196"/>
  <tableColumns count="5">
    <tableColumn id="1" name="ID" dataDxfId="345"/>
    <tableColumn id="2" name="Name" dataDxfId="344"/>
    <tableColumn id="3" name="Description" dataDxfId="343"/>
    <tableColumn id="4" name="DisplayOrder" dataDxfId="342"/>
    <tableColumn id="5" name="Active" dataDxfId="34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5" name="tblTaxRates" displayName="tblTaxRates" ref="A687:E698" headerRowCount="1" totalsRowShown="0" headerRowDxfId="340" dataDxfId="339">
  <autoFilter ref="A687:E698"/>
  <tableColumns count="5">
    <tableColumn id="1" name="ID" dataDxfId="338"/>
    <tableColumn id="2" name="Name" dataDxfId="337"/>
    <tableColumn id="3" name="Description" dataDxfId="336"/>
    <tableColumn id="4" name="DisplayOrder" dataDxfId="335"/>
    <tableColumn id="5" name="Active" dataDxfId="334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6" name="tblEmployeeRoles" displayName="tblEmployeeRoles" ref="A705:E713" headerRowCount="1" totalsRowShown="0" headerRowDxfId="333" dataDxfId="332">
  <autoFilter ref="A705:E713"/>
  <tableColumns count="5">
    <tableColumn id="1" name="ID" dataDxfId="331"/>
    <tableColumn id="2" name="Name" dataDxfId="330"/>
    <tableColumn id="3" name="Description" dataDxfId="329"/>
    <tableColumn id="4" name="DisplayOrder" dataDxfId="328"/>
    <tableColumn id="5" name="Active" dataDxfId="327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47" name="tblEmployeeStatus" displayName="tblEmployeeStatus" ref="A716:E720" headerRowCount="1" totalsRowShown="0" headerRowDxfId="326" dataDxfId="325">
  <autoFilter ref="A716:E720"/>
  <tableColumns count="5">
    <tableColumn id="1" name="ID" dataDxfId="324"/>
    <tableColumn id="2" name="Name" dataDxfId="323"/>
    <tableColumn id="3" name="Description" dataDxfId="322"/>
    <tableColumn id="4" name="DisplayOrder" dataDxfId="321"/>
    <tableColumn id="5" name="Active" dataDxfId="320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48" name="tblDeviceColors" displayName="tblDeviceColors" ref="A167:E183" headerRowCount="1" totalsRowShown="0" headerRowDxfId="319" dataDxfId="318">
  <autoFilter ref="A167:E183"/>
  <tableColumns count="5">
    <tableColumn id="1" name="ID" dataDxfId="317"/>
    <tableColumn id="2" name="Name" dataDxfId="316"/>
    <tableColumn id="3" name="Description" dataDxfId="315"/>
    <tableColumn id="4" name="DisplayOrder" dataDxfId="314"/>
    <tableColumn id="5" name="Active" dataDxfId="313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49" name="tblStatesProvinces" displayName="tblStatesProvinces" ref="A750:E810" headerRowCount="1" totalsRowShown="0" headerRowDxfId="312" dataDxfId="311">
  <autoFilter ref="A750:E810"/>
  <tableColumns count="5">
    <tableColumn id="1" name="ID" dataDxfId="310"/>
    <tableColumn id="2" name="Name" dataDxfId="309"/>
    <tableColumn id="3" name="Description" dataDxfId="308"/>
    <tableColumn id="4" name="DisplayOrder" dataDxfId="307"/>
    <tableColumn id="5" name="Active" dataDxfId="306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id="50" name="tblTimeZones" displayName="tblTimeZones" ref="A813:E819" headerRowCount="1" totalsRowShown="0" headerRowDxfId="305" dataDxfId="304">
  <autoFilter ref="A813:E819"/>
  <tableColumns count="5">
    <tableColumn id="1" name="ID" dataDxfId="303"/>
    <tableColumn id="2" name="Name" dataDxfId="302"/>
    <tableColumn id="3" name="Description" dataDxfId="301"/>
    <tableColumn id="4" name="DisplayOrder" dataDxfId="300"/>
    <tableColumn id="5" name="Active" dataDxfId="299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id="51" name="tblCountries" displayName="tblCountries" ref="A727:E747" headerRowCount="1" totalsRowShown="0" headerRowDxfId="298" dataDxfId="297">
  <autoFilter ref="A727:E747"/>
  <tableColumns count="5">
    <tableColumn id="1" name="ID" dataDxfId="296"/>
    <tableColumn id="2" name="Name" dataDxfId="295"/>
    <tableColumn id="3" name="Description" dataDxfId="294"/>
    <tableColumn id="4" name="DisplayOrder" dataDxfId="293"/>
    <tableColumn id="5" name="Active" dataDxfId="292"/>
  </tableColumns>
  <tableStyleInfo name="TableStyleMedium3" showFirstColumn="0" showLastColumn="0" showRowStripes="1" showColumnStripes="0"/>
</table>
</file>

<file path=xl/tables/table52.xml><?xml version="1.0" encoding="utf-8"?>
<table xmlns="http://schemas.openxmlformats.org/spreadsheetml/2006/main" id="52" name="tblCarrierLockStatus" displayName="tblCarrierLockStatus" ref="A199:E204" headerRowCount="1" totalsRowShown="0" headerRowDxfId="291" dataDxfId="290">
  <autoFilter ref="A199:E204"/>
  <tableColumns count="5">
    <tableColumn id="1" name="ID" dataDxfId="289"/>
    <tableColumn id="2" name="Name" dataDxfId="288"/>
    <tableColumn id="3" name="Description" dataDxfId="287"/>
    <tableColumn id="4" name="DisplayOrder" dataDxfId="286"/>
    <tableColumn id="5" name="Active" dataDxfId="285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id="53" name="tblRepairStatus" displayName="tblRepairStatus" ref="A432:E452" headerRowCount="1" totalsRowShown="0" headerRowDxfId="284" dataDxfId="283" tableBorderDxfId="282">
  <autoFilter ref="A432:E452"/>
  <tableColumns count="5">
    <tableColumn id="1" name="ID" dataDxfId="281"/>
    <tableColumn id="2" name="Name" dataDxfId="280"/>
    <tableColumn id="3" name="Description" dataDxfId="279"/>
    <tableColumn id="4" name="DisplayOrder" dataDxfId="278"/>
    <tableColumn id="5" name="Active" dataDxfId="277"/>
  </tableColumns>
  <tableStyleInfo name="TableStyleMedium3" showFirstColumn="0" showLastColumn="0" showRowStripes="1" showColumnStripes="0"/>
</table>
</file>

<file path=xl/tables/table54.xml><?xml version="1.0" encoding="utf-8"?>
<table xmlns="http://schemas.openxmlformats.org/spreadsheetml/2006/main" id="54" name="tblDeviceModel" displayName="tblDeviceModel" ref="H111:P745" headerRowCount="1" totalsRowShown="0" headerRowDxfId="276" dataDxfId="275">
  <autoFilter ref="H111:P745">
    <filterColumn colId="2" hiddenButton="0" showButton="1">
      <filters>
        <filter val="DF-001"/>
      </filters>
    </filterColumn>
  </autoFilter>
  <tableColumns count="9">
    <tableColumn id="1" name="ModelID" dataDxfId="274"/>
    <tableColumn id="2" name="ManufacturerID" dataDxfId="273"/>
    <tableColumn id="3" name="DeviceFamilyID" dataDxfId="272"/>
    <tableColumn id="4" name="DeviceTypeID" dataDxfId="271"/>
    <tableColumn id="5" name="ModelName" dataDxfId="270"/>
    <tableColumn id="6" name="Manufacturer Model" dataDxfId="269"/>
    <tableColumn id="7" name="ReleaseYear" dataDxfId="268"/>
    <tableColumn id="8" name="SortOrder" dataDxfId="267"/>
    <tableColumn id="9" name="IsActive" dataDxfId="266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id="55" name="tblLookupGroups" displayName="tblLookupGroups" ref="H82:L93" headerRowCount="1" totalsRowShown="0" headerRowDxfId="265" dataDxfId="264">
  <autoFilter ref="H82:L93"/>
  <tableColumns count="5">
    <tableColumn id="1" name="LookupGroupID" dataDxfId="263"/>
    <tableColumn id="2" name="GroupName" dataDxfId="262"/>
    <tableColumn id="3" name="Description" dataDxfId="261"/>
    <tableColumn id="4" name="DisplayOrder" dataDxfId="260"/>
    <tableColumn id="5" name="IsActive" dataDxfId="259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id="56" name="tblLookupCatalogID" displayName="tblLookupCatalogID" ref="A17:M73" headerRowCount="1" totalsRowShown="0" headerRowDxfId="258" dataDxfId="257">
  <autoFilter ref="A17:M73"/>
  <tableColumns count="13">
    <tableColumn id="1" name="LookupCatalogID" dataDxfId="256"/>
    <tableColumn id="2" name="LookupGroupID" dataDxfId="255"/>
    <tableColumn id="11" name="LookupGroupName" dataDxfId="254">
      <calculatedColumnFormula>_xlfn.XLOOKUP(tblLookupCatalogID[[#This Row],[LookupGroupID]],tblLookupGroups[LookupGroupID],tblLookupGroups[GroupName],"")</calculatedColumnFormula>
    </tableColumn>
    <tableColumn id="3" name="LookupTableName" dataDxfId="253"/>
    <tableColumn id="4" name="DisplayName" dataDxfId="252"/>
    <tableColumn id="5" name="PrimaryKeyField" dataDxfId="251"/>
    <tableColumn id="6" name="PrimaryKeyPrefix" dataDxfId="250"/>
    <tableColumn id="7" name="Description" dataDxfId="249"/>
    <tableColumn id="8" name="DisplayOrder" dataDxfId="248"/>
    <tableColumn id="9" name="Status" dataDxfId="247"/>
    <tableColumn id="10" name="IsSystemLookup" dataDxfId="246"/>
    <tableColumn id="12" name="TableExists" dataDxfId="245">
      <calculatedColumnFormula array="1">TableExists(tblLookupCatalogID[[#This Row],[LookupTableName]])</calculatedColumnFormula>
    </tableColumn>
    <tableColumn id="13" name="LastReviewed" dataDxfId="244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57" name="tblToolCategoryID" displayName="tblToolCategoryID" ref="D207:E217" headerRowCount="1" totalsRowShown="0" headerRowDxfId="243" dataDxfId="242">
  <autoFilter ref="D207:E217"/>
  <tableColumns count="2">
    <tableColumn id="1" name="Tool Category ID" dataDxfId="241"/>
    <tableColumn id="2" name="Category" dataDxfId="240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58" name="tblTechnicalCatalog" displayName="tblTechnicalCatalog" ref="H750:J755" headerRowCount="1" totalsRowShown="0" headerRowDxfId="239" dataDxfId="238">
  <autoFilter ref="H750:J755"/>
  <tableColumns count="3">
    <tableColumn id="1" name="Technical ID" dataDxfId="237"/>
    <tableColumn id="2" name="Reference ID" dataDxfId="236"/>
    <tableColumn id="3" name="Resource Type" dataDxfId="235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59" name="tblCustomers" displayName="tblCustomers" ref="A4:Q15" headerRowCount="1" totalsRowShown="0" headerRowDxfId="234">
  <autoFilter ref="A4:Q14"/>
  <tableColumns count="17">
    <tableColumn id="1" name="Customer ID"/>
    <tableColumn id="2" name="Customer Type"/>
    <tableColumn id="3" name="First Name"/>
    <tableColumn id="4" name="Last Name"/>
    <tableColumn id="5" name="Business Name" dataDxfId="233"/>
    <tableColumn id="6" name="Email" dataDxfId="232"/>
    <tableColumn id="7" name="Mobile Phone"/>
    <tableColumn id="8" name="Home Phone"/>
    <tableColumn id="9" name="Work Phone"/>
    <tableColumn id="10" name="Preferred Contact"/>
    <tableColumn id="11" name="Billing Address"/>
    <tableColumn id="12" name="Shipping Address"/>
    <tableColumn id="13" name="Tax Exempt"/>
    <tableColumn id="14" name="Active"/>
    <tableColumn id="15" name="Date Created"/>
    <tableColumn id="16" name="Last Modified"/>
    <tableColumn id="17" name="Notes"/>
  </tableColumns>
  <tableStyleInfo name="TableStyleMedium4" showFirstColumn="0" showLastColumn="0" showRowStripes="1" showColumnStripes="0"/>
</table>
</file>

<file path=xl/tables/table60.xml><?xml version="1.0" encoding="utf-8"?>
<table xmlns="http://schemas.openxmlformats.org/spreadsheetml/2006/main" id="60" name="tblCustomerDevices" displayName="tblCustomerDevices" ref="A3:N4" headerRowCount="1" totalsRowShown="0">
  <autoFilter ref="A3:N4"/>
  <tableColumns count="14">
    <tableColumn id="1" name="Device ID" dataDxfId="231"/>
    <tableColumn id="2" name="Customer ID" dataDxfId="230"/>
    <tableColumn id="3" name="Manufacturer" dataDxfId="229"/>
    <tableColumn id="4" name="Device Family" dataDxfId="228"/>
    <tableColumn id="5" name="Device Model" dataDxfId="227"/>
    <tableColumn id="6" name="Serial Number"/>
    <tableColumn id="7" name="IMEI / Service Tag"/>
    <tableColumn id="8" name="Color"/>
    <tableColumn id="9" name="Storage"/>
    <tableColumn id="10" name="Carrier"/>
    <tableColumn id="11" name="Purchase Date"/>
    <tableColumn id="12" name="Warranty Expiration"/>
    <tableColumn id="13" name="Active" dataDxfId="226"/>
    <tableColumn id="14" name="Notes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id="61" name="tblCustomerAddress" displayName="tblCustomerAddress" ref="A4:E5" headerRowCount="1" totalsRowShown="0" headerRowDxfId="225" dataDxfId="223" headerRowBorderDxfId="224" tableBorderDxfId="222" totalsRowBorderDxfId="221">
  <autoFilter ref="A4:E5"/>
  <tableColumns count="5">
    <tableColumn id="1" name="CustomerID" dataDxfId="220"/>
    <tableColumn id="2" name="FirstName" dataDxfId="219"/>
    <tableColumn id="3" name="LastName" dataDxfId="218"/>
    <tableColumn id="4" name="Phone" dataDxfId="217"/>
    <tableColumn id="5" name="Email" dataDxfId="216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id="62" name="tblCustomerCommunications" displayName="tblCustomerCommunications" ref="A4:E5" headerRowCount="1" totalsRowShown="0" headerRowDxfId="215" dataDxfId="213" headerRowBorderDxfId="214" tableBorderDxfId="212" totalsRowBorderDxfId="211">
  <autoFilter ref="A4:E5"/>
  <tableColumns count="5">
    <tableColumn id="1" name="CustomerID" dataDxfId="210"/>
    <tableColumn id="2" name="FirstName" dataDxfId="209"/>
    <tableColumn id="3" name="LastName" dataDxfId="208"/>
    <tableColumn id="4" name="Phone" dataDxfId="207"/>
    <tableColumn id="5" name="Email" dataDxfId="206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id="63" name="tblRepairTickets" displayName="tblRepairTickets" ref="A2:N4" headerRowCount="1" totalsRowShown="0">
  <autoFilter ref="A2:N3"/>
  <tableColumns count="14">
    <tableColumn id="1" name="Ticket ID"/>
    <tableColumn id="2" name="Customer ID"/>
    <tableColumn id="3" name="Device ID"/>
    <tableColumn id="4" name="Repair Status"/>
    <tableColumn id="5" name="Intake Date"/>
    <tableColumn id="6" name="Technician"/>
    <tableColumn id="7" name="Problem Description"/>
    <tableColumn id="8" name="Diagnosis"/>
    <tableColumn id="9" name="Estimated Cost"/>
    <tableColumn id="10" name="Final Cost"/>
    <tableColumn id="11" name="Date Completed"/>
    <tableColumn id="12" name="Date Picked Up"/>
    <tableColumn id="13" name="Warranty"/>
    <tableColumn id="14" name="Notes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64" name="tblDiagnostics" displayName="tblDiagnostics" ref="A4:E5" headerRowCount="1" totalsRowShown="0" headerRowDxfId="205" dataDxfId="203" headerRowBorderDxfId="204" tableBorderDxfId="202" totalsRowBorderDxfId="201">
  <autoFilter ref="A4:E5"/>
  <tableColumns count="5">
    <tableColumn id="1" name="CustomerID" dataDxfId="200"/>
    <tableColumn id="2" name="FirstName" dataDxfId="199"/>
    <tableColumn id="3" name="LastName" dataDxfId="198"/>
    <tableColumn id="4" name="Phone" dataDxfId="197"/>
    <tableColumn id="5" name="Email" dataDxfId="196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id="65" name="tblPartsUsed" displayName="tblPartsUsed" ref="A5:E6" headerRowCount="1" totalsRowShown="0" headerRowDxfId="195" dataDxfId="193" headerRowBorderDxfId="194" tableBorderDxfId="192" totalsRowBorderDxfId="191">
  <autoFilter ref="A5:E6"/>
  <tableColumns count="5">
    <tableColumn id="1" name="CustomerID" dataDxfId="190"/>
    <tableColumn id="2" name="FirstName" dataDxfId="189"/>
    <tableColumn id="3" name="LastName" dataDxfId="188"/>
    <tableColumn id="4" name="Phone" dataDxfId="187"/>
    <tableColumn id="5" name="Email" dataDxfId="186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id="66" name="tblQualityControl" displayName="tblQualityControl" ref="A5:E6" headerRowCount="1" totalsRowShown="0" headerRowDxfId="185" dataDxfId="183" headerRowBorderDxfId="184" tableBorderDxfId="182" totalsRowBorderDxfId="181">
  <autoFilter ref="A5:E6"/>
  <tableColumns count="5">
    <tableColumn id="1" name="CustomerID" dataDxfId="180"/>
    <tableColumn id="2" name="FirstName" dataDxfId="179"/>
    <tableColumn id="3" name="LastName" dataDxfId="178"/>
    <tableColumn id="4" name="Phone" dataDxfId="177"/>
    <tableColumn id="5" name="Email" dataDxfId="176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id="67" name="tblRepairTimeline" displayName="tblRepairTimeline" ref="A6:E7" headerRowCount="1" totalsRowShown="0" headerRowDxfId="175" dataDxfId="174" tableBorderDxfId="173">
  <autoFilter ref="A6:E7"/>
  <tableColumns count="5">
    <tableColumn id="1" name="CustomerID" dataDxfId="172"/>
    <tableColumn id="2" name="FirstName" dataDxfId="171"/>
    <tableColumn id="3" name="LastName" dataDxfId="170"/>
    <tableColumn id="4" name="Phone" dataDxfId="169"/>
    <tableColumn id="5" name="Email" dataDxfId="168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id="68" name="tblManufacturerCatalog" displayName="tblManufacturerCatalog" ref="A3:E38" headerRowCount="1" totalsRowShown="0" headerRowDxfId="167">
  <autoFilter ref="A3:E38"/>
  <tableColumns count="5">
    <tableColumn id="1" name="Manufacturer ID" dataDxfId="166"/>
    <tableColumn id="2" name="Manufacturer" dataDxfId="165"/>
    <tableColumn id="3" name="Website" dataDxfId="164" dataCellStyle="Hyperlink"/>
    <tableColumn id="4" name="Active" dataDxfId="163"/>
    <tableColumn id="5" name="Notes" dataDxfId="162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id="69" name="tblDeviceCatalog" displayName="tblDeviceCatalog" ref="A3:D10" headerRowCount="1" totalsRowShown="0">
  <autoFilter ref="A3:D10"/>
  <tableColumns count="4">
    <tableColumn id="1" name="Device Family Code"/>
    <tableColumn id="2" name="Device Family"/>
    <tableColumn id="3" name="Description"/>
    <tableColumn id="4" name="Active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id="70" name="tblMasterDevices" displayName="tblMasterDevices" ref="A1:I843" headerRowCount="1" insertRowShift="1" totalsRowShown="0">
  <autoFilter ref="A1:I843">
    <filterColumn colId="1" hiddenButton="0" showButton="1">
      <filters>
        <filter val="APL"/>
      </filters>
    </filterColumn>
    <filterColumn colId="2" hiddenButton="0" showButton="1">
      <filters>
        <filter val="PHN"/>
      </filters>
    </filterColumn>
  </autoFilter>
  <sortState ref="A2:I843">
    <sortCondition ref="A1:A843"/>
  </sortState>
  <tableColumns count="9">
    <tableColumn id="1" name="Device ID"/>
    <tableColumn id="2" name="Manufacturer Code" dataDxfId="161"/>
    <tableColumn id="3" name="Device Family Code" dataDxfId="160"/>
    <tableColumn id="4" name="Device Model" dataDxfId="159"/>
    <tableColumn id="5" name="Model Number" dataDxfId="158">
      <calculatedColumnFormula>_xlfn.XLOOKUP(D2,'[2]8A. Master Device Catalog'!$F$5:$F$914,'[2]8A. Master Device Catalog'!$G$5:$G$914,"")</calculatedColumnFormula>
    </tableColumn>
    <tableColumn id="6" name="Release Year" dataDxfId="157">
      <calculatedColumnFormula>_xlfn.XLOOKUP(D2,'[2]8A. Master Device Catalog'!$F$5:$F$914,'[2]8A. Master Device Catalog'!$H$5:$H$914,"")</calculatedColumnFormula>
    </tableColumn>
    <tableColumn id="7" name="End of Support"/>
    <tableColumn id="8" name="Active"/>
    <tableColumn id="9" name="Notes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id="71" name="tblServiceTypes" displayName="tblServiceTypes" ref="B4:H33" headerRowCount="1" totalsRowShown="0" headerRowDxfId="156">
  <autoFilter ref="B4:H33"/>
  <tableColumns count="7">
    <tableColumn id="1" name="Service Category" dataDxfId="155"/>
    <tableColumn id="2" name="Service Type" dataDxfId="154"/>
    <tableColumn id="3" name="Description"/>
    <tableColumn id="4" name="Default Warranty"/>
    <tableColumn id="5" name="Default Labor Time"/>
    <tableColumn id="6" name="Taxable"/>
    <tableColumn id="7" name="Active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id="72" name="tblServiceType" displayName="tblServiceType" ref="L4:T74" headerRowCount="1" totalsRowShown="0" dataDxfId="153">
  <autoFilter ref="L4:T74"/>
  <tableColumns count="9">
    <tableColumn id="1" name="Service Category" dataDxfId="152"/>
    <tableColumn id="2" name="Service Type" dataDxfId="151"/>
    <tableColumn id="3" name="Service Description" dataDxfId="150"/>
    <tableColumn id="4" name="Applies To" dataDxfId="149"/>
    <tableColumn id="5" name="Estimated Time (Min)" dataDxfId="148"/>
    <tableColumn id="6" name="Default Warranty (Days)" dataDxfId="147"/>
    <tableColumn id="7" name="Taxable" dataDxfId="146"/>
    <tableColumn id="8" name="Active" dataDxfId="145"/>
    <tableColumn id="9" name="Internal Notes" dataDxfId="144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id="73" name="tblMasterServices" displayName="tblMasterServices" ref="A1:K76" headerRowCount="1" totalsRowShown="0" headerRowDxfId="143" dataDxfId="142">
  <autoFilter ref="A1:K76"/>
  <tableColumns count="11">
    <tableColumn id="1" name="Service ID"/>
    <tableColumn id="2" name="Service Name"/>
    <tableColumn id="3" name="Service Category"/>
    <tableColumn id="4" name="Repair Type"/>
    <tableColumn id="5" name="Requires Part " dataDxfId="141"/>
    <tableColumn id="6" name="Requires Labor" dataDxfId="140"/>
    <tableColumn id="7" name="Estimated Labor (hrs)" dataDxfId="139"/>
    <tableColumn id="8" name="Warranty Eligible" dataDxfId="138"/>
    <tableColumn id="12" name="Repair Difficulty"/>
    <tableColumn id="9" name="Active" dataDxfId="137"/>
    <tableColumn id="10" name="Notes" dataDxfId="136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id="74" name="tblCompatibilityID" displayName="tblCompatibilityID" ref="A2:F84" headerRowCount="1" totalsRowShown="0" headerRowDxfId="135">
  <autoFilter ref="A2:F84"/>
  <sortState ref="A3:F77">
    <sortCondition ref="C2:C77"/>
  </sortState>
  <tableColumns count="6">
    <tableColumn id="1" name="Compatibility ID"/>
    <tableColumn id="2" name="Device Family"/>
    <tableColumn id="3" name="Service Name" dataDxfId="134"/>
    <tableColumn id="4" name="Supported" dataDxfId="133"/>
    <tableColumn id="5" name="Requires Capability" dataDxfId="132"/>
    <tableColumn id="6" name="Notes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id="75" name="tblGuideCategories" displayName="tblGuideCategories" ref="A2:H18" headerRowCount="1" totalsRowShown="0">
  <autoFilter ref="A2:H18"/>
  <tableColumns count="8">
    <tableColumn id="1" name="Category ID"/>
    <tableColumn id="2" name="Category Name"/>
    <tableColumn id="3" name="Category Description"/>
    <tableColumn id="4" name="Display Order"/>
    <tableColumn id="5" name="Active"/>
    <tableColumn id="6" name="Created Date"/>
    <tableColumn id="7" name="Modified Date"/>
    <tableColumn id="8" name="Notes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id="76" name="tblGuideSources" displayName="tblGuideSources" ref="A2:J10" headerRowCount="1" totalsRowShown="0">
  <autoFilter ref="A2:J10"/>
  <tableColumns count="10">
    <tableColumn id="1" name="Source ID"/>
    <tableColumn id="2" name="Source Name"/>
    <tableColumn id="3" name="Source Type"/>
    <tableColumn id="4" name="Website"/>
    <tableColumn id="5" name="License Type"/>
    <tableColumn id="6" name="Requires Internet"/>
    <tableColumn id="7" name="Active"/>
    <tableColumn id="8" name="Created Date"/>
    <tableColumn id="9" name="Modified Date"/>
    <tableColumn id="10" name="Notes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id="77" name="tblRepairGuides" displayName="tblRepairGuides" ref="A1:U2381" headerRowCount="1" totalsRowShown="0" headerRowDxfId="131" dataDxfId="129" headerRowBorderDxfId="130" tableBorderDxfId="128" totalsRowBorderDxfId="127">
  <autoFilter ref="A1:U2381"/>
  <tableColumns count="21">
    <tableColumn id="1" name="Guide ID" dataDxfId="126"/>
    <tableColumn id="2" name="Device ID" dataDxfId="125"/>
    <tableColumn id="3" name="Manufacturer" dataDxfId="124"/>
    <tableColumn id="4" name="Device Family" dataDxfId="123"/>
    <tableColumn id="5" name="Device Name" dataDxfId="122"/>
    <tableColumn id="6" name="Service ID" dataDxfId="121"/>
    <tableColumn id="7" name="Service Name" dataDxfId="120"/>
    <tableColumn id="8" name="Guide Category" dataDxfId="119"/>
    <tableColumn id="9" name="Document Type" dataDxfId="118"/>
    <tableColumn id="10" name="Guide Title" dataDxfId="117"/>
    <tableColumn id="11" name="Guide Format" dataDxfId="116"/>
    <tableColumn id="12" name="Source" dataDxfId="115"/>
    <tableColumn id="13" name="Embed URL" dataDxfId="114"/>
    <tableColumn id="14" name="Local File" dataDxfId="113"/>
    <tableColumn id="15" name="Difficulty" dataDxfId="112"/>
    <tableColumn id="16" name="Standard Labor" dataDxfId="111"/>
    <tableColumn id="17" name="Skill Level" dataDxfId="110"/>
    <tableColumn id="18" name="Active" dataDxfId="109"/>
    <tableColumn id="19" name="Last Verified" dataDxfId="108"/>
    <tableColumn id="21" name="Guide Status" dataDxfId="107"/>
    <tableColumn id="20" name="Notes" dataDxfId="106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id="78" name="tblTechnicalLibrary" displayName="tblTechnicalLibrary" ref="A2:U4" headerRowCount="1" totalsRowShown="0">
  <autoFilter ref="A2:U4"/>
  <tableColumns count="21">
    <tableColumn id="1" name="Technical ID"/>
    <tableColumn id="2" name="Resource Type ID"/>
    <tableColumn id="3" name="Resource Type"/>
    <tableColumn id="4" name="Device ID"/>
    <tableColumn id="5" name="Device Name"/>
    <tableColumn id="6" name="Manufacturer"/>
    <tableColumn id="7" name="Device Family"/>
    <tableColumn id="8" name="Service ID"/>
    <tableColumn id="9" name="Service Name"/>
    <tableColumn id="10" name="Category ID"/>
    <tableColumn id="11" name="Category Name"/>
    <tableColumn id="12" name="Reference ID"/>
    <tableColumn id="13" name="Source ID"/>
    <tableColumn id="14" name="Source Name"/>
    <tableColumn id="15" name="Resource Title"/>
    <tableColumn id="16" name="Version"/>
    <tableColumn id="17" name="Active"/>
    <tableColumn id="18" name="Last Verified"/>
    <tableColumn id="19" name="Created Date"/>
    <tableColumn id="20" name="Modified Date"/>
    <tableColumn id="21" name="Notes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id="79" name="tblLaborStandards" displayName="tblLaborStandards" ref="A2:R4" headerRowCount="1" totalsRowShown="0">
  <autoFilter ref="A2:R4"/>
  <tableColumns count="18">
    <tableColumn id="1" name="Labor ID"/>
    <tableColumn id="2" name="Device ID"/>
    <tableColumn id="3" name="Device Name"/>
    <tableColumn id="4" name="Manufacturer"/>
    <tableColumn id="5" name="Device Family"/>
    <tableColumn id="6" name="Service ID"/>
    <tableColumn id="7" name="Service Name"/>
    <tableColumn id="8" name="Category ID"/>
    <tableColumn id="9" name="Category Name"/>
    <tableColumn id="10" name="Standard Labor (Minutes)"/>
    <tableColumn id="11" name="Difficulty Code"/>
    <tableColumn id="12" name="Difficulty"/>
    <tableColumn id="13" name="Estimated Repair Time"/>
    <tableColumn id="14" name="Repair Complexity"/>
    <tableColumn id="15" name="Warranty Eligible"/>
    <tableColumn id="16" name="Active"/>
    <tableColumn id="17" name="Last Updated"/>
    <tableColumn id="18" name="Notes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id="80" name="tblToolLibrary" displayName="tblToolLibrary" ref="A2:N4" headerRowCount="1" totalsRowShown="0">
  <autoFilter ref="A2:N4"/>
  <tableColumns count="14">
    <tableColumn id="1" name="Tool ID"/>
    <tableColumn id="2" name="Tool Name"/>
    <tableColumn id="3" name="Tool Category ID"/>
    <tableColumn id="4" name="Tool Category"/>
    <tableColumn id="5" name="Manufacturer"/>
    <tableColumn id="6" name="Model Number"/>
    <tableColumn id="7" name="Size"/>
    <tableColumn id="8" name="Description"/>
    <tableColumn id="9" name="Reusable"/>
    <tableColumn id="10" name="Consumable"/>
    <tableColumn id="11" name="Calibration Required"/>
    <tableColumn id="12" name="Purchase URL"/>
    <tableColumn id="13" name="Active"/>
    <tableColumn id="14" name="Notes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id="81" name="tblRepairTools" displayName="tblRepairTools" ref="A2:F4" headerRowCount="1" totalsRowShown="0">
  <autoFilter ref="A2:F4"/>
  <tableColumns count="6">
    <tableColumn id="1" name="Repair Tool ID"/>
    <tableColumn id="2" name="Device ID"/>
    <tableColumn id="3" name="Service ID"/>
    <tableColumn id="4" name="Tool ID"/>
    <tableColumn id="5" name="Required"/>
    <tableColumn id="6" name="Notes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id="82" name="tblRepairParts" displayName="tblRepairParts" ref="A2:G3" headerRowCount="1" totalsRowShown="0">
  <autoFilter ref="A2:G3"/>
  <tableColumns count="7">
    <tableColumn id="1" name="Repair Part ID"/>
    <tableColumn id="2" name="Device ID"/>
    <tableColumn id="3" name="Service ID"/>
    <tableColumn id="4" name="Part ID"/>
    <tableColumn id="5" name="Quanity"/>
    <tableColumn id="6" name="Required"/>
    <tableColumn id="7" name="Notes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id="83" name="tblTechnicalDocuments" displayName="tblTechnicalDocuments" ref="A2:V4" headerRowCount="1" totalsRowShown="0">
  <autoFilter ref="A2:V4"/>
  <tableColumns count="22">
    <tableColumn id="1" name="Document ID"/>
    <tableColumn id="2" name="Device ID"/>
    <tableColumn id="3" name="Device Name"/>
    <tableColumn id="4" name="Manufacturer"/>
    <tableColumn id="5" name="Device Family"/>
    <tableColumn id="6" name="Service ID"/>
    <tableColumn id="7" name="Service Name"/>
    <tableColumn id="8" name="Document Type ID"/>
    <tableColumn id="9" name="Document Type"/>
    <tableColumn id="10" name="Title"/>
    <tableColumn id="11" name="File Name"/>
    <tableColumn id="12" name="File Location"/>
    <tableColumn id="13" name="Source ID"/>
    <tableColumn id="14" name="Source Name"/>
    <tableColumn id="15" name="Version"/>
    <tableColumn id="16" name="File Size"/>
    <tableColumn id="17" name="Pages"/>
    <tableColumn id="18" name="Active"/>
    <tableColumn id="19" name="Last Verified"/>
    <tableColumn id="20" name="Created Date"/>
    <tableColumn id="21" name="Modified Date"/>
    <tableColumn id="22" name="Notes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id="84" name="tblCommonFailures" displayName="tblCommonFailures" ref="A2:P5" headerRowCount="1" totalsRowShown="0">
  <autoFilter ref="A2:P5"/>
  <tableColumns count="16">
    <tableColumn id="1" name="Failure ID"/>
    <tableColumn id="2" name="Device ID"/>
    <tableColumn id="3" name="Device Name"/>
    <tableColumn id="4" name="Service ID"/>
    <tableColumn id="5" name="Service Name"/>
    <tableColumn id="6" name="Category ID"/>
    <tableColumn id="7" name="Failure Title"/>
    <tableColumn id="8" name="Failure Description"/>
    <tableColumn id="9" name="Cause"/>
    <tableColumn id="10" name="Prevention"/>
    <tableColumn id="11" name="Severity"/>
    <tableColumn id="12" name="Frequency"/>
    <tableColumn id="13" name="Active"/>
    <tableColumn id="14" name="Created Date"/>
    <tableColumn id="15" name="Modified Date"/>
    <tableColumn id="16" name="Notes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id="85" name="tblQualityChecklists" displayName="tblQualityChecklists" ref="A2:J4" headerRowCount="1" totalsRowShown="0">
  <autoFilter ref="A2:J4"/>
  <tableColumns count="10">
    <tableColumn id="1" name="Checklist ID"/>
    <tableColumn id="2" name="Device ID"/>
    <tableColumn id="3" name="Service ID"/>
    <tableColumn id="4" name="Checklist Name"/>
    <tableColumn id="5" name="Step Number"/>
    <tableColumn id="6" name="Inspection Item"/>
    <tableColumn id="7" name="Required"/>
    <tableColumn id="8" name="Pass/Fail"/>
    <tableColumn id="9" name="Notes"/>
    <tableColumn id="10" name="Active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id="86" name="tblTrainingVideos" displayName="tblTrainingVideos" ref="A2:M4" headerRowCount="1" totalsRowShown="0">
  <autoFilter ref="A2:M4"/>
  <tableColumns count="13">
    <tableColumn id="1" name="Video ID"/>
    <tableColumn id="2" name="Device ID"/>
    <tableColumn id="3" name="Device Name"/>
    <tableColumn id="4" name="Service ID"/>
    <tableColumn id="5" name="Service Name"/>
    <tableColumn id="6" name="Source ID"/>
    <tableColumn id="7" name="Video Title"/>
    <tableColumn id="8" name="Video URL"/>
    <tableColumn id="9" name="Duration"/>
    <tableColumn id="10" name="Skill Level"/>
    <tableColumn id="11" name="Active"/>
    <tableColumn id="12" name="Last Verified"/>
    <tableColumn id="13" name="Notes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id="87" name="tblRepairNotes" displayName="tblRepairNotes" ref="A2:M5" headerRowCount="1" totalsRowShown="0">
  <autoFilter ref="A2:M5"/>
  <tableColumns count="13">
    <tableColumn id="1" name="Note ID"/>
    <tableColumn id="2" name="Device ID"/>
    <tableColumn id="3" name="Device Name"/>
    <tableColumn id="4" name="Service ID"/>
    <tableColumn id="5" name="Service Name"/>
    <tableColumn id="6" name="Note Category"/>
    <tableColumn id="7" name="Title"/>
    <tableColumn id="8" name="Note"/>
    <tableColumn id="9" name="Author"/>
    <tableColumn id="10" name="Revision"/>
    <tableColumn id="11" name="Active"/>
    <tableColumn id="12" name="Created Date"/>
    <tableColumn id="13" name="Modified Date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id="88" name="tblPartsCatalog" displayName="tblPartsCatalog" ref="A2:J3" headerRowCount="1" insertRow="1" totalsRowShown="0" headerRowDxfId="105">
  <autoFilter ref="A2:J3"/>
  <tableColumns count="10">
    <tableColumn id="1" name="Manufacturer"/>
    <tableColumn id="2" name="Device Type"/>
    <tableColumn id="3" name="Device Family"/>
    <tableColumn id="4" name="Device Model"/>
    <tableColumn id="5" name="Service Type"/>
    <tableColumn id="6" name="Labor"/>
    <tableColumn id="7" name="Parts"/>
    <tableColumn id="8" name="Final Price"/>
    <tableColumn id="9" name="Square Item Name"/>
    <tableColumn id="10" name="SKU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id="89" name="tblSupplierCatalog" displayName="tblSupplierCatalog" ref="A2:C11" headerRowCount="1" totalsRowShown="0" headerRowDxfId="104" dataDxfId="103">
  <autoFilter ref="A2:C11"/>
  <tableColumns count="3">
    <tableColumn id="1" name="Supplier" dataDxfId="102"/>
    <tableColumn id="2" name="Website" dataDxfId="101"/>
    <tableColumn id="3" name="Notes" dataDxfId="100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id="90" name="tblPurchaseOrders" displayName="tblPurchaseOrders" ref="A5:G9" headerRowCount="1" totalsRowShown="0">
  <autoFilter ref="A5:G9"/>
  <tableColumns count="7">
    <tableColumn id="1" name="Column1"/>
    <tableColumn id="2" name="Column2"/>
    <tableColumn id="3" name="Column3"/>
    <tableColumn id="4" name="Column4"/>
    <tableColumn id="5" name="Column5"/>
    <tableColumn id="6" name="Column6"/>
    <tableColumn id="7" name="Column7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id="91" name="tblLaborRates" displayName="tblLaborRates" ref="B3:D13" headerRowCount="1" totalsRowShown="0" headerRowDxfId="99" dataDxfId="98">
  <autoFilter ref="B3:D13"/>
  <tableColumns count="3">
    <tableColumn id="1" name="Service Type" dataDxfId="97"/>
    <tableColumn id="2" name="Labor Price" dataDxfId="96"/>
    <tableColumn id="3" name="Estimated Time" dataDxfId="95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id="92" name="tblParts" displayName="tblParts" ref="B17:E20" headerRowCount="1" totalsRowShown="0" headerRowDxfId="94" dataDxfId="93">
  <autoFilter ref="B17:E20"/>
  <tableColumns count="4">
    <tableColumn id="1" name="Manufacturer" dataDxfId="92"/>
    <tableColumn id="2" name="Device Model" dataDxfId="91"/>
    <tableColumn id="3" name="Part" dataDxfId="90"/>
    <tableColumn id="4" name="Cost" dataDxfId="89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id="93" name="tblRetailPricing" displayName="tblRetailPricing" ref="B27:F33" headerRowCount="1" totalsRowShown="0" headerRowDxfId="88" dataDxfId="87">
  <autoFilter ref="B27:F33"/>
  <tableColumns count="5">
    <tableColumn id="4" name="Service Type" dataDxfId="86"/>
    <tableColumn id="1" name="Labor" dataDxfId="85"/>
    <tableColumn id="2" name="Part" dataDxfId="84"/>
    <tableColumn id="5" name="Processing Fees" dataDxfId="83">
      <calculatedColumnFormula>(tblRetailPricing[[#This Row],[Labor]]+tblRetailPricing[[#This Row],[Part]])*0.05</calculatedColumnFormula>
    </tableColumn>
    <tableColumn id="3" name="Retail" dataDxfId="82">
      <calculatedColumnFormula>tblRetailPricing[[#This Row],[Labor]]+tblRetailPricing[[#This Row],[Part]]+tblRetailPricing[[#This Row],[Processing Fees]]</calculatedColumnFormula>
    </tableColumn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id="94" name="tblProfitMargin" displayName="tblProfitMargin" ref="B39:J41" headerRowCount="1" totalsRowShown="0" headerRowDxfId="81" dataDxfId="80">
  <autoFilter ref="B39:J41"/>
  <tableColumns count="9">
    <tableColumn id="5" name="Supplier" dataDxfId="79"/>
    <tableColumn id="6" name="Part Name" dataDxfId="78"/>
    <tableColumn id="7" name="Supplier SKU" dataDxfId="77"/>
    <tableColumn id="1" name="Supplier Cost" dataDxfId="76"/>
    <tableColumn id="2" name="Labor Cost" dataDxfId="75"/>
    <tableColumn id="3" name="Processing Fee 1%" dataDxfId="74">
      <calculatedColumnFormula>(tblProfitMargin[[#This Row],[Supplier Cost]]+tblProfitMargin[[#This Row],[Labor Cost]])</calculatedColumnFormula>
    </tableColumn>
    <tableColumn id="9" name="Profit Margin %"/>
    <tableColumn id="4" name="Retail Part Markup" dataDxfId="73">
      <calculatedColumnFormula>(tblProfitMargin[[#This Row],[Supplier Cost]]+tblProfitMargin[[#This Row],[Labor Cost]])*(1+tblProfitMargin[[#This Row],[Profit Margin %]])</calculatedColumnFormula>
    </tableColumn>
    <tableColumn id="8" name="Final Price" dataDxfId="72">
      <calculatedColumnFormula>ROUND(I40+G40,2)</calculatedColumnFormula>
    </tableColumn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id="95" name="tblEstimates" displayName="tblEstimates" ref="A5:E6" headerRowCount="1" totalsRowShown="0" headerRowDxfId="71" dataDxfId="69" headerRowBorderDxfId="70" tableBorderDxfId="68" totalsRowBorderDxfId="67">
  <autoFilter ref="A5:E6"/>
  <tableColumns count="5">
    <tableColumn id="1" name="CustomerID" dataDxfId="66"/>
    <tableColumn id="2" name="FirstName" dataDxfId="65"/>
    <tableColumn id="3" name="LastName" dataDxfId="64"/>
    <tableColumn id="4" name="Phone" dataDxfId="63"/>
    <tableColumn id="5" name="Email" dataDxfId="62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id="96" name="tblInvoices" displayName="tblInvoices" ref="A6:E7" headerRowCount="1" totalsRowShown="0" headerRowDxfId="61" dataDxfId="59" headerRowBorderDxfId="60" tableBorderDxfId="58" totalsRowBorderDxfId="57">
  <autoFilter ref="A6:E7"/>
  <tableColumns count="5">
    <tableColumn id="1" name="CustomerID" dataDxfId="56"/>
    <tableColumn id="2" name="FirstName" dataDxfId="55"/>
    <tableColumn id="3" name="LastName" dataDxfId="54"/>
    <tableColumn id="4" name="Phone" dataDxfId="53"/>
    <tableColumn id="5" name="Email" dataDxfId="52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id="97" name="tblPayments" displayName="tblPayments" ref="A5:E6" headerRowCount="1" totalsRowShown="0" headerRowDxfId="51" dataDxfId="49" headerRowBorderDxfId="50" tableBorderDxfId="48" totalsRowBorderDxfId="47">
  <autoFilter ref="A5:E6"/>
  <tableColumns count="5">
    <tableColumn id="1" name="CustomerID" dataDxfId="46"/>
    <tableColumn id="2" name="FirstName" dataDxfId="45"/>
    <tableColumn id="3" name="LastName" dataDxfId="44"/>
    <tableColumn id="4" name="Phone" dataDxfId="43"/>
    <tableColumn id="5" name="Email" dataDxfId="42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id="98" name="Table67" displayName="Table67" ref="A2:G4" headerRowCount="1" totalsRowShown="0">
  <autoFilter ref="A2:G4"/>
  <tableColumns count="7">
    <tableColumn id="1" name="Labor Rate ID"/>
    <tableColumn id="2" name="Repair Category"/>
    <tableColumn id="3" name="Device Family"/>
    <tableColumn id="4" name="Hourly Rate"/>
    <tableColumn id="5" name="Effective Date"/>
    <tableColumn id="6" name="Active"/>
    <tableColumn id="7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2.xml" Id="rId1" /><Relationship Type="http://schemas.openxmlformats.org/officeDocument/2006/relationships/table" Target="/xl/tables/table3.xml" Id="rId2" /><Relationship Type="http://schemas.openxmlformats.org/officeDocument/2006/relationships/table" Target="/xl/tables/table4.xml" Id="rId3" /><Relationship Type="http://schemas.openxmlformats.org/officeDocument/2006/relationships/table" Target="/xl/tables/table5.xml" Id="rId4" /><Relationship Type="http://schemas.openxmlformats.org/officeDocument/2006/relationships/table" Target="/xl/tables/table6.xml" Id="rId5" /><Relationship Type="http://schemas.openxmlformats.org/officeDocument/2006/relationships/table" Target="/xl/tables/table7.xml" Id="rId6" /><Relationship Type="http://schemas.openxmlformats.org/officeDocument/2006/relationships/table" Target="/xl/tables/table8.xml" Id="rId7" /><Relationship Type="http://schemas.openxmlformats.org/officeDocument/2006/relationships/table" Target="/xl/tables/table9.xml" Id="rId8" /><Relationship Type="http://schemas.openxmlformats.org/officeDocument/2006/relationships/table" Target="/xl/tables/table10.xml" Id="rId9" /><Relationship Type="http://schemas.openxmlformats.org/officeDocument/2006/relationships/table" Target="/xl/tables/table11.xml" Id="rId10" /><Relationship Type="http://schemas.openxmlformats.org/officeDocument/2006/relationships/table" Target="/xl/tables/table12.xml" Id="rId11" /><Relationship Type="http://schemas.openxmlformats.org/officeDocument/2006/relationships/table" Target="/xl/tables/table13.xml" Id="rId12" /><Relationship Type="http://schemas.openxmlformats.org/officeDocument/2006/relationships/table" Target="/xl/tables/table14.xml" Id="rId13" /><Relationship Type="http://schemas.openxmlformats.org/officeDocument/2006/relationships/table" Target="/xl/tables/table15.xml" Id="rId14" /><Relationship Type="http://schemas.openxmlformats.org/officeDocument/2006/relationships/table" Target="/xl/tables/table16.xml" Id="rId15" /><Relationship Type="http://schemas.openxmlformats.org/officeDocument/2006/relationships/table" Target="/xl/tables/table17.xml" Id="rId16" /><Relationship Type="http://schemas.openxmlformats.org/officeDocument/2006/relationships/table" Target="/xl/tables/table18.xml" Id="rId17" /><Relationship Type="http://schemas.openxmlformats.org/officeDocument/2006/relationships/table" Target="/xl/tables/table19.xml" Id="rId18" /><Relationship Type="http://schemas.openxmlformats.org/officeDocument/2006/relationships/table" Target="/xl/tables/table20.xml" Id="rId19" /><Relationship Type="http://schemas.openxmlformats.org/officeDocument/2006/relationships/table" Target="/xl/tables/table21.xml" Id="rId20" /><Relationship Type="http://schemas.openxmlformats.org/officeDocument/2006/relationships/table" Target="/xl/tables/table22.xml" Id="rId21" /><Relationship Type="http://schemas.openxmlformats.org/officeDocument/2006/relationships/table" Target="/xl/tables/table23.xml" Id="rId22" /><Relationship Type="http://schemas.openxmlformats.org/officeDocument/2006/relationships/table" Target="/xl/tables/table24.xml" Id="rId23" /><Relationship Type="http://schemas.openxmlformats.org/officeDocument/2006/relationships/table" Target="/xl/tables/table25.xml" Id="rId24" /><Relationship Type="http://schemas.openxmlformats.org/officeDocument/2006/relationships/table" Target="/xl/tables/table26.xml" Id="rId25" /><Relationship Type="http://schemas.openxmlformats.org/officeDocument/2006/relationships/table" Target="/xl/tables/table27.xml" Id="rId26" /><Relationship Type="http://schemas.openxmlformats.org/officeDocument/2006/relationships/table" Target="/xl/tables/table28.xml" Id="rId27" /><Relationship Type="http://schemas.openxmlformats.org/officeDocument/2006/relationships/table" Target="/xl/tables/table29.xml" Id="rId28" /><Relationship Type="http://schemas.openxmlformats.org/officeDocument/2006/relationships/table" Target="/xl/tables/table30.xml" Id="rId29" /><Relationship Type="http://schemas.openxmlformats.org/officeDocument/2006/relationships/table" Target="/xl/tables/table31.xml" Id="rId30" /><Relationship Type="http://schemas.openxmlformats.org/officeDocument/2006/relationships/table" Target="/xl/tables/table32.xml" Id="rId31" /><Relationship Type="http://schemas.openxmlformats.org/officeDocument/2006/relationships/table" Target="/xl/tables/table33.xml" Id="rId32" /><Relationship Type="http://schemas.openxmlformats.org/officeDocument/2006/relationships/table" Target="/xl/tables/table34.xml" Id="rId33" /><Relationship Type="http://schemas.openxmlformats.org/officeDocument/2006/relationships/table" Target="/xl/tables/table35.xml" Id="rId34" /><Relationship Type="http://schemas.openxmlformats.org/officeDocument/2006/relationships/table" Target="/xl/tables/table36.xml" Id="rId35" /><Relationship Type="http://schemas.openxmlformats.org/officeDocument/2006/relationships/table" Target="/xl/tables/table37.xml" Id="rId36" /><Relationship Type="http://schemas.openxmlformats.org/officeDocument/2006/relationships/table" Target="/xl/tables/table38.xml" Id="rId37" /><Relationship Type="http://schemas.openxmlformats.org/officeDocument/2006/relationships/table" Target="/xl/tables/table39.xml" Id="rId38" /><Relationship Type="http://schemas.openxmlformats.org/officeDocument/2006/relationships/table" Target="/xl/tables/table40.xml" Id="rId39" /><Relationship Type="http://schemas.openxmlformats.org/officeDocument/2006/relationships/table" Target="/xl/tables/table41.xml" Id="rId40" /><Relationship Type="http://schemas.openxmlformats.org/officeDocument/2006/relationships/table" Target="/xl/tables/table42.xml" Id="rId41" /><Relationship Type="http://schemas.openxmlformats.org/officeDocument/2006/relationships/table" Target="/xl/tables/table43.xml" Id="rId42" /><Relationship Type="http://schemas.openxmlformats.org/officeDocument/2006/relationships/table" Target="/xl/tables/table44.xml" Id="rId43" /><Relationship Type="http://schemas.openxmlformats.org/officeDocument/2006/relationships/table" Target="/xl/tables/table45.xml" Id="rId44" /><Relationship Type="http://schemas.openxmlformats.org/officeDocument/2006/relationships/table" Target="/xl/tables/table46.xml" Id="rId45" /><Relationship Type="http://schemas.openxmlformats.org/officeDocument/2006/relationships/table" Target="/xl/tables/table47.xml" Id="rId46" /><Relationship Type="http://schemas.openxmlformats.org/officeDocument/2006/relationships/table" Target="/xl/tables/table48.xml" Id="rId47" /><Relationship Type="http://schemas.openxmlformats.org/officeDocument/2006/relationships/table" Target="/xl/tables/table49.xml" Id="rId48" /><Relationship Type="http://schemas.openxmlformats.org/officeDocument/2006/relationships/table" Target="/xl/tables/table50.xml" Id="rId49" /><Relationship Type="http://schemas.openxmlformats.org/officeDocument/2006/relationships/table" Target="/xl/tables/table51.xml" Id="rId50" /><Relationship Type="http://schemas.openxmlformats.org/officeDocument/2006/relationships/table" Target="/xl/tables/table52.xml" Id="rId51" /><Relationship Type="http://schemas.openxmlformats.org/officeDocument/2006/relationships/table" Target="/xl/tables/table53.xml" Id="rId52" /><Relationship Type="http://schemas.openxmlformats.org/officeDocument/2006/relationships/table" Target="/xl/tables/table54.xml" Id="rId53" /><Relationship Type="http://schemas.openxmlformats.org/officeDocument/2006/relationships/table" Target="/xl/tables/table55.xml" Id="rId54" /><Relationship Type="http://schemas.openxmlformats.org/officeDocument/2006/relationships/table" Target="/xl/tables/table56.xml" Id="rId55" /><Relationship Type="http://schemas.openxmlformats.org/officeDocument/2006/relationships/table" Target="/xl/tables/table57.xml" Id="rId56" /><Relationship Type="http://schemas.openxmlformats.org/officeDocument/2006/relationships/table" Target="/xl/tables/table58.xml" Id="rId57" /></Relationships>
</file>

<file path=xl/worksheets/_rels/sheet8.xml.rels><Relationships xmlns="http://schemas.openxmlformats.org/package/2006/relationships"><Relationship Type="http://schemas.openxmlformats.org/officeDocument/2006/relationships/hyperlink" Target="mailto:michael.johnson@email.com" TargetMode="External" Id="rId1" /><Relationship Type="http://schemas.openxmlformats.org/officeDocument/2006/relationships/hyperlink" Target="mailto:sarah.miller@email.com" TargetMode="External" Id="rId2" /><Relationship Type="http://schemas.openxmlformats.org/officeDocument/2006/relationships/hyperlink" Target="mailto:david.thompson@email.com" TargetMode="External" Id="rId3" /><Relationship Type="http://schemas.openxmlformats.org/officeDocument/2006/relationships/hyperlink" Target="mailto:jennifer.adams@email.com" TargetMode="External" Id="rId4" /><Relationship Type="http://schemas.openxmlformats.org/officeDocument/2006/relationships/hyperlink" Target="mailto:chris.wilson@email.com" TargetMode="External" Id="rId5" /><Relationship Type="http://schemas.openxmlformats.org/officeDocument/2006/relationships/hyperlink" Target="mailto:service@gmtech.com" TargetMode="External" Id="rId6" /><Relationship Type="http://schemas.openxmlformats.org/officeDocument/2006/relationships/hyperlink" Target="mailto:emily@carterphoto.com" TargetMode="External" Id="rId7" /><Relationship Type="http://schemas.openxmlformats.org/officeDocument/2006/relationships/hyperlink" Target="mailto:office@harrisbuild.com" TargetMode="External" Id="rId8" /><Relationship Type="http://schemas.openxmlformats.org/officeDocument/2006/relationships/hyperlink" Target="mailto:amanda.brooks@email.com" TargetMode="External" Id="rId9" /><Relationship Type="http://schemas.openxmlformats.org/officeDocument/2006/relationships/hyperlink" Target="mailto:daniel@fosterconsulting.com" TargetMode="External" Id="rId10" /><Relationship Type="http://schemas.openxmlformats.org/officeDocument/2006/relationships/table" Target="/xl/tables/table59.xml" Id="rId1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60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61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62.xml" Id="rId1" /></Relationships>
</file>

<file path=xl/worksheets/_rels/sheet13.xml.rels><Relationships xmlns="http://schemas.openxmlformats.org/package/2006/relationships"><Relationship Type="http://schemas.openxmlformats.org/officeDocument/2006/relationships/table" Target="/xl/tables/table63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64.xml" Id="rId1" /></Relationships>
</file>

<file path=xl/worksheets/_rels/sheet16.xml.rels><Relationships xmlns="http://schemas.openxmlformats.org/package/2006/relationships"><Relationship Type="http://schemas.openxmlformats.org/officeDocument/2006/relationships/table" Target="/xl/tables/table65.xml" Id="rId1" /></Relationships>
</file>

<file path=xl/worksheets/_rels/sheet17.xml.rels><Relationships xmlns="http://schemas.openxmlformats.org/package/2006/relationships"><Relationship Type="http://schemas.openxmlformats.org/officeDocument/2006/relationships/table" Target="/xl/tables/table66.xml" Id="rId1" /></Relationships>
</file>

<file path=xl/worksheets/_rels/sheet18.xml.rels><Relationships xmlns="http://schemas.openxmlformats.org/package/2006/relationships"><Relationship Type="http://schemas.openxmlformats.org/officeDocument/2006/relationships/table" Target="/xl/tables/table67.xml" Id="rId1" /></Relationships>
</file>

<file path=xl/worksheets/_rels/sheet20.xml.rels><Relationships xmlns="http://schemas.openxmlformats.org/package/2006/relationships"><Relationship Type="http://schemas.openxmlformats.org/officeDocument/2006/relationships/hyperlink" Target="https://www.acer.com/" TargetMode="External" Id="rId1" /><Relationship Type="http://schemas.openxmlformats.org/officeDocument/2006/relationships/hyperlink" Target="https://www.apple.com/" TargetMode="External" Id="rId2" /><Relationship Type="http://schemas.openxmlformats.org/officeDocument/2006/relationships/hyperlink" Target="https://www.alienware.com/" TargetMode="External" Id="rId3" /><Relationship Type="http://schemas.openxmlformats.org/officeDocument/2006/relationships/hyperlink" Target="https://www.amazon.com/" TargetMode="External" Id="rId4" /><Relationship Type="http://schemas.openxmlformats.org/officeDocument/2006/relationships/hyperlink" Target="https://www.asus.com/" TargetMode="External" Id="rId5" /><Relationship Type="http://schemas.openxmlformats.org/officeDocument/2006/relationships/hyperlink" Target="https://www.dell.com/" TargetMode="External" Id="rId6" /><Relationship Type="http://schemas.openxmlformats.org/officeDocument/2006/relationships/hyperlink" Target="https://www.fitbit.com/" TargetMode="External" Id="rId7" /><Relationship Type="http://schemas.openxmlformats.org/officeDocument/2006/relationships/hyperlink" Target="https://frame.work/" TargetMode="External" Id="rId8" /><Relationship Type="http://schemas.openxmlformats.org/officeDocument/2006/relationships/hyperlink" Target="https://www.garmin.com/" TargetMode="External" Id="rId9" /><Relationship Type="http://schemas.openxmlformats.org/officeDocument/2006/relationships/hyperlink" Target="https://store.google.com/" TargetMode="External" Id="rId10" /><Relationship Type="http://schemas.openxmlformats.org/officeDocument/2006/relationships/hyperlink" Target="https://www.hmd.com/" TargetMode="External" Id="rId11" /><Relationship Type="http://schemas.openxmlformats.org/officeDocument/2006/relationships/hyperlink" Target="https://www.honor.com/" TargetMode="External" Id="rId12" /><Relationship Type="http://schemas.openxmlformats.org/officeDocument/2006/relationships/hyperlink" Target="https://www.hp.com/" TargetMode="External" Id="rId13" /><Relationship Type="http://schemas.openxmlformats.org/officeDocument/2006/relationships/hyperlink" Target="https://consumer.huawei.com/" TargetMode="External" Id="rId14" /><Relationship Type="http://schemas.openxmlformats.org/officeDocument/2006/relationships/hyperlink" Target="https://www.iqoo.com/" TargetMode="External" Id="rId15" /><Relationship Type="http://schemas.openxmlformats.org/officeDocument/2006/relationships/hyperlink" Target="https://www.lenovo.com/" TargetMode="External" Id="rId16" /><Relationship Type="http://schemas.openxmlformats.org/officeDocument/2006/relationships/hyperlink" Target="https://www.lg.com/" TargetMode="External" Id="rId17" /><Relationship Type="http://schemas.openxmlformats.org/officeDocument/2006/relationships/hyperlink" Target="https://www.microsoft.com/" TargetMode="External" Id="rId18" /><Relationship Type="http://schemas.openxmlformats.org/officeDocument/2006/relationships/hyperlink" Target="https://www.motorola.com/" TargetMode="External" Id="rId19" /><Relationship Type="http://schemas.openxmlformats.org/officeDocument/2006/relationships/hyperlink" Target="https://www.msi.com/" TargetMode="External" Id="rId20" /><Relationship Type="http://schemas.openxmlformats.org/officeDocument/2006/relationships/hyperlink" Target="https://www.nintendo.com/" TargetMode="External" Id="rId21" /><Relationship Type="http://schemas.openxmlformats.org/officeDocument/2006/relationships/hyperlink" Target="https://www.nokia.com/" TargetMode="External" Id="rId22" /><Relationship Type="http://schemas.openxmlformats.org/officeDocument/2006/relationships/hyperlink" Target="https://nothing.tech/" TargetMode="External" Id="rId23" /><Relationship Type="http://schemas.openxmlformats.org/officeDocument/2006/relationships/hyperlink" Target="https://global.nubia.com/" TargetMode="External" Id="rId24" /><Relationship Type="http://schemas.openxmlformats.org/officeDocument/2006/relationships/hyperlink" Target="https://www.oneplus.com/" TargetMode="External" Id="rId25" /><Relationship Type="http://schemas.openxmlformats.org/officeDocument/2006/relationships/hyperlink" Target="https://www.oppo.com/" TargetMode="External" Id="rId26" /><Relationship Type="http://schemas.openxmlformats.org/officeDocument/2006/relationships/hyperlink" Target="https://www.razer.com/" TargetMode="External" Id="rId27" /><Relationship Type="http://schemas.openxmlformats.org/officeDocument/2006/relationships/hyperlink" Target="https://www.realme.com/" TargetMode="External" Id="rId28" /><Relationship Type="http://schemas.openxmlformats.org/officeDocument/2006/relationships/hyperlink" Target="https://www.samsung.com/" TargetMode="External" Id="rId29" /><Relationship Type="http://schemas.openxmlformats.org/officeDocument/2006/relationships/hyperlink" Target="https://www.sony.com/" TargetMode="External" Id="rId30" /><Relationship Type="http://schemas.openxmlformats.org/officeDocument/2006/relationships/hyperlink" Target="https://www.starlink.com/" TargetMode="External" Id="rId31" /><Relationship Type="http://schemas.openxmlformats.org/officeDocument/2006/relationships/hyperlink" Target="https://www.mi.com/" TargetMode="External" Id="rId32" /><Relationship Type="http://schemas.openxmlformats.org/officeDocument/2006/relationships/hyperlink" Target="https://www.valvesoftware.com/" TargetMode="External" Id="rId33" /><Relationship Type="http://schemas.openxmlformats.org/officeDocument/2006/relationships/hyperlink" Target="https://www.vivo.com/" TargetMode="External" Id="rId34" /><Relationship Type="http://schemas.openxmlformats.org/officeDocument/2006/relationships/hyperlink" Target="https://www.zte.com.cn/" TargetMode="External" Id="rId35" /><Relationship Type="http://schemas.openxmlformats.org/officeDocument/2006/relationships/table" Target="/xl/tables/table68.xml" Id="rId36" /></Relationships>
</file>

<file path=xl/worksheets/_rels/sheet21.xml.rels><Relationships xmlns="http://schemas.openxmlformats.org/package/2006/relationships"><Relationship Type="http://schemas.openxmlformats.org/officeDocument/2006/relationships/table" Target="/xl/tables/table69.xml" Id="rId1" /></Relationships>
</file>

<file path=xl/worksheets/_rels/sheet22.xml.rels><Relationships xmlns="http://schemas.openxmlformats.org/package/2006/relationships"><Relationship Type="http://schemas.openxmlformats.org/officeDocument/2006/relationships/table" Target="/xl/tables/table70.xml" Id="rId1" /></Relationships>
</file>

<file path=xl/worksheets/_rels/sheet23.xml.rels><Relationships xmlns="http://schemas.openxmlformats.org/package/2006/relationships"><Relationship Type="http://schemas.openxmlformats.org/officeDocument/2006/relationships/table" Target="/xl/tables/table71.xml" Id="rId1" /><Relationship Type="http://schemas.openxmlformats.org/officeDocument/2006/relationships/table" Target="/xl/tables/table72.xml" Id="rId2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4.xml.rels><Relationships xmlns="http://schemas.openxmlformats.org/package/2006/relationships"><Relationship Type="http://schemas.openxmlformats.org/officeDocument/2006/relationships/table" Target="/xl/tables/table73.xml" Id="rId1" /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25.xml.rels><Relationships xmlns="http://schemas.openxmlformats.org/package/2006/relationships"><Relationship Type="http://schemas.openxmlformats.org/officeDocument/2006/relationships/table" Target="/xl/tables/table74.xml" Id="rId1" /></Relationships>
</file>

<file path=xl/worksheets/_rels/sheet27.xml.rels><Relationships xmlns="http://schemas.openxmlformats.org/package/2006/relationships"><Relationship Type="http://schemas.openxmlformats.org/officeDocument/2006/relationships/table" Target="/xl/tables/table75.xml" Id="rId1" /></Relationships>
</file>

<file path=xl/worksheets/_rels/sheet28.xml.rels><Relationships xmlns="http://schemas.openxmlformats.org/package/2006/relationships"><Relationship Type="http://schemas.openxmlformats.org/officeDocument/2006/relationships/table" Target="/xl/tables/table76.xml" Id="rId1" /></Relationships>
</file>

<file path=xl/worksheets/_rels/sheet29.xml.rels><Relationships xmlns="http://schemas.openxmlformats.org/package/2006/relationships"><Relationship Type="http://schemas.openxmlformats.org/officeDocument/2006/relationships/table" Target="/xl/tables/table77.xml" Id="rId1" /></Relationships>
</file>

<file path=xl/worksheets/_rels/sheet30.xml.rels><Relationships xmlns="http://schemas.openxmlformats.org/package/2006/relationships"><Relationship Type="http://schemas.openxmlformats.org/officeDocument/2006/relationships/table" Target="/xl/tables/table78.xml" Id="rId1" /></Relationships>
</file>

<file path=xl/worksheets/_rels/sheet31.xml.rels><Relationships xmlns="http://schemas.openxmlformats.org/package/2006/relationships"><Relationship Type="http://schemas.openxmlformats.org/officeDocument/2006/relationships/table" Target="/xl/tables/table79.xml" Id="rId1" /></Relationships>
</file>

<file path=xl/worksheets/_rels/sheet32.xml.rels><Relationships xmlns="http://schemas.openxmlformats.org/package/2006/relationships"><Relationship Type="http://schemas.openxmlformats.org/officeDocument/2006/relationships/table" Target="/xl/tables/table80.xml" Id="rId1" /></Relationships>
</file>

<file path=xl/worksheets/_rels/sheet33.xml.rels><Relationships xmlns="http://schemas.openxmlformats.org/package/2006/relationships"><Relationship Type="http://schemas.openxmlformats.org/officeDocument/2006/relationships/table" Target="/xl/tables/table81.xml" Id="rId1" /></Relationships>
</file>

<file path=xl/worksheets/_rels/sheet34.xml.rels><Relationships xmlns="http://schemas.openxmlformats.org/package/2006/relationships"><Relationship Type="http://schemas.openxmlformats.org/officeDocument/2006/relationships/table" Target="/xl/tables/table82.xml" Id="rId1" /></Relationships>
</file>

<file path=xl/worksheets/_rels/sheet35.xml.rels><Relationships xmlns="http://schemas.openxmlformats.org/package/2006/relationships"><Relationship Type="http://schemas.openxmlformats.org/officeDocument/2006/relationships/table" Target="/xl/tables/table83.xml" Id="rId1" /></Relationships>
</file>

<file path=xl/worksheets/_rels/sheet36.xml.rels><Relationships xmlns="http://schemas.openxmlformats.org/package/2006/relationships"><Relationship Type="http://schemas.openxmlformats.org/officeDocument/2006/relationships/table" Target="/xl/tables/table84.xml" Id="rId1" /></Relationships>
</file>

<file path=xl/worksheets/_rels/sheet37.xml.rels><Relationships xmlns="http://schemas.openxmlformats.org/package/2006/relationships"><Relationship Type="http://schemas.openxmlformats.org/officeDocument/2006/relationships/table" Target="/xl/tables/table85.xml" Id="rId1" /></Relationships>
</file>

<file path=xl/worksheets/_rels/sheet38.xml.rels><Relationships xmlns="http://schemas.openxmlformats.org/package/2006/relationships"><Relationship Type="http://schemas.openxmlformats.org/officeDocument/2006/relationships/table" Target="/xl/tables/table86.xml" Id="rId1" /></Relationships>
</file>

<file path=xl/worksheets/_rels/sheet39.xml.rels><Relationships xmlns="http://schemas.openxmlformats.org/package/2006/relationships"><Relationship Type="http://schemas.openxmlformats.org/officeDocument/2006/relationships/table" Target="/xl/tables/table87.xml" Id="rId1" /></Relationships>
</file>

<file path=xl/worksheets/_rels/sheet41.xml.rels><Relationships xmlns="http://schemas.openxmlformats.org/package/2006/relationships"><Relationship Type="http://schemas.openxmlformats.org/officeDocument/2006/relationships/table" Target="/xl/tables/table88.xml" Id="rId1" /></Relationships>
</file>

<file path=xl/worksheets/_rels/sheet43.xml.rels><Relationships xmlns="http://schemas.openxmlformats.org/package/2006/relationships"><Relationship Type="http://schemas.openxmlformats.org/officeDocument/2006/relationships/table" Target="/xl/tables/table89.xml" Id="rId1" /></Relationships>
</file>

<file path=xl/worksheets/_rels/sheet44.xml.rels><Relationships xmlns="http://schemas.openxmlformats.org/package/2006/relationships"><Relationship Type="http://schemas.openxmlformats.org/officeDocument/2006/relationships/table" Target="/xl/tables/table90.xml" Id="rId1" /></Relationships>
</file>

<file path=xl/worksheets/_rels/sheet46.xml.rels><Relationships xmlns="http://schemas.openxmlformats.org/package/2006/relationships"><Relationship Type="http://schemas.openxmlformats.org/officeDocument/2006/relationships/table" Target="/xl/tables/table91.xml" Id="rId1" /><Relationship Type="http://schemas.openxmlformats.org/officeDocument/2006/relationships/table" Target="/xl/tables/table92.xml" Id="rId2" /><Relationship Type="http://schemas.openxmlformats.org/officeDocument/2006/relationships/table" Target="/xl/tables/table93.xml" Id="rId3" /><Relationship Type="http://schemas.openxmlformats.org/officeDocument/2006/relationships/table" Target="/xl/tables/table94.xml" Id="rId4" /></Relationships>
</file>

<file path=xl/worksheets/_rels/sheet48.xml.rels><Relationships xmlns="http://schemas.openxmlformats.org/package/2006/relationships"><Relationship Type="http://schemas.openxmlformats.org/officeDocument/2006/relationships/table" Target="/xl/tables/table95.xml" Id="rId1" /></Relationships>
</file>

<file path=xl/worksheets/_rels/sheet49.xml.rels><Relationships xmlns="http://schemas.openxmlformats.org/package/2006/relationships"><Relationship Type="http://schemas.openxmlformats.org/officeDocument/2006/relationships/table" Target="/xl/tables/table96.xml" Id="rId1" /></Relationships>
</file>

<file path=xl/worksheets/_rels/sheet50.xml.rels><Relationships xmlns="http://schemas.openxmlformats.org/package/2006/relationships"><Relationship Type="http://schemas.openxmlformats.org/officeDocument/2006/relationships/table" Target="/xl/tables/table97.xml" Id="rId1" /></Relationships>
</file>

<file path=xl/worksheets/_rels/sheet59.xml.rels><Relationships xmlns="http://schemas.openxmlformats.org/package/2006/relationships"><Relationship Type="http://schemas.openxmlformats.org/officeDocument/2006/relationships/table" Target="/xl/tables/table98.xml" Id="rId1" /></Relationships>
</file>

<file path=xl/worksheets/sheet1.xml><?xml version="1.0" encoding="utf-8"?>
<worksheet xmlns="http://schemas.openxmlformats.org/spreadsheetml/2006/main">
  <sheetPr>
    <tabColor rgb="FFFF0000"/>
    <outlinePr summaryBelow="1" summaryRight="1"/>
    <pageSetUpPr/>
  </sheetPr>
  <dimension ref="A1:A1"/>
  <sheetViews>
    <sheetView workbookViewId="0">
      <selection activeCell="F15" sqref="F15"/>
    </sheetView>
  </sheetViews>
  <sheetFormatPr baseColWidth="8" defaultRowHeight="14.5"/>
  <sheetData>
    <row r="1">
      <c r="A1" t="inlineStr">
        <is>
          <t>#DIVIDERPAGE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002060"/>
    <outlinePr summaryBelow="1" summaryRight="1"/>
    <pageSetUpPr/>
  </sheetPr>
  <dimension ref="A1:L4"/>
  <sheetViews>
    <sheetView workbookViewId="0">
      <pane ySplit="1" topLeftCell="A2" activePane="bottomLeft" state="frozen"/>
      <selection activeCell="C6" sqref="C6"/>
      <selection pane="bottomLeft" activeCell="E13" sqref="E13"/>
    </sheetView>
  </sheetViews>
  <sheetFormatPr baseColWidth="8" defaultRowHeight="14.5"/>
  <cols>
    <col width="11.453125" bestFit="1" customWidth="1" style="125" min="1" max="1"/>
    <col width="13.08984375" bestFit="1" customWidth="1" style="125" min="2" max="2"/>
    <col width="14.36328125" bestFit="1" customWidth="1" style="125" min="3" max="3"/>
    <col width="14.81640625" bestFit="1" customWidth="1" style="125" min="4" max="4"/>
    <col width="8.1796875" bestFit="1" customWidth="1" style="125" min="5" max="5"/>
    <col width="17.08984375" bestFit="1" customWidth="1" style="125" min="6" max="6"/>
    <col width="14.54296875" bestFit="1" customWidth="1" style="125" min="7" max="7"/>
    <col width="14.81640625" bestFit="1" customWidth="1" style="125" min="8" max="8"/>
    <col width="25.1796875" bestFit="1" customWidth="1" style="125" min="9" max="9"/>
    <col width="10.90625" bestFit="1" customWidth="1" style="125" min="10" max="10"/>
    <col width="10.6328125" bestFit="1" customWidth="1" style="125" min="11" max="11"/>
    <col width="8.26953125" bestFit="1" customWidth="1" style="125" min="12" max="12"/>
  </cols>
  <sheetData>
    <row r="1" customFormat="1" s="1">
      <c r="A1" s="2" t="inlineStr">
        <is>
          <t>⬅ Return to Table of Contents</t>
        </is>
      </c>
    </row>
    <row r="2">
      <c r="A2" s="1" t="inlineStr">
        <is>
          <t>Service ID</t>
        </is>
      </c>
      <c r="B2" s="1" t="inlineStr">
        <is>
          <t>Device Type</t>
        </is>
      </c>
      <c r="C2" s="1" t="inlineStr">
        <is>
          <t>Manufacturer</t>
        </is>
      </c>
      <c r="D2" s="1" t="inlineStr">
        <is>
          <t>Device Family</t>
        </is>
      </c>
      <c r="E2" s="1" t="inlineStr">
        <is>
          <t>Model</t>
        </is>
      </c>
      <c r="F2" s="1" t="inlineStr">
        <is>
          <t>Service Category</t>
        </is>
      </c>
      <c r="G2" s="1" t="inlineStr">
        <is>
          <t>Service Name</t>
        </is>
      </c>
      <c r="H2" s="1" t="inlineStr">
        <is>
          <t xml:space="preserve">Part Required </t>
        </is>
      </c>
      <c r="I2" s="1" t="inlineStr">
        <is>
          <t>Estimated Labor (Minutes)</t>
        </is>
      </c>
      <c r="J2" s="1" t="inlineStr">
        <is>
          <t>Difficulty</t>
        </is>
      </c>
      <c r="K2" s="1" t="inlineStr">
        <is>
          <t>Warranty</t>
        </is>
      </c>
      <c r="L2" s="1" t="inlineStr">
        <is>
          <t>Active</t>
        </is>
      </c>
    </row>
    <row r="3">
      <c r="A3" s="1" t="inlineStr">
        <is>
          <t>Service ID</t>
        </is>
      </c>
      <c r="B3" s="1" t="inlineStr">
        <is>
          <t>Device Type</t>
        </is>
      </c>
      <c r="C3" s="1" t="inlineStr">
        <is>
          <t>Manufacturer</t>
        </is>
      </c>
      <c r="D3" s="1" t="inlineStr">
        <is>
          <t>Device Family</t>
        </is>
      </c>
      <c r="E3" s="1" t="inlineStr">
        <is>
          <t>Model</t>
        </is>
      </c>
      <c r="F3" s="1" t="inlineStr">
        <is>
          <t>Service Category</t>
        </is>
      </c>
      <c r="G3" s="1" t="inlineStr">
        <is>
          <t>Service Name</t>
        </is>
      </c>
      <c r="H3" s="1" t="inlineStr">
        <is>
          <t xml:space="preserve">Part Required </t>
        </is>
      </c>
      <c r="I3" s="1" t="inlineStr">
        <is>
          <t>Estimated Labor (Minutes)</t>
        </is>
      </c>
      <c r="J3" s="1" t="inlineStr">
        <is>
          <t>Difficulty</t>
        </is>
      </c>
      <c r="K3" s="1" t="inlineStr">
        <is>
          <t>Warranty</t>
        </is>
      </c>
      <c r="L3" s="1" t="inlineStr">
        <is>
          <t>Active</t>
        </is>
      </c>
    </row>
    <row r="4">
      <c r="A4" s="1" t="inlineStr">
        <is>
          <t>Service ID</t>
        </is>
      </c>
      <c r="B4" s="1" t="inlineStr">
        <is>
          <t>Device Type</t>
        </is>
      </c>
      <c r="C4" s="1" t="inlineStr">
        <is>
          <t>Manufacturer</t>
        </is>
      </c>
      <c r="D4" s="1" t="inlineStr">
        <is>
          <t>Device Family</t>
        </is>
      </c>
      <c r="E4" s="1" t="inlineStr">
        <is>
          <t>Model</t>
        </is>
      </c>
      <c r="F4" s="1" t="inlineStr">
        <is>
          <t>Service Category</t>
        </is>
      </c>
      <c r="G4" s="1" t="inlineStr">
        <is>
          <t>Service Name</t>
        </is>
      </c>
      <c r="H4" s="1" t="inlineStr">
        <is>
          <t xml:space="preserve">Part Required </t>
        </is>
      </c>
      <c r="I4" s="1" t="inlineStr">
        <is>
          <t>Estimated Labor (Minutes)</t>
        </is>
      </c>
      <c r="J4" s="1" t="inlineStr">
        <is>
          <t>Difficulty</t>
        </is>
      </c>
      <c r="K4" s="1" t="inlineStr">
        <is>
          <t>Warranty</t>
        </is>
      </c>
      <c r="L4" s="1" t="inlineStr">
        <is>
          <t>Active</t>
        </is>
      </c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tabColor rgb="FF00206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00206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002060"/>
    <outlinePr summaryBelow="1" summaryRight="1"/>
    <pageSetUpPr/>
  </sheetPr>
  <dimension ref="A1:P819"/>
  <sheetViews>
    <sheetView topLeftCell="B740" zoomScale="80" zoomScaleNormal="80" workbookViewId="0">
      <selection activeCell="H751" sqref="H751"/>
    </sheetView>
  </sheetViews>
  <sheetFormatPr baseColWidth="8" defaultColWidth="20.6328125" defaultRowHeight="20"/>
  <cols>
    <col width="26.90625" customWidth="1" style="3" min="1" max="1"/>
    <col width="51.1796875" customWidth="1" style="3" min="2" max="2"/>
    <col width="41.7265625" customWidth="1" style="3" min="3" max="3"/>
    <col width="35.26953125" customWidth="1" style="4" min="4" max="4"/>
    <col width="38.90625" customWidth="1" style="4" min="5" max="5"/>
    <col width="17.54296875" customWidth="1" style="3" min="6" max="6"/>
    <col width="20.6328125" customWidth="1" style="3" min="7" max="8"/>
    <col width="29.6328125" bestFit="1" customWidth="1" style="3" min="9" max="9"/>
    <col width="20.6328125" customWidth="1" style="3" min="10" max="16384"/>
  </cols>
  <sheetData>
    <row r="1">
      <c r="A1" s="51" t="inlineStr">
        <is>
          <t>⬅ Return to Table of Contents</t>
        </is>
      </c>
    </row>
    <row r="2">
      <c r="A2" s="117" t="inlineStr">
        <is>
          <t>Nocturnix Lookup Lists</t>
        </is>
      </c>
    </row>
    <row r="3">
      <c r="A3" s="38" t="n"/>
      <c r="B3" s="38" t="n"/>
      <c r="C3" s="38" t="n"/>
    </row>
    <row r="4">
      <c r="A4" s="38" t="n"/>
      <c r="B4" s="3" t="inlineStr">
        <is>
          <t>Standards</t>
        </is>
      </c>
    </row>
    <row r="5" ht="21.5" customHeight="1" s="125">
      <c r="A5" s="38" t="n"/>
      <c r="B5" s="41" t="inlineStr">
        <is>
          <t>Column</t>
        </is>
      </c>
      <c r="C5" s="41" t="inlineStr">
        <is>
          <t>Purpose</t>
        </is>
      </c>
    </row>
    <row r="6" ht="21.5" customHeight="1" s="125">
      <c r="A6" s="38" t="n"/>
      <c r="B6" s="16" t="inlineStr">
        <is>
          <t>Primary Key</t>
        </is>
      </c>
      <c r="C6" s="16" t="inlineStr">
        <is>
          <t>Unique lookup ID</t>
        </is>
      </c>
    </row>
    <row r="7" ht="21.5" customHeight="1" s="125">
      <c r="A7" s="38" t="n"/>
      <c r="B7" s="16" t="inlineStr">
        <is>
          <t>Display Value</t>
        </is>
      </c>
      <c r="C7" s="16" t="inlineStr">
        <is>
          <t>User-friendly value shown in dropdowns</t>
        </is>
      </c>
    </row>
    <row r="8" ht="21.5" customHeight="1" s="125">
      <c r="A8" s="42" t="n"/>
      <c r="B8" s="16" t="inlineStr">
        <is>
          <t>Description</t>
        </is>
      </c>
      <c r="C8" s="16" t="inlineStr">
        <is>
          <t>Explains the value</t>
        </is>
      </c>
    </row>
    <row r="9" ht="21.5" customHeight="1" s="125">
      <c r="A9" s="38" t="n"/>
      <c r="B9" s="16" t="inlineStr">
        <is>
          <t>Sort Order</t>
        </is>
      </c>
      <c r="C9" s="16" t="inlineStr">
        <is>
          <t>Controls display order</t>
        </is>
      </c>
    </row>
    <row r="10" ht="21.5" customHeight="1" s="125">
      <c r="A10" s="42" t="n"/>
      <c r="B10" s="16" t="inlineStr">
        <is>
          <t>IsActive</t>
        </is>
      </c>
      <c r="C10" s="16" t="inlineStr">
        <is>
          <t>Enables/disables without deleting</t>
        </is>
      </c>
    </row>
    <row r="11">
      <c r="A11" s="42" t="n"/>
      <c r="B11" s="38" t="n"/>
      <c r="C11" s="38" t="n"/>
    </row>
    <row r="12" ht="27.5" customHeight="1" s="125">
      <c r="A12" s="46" t="inlineStr">
        <is>
          <t>---------------------------------------------------------------------------------------------------------------------------------</t>
        </is>
      </c>
      <c r="B12" s="38" t="n"/>
      <c r="C12" s="38" t="n"/>
    </row>
    <row r="13" ht="35" customHeight="1" s="125">
      <c r="A13" s="116" t="inlineStr">
        <is>
          <t>CUSTOMER LOOKUPS</t>
        </is>
      </c>
    </row>
    <row r="14" ht="27.5" customHeight="1" s="125">
      <c r="A14" s="46" t="inlineStr">
        <is>
          <t>---------------------------------------------------------------------------------------------------------------------------------</t>
        </is>
      </c>
      <c r="B14" s="38" t="n"/>
      <c r="C14" s="38" t="n"/>
    </row>
    <row r="15" ht="27.5" customHeight="1" s="125">
      <c r="A15" s="46" t="n"/>
      <c r="B15" s="38" t="n"/>
      <c r="C15" s="38" t="n"/>
    </row>
    <row r="16" ht="21.5" customHeight="1" s="125">
      <c r="A16" s="50" t="inlineStr">
        <is>
          <t>tblLookupCatalogID</t>
        </is>
      </c>
      <c r="B16" s="49" t="n"/>
      <c r="C16" s="49" t="n"/>
      <c r="D16" s="48" t="n"/>
      <c r="E16" s="48" t="n"/>
      <c r="F16" s="94" t="n"/>
    </row>
    <row r="17" ht="43" customHeight="1" s="125">
      <c r="A17" s="41" t="inlineStr">
        <is>
          <t>LookupCatalogID</t>
        </is>
      </c>
      <c r="B17" s="41" t="inlineStr">
        <is>
          <t>LookupGroupID</t>
        </is>
      </c>
      <c r="C17" s="41" t="inlineStr">
        <is>
          <t>LookupGroupName</t>
        </is>
      </c>
      <c r="D17" s="41" t="inlineStr">
        <is>
          <t>LookupTableName</t>
        </is>
      </c>
      <c r="E17" s="41" t="inlineStr">
        <is>
          <t>DisplayName</t>
        </is>
      </c>
      <c r="F17" s="41" t="inlineStr">
        <is>
          <t>PrimaryKeyField</t>
        </is>
      </c>
      <c r="G17" s="41" t="inlineStr">
        <is>
          <t>PrimaryKeyPrefix</t>
        </is>
      </c>
      <c r="H17" s="41" t="inlineStr">
        <is>
          <t>Description</t>
        </is>
      </c>
      <c r="I17" s="44" t="inlineStr">
        <is>
          <t>DisplayOrder</t>
        </is>
      </c>
      <c r="J17" s="41" t="inlineStr">
        <is>
          <t>Status</t>
        </is>
      </c>
      <c r="K17" s="41" t="inlineStr">
        <is>
          <t>IsSystemLookup</t>
        </is>
      </c>
      <c r="L17" s="41" t="inlineStr">
        <is>
          <t>TableExists</t>
        </is>
      </c>
      <c r="M17" s="41" t="inlineStr">
        <is>
          <t>LastReviewed</t>
        </is>
      </c>
    </row>
    <row r="18" ht="43" customHeight="1" s="125">
      <c r="A18" s="16" t="inlineStr">
        <is>
          <t>LKC-000001</t>
        </is>
      </c>
      <c r="B18" s="16" t="inlineStr">
        <is>
          <t>LKG-000002</t>
        </is>
      </c>
      <c r="C18" s="94">
        <f>_xlfn.XLOOKUP(tblLookupCatalogID[[#This Row],[LookupGroupID]],tblLookupGroups[LookupGroupID],tblLookupGroups[GroupName],"")</f>
        <v/>
      </c>
      <c r="D18" s="16" t="inlineStr">
        <is>
          <t>tblCustomerTypes</t>
        </is>
      </c>
      <c r="E18" s="16" t="inlineStr">
        <is>
          <t>Customer Types</t>
        </is>
      </c>
      <c r="F18" s="16" t="inlineStr">
        <is>
          <t>CustomerTypeID</t>
        </is>
      </c>
      <c r="G18" s="16" t="inlineStr">
        <is>
          <t>CTY</t>
        </is>
      </c>
      <c r="H18" s="16" t="inlineStr">
        <is>
          <t>Customer classifications</t>
        </is>
      </c>
      <c r="I18" s="43" t="n">
        <v>1</v>
      </c>
      <c r="J18" s="16" t="inlineStr">
        <is>
          <t>Active</t>
        </is>
      </c>
      <c r="K18" s="16" t="inlineStr">
        <is>
          <t>Yes</t>
        </is>
      </c>
      <c r="L18" s="17">
        <f t="array" ref="L18">TableExists(tblLookupCatalogID[[#This Row],[LookupTableName]])</f>
        <v/>
      </c>
      <c r="M18" s="17" t="n"/>
    </row>
    <row r="19" ht="43" customHeight="1" s="125">
      <c r="A19" s="16" t="inlineStr">
        <is>
          <t>LKC-000002</t>
        </is>
      </c>
      <c r="B19" s="16" t="inlineStr">
        <is>
          <t>LKG-000002</t>
        </is>
      </c>
      <c r="C19" s="94">
        <f>_xlfn.XLOOKUP(tblLookupCatalogID[[#This Row],[LookupGroupID]],tblLookupGroups[LookupGroupID],tblLookupGroups[GroupName],"")</f>
        <v/>
      </c>
      <c r="D19" s="16" t="inlineStr">
        <is>
          <t>tblPreferredContactMethods</t>
        </is>
      </c>
      <c r="E19" s="16" t="inlineStr">
        <is>
          <t>Preferred Contact Methods</t>
        </is>
      </c>
      <c r="F19" s="16" t="inlineStr">
        <is>
          <t>PreferredContactMethodID</t>
        </is>
      </c>
      <c r="G19" s="16" t="inlineStr">
        <is>
          <t>PCM</t>
        </is>
      </c>
      <c r="H19" s="16" t="inlineStr">
        <is>
          <t>Customer contact methods</t>
        </is>
      </c>
      <c r="I19" s="43" t="n">
        <v>2</v>
      </c>
      <c r="J19" s="16" t="inlineStr">
        <is>
          <t>Active</t>
        </is>
      </c>
      <c r="K19" s="16" t="inlineStr">
        <is>
          <t>Yes</t>
        </is>
      </c>
      <c r="L19" s="17">
        <f t="array" ref="L19">TableExists(tblLookupCatalogID[[#This Row],[LookupTableName]])</f>
        <v/>
      </c>
      <c r="M19" s="17" t="n"/>
    </row>
    <row r="20" ht="43" customHeight="1" s="125">
      <c r="A20" s="16" t="inlineStr">
        <is>
          <t>LKC-000003</t>
        </is>
      </c>
      <c r="B20" s="16" t="inlineStr">
        <is>
          <t>LKG-000002</t>
        </is>
      </c>
      <c r="C20" s="94">
        <f>_xlfn.XLOOKUP(tblLookupCatalogID[[#This Row],[LookupGroupID]],tblLookupGroups[LookupGroupID],tblLookupGroups[GroupName],"")</f>
        <v/>
      </c>
      <c r="D20" s="16" t="inlineStr">
        <is>
          <t>tblCustomerStatus</t>
        </is>
      </c>
      <c r="E20" s="16" t="inlineStr">
        <is>
          <t>Customer Status</t>
        </is>
      </c>
      <c r="F20" s="16" t="inlineStr">
        <is>
          <t>CustomerStatusID</t>
        </is>
      </c>
      <c r="G20" s="16" t="inlineStr">
        <is>
          <t>CST</t>
        </is>
      </c>
      <c r="H20" s="16" t="inlineStr">
        <is>
          <t>Customer account status</t>
        </is>
      </c>
      <c r="I20" s="43" t="n">
        <v>3</v>
      </c>
      <c r="J20" s="16" t="inlineStr">
        <is>
          <t>Active</t>
        </is>
      </c>
      <c r="K20" s="16" t="inlineStr">
        <is>
          <t>Yes</t>
        </is>
      </c>
      <c r="L20" s="17">
        <f t="array" ref="L20">TableExists(tblLookupCatalogID[[#This Row],[LookupTableName]])</f>
        <v/>
      </c>
      <c r="M20" s="17" t="n"/>
    </row>
    <row r="21" ht="21.5" customHeight="1" s="125">
      <c r="A21" s="16" t="inlineStr">
        <is>
          <t>LKC-000004</t>
        </is>
      </c>
      <c r="B21" s="16" t="inlineStr">
        <is>
          <t>LKG-000003</t>
        </is>
      </c>
      <c r="C21" s="94">
        <f>_xlfn.XLOOKUP(tblLookupCatalogID[[#This Row],[LookupGroupID]],tblLookupGroups[LookupGroupID],tblLookupGroups[GroupName],"")</f>
        <v/>
      </c>
      <c r="D21" s="16" t="inlineStr">
        <is>
          <t>tblDeviceTypes</t>
        </is>
      </c>
      <c r="E21" s="16" t="inlineStr">
        <is>
          <t>Device Types</t>
        </is>
      </c>
      <c r="F21" s="16" t="inlineStr">
        <is>
          <t>DeviceTypeID</t>
        </is>
      </c>
      <c r="G21" s="16" t="inlineStr">
        <is>
          <t>DT</t>
        </is>
      </c>
      <c r="H21" s="16" t="inlineStr">
        <is>
          <t>Device categories</t>
        </is>
      </c>
      <c r="I21" s="43" t="n">
        <v>1</v>
      </c>
      <c r="J21" s="16" t="inlineStr">
        <is>
          <t>Active</t>
        </is>
      </c>
      <c r="K21" s="16" t="inlineStr">
        <is>
          <t>Yes</t>
        </is>
      </c>
      <c r="L21" s="17">
        <f t="array" ref="L21">TableExists(tblLookupCatalogID[[#This Row],[LookupTableName]])</f>
        <v/>
      </c>
      <c r="M21" s="17" t="n"/>
    </row>
    <row r="22" ht="43" customHeight="1" s="125">
      <c r="A22" s="16" t="inlineStr">
        <is>
          <t>LKC-000005</t>
        </is>
      </c>
      <c r="B22" s="16" t="inlineStr">
        <is>
          <t>LKG-000003</t>
        </is>
      </c>
      <c r="C22" s="94">
        <f>_xlfn.XLOOKUP(tblLookupCatalogID[[#This Row],[LookupGroupID]],tblLookupGroups[LookupGroupID],tblLookupGroups[GroupName],"")</f>
        <v/>
      </c>
      <c r="D22" s="16" t="inlineStr">
        <is>
          <t>tblManufacturers</t>
        </is>
      </c>
      <c r="E22" s="16" t="inlineStr">
        <is>
          <t>Manufacturers</t>
        </is>
      </c>
      <c r="F22" s="16" t="inlineStr">
        <is>
          <t>ManufacturerID</t>
        </is>
      </c>
      <c r="G22" s="16" t="inlineStr">
        <is>
          <t>MFG</t>
        </is>
      </c>
      <c r="H22" s="16" t="inlineStr">
        <is>
          <t>Device manufacturers</t>
        </is>
      </c>
      <c r="I22" s="43" t="n">
        <v>2</v>
      </c>
      <c r="J22" s="16" t="inlineStr">
        <is>
          <t>Active</t>
        </is>
      </c>
      <c r="K22" s="16" t="inlineStr">
        <is>
          <t>Yes</t>
        </is>
      </c>
      <c r="L22" s="17">
        <f t="array" ref="L22">TableExists(tblLookupCatalogID[[#This Row],[LookupTableName]])</f>
        <v/>
      </c>
      <c r="M22" s="17" t="n"/>
    </row>
    <row r="23" ht="21.5" customHeight="1" s="125">
      <c r="A23" s="16" t="inlineStr">
        <is>
          <t>LKC-000006</t>
        </is>
      </c>
      <c r="B23" s="16" t="inlineStr">
        <is>
          <t>LKG-000003</t>
        </is>
      </c>
      <c r="C23" s="94">
        <f>_xlfn.XLOOKUP(tblLookupCatalogID[[#This Row],[LookupGroupID]],tblLookupGroups[LookupGroupID],tblLookupGroups[GroupName],"")</f>
        <v/>
      </c>
      <c r="D23" s="16" t="inlineStr">
        <is>
          <t>tblDeviceFamilies</t>
        </is>
      </c>
      <c r="E23" s="16" t="inlineStr">
        <is>
          <t>Device Families</t>
        </is>
      </c>
      <c r="F23" s="16" t="inlineStr">
        <is>
          <t>DeviceFamilyID</t>
        </is>
      </c>
      <c r="G23" s="16" t="inlineStr">
        <is>
          <t>DF</t>
        </is>
      </c>
      <c r="H23" s="16" t="inlineStr">
        <is>
          <t>Product families</t>
        </is>
      </c>
      <c r="I23" s="43" t="n">
        <v>3</v>
      </c>
      <c r="J23" s="16" t="inlineStr">
        <is>
          <t>Active</t>
        </is>
      </c>
      <c r="K23" s="16" t="inlineStr">
        <is>
          <t>Yes</t>
        </is>
      </c>
      <c r="L23" s="17">
        <f t="array" ref="L23">TableExists(tblLookupCatalogID[[#This Row],[LookupTableName]])</f>
        <v/>
      </c>
      <c r="M23" s="17" t="n"/>
    </row>
    <row r="24" ht="21.5" customHeight="1" s="125">
      <c r="A24" s="16" t="inlineStr">
        <is>
          <t>LKC-000007</t>
        </is>
      </c>
      <c r="B24" s="16" t="inlineStr">
        <is>
          <t>LKG-000003</t>
        </is>
      </c>
      <c r="C24" s="94">
        <f>_xlfn.XLOOKUP(tblLookupCatalogID[[#This Row],[LookupGroupID]],tblLookupGroups[LookupGroupID],tblLookupGroups[GroupName],"")</f>
        <v/>
      </c>
      <c r="D24" s="16" t="inlineStr">
        <is>
          <t>tblDeviceModels</t>
        </is>
      </c>
      <c r="E24" s="16" t="inlineStr">
        <is>
          <t>Device Models</t>
        </is>
      </c>
      <c r="F24" s="16" t="inlineStr">
        <is>
          <t>ModelID</t>
        </is>
      </c>
      <c r="G24" s="16" t="inlineStr">
        <is>
          <t>MOD</t>
        </is>
      </c>
      <c r="H24" s="16" t="inlineStr">
        <is>
          <t>Device models</t>
        </is>
      </c>
      <c r="I24" s="43" t="n">
        <v>4</v>
      </c>
      <c r="J24" s="16" t="inlineStr">
        <is>
          <t>Active</t>
        </is>
      </c>
      <c r="K24" s="16" t="inlineStr">
        <is>
          <t>No</t>
        </is>
      </c>
      <c r="L24" s="17">
        <f t="array" ref="L24">TableExists(tblLookupCatalogID[[#This Row],[LookupTableName]])</f>
        <v/>
      </c>
      <c r="M24" s="17" t="n"/>
    </row>
    <row r="25" ht="43" customHeight="1" s="125">
      <c r="A25" s="16" t="inlineStr">
        <is>
          <t>LKC-000008</t>
        </is>
      </c>
      <c r="B25" s="16" t="inlineStr">
        <is>
          <t>LKG-000003</t>
        </is>
      </c>
      <c r="C25" s="94">
        <f>_xlfn.XLOOKUP(tblLookupCatalogID[[#This Row],[LookupGroupID]],tblLookupGroups[LookupGroupID],tblLookupGroups[GroupName],"")</f>
        <v/>
      </c>
      <c r="D25" s="16" t="inlineStr">
        <is>
          <t>tblDeviceColors</t>
        </is>
      </c>
      <c r="E25" s="16" t="inlineStr">
        <is>
          <t>Device Colors</t>
        </is>
      </c>
      <c r="F25" s="16" t="inlineStr">
        <is>
          <t>ColorID</t>
        </is>
      </c>
      <c r="G25" s="16" t="inlineStr">
        <is>
          <t>CLR</t>
        </is>
      </c>
      <c r="H25" s="16" t="inlineStr">
        <is>
          <t>Device color options</t>
        </is>
      </c>
      <c r="I25" s="43" t="n">
        <v>5</v>
      </c>
      <c r="J25" s="16" t="inlineStr">
        <is>
          <t>Active</t>
        </is>
      </c>
      <c r="K25" s="16" t="inlineStr">
        <is>
          <t>Yes</t>
        </is>
      </c>
      <c r="L25" s="17">
        <f t="array" ref="L25">TableExists(tblLookupCatalogID[[#This Row],[LookupTableName]])</f>
        <v/>
      </c>
      <c r="M25" s="17" t="n"/>
    </row>
    <row r="26" ht="43" customHeight="1" s="125">
      <c r="A26" s="16" t="inlineStr">
        <is>
          <t>LKC-000009</t>
        </is>
      </c>
      <c r="B26" s="16" t="inlineStr">
        <is>
          <t>LKG-000003</t>
        </is>
      </c>
      <c r="C26" s="94">
        <f>_xlfn.XLOOKUP(tblLookupCatalogID[[#This Row],[LookupGroupID]],tblLookupGroups[LookupGroupID],tblLookupGroups[GroupName],"")</f>
        <v/>
      </c>
      <c r="D26" s="16" t="inlineStr">
        <is>
          <t>tblOperatingSystems</t>
        </is>
      </c>
      <c r="E26" s="16" t="inlineStr">
        <is>
          <t>Operating Systems</t>
        </is>
      </c>
      <c r="F26" s="16" t="inlineStr">
        <is>
          <t>OperatingSystemID</t>
        </is>
      </c>
      <c r="G26" s="16" t="inlineStr">
        <is>
          <t>OS</t>
        </is>
      </c>
      <c r="H26" s="16" t="inlineStr">
        <is>
          <t>Supported operating systems</t>
        </is>
      </c>
      <c r="I26" s="43" t="n">
        <v>6</v>
      </c>
      <c r="J26" s="16" t="inlineStr">
        <is>
          <t>Active</t>
        </is>
      </c>
      <c r="K26" s="16" t="inlineStr">
        <is>
          <t>Yes</t>
        </is>
      </c>
      <c r="L26" s="17">
        <f t="array" ref="L26">TableExists(tblLookupCatalogID[[#This Row],[LookupTableName]])</f>
        <v/>
      </c>
      <c r="M26" s="17" t="n"/>
    </row>
    <row r="27" ht="43" customHeight="1" s="125">
      <c r="A27" s="16" t="inlineStr">
        <is>
          <t>LKC-000010</t>
        </is>
      </c>
      <c r="B27" s="16" t="inlineStr">
        <is>
          <t>LKG-000003</t>
        </is>
      </c>
      <c r="C27" s="94">
        <f>_xlfn.XLOOKUP(tblLookupCatalogID[[#This Row],[LookupGroupID]],tblLookupGroups[LookupGroupID],tblLookupGroups[GroupName],"")</f>
        <v/>
      </c>
      <c r="D27" s="16" t="inlineStr">
        <is>
          <t>tblChargingTypes</t>
        </is>
      </c>
      <c r="E27" s="16" t="inlineStr">
        <is>
          <t>Charging Types</t>
        </is>
      </c>
      <c r="F27" s="16" t="inlineStr">
        <is>
          <t>ChargingTypeID</t>
        </is>
      </c>
      <c r="G27" s="16" t="inlineStr">
        <is>
          <t>CHG</t>
        </is>
      </c>
      <c r="H27" s="16" t="inlineStr">
        <is>
          <t>Charging connector types</t>
        </is>
      </c>
      <c r="I27" s="43" t="n">
        <v>7</v>
      </c>
      <c r="J27" s="16" t="inlineStr">
        <is>
          <t>Active</t>
        </is>
      </c>
      <c r="K27" s="16" t="inlineStr">
        <is>
          <t>Yes</t>
        </is>
      </c>
      <c r="L27" s="17">
        <f t="array" ref="L27">TableExists(tblLookupCatalogID[[#This Row],[LookupTableName]])</f>
        <v/>
      </c>
      <c r="M27" s="17" t="n"/>
    </row>
    <row r="28" ht="21.5" customHeight="1" s="125">
      <c r="A28" s="16" t="inlineStr">
        <is>
          <t>LKC-000011</t>
        </is>
      </c>
      <c r="B28" s="16" t="inlineStr">
        <is>
          <t>LKG-000003</t>
        </is>
      </c>
      <c r="C28" s="94">
        <f>_xlfn.XLOOKUP(tblLookupCatalogID[[#This Row],[LookupGroupID]],tblLookupGroups[LookupGroupID],tblLookupGroups[GroupName],"")</f>
        <v/>
      </c>
      <c r="D28" s="16" t="inlineStr">
        <is>
          <t>tblSIMTypes</t>
        </is>
      </c>
      <c r="E28" s="16" t="inlineStr">
        <is>
          <t>SIM Types</t>
        </is>
      </c>
      <c r="F28" s="16" t="inlineStr">
        <is>
          <t>SIMTypeID</t>
        </is>
      </c>
      <c r="G28" s="16" t="inlineStr">
        <is>
          <t>SIM</t>
        </is>
      </c>
      <c r="H28" s="16" t="inlineStr">
        <is>
          <t>SIM card types</t>
        </is>
      </c>
      <c r="I28" s="43" t="n">
        <v>8</v>
      </c>
      <c r="J28" s="16" t="inlineStr">
        <is>
          <t>Active</t>
        </is>
      </c>
      <c r="K28" s="16" t="inlineStr">
        <is>
          <t>Yes</t>
        </is>
      </c>
      <c r="L28" s="17">
        <f t="array" ref="L28">TableExists(tblLookupCatalogID[[#This Row],[LookupTableName]])</f>
        <v/>
      </c>
      <c r="M28" s="17" t="n"/>
    </row>
    <row r="29" ht="43" customHeight="1" s="125">
      <c r="A29" s="16" t="inlineStr">
        <is>
          <t>LKC-000012</t>
        </is>
      </c>
      <c r="B29" s="16" t="inlineStr">
        <is>
          <t>LKG-000003</t>
        </is>
      </c>
      <c r="C29" s="94">
        <f>_xlfn.XLOOKUP(tblLookupCatalogID[[#This Row],[LookupGroupID]],tblLookupGroups[LookupGroupID],tblLookupGroups[GroupName],"")</f>
        <v/>
      </c>
      <c r="D29" s="16" t="inlineStr">
        <is>
          <t>tblNetworkGenerations</t>
        </is>
      </c>
      <c r="E29" s="16" t="inlineStr">
        <is>
          <t>Network Generations</t>
        </is>
      </c>
      <c r="F29" s="16" t="inlineStr">
        <is>
          <t>NetworkGenerationID</t>
        </is>
      </c>
      <c r="G29" s="16" t="inlineStr">
        <is>
          <t>NET</t>
        </is>
      </c>
      <c r="H29" s="16" t="inlineStr">
        <is>
          <t>Cellular network generations</t>
        </is>
      </c>
      <c r="I29" s="43" t="n">
        <v>9</v>
      </c>
      <c r="J29" s="16" t="inlineStr">
        <is>
          <t>Active</t>
        </is>
      </c>
      <c r="K29" s="16" t="inlineStr">
        <is>
          <t>Yes</t>
        </is>
      </c>
      <c r="L29" s="17">
        <f t="array" ref="L29">TableExists(tblLookupCatalogID[[#This Row],[LookupTableName]])</f>
        <v/>
      </c>
      <c r="M29" s="17" t="n"/>
    </row>
    <row r="30" ht="43" customHeight="1" s="125">
      <c r="A30" s="16" t="inlineStr">
        <is>
          <t>LKC-000013</t>
        </is>
      </c>
      <c r="B30" s="16" t="inlineStr">
        <is>
          <t>LKG-000003</t>
        </is>
      </c>
      <c r="C30" s="94">
        <f>_xlfn.XLOOKUP(tblLookupCatalogID[[#This Row],[LookupGroupID]],tblLookupGroups[LookupGroupID],tblLookupGroups[GroupName],"")</f>
        <v/>
      </c>
      <c r="D30" s="16" t="inlineStr">
        <is>
          <t>tblScreenTechnologies</t>
        </is>
      </c>
      <c r="E30" s="16" t="inlineStr">
        <is>
          <t>Screen Technologies</t>
        </is>
      </c>
      <c r="F30" s="16" t="inlineStr">
        <is>
          <t>ScreenTechnologyID</t>
        </is>
      </c>
      <c r="G30" s="16" t="inlineStr">
        <is>
          <t>SCT</t>
        </is>
      </c>
      <c r="H30" s="16" t="inlineStr">
        <is>
          <t>Display technologies</t>
        </is>
      </c>
      <c r="I30" s="43" t="n">
        <v>10</v>
      </c>
      <c r="J30" s="16" t="inlineStr">
        <is>
          <t>Active</t>
        </is>
      </c>
      <c r="K30" s="16" t="inlineStr">
        <is>
          <t>Yes</t>
        </is>
      </c>
      <c r="L30" s="17">
        <f t="array" ref="L30">TableExists(tblLookupCatalogID[[#This Row],[LookupTableName]])</f>
        <v/>
      </c>
      <c r="M30" s="17" t="n"/>
    </row>
    <row r="31" ht="43" customHeight="1" s="125">
      <c r="A31" s="16" t="inlineStr">
        <is>
          <t>LKC-000014</t>
        </is>
      </c>
      <c r="B31" s="16" t="inlineStr">
        <is>
          <t>LKG-000003</t>
        </is>
      </c>
      <c r="C31" s="94">
        <f>_xlfn.XLOOKUP(tblLookupCatalogID[[#This Row],[LookupGroupID]],tblLookupGroups[LookupGroupID],tblLookupGroups[GroupName],"")</f>
        <v/>
      </c>
      <c r="D31" s="16" t="inlineStr">
        <is>
          <t>tblProcessorManufacturers</t>
        </is>
      </c>
      <c r="E31" s="16" t="inlineStr">
        <is>
          <t>Processor Manufacturers</t>
        </is>
      </c>
      <c r="F31" s="16" t="inlineStr">
        <is>
          <t>ProcessorManufacturerID</t>
        </is>
      </c>
      <c r="G31" s="16" t="inlineStr">
        <is>
          <t>CPU</t>
        </is>
      </c>
      <c r="H31" s="16" t="inlineStr">
        <is>
          <t>CPU manufacturers</t>
        </is>
      </c>
      <c r="I31" s="43" t="n">
        <v>11</v>
      </c>
      <c r="J31" s="16" t="inlineStr">
        <is>
          <t>Active</t>
        </is>
      </c>
      <c r="K31" s="16" t="inlineStr">
        <is>
          <t>Yes</t>
        </is>
      </c>
      <c r="L31" s="17">
        <f t="array" ref="L31">TableExists(tblLookupCatalogID[[#This Row],[LookupTableName]])</f>
        <v/>
      </c>
      <c r="M31" s="17" t="n"/>
    </row>
    <row r="32" ht="43" customHeight="1" s="125">
      <c r="A32" s="16" t="inlineStr">
        <is>
          <t>LKC-000015</t>
        </is>
      </c>
      <c r="B32" s="16" t="inlineStr">
        <is>
          <t>LKG-000003</t>
        </is>
      </c>
      <c r="C32" s="94">
        <f>_xlfn.XLOOKUP(tblLookupCatalogID[[#This Row],[LookupGroupID]],tblLookupGroups[LookupGroupID],tblLookupGroups[GroupName],"")</f>
        <v/>
      </c>
      <c r="D32" s="16" t="inlineStr">
        <is>
          <t>tblMemoryOptions</t>
        </is>
      </c>
      <c r="E32" s="16" t="inlineStr">
        <is>
          <t>Memory Options</t>
        </is>
      </c>
      <c r="F32" s="16" t="inlineStr">
        <is>
          <t>MemoryOptionID</t>
        </is>
      </c>
      <c r="G32" s="16" t="inlineStr">
        <is>
          <t>MEM</t>
        </is>
      </c>
      <c r="H32" s="16" t="inlineStr">
        <is>
          <t>Installed memory options</t>
        </is>
      </c>
      <c r="I32" s="43" t="n">
        <v>12</v>
      </c>
      <c r="J32" s="16" t="inlineStr">
        <is>
          <t>Active</t>
        </is>
      </c>
      <c r="K32" s="16" t="inlineStr">
        <is>
          <t>Yes</t>
        </is>
      </c>
      <c r="L32" s="17">
        <f t="array" ref="L32">TableExists(tblLookupCatalogID[[#This Row],[LookupTableName]])</f>
        <v/>
      </c>
      <c r="M32" s="17" t="n"/>
    </row>
    <row r="33" ht="43" customHeight="1" s="125">
      <c r="A33" s="16" t="inlineStr">
        <is>
          <t>LKC-000016</t>
        </is>
      </c>
      <c r="B33" s="16" t="inlineStr">
        <is>
          <t>LKG-000003</t>
        </is>
      </c>
      <c r="C33" s="94">
        <f>_xlfn.XLOOKUP(tblLookupCatalogID[[#This Row],[LookupGroupID]],tblLookupGroups[LookupGroupID],tblLookupGroups[GroupName],"")</f>
        <v/>
      </c>
      <c r="D33" s="16" t="inlineStr">
        <is>
          <t>tblStorageOptions</t>
        </is>
      </c>
      <c r="E33" s="16" t="inlineStr">
        <is>
          <t>Storage Options</t>
        </is>
      </c>
      <c r="F33" s="16" t="inlineStr">
        <is>
          <t>StorageOptionID</t>
        </is>
      </c>
      <c r="G33" s="16" t="inlineStr">
        <is>
          <t>STO</t>
        </is>
      </c>
      <c r="H33" s="16" t="inlineStr">
        <is>
          <t>Storage capacities</t>
        </is>
      </c>
      <c r="I33" s="43" t="n">
        <v>13</v>
      </c>
      <c r="J33" s="16" t="inlineStr">
        <is>
          <t>Active</t>
        </is>
      </c>
      <c r="K33" s="16" t="inlineStr">
        <is>
          <t>Yes</t>
        </is>
      </c>
      <c r="L33" s="17">
        <f t="array" ref="L33">TableExists(tblLookupCatalogID[[#This Row],[LookupTableName]])</f>
        <v/>
      </c>
      <c r="M33" s="17" t="n"/>
    </row>
    <row r="34" ht="43" customHeight="1" s="125">
      <c r="A34" s="16" t="inlineStr">
        <is>
          <t>LKC-000017</t>
        </is>
      </c>
      <c r="B34" s="16" t="inlineStr">
        <is>
          <t>LKG-000003</t>
        </is>
      </c>
      <c r="C34" s="94">
        <f>_xlfn.XLOOKUP(tblLookupCatalogID[[#This Row],[LookupGroupID]],tblLookupGroups[LookupGroupID],tblLookupGroups[GroupName],"")</f>
        <v/>
      </c>
      <c r="D34" s="16" t="inlineStr">
        <is>
          <t>tblRefreshRates</t>
        </is>
      </c>
      <c r="E34" s="16" t="inlineStr">
        <is>
          <t>Refresh Rates</t>
        </is>
      </c>
      <c r="F34" s="16" t="inlineStr">
        <is>
          <t>RefreshRateID</t>
        </is>
      </c>
      <c r="G34" s="16" t="inlineStr">
        <is>
          <t>REF</t>
        </is>
      </c>
      <c r="H34" s="16" t="inlineStr">
        <is>
          <t>Display refresh rates</t>
        </is>
      </c>
      <c r="I34" s="43" t="n">
        <v>14</v>
      </c>
      <c r="J34" s="16" t="inlineStr">
        <is>
          <t>Active</t>
        </is>
      </c>
      <c r="K34" s="16" t="inlineStr">
        <is>
          <t>Yes</t>
        </is>
      </c>
      <c r="L34" s="17">
        <f t="array" ref="L34">TableExists(tblLookupCatalogID[[#This Row],[LookupTableName]])</f>
        <v/>
      </c>
      <c r="M34" s="17" t="n"/>
    </row>
    <row r="35" ht="43" customHeight="1" s="125">
      <c r="A35" s="16" t="inlineStr">
        <is>
          <t>LKC-000018</t>
        </is>
      </c>
      <c r="B35" s="16" t="inlineStr">
        <is>
          <t>LKG-000003</t>
        </is>
      </c>
      <c r="C35" s="94">
        <f>_xlfn.XLOOKUP(tblLookupCatalogID[[#This Row],[LookupGroupID]],tblLookupGroups[LookupGroupID],tblLookupGroups[GroupName],"")</f>
        <v/>
      </c>
      <c r="D35" s="16" t="inlineStr">
        <is>
          <t>tblWaterResistanceRatings</t>
        </is>
      </c>
      <c r="E35" s="16" t="inlineStr">
        <is>
          <t>Water Resistance Ratings</t>
        </is>
      </c>
      <c r="F35" s="16" t="inlineStr">
        <is>
          <t>WaterResistanceRatingID</t>
        </is>
      </c>
      <c r="G35" s="16" t="inlineStr">
        <is>
          <t>WTR</t>
        </is>
      </c>
      <c r="H35" s="16" t="inlineStr">
        <is>
          <t>IP ratings</t>
        </is>
      </c>
      <c r="I35" s="43" t="n">
        <v>15</v>
      </c>
      <c r="J35" s="16" t="inlineStr">
        <is>
          <t>Active</t>
        </is>
      </c>
      <c r="K35" s="16" t="inlineStr">
        <is>
          <t>Yes</t>
        </is>
      </c>
      <c r="L35" s="17">
        <f t="array" ref="L35">TableExists(tblLookupCatalogID[[#This Row],[LookupTableName]])</f>
        <v/>
      </c>
      <c r="M35" s="17" t="n"/>
    </row>
    <row r="36" ht="43" customHeight="1" s="125">
      <c r="A36" s="16" t="inlineStr">
        <is>
          <t>LKC-000019</t>
        </is>
      </c>
      <c r="B36" s="16" t="inlineStr">
        <is>
          <t>LKG-000003</t>
        </is>
      </c>
      <c r="C36" s="94">
        <f>_xlfn.XLOOKUP(tblLookupCatalogID[[#This Row],[LookupGroupID]],tblLookupGroups[LookupGroupID],tblLookupGroups[GroupName],"")</f>
        <v/>
      </c>
      <c r="D36" s="16" t="inlineStr">
        <is>
          <t>tblCarrierLockStatus</t>
        </is>
      </c>
      <c r="E36" s="16" t="inlineStr">
        <is>
          <t>Carrier Lock Status</t>
        </is>
      </c>
      <c r="F36" s="16" t="inlineStr">
        <is>
          <t>CarrierLockStatusID</t>
        </is>
      </c>
      <c r="G36" s="16" t="inlineStr">
        <is>
          <t>LCK</t>
        </is>
      </c>
      <c r="H36" s="16" t="inlineStr">
        <is>
          <t>Device lock status</t>
        </is>
      </c>
      <c r="I36" s="43" t="n">
        <v>16</v>
      </c>
      <c r="J36" s="16" t="inlineStr">
        <is>
          <t>Active</t>
        </is>
      </c>
      <c r="K36" s="16" t="inlineStr">
        <is>
          <t>Yes</t>
        </is>
      </c>
      <c r="L36" s="17">
        <f t="array" ref="L36">TableExists(tblLookupCatalogID[[#This Row],[LookupTableName]])</f>
        <v/>
      </c>
      <c r="M36" s="17" t="n"/>
    </row>
    <row r="37" ht="21.5" customHeight="1" s="125">
      <c r="A37" s="16" t="inlineStr">
        <is>
          <t>LKC-000020</t>
        </is>
      </c>
      <c r="B37" s="16" t="inlineStr">
        <is>
          <t>LKG-000003</t>
        </is>
      </c>
      <c r="C37" s="94">
        <f>_xlfn.XLOOKUP(tblLookupCatalogID[[#This Row],[LookupGroupID]],tblLookupGroups[LookupGroupID],tblLookupGroups[GroupName],"")</f>
        <v/>
      </c>
      <c r="D37" s="16" t="inlineStr">
        <is>
          <t>tblCarriers</t>
        </is>
      </c>
      <c r="E37" s="16" t="inlineStr">
        <is>
          <t>Carriers</t>
        </is>
      </c>
      <c r="F37" s="16" t="inlineStr">
        <is>
          <t>CarrierID</t>
        </is>
      </c>
      <c r="G37" s="16" t="inlineStr">
        <is>
          <t>CAR</t>
        </is>
      </c>
      <c r="H37" s="16" t="inlineStr">
        <is>
          <t>Mobile carriers</t>
        </is>
      </c>
      <c r="I37" s="43" t="n">
        <v>17</v>
      </c>
      <c r="J37" s="16" t="inlineStr">
        <is>
          <t>Active</t>
        </is>
      </c>
      <c r="K37" s="16" t="inlineStr">
        <is>
          <t>No</t>
        </is>
      </c>
      <c r="L37" s="17">
        <f t="array" ref="L37">TableExists(tblLookupCatalogID[[#This Row],[LookupTableName]])</f>
        <v/>
      </c>
      <c r="M37" s="17" t="n"/>
    </row>
    <row r="38" ht="43" customHeight="1" s="125">
      <c r="A38" s="16" t="inlineStr">
        <is>
          <t>LKC-000021</t>
        </is>
      </c>
      <c r="B38" s="16" t="inlineStr">
        <is>
          <t>LKG-000003</t>
        </is>
      </c>
      <c r="C38" s="94">
        <f>_xlfn.XLOOKUP(tblLookupCatalogID[[#This Row],[LookupGroupID]],tblLookupGroups[LookupGroupID],tblLookupGroups[GroupName],"")</f>
        <v/>
      </c>
      <c r="D38" s="16" t="inlineStr">
        <is>
          <t>tblMarketRegions</t>
        </is>
      </c>
      <c r="E38" s="16" t="inlineStr">
        <is>
          <t>Market Regions</t>
        </is>
      </c>
      <c r="F38" s="16" t="inlineStr">
        <is>
          <t>MarketRegionID</t>
        </is>
      </c>
      <c r="G38" s="16" t="inlineStr">
        <is>
          <t>REG</t>
        </is>
      </c>
      <c r="H38" s="16" t="inlineStr">
        <is>
          <t>Device market regions</t>
        </is>
      </c>
      <c r="I38" s="43" t="n">
        <v>18</v>
      </c>
      <c r="J38" s="16" t="inlineStr">
        <is>
          <t>Active</t>
        </is>
      </c>
      <c r="K38" s="16" t="inlineStr">
        <is>
          <t>Yes</t>
        </is>
      </c>
      <c r="L38" s="17">
        <f t="array" ref="L38">TableExists(tblLookupCatalogID[[#This Row],[LookupTableName]])</f>
        <v/>
      </c>
      <c r="M38" s="17" t="n"/>
    </row>
    <row r="39" ht="43" customHeight="1" s="125">
      <c r="A39" s="16" t="inlineStr">
        <is>
          <t>LKC-000022</t>
        </is>
      </c>
      <c r="B39" s="16" t="inlineStr">
        <is>
          <t>LKG-000003</t>
        </is>
      </c>
      <c r="C39" s="94">
        <f>_xlfn.XLOOKUP(tblLookupCatalogID[[#This Row],[LookupGroupID]],tblLookupGroups[LookupGroupID],tblLookupGroups[GroupName],"")</f>
        <v/>
      </c>
      <c r="D39" s="16" t="inlineStr">
        <is>
          <t>tblRepairabilityRatings</t>
        </is>
      </c>
      <c r="E39" s="16" t="inlineStr">
        <is>
          <t>Repairability Ratings</t>
        </is>
      </c>
      <c r="F39" s="16" t="inlineStr">
        <is>
          <t>RepairabilityRatingID</t>
        </is>
      </c>
      <c r="G39" s="16" t="inlineStr">
        <is>
          <t>RPR</t>
        </is>
      </c>
      <c r="H39" s="16" t="inlineStr">
        <is>
          <t>Device repairability scale</t>
        </is>
      </c>
      <c r="I39" s="43" t="n">
        <v>19</v>
      </c>
      <c r="J39" s="16" t="inlineStr">
        <is>
          <t>Active</t>
        </is>
      </c>
      <c r="K39" s="16" t="inlineStr">
        <is>
          <t>Yes</t>
        </is>
      </c>
      <c r="L39" s="17">
        <f t="array" ref="L39">TableExists(tblLookupCatalogID[[#This Row],[LookupTableName]])</f>
        <v/>
      </c>
      <c r="M39" s="17" t="n"/>
    </row>
    <row r="40" ht="43" customHeight="1" s="125">
      <c r="A40" s="16" t="inlineStr">
        <is>
          <t>LKC-000023</t>
        </is>
      </c>
      <c r="B40" s="16" t="inlineStr">
        <is>
          <t>LKG-000003</t>
        </is>
      </c>
      <c r="C40" s="94">
        <f>_xlfn.XLOOKUP(tblLookupCatalogID[[#This Row],[LookupGroupID]],tblLookupGroups[LookupGroupID],tblLookupGroups[GroupName],"")</f>
        <v/>
      </c>
      <c r="D40" s="16" t="inlineStr">
        <is>
          <t>tblDeviceStatus</t>
        </is>
      </c>
      <c r="E40" s="16" t="inlineStr">
        <is>
          <t>Device Status</t>
        </is>
      </c>
      <c r="F40" s="16" t="inlineStr">
        <is>
          <t>DeviceStatusID</t>
        </is>
      </c>
      <c r="G40" s="16" t="inlineStr">
        <is>
          <t>DST</t>
        </is>
      </c>
      <c r="H40" s="16" t="inlineStr">
        <is>
          <t>Device lifecycle status</t>
        </is>
      </c>
      <c r="I40" s="43" t="n">
        <v>20</v>
      </c>
      <c r="J40" s="16" t="inlineStr">
        <is>
          <t>Active</t>
        </is>
      </c>
      <c r="K40" s="16" t="inlineStr">
        <is>
          <t>Yes</t>
        </is>
      </c>
      <c r="L40" s="17">
        <f t="array" ref="L40">TableExists(tblLookupCatalogID[[#This Row],[LookupTableName]])</f>
        <v/>
      </c>
      <c r="M40" s="17" t="n"/>
    </row>
    <row r="41" ht="43" customHeight="1" s="125">
      <c r="A41" s="16" t="inlineStr">
        <is>
          <t>LKC-000024</t>
        </is>
      </c>
      <c r="B41" s="16" t="inlineStr">
        <is>
          <t>LKG-000004</t>
        </is>
      </c>
      <c r="C41" s="94">
        <f>_xlfn.XLOOKUP(tblLookupCatalogID[[#This Row],[LookupGroupID]],tblLookupGroups[LookupGroupID],tblLookupGroups[GroupName],"")</f>
        <v/>
      </c>
      <c r="D41" s="16" t="inlineStr">
        <is>
          <t>tblRepairCategories</t>
        </is>
      </c>
      <c r="E41" s="16" t="inlineStr">
        <is>
          <t>Repair Categories</t>
        </is>
      </c>
      <c r="F41" s="16" t="inlineStr">
        <is>
          <t>RepairCategoryID</t>
        </is>
      </c>
      <c r="G41" s="16" t="inlineStr">
        <is>
          <t>RCT</t>
        </is>
      </c>
      <c r="H41" s="16" t="inlineStr">
        <is>
          <t>Repair classifications</t>
        </is>
      </c>
      <c r="I41" s="43" t="n">
        <v>1</v>
      </c>
      <c r="J41" s="16" t="inlineStr">
        <is>
          <t>Active</t>
        </is>
      </c>
      <c r="K41" s="16" t="inlineStr">
        <is>
          <t>Yes</t>
        </is>
      </c>
      <c r="L41" s="17">
        <f t="array" ref="L41">TableExists(tblLookupCatalogID[[#This Row],[LookupTableName]])</f>
        <v/>
      </c>
      <c r="M41" s="17" t="n"/>
    </row>
    <row r="42" ht="21.5" customHeight="1" s="125">
      <c r="A42" s="16" t="inlineStr">
        <is>
          <t>LKC-000025</t>
        </is>
      </c>
      <c r="B42" s="16" t="inlineStr">
        <is>
          <t>LKG-000004</t>
        </is>
      </c>
      <c r="C42" s="94">
        <f>_xlfn.XLOOKUP(tblLookupCatalogID[[#This Row],[LookupGroupID]],tblLookupGroups[LookupGroupID],tblLookupGroups[GroupName],"")</f>
        <v/>
      </c>
      <c r="D42" s="16" t="inlineStr">
        <is>
          <t>tblRepairTypes</t>
        </is>
      </c>
      <c r="E42" s="16" t="inlineStr">
        <is>
          <t>Repair Types</t>
        </is>
      </c>
      <c r="F42" s="16" t="inlineStr">
        <is>
          <t>RepairTypeID</t>
        </is>
      </c>
      <c r="G42" s="16" t="inlineStr">
        <is>
          <t>RTP</t>
        </is>
      </c>
      <c r="H42" s="16" t="inlineStr">
        <is>
          <t>Repair services</t>
        </is>
      </c>
      <c r="I42" s="43" t="n">
        <v>2</v>
      </c>
      <c r="J42" s="16" t="inlineStr">
        <is>
          <t>Active</t>
        </is>
      </c>
      <c r="K42" s="16" t="inlineStr">
        <is>
          <t>Yes</t>
        </is>
      </c>
      <c r="L42" s="17">
        <f t="array" ref="L42">TableExists(tblLookupCatalogID[[#This Row],[LookupTableName]])</f>
        <v/>
      </c>
      <c r="M42" s="17" t="n"/>
    </row>
    <row r="43" ht="43" customHeight="1" s="125">
      <c r="A43" s="16" t="inlineStr">
        <is>
          <t>LKC-000026</t>
        </is>
      </c>
      <c r="B43" s="16" t="inlineStr">
        <is>
          <t>LKG-000004</t>
        </is>
      </c>
      <c r="C43" s="94">
        <f>_xlfn.XLOOKUP(tblLookupCatalogID[[#This Row],[LookupGroupID]],tblLookupGroups[LookupGroupID],tblLookupGroups[GroupName],"")</f>
        <v/>
      </c>
      <c r="D43" s="16" t="inlineStr">
        <is>
          <t>tblRepairStatus</t>
        </is>
      </c>
      <c r="E43" s="16" t="inlineStr">
        <is>
          <t>Repair Status</t>
        </is>
      </c>
      <c r="F43" s="16" t="inlineStr">
        <is>
          <t>RepairStatusID</t>
        </is>
      </c>
      <c r="G43" s="16" t="inlineStr">
        <is>
          <t>RST</t>
        </is>
      </c>
      <c r="H43" s="16" t="inlineStr">
        <is>
          <t>Repair workflow status</t>
        </is>
      </c>
      <c r="I43" s="43" t="n">
        <v>3</v>
      </c>
      <c r="J43" s="16" t="inlineStr">
        <is>
          <t>Active</t>
        </is>
      </c>
      <c r="K43" s="16" t="inlineStr">
        <is>
          <t>Yes</t>
        </is>
      </c>
      <c r="L43" s="17">
        <f t="array" ref="L43">TableExists(tblLookupCatalogID[[#This Row],[LookupTableName]])</f>
        <v/>
      </c>
      <c r="M43" s="17" t="n"/>
    </row>
    <row r="44" ht="21.5" customHeight="1" s="125">
      <c r="A44" s="16" t="inlineStr">
        <is>
          <t>LKC-000027</t>
        </is>
      </c>
      <c r="B44" s="16" t="inlineStr">
        <is>
          <t>LKG-000004</t>
        </is>
      </c>
      <c r="C44" s="94">
        <f>_xlfn.XLOOKUP(tblLookupCatalogID[[#This Row],[LookupGroupID]],tblLookupGroups[LookupGroupID],tblLookupGroups[GroupName],"")</f>
        <v/>
      </c>
      <c r="D44" s="16" t="inlineStr">
        <is>
          <t>tblRepairPriorities</t>
        </is>
      </c>
      <c r="E44" s="16" t="inlineStr">
        <is>
          <t>Repair Priorities</t>
        </is>
      </c>
      <c r="F44" s="16" t="inlineStr">
        <is>
          <t>RepairPriorityID</t>
        </is>
      </c>
      <c r="G44" s="16" t="inlineStr">
        <is>
          <t>RPY</t>
        </is>
      </c>
      <c r="H44" s="16" t="inlineStr">
        <is>
          <t>Repair urgency</t>
        </is>
      </c>
      <c r="I44" s="43" t="n">
        <v>4</v>
      </c>
      <c r="J44" s="16" t="inlineStr">
        <is>
          <t>Active</t>
        </is>
      </c>
      <c r="K44" s="16" t="inlineStr">
        <is>
          <t>Yes</t>
        </is>
      </c>
      <c r="L44" s="17">
        <f t="array" ref="L44">TableExists(tblLookupCatalogID[[#This Row],[LookupTableName]])</f>
        <v/>
      </c>
      <c r="M44" s="17" t="n"/>
    </row>
    <row r="45" ht="43" customHeight="1" s="125">
      <c r="A45" s="16" t="inlineStr">
        <is>
          <t>LKC-000028</t>
        </is>
      </c>
      <c r="B45" s="16" t="inlineStr">
        <is>
          <t>LKG-000004</t>
        </is>
      </c>
      <c r="C45" s="94">
        <f>_xlfn.XLOOKUP(tblLookupCatalogID[[#This Row],[LookupGroupID]],tblLookupGroups[LookupGroupID],tblLookupGroups[GroupName],"")</f>
        <v/>
      </c>
      <c r="D45" s="16" t="inlineStr">
        <is>
          <t>tblRepairOutcomes</t>
        </is>
      </c>
      <c r="E45" s="16" t="inlineStr">
        <is>
          <t>Repair Outcomes</t>
        </is>
      </c>
      <c r="F45" s="16" t="inlineStr">
        <is>
          <t>RepairOutcomeID</t>
        </is>
      </c>
      <c r="G45" s="16" t="inlineStr">
        <is>
          <t>ROT</t>
        </is>
      </c>
      <c r="H45" s="16" t="inlineStr">
        <is>
          <t>Final repair results</t>
        </is>
      </c>
      <c r="I45" s="43" t="n">
        <v>5</v>
      </c>
      <c r="J45" s="16" t="inlineStr">
        <is>
          <t>Active</t>
        </is>
      </c>
      <c r="K45" s="16" t="inlineStr">
        <is>
          <t>Yes</t>
        </is>
      </c>
      <c r="L45" s="17">
        <f t="array" ref="L45">TableExists(tblLookupCatalogID[[#This Row],[LookupTableName]])</f>
        <v/>
      </c>
      <c r="M45" s="17" t="n"/>
    </row>
    <row r="46" ht="43" customHeight="1" s="125">
      <c r="A46" s="16" t="inlineStr">
        <is>
          <t>LKC-000029</t>
        </is>
      </c>
      <c r="B46" s="16" t="inlineStr">
        <is>
          <t>LKG-000004</t>
        </is>
      </c>
      <c r="C46" s="94">
        <f>_xlfn.XLOOKUP(tblLookupCatalogID[[#This Row],[LookupGroupID]],tblLookupGroups[LookupGroupID],tblLookupGroups[GroupName],"")</f>
        <v/>
      </c>
      <c r="D46" s="16" t="inlineStr">
        <is>
          <t>tblRepairComplexities</t>
        </is>
      </c>
      <c r="E46" s="16" t="inlineStr">
        <is>
          <t>RepairComplexityID</t>
        </is>
      </c>
      <c r="F46" s="16" t="inlineStr">
        <is>
          <t>RepairComplexityID</t>
        </is>
      </c>
      <c r="G46" s="16" t="inlineStr">
        <is>
          <t>RCM</t>
        </is>
      </c>
      <c r="H46" s="16" t="inlineStr">
        <is>
          <t>Repair difficulty levels</t>
        </is>
      </c>
      <c r="I46" s="43" t="n">
        <v>6</v>
      </c>
      <c r="J46" s="16" t="inlineStr">
        <is>
          <t>Active</t>
        </is>
      </c>
      <c r="K46" s="16" t="inlineStr">
        <is>
          <t>Yes</t>
        </is>
      </c>
      <c r="L46" s="17">
        <f t="array" ref="L46">TableExists(tblLookupCatalogID[[#This Row],[LookupTableName]])</f>
        <v/>
      </c>
      <c r="M46" s="17" t="n"/>
    </row>
    <row r="47" ht="43" customHeight="1" s="125">
      <c r="A47" s="16" t="inlineStr">
        <is>
          <t>LKC-000030</t>
        </is>
      </c>
      <c r="B47" s="16" t="inlineStr">
        <is>
          <t>LKG-000004</t>
        </is>
      </c>
      <c r="C47" s="94">
        <f>_xlfn.XLOOKUP(tblLookupCatalogID[[#This Row],[LookupGroupID]],tblLookupGroups[LookupGroupID],tblLookupGroups[GroupName],"")</f>
        <v/>
      </c>
      <c r="D47" s="16" t="inlineStr">
        <is>
          <t>tblDiagnosticTypes</t>
        </is>
      </c>
      <c r="E47" s="16" t="inlineStr">
        <is>
          <t>Diagnostic Types</t>
        </is>
      </c>
      <c r="F47" s="16" t="inlineStr">
        <is>
          <t>DiagnosticTypeID</t>
        </is>
      </c>
      <c r="G47" s="16" t="inlineStr">
        <is>
          <t>DGT</t>
        </is>
      </c>
      <c r="H47" s="16" t="inlineStr">
        <is>
          <t>Diagnostic categories</t>
        </is>
      </c>
      <c r="I47" s="43" t="n">
        <v>7</v>
      </c>
      <c r="J47" s="16" t="inlineStr">
        <is>
          <t>Active</t>
        </is>
      </c>
      <c r="K47" s="16" t="inlineStr">
        <is>
          <t>Yes</t>
        </is>
      </c>
      <c r="L47" s="17">
        <f t="array" ref="L47">TableExists(tblLookupCatalogID[[#This Row],[LookupTableName]])</f>
        <v/>
      </c>
      <c r="M47" s="17" t="n"/>
    </row>
    <row r="48" ht="43" customHeight="1" s="125">
      <c r="A48" s="16" t="inlineStr">
        <is>
          <t>LKC-000031</t>
        </is>
      </c>
      <c r="B48" s="16" t="inlineStr">
        <is>
          <t>LKG-000004</t>
        </is>
      </c>
      <c r="C48" s="94">
        <f>_xlfn.XLOOKUP(tblLookupCatalogID[[#This Row],[LookupGroupID]],tblLookupGroups[LookupGroupID],tblLookupGroups[GroupName],"")</f>
        <v/>
      </c>
      <c r="D48" s="16" t="inlineStr">
        <is>
          <t>tblDiagnosticResults</t>
        </is>
      </c>
      <c r="E48" s="16" t="inlineStr">
        <is>
          <t>Diagnostic Results</t>
        </is>
      </c>
      <c r="F48" s="16" t="inlineStr">
        <is>
          <t>DiagnosticResultID</t>
        </is>
      </c>
      <c r="G48" s="16" t="inlineStr">
        <is>
          <t>DGN</t>
        </is>
      </c>
      <c r="H48" s="16" t="inlineStr">
        <is>
          <t>Diagnostic outcomes</t>
        </is>
      </c>
      <c r="I48" s="43" t="n">
        <v>8</v>
      </c>
      <c r="J48" s="16" t="inlineStr">
        <is>
          <t>Active</t>
        </is>
      </c>
      <c r="K48" s="16" t="inlineStr">
        <is>
          <t>Yes</t>
        </is>
      </c>
      <c r="L48" s="17">
        <f t="array" ref="L48">TableExists(tblLookupCatalogID[[#This Row],[LookupTableName]])</f>
        <v/>
      </c>
      <c r="M48" s="17" t="n"/>
    </row>
    <row r="49" ht="43" customHeight="1" s="125">
      <c r="A49" s="16" t="inlineStr">
        <is>
          <t>LKC-000032</t>
        </is>
      </c>
      <c r="B49" s="16" t="inlineStr">
        <is>
          <t>LKG-000004</t>
        </is>
      </c>
      <c r="C49" s="94">
        <f>_xlfn.XLOOKUP(tblLookupCatalogID[[#This Row],[LookupGroupID]],tblLookupGroups[LookupGroupID],tblLookupGroups[GroupName],"")</f>
        <v/>
      </c>
      <c r="D49" s="16" t="inlineStr">
        <is>
          <t>tblNoteTypes</t>
        </is>
      </c>
      <c r="E49" s="16" t="inlineStr">
        <is>
          <t>Note Types</t>
        </is>
      </c>
      <c r="F49" s="16" t="inlineStr">
        <is>
          <t>NoteTypeID</t>
        </is>
      </c>
      <c r="G49" s="16" t="inlineStr">
        <is>
          <t>NTE</t>
        </is>
      </c>
      <c r="H49" s="16" t="inlineStr">
        <is>
          <t>Repair note categories</t>
        </is>
      </c>
      <c r="I49" s="43" t="n">
        <v>9</v>
      </c>
      <c r="J49" s="16" t="inlineStr">
        <is>
          <t>Active</t>
        </is>
      </c>
      <c r="K49" s="16" t="inlineStr">
        <is>
          <t>Yes</t>
        </is>
      </c>
      <c r="L49" s="17">
        <f t="array" ref="L49">TableExists(tblLookupCatalogID[[#This Row],[LookupTableName]])</f>
        <v/>
      </c>
      <c r="M49" s="17" t="n"/>
    </row>
    <row r="50" ht="43" customHeight="1" s="125">
      <c r="A50" s="16" t="inlineStr">
        <is>
          <t>LKC-000033</t>
        </is>
      </c>
      <c r="B50" s="16" t="inlineStr">
        <is>
          <t>LKG-000004</t>
        </is>
      </c>
      <c r="C50" s="94">
        <f>_xlfn.XLOOKUP(tblLookupCatalogID[[#This Row],[LookupGroupID]],tblLookupGroups[LookupGroupID],tblLookupGroups[GroupName],"")</f>
        <v/>
      </c>
      <c r="D50" s="16" t="inlineStr">
        <is>
          <t>tblNoteVisibility</t>
        </is>
      </c>
      <c r="E50" s="16" t="inlineStr">
        <is>
          <t>Note Visibility</t>
        </is>
      </c>
      <c r="F50" s="16" t="inlineStr">
        <is>
          <t>NoteVisibilityID</t>
        </is>
      </c>
      <c r="G50" s="16" t="inlineStr">
        <is>
          <t>NVS</t>
        </is>
      </c>
      <c r="H50" s="16" t="inlineStr">
        <is>
          <t>Internal or customer visibility</t>
        </is>
      </c>
      <c r="I50" s="43" t="n">
        <v>10</v>
      </c>
      <c r="J50" s="16" t="inlineStr">
        <is>
          <t>Active</t>
        </is>
      </c>
      <c r="K50" s="16" t="inlineStr">
        <is>
          <t>Yes</t>
        </is>
      </c>
      <c r="L50" s="17">
        <f t="array" ref="L50">TableExists(tblLookupCatalogID[[#This Row],[LookupTableName]])</f>
        <v/>
      </c>
      <c r="M50" s="17" t="n"/>
    </row>
    <row r="51" ht="43" customHeight="1" s="125">
      <c r="A51" s="16" t="inlineStr">
        <is>
          <t>LKC-000034</t>
        </is>
      </c>
      <c r="B51" s="16" t="inlineStr">
        <is>
          <t>LKG-000004</t>
        </is>
      </c>
      <c r="C51" s="94">
        <f>_xlfn.XLOOKUP(tblLookupCatalogID[[#This Row],[LookupGroupID]],tblLookupGroups[LookupGroupID],tblLookupGroups[GroupName],"")</f>
        <v/>
      </c>
      <c r="D51" s="16" t="inlineStr">
        <is>
          <t>tblQCStatus</t>
        </is>
      </c>
      <c r="E51" s="16" t="inlineStr">
        <is>
          <t>QC Status</t>
        </is>
      </c>
      <c r="F51" s="16" t="inlineStr">
        <is>
          <t>QCStatusID</t>
        </is>
      </c>
      <c r="G51" s="16" t="inlineStr">
        <is>
          <t>QCS</t>
        </is>
      </c>
      <c r="H51" s="16" t="inlineStr">
        <is>
          <t>Quality control results</t>
        </is>
      </c>
      <c r="I51" s="43" t="n">
        <v>11</v>
      </c>
      <c r="J51" s="16" t="inlineStr">
        <is>
          <t>Active</t>
        </is>
      </c>
      <c r="K51" s="16" t="inlineStr">
        <is>
          <t>Yes</t>
        </is>
      </c>
      <c r="L51" s="17">
        <f t="array" ref="L51">TableExists(tblLookupCatalogID[[#This Row],[LookupTableName]])</f>
        <v/>
      </c>
      <c r="M51" s="17" t="n"/>
    </row>
    <row r="52" ht="43" customHeight="1" s="125">
      <c r="A52" s="16" t="inlineStr">
        <is>
          <t>LKC-000035</t>
        </is>
      </c>
      <c r="B52" s="16" t="inlineStr">
        <is>
          <t>LKG-000004</t>
        </is>
      </c>
      <c r="C52" s="94">
        <f>_xlfn.XLOOKUP(tblLookupCatalogID[[#This Row],[LookupGroupID]],tblLookupGroups[LookupGroupID],tblLookupGroups[GroupName],"")</f>
        <v/>
      </c>
      <c r="D52" s="16" t="inlineStr">
        <is>
          <t>tblTestResults</t>
        </is>
      </c>
      <c r="E52" s="16" t="inlineStr">
        <is>
          <t>Test Results</t>
        </is>
      </c>
      <c r="F52" s="16" t="inlineStr">
        <is>
          <t>TestResultID</t>
        </is>
      </c>
      <c r="G52" s="16" t="inlineStr">
        <is>
          <t>TST</t>
        </is>
      </c>
      <c r="H52" s="16" t="inlineStr">
        <is>
          <t>Test pass/fail results</t>
        </is>
      </c>
      <c r="I52" s="43" t="n">
        <v>12</v>
      </c>
      <c r="J52" s="16" t="inlineStr">
        <is>
          <t>Active</t>
        </is>
      </c>
      <c r="K52" s="16" t="inlineStr">
        <is>
          <t>Yes</t>
        </is>
      </c>
      <c r="L52" s="17">
        <f t="array" ref="L52">TableExists(tblLookupCatalogID[[#This Row],[LookupTableName]])</f>
        <v/>
      </c>
      <c r="M52" s="17" t="n"/>
    </row>
    <row r="53" ht="43" customHeight="1" s="125">
      <c r="A53" s="16" t="inlineStr">
        <is>
          <t>LKC-000036</t>
        </is>
      </c>
      <c r="B53" s="16" t="inlineStr">
        <is>
          <t>LKG-000005</t>
        </is>
      </c>
      <c r="C53" s="94">
        <f>_xlfn.XLOOKUP(tblLookupCatalogID[[#This Row],[LookupGroupID]],tblLookupGroups[LookupGroupID],tblLookupGroups[GroupName],"")</f>
        <v/>
      </c>
      <c r="D53" s="16" t="inlineStr">
        <is>
          <t>tblServiceCategories</t>
        </is>
      </c>
      <c r="E53" s="16" t="inlineStr">
        <is>
          <t>Service Categories</t>
        </is>
      </c>
      <c r="F53" s="16" t="inlineStr">
        <is>
          <t>ServiceCategoryID</t>
        </is>
      </c>
      <c r="G53" s="16" t="inlineStr">
        <is>
          <t>SVC</t>
        </is>
      </c>
      <c r="H53" s="16" t="inlineStr">
        <is>
          <t>Service groupings</t>
        </is>
      </c>
      <c r="I53" s="43" t="n">
        <v>1</v>
      </c>
      <c r="J53" s="16" t="inlineStr">
        <is>
          <t>Active</t>
        </is>
      </c>
      <c r="K53" s="16" t="inlineStr">
        <is>
          <t>Yes</t>
        </is>
      </c>
      <c r="L53" s="17">
        <f t="array" ref="L53">TableExists(tblLookupCatalogID[[#This Row],[LookupTableName]])</f>
        <v/>
      </c>
      <c r="M53" s="17" t="n"/>
    </row>
    <row r="54" ht="43" customHeight="1" s="125">
      <c r="A54" s="16" t="inlineStr">
        <is>
          <t>LKC-000037</t>
        </is>
      </c>
      <c r="B54" s="16" t="inlineStr">
        <is>
          <t>LKG-000006</t>
        </is>
      </c>
      <c r="C54" s="94">
        <f>_xlfn.XLOOKUP(tblLookupCatalogID[[#This Row],[LookupGroupID]],tblLookupGroups[LookupGroupID],tblLookupGroups[GroupName],"")</f>
        <v/>
      </c>
      <c r="D54" s="16" t="inlineStr">
        <is>
          <t>tblPaymentMethods</t>
        </is>
      </c>
      <c r="E54" s="16" t="inlineStr">
        <is>
          <t>Payment Methods</t>
        </is>
      </c>
      <c r="F54" s="16" t="inlineStr">
        <is>
          <t>PaymentMethodID</t>
        </is>
      </c>
      <c r="G54" s="16" t="inlineStr">
        <is>
          <t>PAY</t>
        </is>
      </c>
      <c r="H54" s="16" t="inlineStr">
        <is>
          <t>Accepted payment methods</t>
        </is>
      </c>
      <c r="I54" s="43" t="n">
        <v>1</v>
      </c>
      <c r="J54" s="16" t="inlineStr">
        <is>
          <t>Active</t>
        </is>
      </c>
      <c r="K54" s="16" t="inlineStr">
        <is>
          <t>Yes</t>
        </is>
      </c>
      <c r="L54" s="17">
        <f t="array" ref="L54">TableExists(tblLookupCatalogID[[#This Row],[LookupTableName]])</f>
        <v/>
      </c>
      <c r="M54" s="17" t="n"/>
    </row>
    <row r="55" ht="43" customHeight="1" s="125">
      <c r="A55" s="16" t="inlineStr">
        <is>
          <t>LKC-000038</t>
        </is>
      </c>
      <c r="B55" s="16" t="inlineStr">
        <is>
          <t>LKG-000006</t>
        </is>
      </c>
      <c r="C55" s="94">
        <f>_xlfn.XLOOKUP(tblLookupCatalogID[[#This Row],[LookupGroupID]],tblLookupGroups[LookupGroupID],tblLookupGroups[GroupName],"")</f>
        <v/>
      </c>
      <c r="D55" s="16" t="inlineStr">
        <is>
          <t>tblPaymentStatus</t>
        </is>
      </c>
      <c r="E55" s="16" t="inlineStr">
        <is>
          <t>Payment Status</t>
        </is>
      </c>
      <c r="F55" s="16" t="inlineStr">
        <is>
          <t>PaymentStatusID</t>
        </is>
      </c>
      <c r="G55" s="16" t="inlineStr">
        <is>
          <t>PYS</t>
        </is>
      </c>
      <c r="H55" s="16" t="inlineStr">
        <is>
          <t>Payment workflow</t>
        </is>
      </c>
      <c r="I55" s="43" t="n">
        <v>2</v>
      </c>
      <c r="J55" s="16" t="inlineStr">
        <is>
          <t>Active</t>
        </is>
      </c>
      <c r="K55" s="16" t="inlineStr">
        <is>
          <t>Yes</t>
        </is>
      </c>
      <c r="L55" s="17">
        <f t="array" ref="L55">TableExists(tblLookupCatalogID[[#This Row],[LookupTableName]])</f>
        <v/>
      </c>
      <c r="M55" s="17" t="n"/>
    </row>
    <row r="56" ht="21.5" customHeight="1" s="125">
      <c r="A56" s="16" t="inlineStr">
        <is>
          <t>LKC-000039</t>
        </is>
      </c>
      <c r="B56" s="16" t="inlineStr">
        <is>
          <t>LKG-000006</t>
        </is>
      </c>
      <c r="C56" s="94">
        <f>_xlfn.XLOOKUP(tblLookupCatalogID[[#This Row],[LookupGroupID]],tblLookupGroups[LookupGroupID],tblLookupGroups[GroupName],"")</f>
        <v/>
      </c>
      <c r="D56" s="16" t="inlineStr">
        <is>
          <t>tblInvoiceStatus</t>
        </is>
      </c>
      <c r="E56" s="16" t="inlineStr">
        <is>
          <t>Invoice Status</t>
        </is>
      </c>
      <c r="F56" s="16" t="inlineStr">
        <is>
          <t>InvoiceStatusID</t>
        </is>
      </c>
      <c r="G56" s="16" t="inlineStr">
        <is>
          <t>INVS</t>
        </is>
      </c>
      <c r="H56" s="16" t="inlineStr">
        <is>
          <t>Invoice lifecycle</t>
        </is>
      </c>
      <c r="I56" s="43" t="n">
        <v>3</v>
      </c>
      <c r="J56" s="16" t="inlineStr">
        <is>
          <t>Active</t>
        </is>
      </c>
      <c r="K56" s="16" t="inlineStr">
        <is>
          <t>Yes</t>
        </is>
      </c>
      <c r="L56" s="17">
        <f t="array" ref="L56">TableExists(tblLookupCatalogID[[#This Row],[LookupTableName]])</f>
        <v/>
      </c>
      <c r="M56" s="17" t="n"/>
    </row>
    <row r="57" ht="43" customHeight="1" s="125">
      <c r="A57" s="16" t="inlineStr">
        <is>
          <t>LKC-000040</t>
        </is>
      </c>
      <c r="B57" s="16" t="inlineStr">
        <is>
          <t>LKG-000006</t>
        </is>
      </c>
      <c r="C57" s="94">
        <f>_xlfn.XLOOKUP(tblLookupCatalogID[[#This Row],[LookupGroupID]],tblLookupGroups[LookupGroupID],tblLookupGroups[GroupName],"")</f>
        <v/>
      </c>
      <c r="D57" s="16" t="inlineStr">
        <is>
          <t>tblEstimateStatus</t>
        </is>
      </c>
      <c r="E57" s="16" t="inlineStr">
        <is>
          <t>Estimate Status</t>
        </is>
      </c>
      <c r="F57" s="16" t="inlineStr">
        <is>
          <t>EstimateStatusID</t>
        </is>
      </c>
      <c r="G57" s="16" t="inlineStr">
        <is>
          <t>EST</t>
        </is>
      </c>
      <c r="H57" s="16" t="inlineStr">
        <is>
          <t>Estimate workflow</t>
        </is>
      </c>
      <c r="I57" s="43" t="n">
        <v>4</v>
      </c>
      <c r="J57" s="16" t="inlineStr">
        <is>
          <t>Active</t>
        </is>
      </c>
      <c r="K57" s="16" t="inlineStr">
        <is>
          <t>Yes</t>
        </is>
      </c>
      <c r="L57" s="17">
        <f t="array" ref="L57">TableExists(tblLookupCatalogID[[#This Row],[LookupTableName]])</f>
        <v/>
      </c>
      <c r="M57" s="17" t="n"/>
    </row>
    <row r="58" ht="21.5" customHeight="1" s="125">
      <c r="A58" s="16" t="inlineStr">
        <is>
          <t>LKC-000041</t>
        </is>
      </c>
      <c r="B58" s="16" t="inlineStr">
        <is>
          <t>LKG-000006</t>
        </is>
      </c>
      <c r="C58" s="94">
        <f>_xlfn.XLOOKUP(tblLookupCatalogID[[#This Row],[LookupGroupID]],tblLookupGroups[LookupGroupID],tblLookupGroups[GroupName],"")</f>
        <v/>
      </c>
      <c r="D58" s="16" t="inlineStr">
        <is>
          <t>tblTaxCategories</t>
        </is>
      </c>
      <c r="E58" s="16" t="inlineStr">
        <is>
          <t>Tax Categories</t>
        </is>
      </c>
      <c r="F58" s="16" t="inlineStr">
        <is>
          <t>TaxCategoryID</t>
        </is>
      </c>
      <c r="G58" s="16" t="inlineStr">
        <is>
          <t>TAX</t>
        </is>
      </c>
      <c r="H58" s="16" t="inlineStr">
        <is>
          <t>Tax rules</t>
        </is>
      </c>
      <c r="I58" s="43" t="n">
        <v>5</v>
      </c>
      <c r="J58" s="16" t="inlineStr">
        <is>
          <t>Active</t>
        </is>
      </c>
      <c r="K58" s="16" t="inlineStr">
        <is>
          <t>Yes</t>
        </is>
      </c>
      <c r="L58" s="17">
        <f t="array" ref="L58">TableExists(tblLookupCatalogID[[#This Row],[LookupTableName]])</f>
        <v/>
      </c>
      <c r="M58" s="17" t="n"/>
    </row>
    <row r="59" ht="21.5" customHeight="1" s="125">
      <c r="A59" s="16" t="inlineStr">
        <is>
          <t>LKC-000042</t>
        </is>
      </c>
      <c r="B59" s="16" t="inlineStr">
        <is>
          <t>LKG-000006</t>
        </is>
      </c>
      <c r="C59" s="94">
        <f>_xlfn.XLOOKUP(tblLookupCatalogID[[#This Row],[LookupGroupID]],tblLookupGroups[LookupGroupID],tblLookupGroups[GroupName],"")</f>
        <v/>
      </c>
      <c r="D59" s="16" t="inlineStr">
        <is>
          <t>tblWarrantyTypes</t>
        </is>
      </c>
      <c r="E59" s="16" t="inlineStr">
        <is>
          <t>Warranty Types</t>
        </is>
      </c>
      <c r="F59" s="16" t="inlineStr">
        <is>
          <t>WarrantyTypeID</t>
        </is>
      </c>
      <c r="G59" s="16" t="inlineStr">
        <is>
          <t>WAR</t>
        </is>
      </c>
      <c r="H59" s="16" t="inlineStr">
        <is>
          <t>Warranty options</t>
        </is>
      </c>
      <c r="I59" s="43" t="n">
        <v>6</v>
      </c>
      <c r="J59" s="16" t="inlineStr">
        <is>
          <t>Active</t>
        </is>
      </c>
      <c r="K59" s="16" t="inlineStr">
        <is>
          <t>Yes</t>
        </is>
      </c>
      <c r="L59" s="17">
        <f t="array" ref="L59">TableExists(tblLookupCatalogID[[#This Row],[LookupTableName]])</f>
        <v/>
      </c>
      <c r="M59" s="17" t="n"/>
    </row>
    <row r="60" ht="43" customHeight="1" s="125">
      <c r="A60" s="16" t="inlineStr">
        <is>
          <t>LKC-000043</t>
        </is>
      </c>
      <c r="B60" s="16" t="inlineStr">
        <is>
          <t>LKG-000006</t>
        </is>
      </c>
      <c r="C60" s="94">
        <f>_xlfn.XLOOKUP(tblLookupCatalogID[[#This Row],[LookupGroupID]],tblLookupGroups[LookupGroupID],tblLookupGroups[GroupName],"")</f>
        <v/>
      </c>
      <c r="D60" s="16" t="inlineStr">
        <is>
          <t>tblShippingMethods</t>
        </is>
      </c>
      <c r="E60" s="16" t="inlineStr">
        <is>
          <t>Shipping Methods</t>
        </is>
      </c>
      <c r="F60" s="16" t="inlineStr">
        <is>
          <t>ShippingMethodID</t>
        </is>
      </c>
      <c r="G60" s="16" t="inlineStr">
        <is>
          <t>SHP</t>
        </is>
      </c>
      <c r="H60" s="16" t="inlineStr">
        <is>
          <t>Shipping methods</t>
        </is>
      </c>
      <c r="I60" s="43" t="n">
        <v>7</v>
      </c>
      <c r="J60" s="16" t="inlineStr">
        <is>
          <t>Active</t>
        </is>
      </c>
      <c r="K60" s="16" t="inlineStr">
        <is>
          <t>Yes</t>
        </is>
      </c>
      <c r="L60" s="17">
        <f t="array" ref="L60">TableExists(tblLookupCatalogID[[#This Row],[LookupTableName]])</f>
        <v/>
      </c>
      <c r="M60" s="17" t="n"/>
    </row>
    <row r="61" ht="43" customHeight="1" s="125">
      <c r="A61" s="16" t="inlineStr">
        <is>
          <t>LKC-000044</t>
        </is>
      </c>
      <c r="B61" s="16" t="inlineStr">
        <is>
          <t>LKG-000006</t>
        </is>
      </c>
      <c r="C61" s="94">
        <f>_xlfn.XLOOKUP(tblLookupCatalogID[[#This Row],[LookupGroupID]],tblLookupGroups[LookupGroupID],tblLookupGroups[GroupName],"")</f>
        <v/>
      </c>
      <c r="D61" s="16" t="inlineStr">
        <is>
          <t>tblShippingStatus</t>
        </is>
      </c>
      <c r="E61" s="16" t="inlineStr">
        <is>
          <t>Shipping Status</t>
        </is>
      </c>
      <c r="F61" s="16" t="inlineStr">
        <is>
          <t>ShippingStatusID</t>
        </is>
      </c>
      <c r="G61" s="16" t="inlineStr">
        <is>
          <t>SHS</t>
        </is>
      </c>
      <c r="H61" s="16" t="inlineStr">
        <is>
          <t>Shipment workflow</t>
        </is>
      </c>
      <c r="I61" s="43" t="n">
        <v>8</v>
      </c>
      <c r="J61" s="16" t="inlineStr">
        <is>
          <t>Active</t>
        </is>
      </c>
      <c r="K61" s="16" t="inlineStr">
        <is>
          <t>Yes</t>
        </is>
      </c>
      <c r="L61" s="17">
        <f t="array" ref="L61">TableExists(tblLookupCatalogID[[#This Row],[LookupTableName]])</f>
        <v/>
      </c>
      <c r="M61" s="17" t="n"/>
    </row>
    <row r="62" ht="21.5" customHeight="1" s="125">
      <c r="A62" s="16" t="inlineStr">
        <is>
          <t>LKC-000045</t>
        </is>
      </c>
      <c r="B62" s="16" t="inlineStr">
        <is>
          <t>LKG-000007</t>
        </is>
      </c>
      <c r="C62" s="94">
        <f>_xlfn.XLOOKUP(tblLookupCatalogID[[#This Row],[LookupGroupID]],tblLookupGroups[LookupGroupID],tblLookupGroups[GroupName],"")</f>
        <v/>
      </c>
      <c r="D62" s="16" t="inlineStr">
        <is>
          <t>tblPartCategories</t>
        </is>
      </c>
      <c r="E62" s="16" t="inlineStr">
        <is>
          <t>Part Categories</t>
        </is>
      </c>
      <c r="F62" s="16" t="inlineStr">
        <is>
          <t>PartCategoryID</t>
        </is>
      </c>
      <c r="G62" s="16" t="inlineStr">
        <is>
          <t>PCT</t>
        </is>
      </c>
      <c r="H62" s="16" t="inlineStr">
        <is>
          <t>Part classifications</t>
        </is>
      </c>
      <c r="I62" s="43" t="n">
        <v>1</v>
      </c>
      <c r="J62" s="16" t="inlineStr">
        <is>
          <t>Active</t>
        </is>
      </c>
      <c r="K62" s="16" t="inlineStr">
        <is>
          <t>Yes</t>
        </is>
      </c>
      <c r="L62" s="17">
        <f t="array" ref="L62">TableExists(tblLookupCatalogID[[#This Row],[LookupTableName]])</f>
        <v/>
      </c>
      <c r="M62" s="17" t="n"/>
    </row>
    <row r="63" ht="21.5" customHeight="1" s="125">
      <c r="A63" s="16" t="inlineStr">
        <is>
          <t>LKC-000046</t>
        </is>
      </c>
      <c r="B63" s="16" t="inlineStr">
        <is>
          <t>LKG-000007</t>
        </is>
      </c>
      <c r="C63" s="94">
        <f>_xlfn.XLOOKUP(tblLookupCatalogID[[#This Row],[LookupGroupID]],tblLookupGroups[LookupGroupID],tblLookupGroups[GroupName],"")</f>
        <v/>
      </c>
      <c r="D63" s="16" t="inlineStr">
        <is>
          <t>tblPartTypes</t>
        </is>
      </c>
      <c r="E63" s="16" t="inlineStr">
        <is>
          <t>Part Types</t>
        </is>
      </c>
      <c r="F63" s="16" t="inlineStr">
        <is>
          <t>PartTypeID</t>
        </is>
      </c>
      <c r="G63" s="16" t="inlineStr">
        <is>
          <t>PTY</t>
        </is>
      </c>
      <c r="H63" s="16" t="inlineStr">
        <is>
          <t>Types of parts</t>
        </is>
      </c>
      <c r="I63" s="43" t="n">
        <v>2</v>
      </c>
      <c r="J63" s="16" t="inlineStr">
        <is>
          <t>Active</t>
        </is>
      </c>
      <c r="K63" s="16" t="inlineStr">
        <is>
          <t>Yes</t>
        </is>
      </c>
      <c r="L63" s="17">
        <f t="array" ref="L63">TableExists(tblLookupCatalogID[[#This Row],[LookupTableName]])</f>
        <v/>
      </c>
      <c r="M63" s="17" t="n"/>
    </row>
    <row r="64" ht="43" customHeight="1" s="125">
      <c r="A64" s="16" t="inlineStr">
        <is>
          <t>LKC-000047</t>
        </is>
      </c>
      <c r="B64" s="16" t="inlineStr">
        <is>
          <t>LKG-000007</t>
        </is>
      </c>
      <c r="C64" s="94">
        <f>_xlfn.XLOOKUP(tblLookupCatalogID[[#This Row],[LookupGroupID]],tblLookupGroups[LookupGroupID],tblLookupGroups[GroupName],"")</f>
        <v/>
      </c>
      <c r="D64" s="16" t="inlineStr">
        <is>
          <t>tblPartConditions</t>
        </is>
      </c>
      <c r="E64" s="16" t="inlineStr">
        <is>
          <t>Part Conditions</t>
        </is>
      </c>
      <c r="F64" s="16" t="inlineStr">
        <is>
          <t>PartConditionID</t>
        </is>
      </c>
      <c r="G64" s="16" t="inlineStr">
        <is>
          <t>PCN</t>
        </is>
      </c>
      <c r="H64" s="16" t="inlineStr">
        <is>
          <t>New, used, refurbished</t>
        </is>
      </c>
      <c r="I64" s="43" t="n">
        <v>3</v>
      </c>
      <c r="J64" s="16" t="inlineStr">
        <is>
          <t>Active</t>
        </is>
      </c>
      <c r="K64" s="16" t="inlineStr">
        <is>
          <t>Yes</t>
        </is>
      </c>
      <c r="L64" s="17">
        <f t="array" ref="L64">TableExists(tblLookupCatalogID[[#This Row],[LookupTableName]])</f>
        <v/>
      </c>
      <c r="M64" s="17" t="n"/>
    </row>
    <row r="65" ht="43" customHeight="1" s="125">
      <c r="A65" s="16" t="inlineStr">
        <is>
          <t>LKC-000048</t>
        </is>
      </c>
      <c r="B65" s="16" t="inlineStr">
        <is>
          <t>LKG-000007</t>
        </is>
      </c>
      <c r="C65" s="94">
        <f>_xlfn.XLOOKUP(tblLookupCatalogID[[#This Row],[LookupGroupID]],tblLookupGroups[LookupGroupID],tblLookupGroups[GroupName],"")</f>
        <v/>
      </c>
      <c r="D65" s="16" t="inlineStr">
        <is>
          <t>tblPartManufacturers</t>
        </is>
      </c>
      <c r="E65" s="16" t="inlineStr">
        <is>
          <t>Part Manufacturers</t>
        </is>
      </c>
      <c r="F65" s="16" t="inlineStr">
        <is>
          <t>PartManufacturerID</t>
        </is>
      </c>
      <c r="G65" s="16" t="inlineStr">
        <is>
          <t>PMF</t>
        </is>
      </c>
      <c r="H65" s="16" t="inlineStr">
        <is>
          <t>Component manufacturers</t>
        </is>
      </c>
      <c r="I65" s="43" t="n">
        <v>4</v>
      </c>
      <c r="J65" s="16" t="inlineStr">
        <is>
          <t>Active</t>
        </is>
      </c>
      <c r="K65" s="16" t="inlineStr">
        <is>
          <t>No</t>
        </is>
      </c>
      <c r="L65" s="17">
        <f t="array" ref="L65">TableExists(tblLookupCatalogID[[#This Row],[LookupTableName]])</f>
        <v/>
      </c>
      <c r="M65" s="17" t="n"/>
    </row>
    <row r="66" ht="43" customHeight="1" s="125">
      <c r="A66" s="16" t="inlineStr">
        <is>
          <t>LKC-000049</t>
        </is>
      </c>
      <c r="B66" s="16" t="inlineStr">
        <is>
          <t>LKG-000007</t>
        </is>
      </c>
      <c r="C66" s="94">
        <f>_xlfn.XLOOKUP(tblLookupCatalogID[[#This Row],[LookupGroupID]],tblLookupGroups[LookupGroupID],tblLookupGroups[GroupName],"")</f>
        <v/>
      </c>
      <c r="D66" s="16" t="inlineStr">
        <is>
          <t>tblPartSuppliers</t>
        </is>
      </c>
      <c r="E66" s="16" t="inlineStr">
        <is>
          <t>Part Suppliers</t>
        </is>
      </c>
      <c r="F66" s="16" t="inlineStr">
        <is>
          <t>PartSupplierID</t>
        </is>
      </c>
      <c r="G66" s="16" t="inlineStr">
        <is>
          <t>PSL</t>
        </is>
      </c>
      <c r="H66" s="16" t="inlineStr">
        <is>
          <t>Vendors supplying parts</t>
        </is>
      </c>
      <c r="I66" s="43" t="n">
        <v>5</v>
      </c>
      <c r="J66" s="16" t="inlineStr">
        <is>
          <t>Active</t>
        </is>
      </c>
      <c r="K66" s="16" t="inlineStr">
        <is>
          <t>No</t>
        </is>
      </c>
      <c r="L66" s="17">
        <f t="array" ref="L66">TableExists(tblLookupCatalogID[[#This Row],[LookupTableName]])</f>
        <v/>
      </c>
      <c r="M66" s="17" t="n"/>
    </row>
    <row r="67" ht="43" customHeight="1" s="125">
      <c r="A67" s="16" t="inlineStr">
        <is>
          <t>LKC-000050</t>
        </is>
      </c>
      <c r="B67" s="16" t="inlineStr">
        <is>
          <t>LKG-000007</t>
        </is>
      </c>
      <c r="C67" s="94">
        <f>_xlfn.XLOOKUP(tblLookupCatalogID[[#This Row],[LookupGroupID]],tblLookupGroups[LookupGroupID],tblLookupGroups[GroupName],"")</f>
        <v/>
      </c>
      <c r="D67" s="16" t="inlineStr">
        <is>
          <t>tblInventoryStatus</t>
        </is>
      </c>
      <c r="E67" s="16" t="inlineStr">
        <is>
          <t>Inventory Status</t>
        </is>
      </c>
      <c r="F67" s="16" t="inlineStr">
        <is>
          <t>InventoryStatusID</t>
        </is>
      </c>
      <c r="G67" s="16" t="inlineStr">
        <is>
          <t>IST</t>
        </is>
      </c>
      <c r="H67" s="16" t="inlineStr">
        <is>
          <t>Inventory state</t>
        </is>
      </c>
      <c r="I67" s="43" t="n">
        <v>6</v>
      </c>
      <c r="J67" s="16" t="inlineStr">
        <is>
          <t>Active</t>
        </is>
      </c>
      <c r="K67" s="16" t="inlineStr">
        <is>
          <t>Yes</t>
        </is>
      </c>
      <c r="L67" s="17">
        <f t="array" ref="L67">TableExists(tblLookupCatalogID[[#This Row],[LookupTableName]])</f>
        <v/>
      </c>
      <c r="M67" s="17" t="n"/>
    </row>
    <row r="68" ht="43" customHeight="1" s="125">
      <c r="A68" s="16" t="inlineStr">
        <is>
          <t>LKC-000051</t>
        </is>
      </c>
      <c r="B68" s="16" t="inlineStr">
        <is>
          <t>LKG-000007</t>
        </is>
      </c>
      <c r="C68" s="94">
        <f>_xlfn.XLOOKUP(tblLookupCatalogID[[#This Row],[LookupGroupID]],tblLookupGroups[LookupGroupID],tblLookupGroups[GroupName],"")</f>
        <v/>
      </c>
      <c r="D68" s="16" t="inlineStr">
        <is>
          <t>tblInventoryLocations</t>
        </is>
      </c>
      <c r="E68" s="16" t="inlineStr">
        <is>
          <t>Inventory Locations</t>
        </is>
      </c>
      <c r="F68" s="16" t="inlineStr">
        <is>
          <t>InventoryLocationID</t>
        </is>
      </c>
      <c r="G68" s="16" t="inlineStr">
        <is>
          <t>LOC</t>
        </is>
      </c>
      <c r="H68" s="16" t="inlineStr">
        <is>
          <t>Storage locations</t>
        </is>
      </c>
      <c r="I68" s="43" t="n">
        <v>7</v>
      </c>
      <c r="J68" s="16" t="inlineStr">
        <is>
          <t>Active</t>
        </is>
      </c>
      <c r="K68" s="16" t="inlineStr">
        <is>
          <t>No</t>
        </is>
      </c>
      <c r="L68" s="17">
        <f t="array" ref="L68">TableExists(tblLookupCatalogID[[#This Row],[LookupTableName]])</f>
        <v/>
      </c>
      <c r="M68" s="17" t="n"/>
    </row>
    <row r="69" ht="21.5" customHeight="1" s="125">
      <c r="A69" s="16" t="inlineStr">
        <is>
          <t>LKC-000052</t>
        </is>
      </c>
      <c r="B69" s="16" t="inlineStr">
        <is>
          <t>LKG-000008</t>
        </is>
      </c>
      <c r="C69" s="94">
        <f>_xlfn.XLOOKUP(tblLookupCatalogID[[#This Row],[LookupGroupID]],tblLookupGroups[LookupGroupID],tblLookupGroups[GroupName],"")</f>
        <v/>
      </c>
      <c r="D69" s="16" t="inlineStr">
        <is>
          <t>tblEmployeeRoles</t>
        </is>
      </c>
      <c r="E69" s="16" t="inlineStr">
        <is>
          <t>Employee Roles</t>
        </is>
      </c>
      <c r="F69" s="16" t="inlineStr">
        <is>
          <t>EmployeeRoleID</t>
        </is>
      </c>
      <c r="G69" s="16" t="inlineStr">
        <is>
          <t>ROL</t>
        </is>
      </c>
      <c r="H69" s="16" t="inlineStr">
        <is>
          <t>Employee roles</t>
        </is>
      </c>
      <c r="I69" s="43" t="n">
        <v>1</v>
      </c>
      <c r="J69" s="16" t="inlineStr">
        <is>
          <t>Active</t>
        </is>
      </c>
      <c r="K69" s="16" t="inlineStr">
        <is>
          <t>Yes</t>
        </is>
      </c>
      <c r="L69" s="17">
        <f t="array" ref="L69">TableExists(tblLookupCatalogID[[#This Row],[LookupTableName]])</f>
        <v/>
      </c>
      <c r="M69" s="17" t="n"/>
    </row>
    <row r="70" ht="43" customHeight="1" s="125">
      <c r="A70" s="16" t="inlineStr">
        <is>
          <t>LKC-000053</t>
        </is>
      </c>
      <c r="B70" s="16" t="inlineStr">
        <is>
          <t>LKG-000008</t>
        </is>
      </c>
      <c r="C70" s="94">
        <f>_xlfn.XLOOKUP(tblLookupCatalogID[[#This Row],[LookupGroupID]],tblLookupGroups[LookupGroupID],tblLookupGroups[GroupName],"")</f>
        <v/>
      </c>
      <c r="D70" s="16" t="inlineStr">
        <is>
          <t>tblEmployeeStatus</t>
        </is>
      </c>
      <c r="E70" s="16" t="inlineStr">
        <is>
          <t>Employee Status</t>
        </is>
      </c>
      <c r="F70" s="16" t="inlineStr">
        <is>
          <t>EmployeeStatusID</t>
        </is>
      </c>
      <c r="G70" s="16" t="inlineStr">
        <is>
          <t>EMP</t>
        </is>
      </c>
      <c r="H70" s="16" t="inlineStr">
        <is>
          <t>Employee status</t>
        </is>
      </c>
      <c r="I70" s="43" t="n">
        <v>2</v>
      </c>
      <c r="J70" s="16" t="inlineStr">
        <is>
          <t>Active</t>
        </is>
      </c>
      <c r="K70" s="16" t="inlineStr">
        <is>
          <t>Yes</t>
        </is>
      </c>
      <c r="L70" s="17">
        <f t="array" ref="L70">TableExists(tblLookupCatalogID[[#This Row],[LookupTableName]])</f>
        <v/>
      </c>
      <c r="M70" s="17" t="n"/>
    </row>
    <row r="71" ht="43" customHeight="1" s="125">
      <c r="A71" s="16" t="inlineStr">
        <is>
          <t>LKC-000054</t>
        </is>
      </c>
      <c r="B71" s="16" t="inlineStr">
        <is>
          <t>LKG-000009</t>
        </is>
      </c>
      <c r="C71" s="94">
        <f>_xlfn.XLOOKUP(tblLookupCatalogID[[#This Row],[LookupGroupID]],tblLookupGroups[LookupGroupID],tblLookupGroups[GroupName],"")</f>
        <v/>
      </c>
      <c r="D71" s="16" t="inlineStr">
        <is>
          <t>tblCountries</t>
        </is>
      </c>
      <c r="E71" s="16" t="inlineStr">
        <is>
          <t>Country</t>
        </is>
      </c>
      <c r="F71" s="16" t="inlineStr">
        <is>
          <t>CountryID</t>
        </is>
      </c>
      <c r="G71" s="16" t="inlineStr">
        <is>
          <t>CNT</t>
        </is>
      </c>
      <c r="H71" s="16" t="inlineStr">
        <is>
          <t>Country reference list</t>
        </is>
      </c>
      <c r="I71" s="43" t="n">
        <v>1</v>
      </c>
      <c r="J71" s="16" t="inlineStr">
        <is>
          <t>Active</t>
        </is>
      </c>
      <c r="K71" s="16" t="inlineStr">
        <is>
          <t>Yes</t>
        </is>
      </c>
      <c r="L71" s="17">
        <f t="array" ref="L71">TableExists(tblLookupCatalogID[[#This Row],[LookupTableName]])</f>
        <v/>
      </c>
      <c r="M71" s="17" t="n"/>
    </row>
    <row r="72" ht="43" customHeight="1" s="125">
      <c r="A72" s="16" t="inlineStr">
        <is>
          <t>LKC-000055</t>
        </is>
      </c>
      <c r="B72" s="16" t="inlineStr">
        <is>
          <t>LKG-000009</t>
        </is>
      </c>
      <c r="C72" s="94">
        <f>_xlfn.XLOOKUP(tblLookupCatalogID[[#This Row],[LookupGroupID]],tblLookupGroups[LookupGroupID],tblLookupGroups[GroupName],"")</f>
        <v/>
      </c>
      <c r="D72" s="16" t="inlineStr">
        <is>
          <t>tblStatesProvinces</t>
        </is>
      </c>
      <c r="E72" s="16" t="inlineStr">
        <is>
          <t>States &amp; Provinces</t>
        </is>
      </c>
      <c r="F72" s="16" t="inlineStr">
        <is>
          <t>StateProvinceID</t>
        </is>
      </c>
      <c r="G72" s="16" t="inlineStr">
        <is>
          <t>STA</t>
        </is>
      </c>
      <c r="H72" s="16" t="inlineStr">
        <is>
          <t>States and provinces</t>
        </is>
      </c>
      <c r="I72" s="43" t="n">
        <v>2</v>
      </c>
      <c r="J72" s="16" t="inlineStr">
        <is>
          <t>Active</t>
        </is>
      </c>
      <c r="K72" s="16" t="inlineStr">
        <is>
          <t>Yes</t>
        </is>
      </c>
      <c r="L72" s="17">
        <f t="array" ref="L72">TableExists(tblLookupCatalogID[[#This Row],[LookupTableName]])</f>
        <v/>
      </c>
      <c r="M72" s="17" t="n"/>
    </row>
    <row r="73" ht="43" customHeight="1" s="125">
      <c r="A73" s="16" t="inlineStr">
        <is>
          <t>LKC-000056</t>
        </is>
      </c>
      <c r="B73" s="16" t="inlineStr">
        <is>
          <t>LKG-000009</t>
        </is>
      </c>
      <c r="C73" s="94">
        <f>_xlfn.XLOOKUP(tblLookupCatalogID[[#This Row],[LookupGroupID]],tblLookupGroups[LookupGroupID],tblLookupGroups[GroupName],"")</f>
        <v/>
      </c>
      <c r="D73" s="16" t="inlineStr">
        <is>
          <t>tblTimeZones</t>
        </is>
      </c>
      <c r="E73" s="16" t="inlineStr">
        <is>
          <t>Time Zones</t>
        </is>
      </c>
      <c r="F73" s="16" t="inlineStr">
        <is>
          <t>TimeZoneID</t>
        </is>
      </c>
      <c r="G73" s="16" t="inlineStr">
        <is>
          <t>TMZ</t>
        </is>
      </c>
      <c r="H73" s="16" t="inlineStr">
        <is>
          <t>Time zone reference</t>
        </is>
      </c>
      <c r="I73" s="43" t="n">
        <v>3</v>
      </c>
      <c r="J73" s="16" t="inlineStr">
        <is>
          <t>Active</t>
        </is>
      </c>
      <c r="K73" s="16" t="inlineStr">
        <is>
          <t>Yes</t>
        </is>
      </c>
      <c r="L73" s="17">
        <f t="array" ref="L73">TableExists(tblLookupCatalogID[[#This Row],[LookupTableName]])</f>
        <v/>
      </c>
      <c r="M73" s="17" t="n"/>
    </row>
    <row r="74" ht="21.5" customHeight="1" s="125">
      <c r="A74" s="16" t="n"/>
      <c r="B74" s="16" t="n"/>
      <c r="C74" s="16" t="n"/>
      <c r="D74" s="16" t="n"/>
      <c r="E74" s="16" t="n"/>
      <c r="F74" s="16" t="n"/>
      <c r="G74" s="16" t="n"/>
    </row>
    <row r="75" ht="21.5" customHeight="1" s="125">
      <c r="A75" s="16" t="n"/>
      <c r="B75" s="16" t="n"/>
      <c r="C75" s="16" t="n"/>
      <c r="D75" s="16" t="n"/>
      <c r="E75" s="16" t="n"/>
      <c r="F75" s="16" t="n"/>
      <c r="G75" s="16" t="n"/>
    </row>
    <row r="76" ht="21.5" customHeight="1" s="125">
      <c r="A76" s="16" t="n"/>
      <c r="B76" s="16" t="n"/>
      <c r="C76" s="16" t="n"/>
      <c r="D76" s="16" t="n"/>
      <c r="E76" s="16" t="n"/>
      <c r="F76" s="16" t="n"/>
      <c r="G76" s="16" t="n"/>
    </row>
    <row r="77" ht="21.5" customHeight="1" s="125">
      <c r="A77" s="16" t="n"/>
      <c r="B77" s="16" t="n"/>
      <c r="C77" s="16" t="n"/>
      <c r="D77" s="16" t="n"/>
      <c r="E77" s="16" t="n"/>
      <c r="F77" s="16" t="n"/>
      <c r="G77" s="16" t="n"/>
    </row>
    <row r="78" ht="21.5" customHeight="1" s="125">
      <c r="A78" s="16" t="n"/>
      <c r="B78" s="16" t="n"/>
      <c r="C78" s="16" t="n"/>
      <c r="D78" s="16" t="n"/>
      <c r="E78" s="16" t="n"/>
      <c r="F78" s="16" t="n"/>
      <c r="G78" s="16" t="n"/>
    </row>
    <row r="79" ht="21.5" customHeight="1" s="125">
      <c r="A79" s="16" t="n"/>
      <c r="B79" s="16" t="n"/>
      <c r="C79" s="16" t="n"/>
      <c r="D79" s="16" t="n"/>
      <c r="E79" s="16" t="n"/>
      <c r="F79" s="16" t="n"/>
      <c r="G79" s="16" t="n"/>
    </row>
    <row r="80">
      <c r="B80" s="38" t="n"/>
      <c r="C80" s="38" t="n"/>
    </row>
    <row r="81">
      <c r="A81" s="42" t="inlineStr">
        <is>
          <t>tblCustomerTypes</t>
        </is>
      </c>
      <c r="B81" s="47" t="n"/>
      <c r="C81" s="38" t="n"/>
      <c r="H81" s="3" t="inlineStr">
        <is>
          <t>tblLookupGroups</t>
        </is>
      </c>
    </row>
    <row r="82" ht="21.5" customHeight="1" s="125">
      <c r="A82" s="41" t="inlineStr">
        <is>
          <t>CustomerTypeID</t>
        </is>
      </c>
      <c r="B82" s="41" t="inlineStr">
        <is>
          <t>Customer Type</t>
        </is>
      </c>
      <c r="C82" s="41" t="inlineStr">
        <is>
          <t>Description</t>
        </is>
      </c>
      <c r="D82" s="44" t="inlineStr">
        <is>
          <t>Sort Order</t>
        </is>
      </c>
      <c r="E82" s="41" t="inlineStr">
        <is>
          <t>IsActive</t>
        </is>
      </c>
      <c r="H82" s="41" t="inlineStr">
        <is>
          <t>LookupGroupID</t>
        </is>
      </c>
      <c r="I82" s="41" t="inlineStr">
        <is>
          <t>GroupName</t>
        </is>
      </c>
      <c r="J82" s="41" t="inlineStr">
        <is>
          <t>Description</t>
        </is>
      </c>
      <c r="K82" s="41" t="inlineStr">
        <is>
          <t>DisplayOrder</t>
        </is>
      </c>
      <c r="L82" s="41" t="inlineStr">
        <is>
          <t>IsActive</t>
        </is>
      </c>
    </row>
    <row r="83" ht="43" customHeight="1" s="125">
      <c r="A83" s="16" t="inlineStr">
        <is>
          <t>CTY-000001</t>
        </is>
      </c>
      <c r="B83" s="16" t="inlineStr">
        <is>
          <t>Individual</t>
        </is>
      </c>
      <c r="C83" s="16" t="inlineStr">
        <is>
          <t>Residential customer</t>
        </is>
      </c>
      <c r="D83" s="43" t="n">
        <v>1</v>
      </c>
      <c r="E83" s="40" t="inlineStr">
        <is>
          <t>Yes</t>
        </is>
      </c>
      <c r="H83" s="16" t="inlineStr">
        <is>
          <t>LKG-000001</t>
        </is>
      </c>
      <c r="I83" s="16" t="inlineStr">
        <is>
          <t>General</t>
        </is>
      </c>
      <c r="J83" s="16" t="inlineStr">
        <is>
          <t>System reference tables</t>
        </is>
      </c>
      <c r="K83" s="43" t="n">
        <v>1</v>
      </c>
      <c r="L83" s="40" t="inlineStr">
        <is>
          <t>Yes</t>
        </is>
      </c>
    </row>
    <row r="84" ht="43" customHeight="1" s="125">
      <c r="A84" s="16" t="inlineStr">
        <is>
          <t>CTY-000002</t>
        </is>
      </c>
      <c r="B84" s="16" t="inlineStr">
        <is>
          <t>Business</t>
        </is>
      </c>
      <c r="C84" s="16" t="inlineStr">
        <is>
          <t>Commercial customer</t>
        </is>
      </c>
      <c r="D84" s="43" t="n">
        <v>2</v>
      </c>
      <c r="E84" s="40" t="inlineStr">
        <is>
          <t>Yes</t>
        </is>
      </c>
      <c r="H84" s="16" t="inlineStr">
        <is>
          <t>LKG-000002</t>
        </is>
      </c>
      <c r="I84" s="16" t="inlineStr">
        <is>
          <t>Customer</t>
        </is>
      </c>
      <c r="J84" s="16" t="inlineStr">
        <is>
          <t>Customer-related lookup tables</t>
        </is>
      </c>
      <c r="K84" s="43" t="n">
        <v>2</v>
      </c>
      <c r="L84" s="40" t="inlineStr">
        <is>
          <t>Yes</t>
        </is>
      </c>
    </row>
    <row r="85" ht="43" customHeight="1" s="125">
      <c r="A85" s="16" t="inlineStr">
        <is>
          <t>CTY-000003</t>
        </is>
      </c>
      <c r="B85" s="16" t="inlineStr">
        <is>
          <t>Government</t>
        </is>
      </c>
      <c r="C85" s="16" t="inlineStr">
        <is>
          <t>Government agency</t>
        </is>
      </c>
      <c r="D85" s="43" t="n">
        <v>3</v>
      </c>
      <c r="E85" s="40" t="inlineStr">
        <is>
          <t>Yes</t>
        </is>
      </c>
      <c r="H85" s="16" t="inlineStr">
        <is>
          <t>LKG-000003</t>
        </is>
      </c>
      <c r="I85" s="16" t="inlineStr">
        <is>
          <t>Device</t>
        </is>
      </c>
      <c r="J85" s="16" t="inlineStr">
        <is>
          <t>Device reference tables</t>
        </is>
      </c>
      <c r="K85" s="43" t="n">
        <v>3</v>
      </c>
      <c r="L85" s="40" t="inlineStr">
        <is>
          <t>Yes</t>
        </is>
      </c>
    </row>
    <row r="86" ht="43" customHeight="1" s="125">
      <c r="A86" s="16" t="inlineStr">
        <is>
          <t>CTY-000004</t>
        </is>
      </c>
      <c r="B86" s="16" t="inlineStr">
        <is>
          <t>Educational</t>
        </is>
      </c>
      <c r="C86" s="16" t="inlineStr">
        <is>
          <t>School or university</t>
        </is>
      </c>
      <c r="D86" s="43" t="n">
        <v>4</v>
      </c>
      <c r="E86" s="40" t="inlineStr">
        <is>
          <t>Yes</t>
        </is>
      </c>
      <c r="H86" s="16" t="inlineStr">
        <is>
          <t>LKG-000004</t>
        </is>
      </c>
      <c r="I86" s="16" t="inlineStr">
        <is>
          <t>Repair</t>
        </is>
      </c>
      <c r="J86" s="16" t="inlineStr">
        <is>
          <t>Repair workflow reference tables</t>
        </is>
      </c>
      <c r="K86" s="43" t="n">
        <v>4</v>
      </c>
      <c r="L86" s="40" t="inlineStr">
        <is>
          <t>Yes</t>
        </is>
      </c>
    </row>
    <row r="87" ht="43" customHeight="1" s="125">
      <c r="A87" s="16" t="inlineStr">
        <is>
          <t>CTY-000005</t>
        </is>
      </c>
      <c r="B87" s="16" t="inlineStr">
        <is>
          <t>Non-Profit</t>
        </is>
      </c>
      <c r="C87" s="16" t="inlineStr">
        <is>
          <t>Non-profit organization</t>
        </is>
      </c>
      <c r="D87" s="43" t="n">
        <v>5</v>
      </c>
      <c r="E87" s="40" t="inlineStr">
        <is>
          <t>Yes</t>
        </is>
      </c>
      <c r="H87" s="16" t="inlineStr">
        <is>
          <t>LKG-000005</t>
        </is>
      </c>
      <c r="I87" s="16" t="inlineStr">
        <is>
          <t>Services</t>
        </is>
      </c>
      <c r="J87" s="16" t="inlineStr">
        <is>
          <t>Service-related reference tables</t>
        </is>
      </c>
      <c r="K87" s="43" t="n">
        <v>5</v>
      </c>
      <c r="L87" s="40" t="inlineStr">
        <is>
          <t>Yes</t>
        </is>
      </c>
    </row>
    <row r="88" ht="43" customHeight="1" s="125">
      <c r="A88" s="16" t="inlineStr">
        <is>
          <t>CTY-000006</t>
        </is>
      </c>
      <c r="B88" s="16" t="inlineStr">
        <is>
          <t>Internal</t>
        </is>
      </c>
      <c r="C88" s="16" t="inlineStr">
        <is>
          <t>Internal testing/customer account</t>
        </is>
      </c>
      <c r="D88" s="43" t="n">
        <v>6</v>
      </c>
      <c r="E88" s="40" t="inlineStr">
        <is>
          <t>Yes</t>
        </is>
      </c>
      <c r="H88" s="16" t="inlineStr">
        <is>
          <t>LKG-000006</t>
        </is>
      </c>
      <c r="I88" s="16" t="inlineStr">
        <is>
          <t>Finance</t>
        </is>
      </c>
      <c r="J88" s="16" t="inlineStr">
        <is>
          <t>Financial reference tables</t>
        </is>
      </c>
      <c r="K88" s="43" t="n">
        <v>6</v>
      </c>
      <c r="L88" s="40" t="inlineStr">
        <is>
          <t>Yes</t>
        </is>
      </c>
    </row>
    <row r="89" ht="43" customHeight="1" s="125">
      <c r="A89" s="42" t="n"/>
      <c r="B89" s="38" t="n"/>
      <c r="C89" s="38" t="n"/>
      <c r="H89" s="16" t="inlineStr">
        <is>
          <t>LKG-000007</t>
        </is>
      </c>
      <c r="I89" s="16" t="inlineStr">
        <is>
          <t>Inventory</t>
        </is>
      </c>
      <c r="J89" s="16" t="inlineStr">
        <is>
          <t>Parts, suppliers, inventory</t>
        </is>
      </c>
      <c r="K89" s="43" t="n">
        <v>7</v>
      </c>
      <c r="L89" s="40" t="inlineStr">
        <is>
          <t>Yes</t>
        </is>
      </c>
    </row>
    <row r="90" ht="43" customHeight="1" s="125">
      <c r="A90" s="42" t="inlineStr">
        <is>
          <t>tblPreferredContactMethods</t>
        </is>
      </c>
      <c r="B90" s="38" t="n"/>
      <c r="C90" s="38" t="n"/>
      <c r="H90" s="16" t="inlineStr">
        <is>
          <t>LKG-000008</t>
        </is>
      </c>
      <c r="I90" s="16" t="inlineStr">
        <is>
          <t>Employee</t>
        </is>
      </c>
      <c r="J90" s="16" t="inlineStr">
        <is>
          <t>Employee reference tables</t>
        </is>
      </c>
      <c r="K90" s="43" t="n">
        <v>8</v>
      </c>
      <c r="L90" s="40" t="inlineStr">
        <is>
          <t>Yes</t>
        </is>
      </c>
    </row>
    <row r="91" ht="43" customHeight="1" s="125">
      <c r="A91" s="41" t="inlineStr">
        <is>
          <t>PreferredContactMethodID</t>
        </is>
      </c>
      <c r="B91" s="41" t="inlineStr">
        <is>
          <t>Contact Method</t>
        </is>
      </c>
      <c r="C91" s="41" t="inlineStr">
        <is>
          <t>Description</t>
        </is>
      </c>
      <c r="D91" s="44" t="inlineStr">
        <is>
          <t>Sort Order</t>
        </is>
      </c>
      <c r="E91" s="41" t="inlineStr">
        <is>
          <t>IsActive</t>
        </is>
      </c>
      <c r="H91" s="16" t="inlineStr">
        <is>
          <t>LKG-000009</t>
        </is>
      </c>
      <c r="I91" s="16" t="inlineStr">
        <is>
          <t>Geographic</t>
        </is>
      </c>
      <c r="J91" s="16" t="inlineStr">
        <is>
          <t>Countries, states, time zones</t>
        </is>
      </c>
      <c r="K91" s="43" t="n">
        <v>9</v>
      </c>
      <c r="L91" s="40" t="inlineStr">
        <is>
          <t>Yes</t>
        </is>
      </c>
    </row>
    <row r="92" ht="21.5" customHeight="1" s="125">
      <c r="A92" s="16" t="inlineStr">
        <is>
          <t>PCM-000001</t>
        </is>
      </c>
      <c r="B92" s="16" t="inlineStr">
        <is>
          <t>Phone Call</t>
        </is>
      </c>
      <c r="C92" s="16" t="inlineStr">
        <is>
          <t>Voice call</t>
        </is>
      </c>
      <c r="D92" s="43" t="n">
        <v>1</v>
      </c>
      <c r="E92" s="40" t="inlineStr">
        <is>
          <t>Yes</t>
        </is>
      </c>
      <c r="H92" s="3" t="inlineStr">
        <is>
          <t>LKG-000010</t>
        </is>
      </c>
      <c r="I92" s="3" t="inlineStr">
        <is>
          <t>Technical Knowledge</t>
        </is>
      </c>
      <c r="J92" s="3" t="inlineStr">
        <is>
          <t>Technical Knowledge Guide</t>
        </is>
      </c>
      <c r="K92" s="3" t="n">
        <v>10</v>
      </c>
      <c r="L92" s="3" t="inlineStr">
        <is>
          <t>Yes</t>
        </is>
      </c>
    </row>
    <row r="93" ht="21.5" customHeight="1" s="125">
      <c r="A93" s="16" t="inlineStr">
        <is>
          <t>PCM-000002</t>
        </is>
      </c>
      <c r="B93" s="16" t="inlineStr">
        <is>
          <t>Text Message</t>
        </is>
      </c>
      <c r="C93" s="16" t="inlineStr">
        <is>
          <t>SMS</t>
        </is>
      </c>
      <c r="D93" s="43" t="n">
        <v>2</v>
      </c>
      <c r="E93" s="40" t="inlineStr">
        <is>
          <t>Yes</t>
        </is>
      </c>
    </row>
    <row r="94" ht="21.5" customHeight="1" s="125">
      <c r="A94" s="16" t="inlineStr">
        <is>
          <t>PCM-000003</t>
        </is>
      </c>
      <c r="B94" s="16" t="inlineStr">
        <is>
          <t>Email</t>
        </is>
      </c>
      <c r="C94" s="16" t="inlineStr">
        <is>
          <t>Email communication</t>
        </is>
      </c>
      <c r="D94" s="43" t="n">
        <v>3</v>
      </c>
      <c r="E94" s="40" t="inlineStr">
        <is>
          <t>Yes</t>
        </is>
      </c>
    </row>
    <row r="95" ht="21.5" customHeight="1" s="125">
      <c r="A95" s="16" t="inlineStr">
        <is>
          <t>PCM-000004</t>
        </is>
      </c>
      <c r="B95" s="16" t="inlineStr">
        <is>
          <t>Customer Portal</t>
        </is>
      </c>
      <c r="C95" s="16" t="inlineStr">
        <is>
          <t>Future customer portal</t>
        </is>
      </c>
      <c r="D95" s="43" t="n">
        <v>4</v>
      </c>
      <c r="E95" s="40" t="inlineStr">
        <is>
          <t>Yes</t>
        </is>
      </c>
    </row>
    <row r="96" ht="21.5" customHeight="1" s="125">
      <c r="A96" s="16" t="inlineStr">
        <is>
          <t>PCM-000005</t>
        </is>
      </c>
      <c r="B96" s="16" t="inlineStr">
        <is>
          <t>No Preference</t>
        </is>
      </c>
      <c r="C96" s="16" t="inlineStr">
        <is>
          <t>Any available method</t>
        </is>
      </c>
      <c r="D96" s="43" t="n">
        <v>5</v>
      </c>
      <c r="E96" s="40" t="inlineStr">
        <is>
          <t>Yes</t>
        </is>
      </c>
    </row>
    <row r="97">
      <c r="A97" s="42" t="n"/>
      <c r="B97" s="38" t="n"/>
      <c r="C97" s="38" t="n"/>
    </row>
    <row r="98">
      <c r="A98" s="42" t="inlineStr">
        <is>
          <t>tblCustomerStatus</t>
        </is>
      </c>
      <c r="B98" s="38" t="n"/>
      <c r="C98" s="38" t="n"/>
    </row>
    <row r="99" ht="21.5" customHeight="1" s="125">
      <c r="A99" s="41" t="inlineStr">
        <is>
          <t>CustomerStatusID</t>
        </is>
      </c>
      <c r="B99" s="41" t="inlineStr">
        <is>
          <t>Status</t>
        </is>
      </c>
      <c r="C99" s="41" t="inlineStr">
        <is>
          <t>Description</t>
        </is>
      </c>
      <c r="D99" s="44" t="inlineStr">
        <is>
          <t>Sort Order</t>
        </is>
      </c>
    </row>
    <row r="100" ht="21.5" customHeight="1" s="125">
      <c r="A100" s="16" t="inlineStr">
        <is>
          <t>CST-000001</t>
        </is>
      </c>
      <c r="B100" s="16" t="inlineStr">
        <is>
          <t>Active</t>
        </is>
      </c>
      <c r="C100" s="16" t="inlineStr">
        <is>
          <t>Active customer</t>
        </is>
      </c>
      <c r="D100" s="43" t="n">
        <v>1</v>
      </c>
    </row>
    <row r="101" ht="21.5" customHeight="1" s="125">
      <c r="A101" s="16" t="inlineStr">
        <is>
          <t>CST-000002</t>
        </is>
      </c>
      <c r="B101" s="16" t="inlineStr">
        <is>
          <t>Inactive</t>
        </is>
      </c>
      <c r="C101" s="16" t="inlineStr">
        <is>
          <t>No recent activity</t>
        </is>
      </c>
      <c r="D101" s="43" t="n">
        <v>2</v>
      </c>
    </row>
    <row r="102" ht="21.5" customHeight="1" s="125">
      <c r="A102" s="16" t="inlineStr">
        <is>
          <t>CST-000003</t>
        </is>
      </c>
      <c r="B102" s="16" t="inlineStr">
        <is>
          <t>Prospect</t>
        </is>
      </c>
      <c r="C102" s="16" t="inlineStr">
        <is>
          <t>Potential customer</t>
        </is>
      </c>
      <c r="D102" s="43" t="n">
        <v>3</v>
      </c>
    </row>
    <row r="103" ht="21.5" customHeight="1" s="125">
      <c r="A103" s="16" t="inlineStr">
        <is>
          <t>CST-000004</t>
        </is>
      </c>
      <c r="B103" s="16" t="inlineStr">
        <is>
          <t>VIP</t>
        </is>
      </c>
      <c r="C103" s="16" t="inlineStr">
        <is>
          <t>Preferred customer</t>
        </is>
      </c>
      <c r="D103" s="43" t="n">
        <v>4</v>
      </c>
    </row>
    <row r="104" ht="21.5" customHeight="1" s="125">
      <c r="A104" s="16" t="inlineStr">
        <is>
          <t>CST-000005</t>
        </is>
      </c>
      <c r="B104" s="16" t="inlineStr">
        <is>
          <t>Suspended</t>
        </is>
      </c>
      <c r="C104" s="16" t="inlineStr">
        <is>
          <t>Service temporarily suspended</t>
        </is>
      </c>
      <c r="D104" s="43" t="n">
        <v>5</v>
      </c>
    </row>
    <row r="105" ht="21.5" customHeight="1" s="125">
      <c r="A105" s="16" t="inlineStr">
        <is>
          <t>CST-000006</t>
        </is>
      </c>
      <c r="B105" s="16" t="inlineStr">
        <is>
          <t>Archived</t>
        </is>
      </c>
      <c r="C105" s="16" t="inlineStr">
        <is>
          <t>Historical record</t>
        </is>
      </c>
      <c r="D105" s="43" t="n">
        <v>6</v>
      </c>
    </row>
    <row r="107" ht="27.5" customHeight="1" s="125">
      <c r="A107" s="46" t="inlineStr">
        <is>
          <t>-------------------------------------------------------------------------------------------------------------------------------------</t>
        </is>
      </c>
    </row>
    <row r="108" ht="35" customHeight="1" s="125">
      <c r="A108" s="116" t="inlineStr">
        <is>
          <t>DEVICE LOOKUPS</t>
        </is>
      </c>
    </row>
    <row r="109" ht="27.5" customHeight="1" s="125">
      <c r="A109" s="46" t="inlineStr">
        <is>
          <t>-------------------------------------------------------------------------------------------------------------------------------------</t>
        </is>
      </c>
      <c r="B109" s="38" t="n"/>
      <c r="C109" s="38" t="n"/>
    </row>
    <row r="110">
      <c r="A110" s="42" t="inlineStr">
        <is>
          <t>tblDeviceTypes</t>
        </is>
      </c>
      <c r="B110" s="38" t="n"/>
      <c r="C110" s="38" t="n"/>
      <c r="H110" s="3" t="inlineStr">
        <is>
          <t>tblDeviceModel</t>
        </is>
      </c>
    </row>
    <row r="111" ht="21.5" customHeight="1" s="125">
      <c r="A111" s="41" t="inlineStr">
        <is>
          <t>DeviceTypeID</t>
        </is>
      </c>
      <c r="B111" s="41" t="inlineStr">
        <is>
          <t>Device Type</t>
        </is>
      </c>
      <c r="C111" s="41" t="inlineStr">
        <is>
          <t>Description</t>
        </is>
      </c>
      <c r="D111" s="44" t="inlineStr">
        <is>
          <t>Sort Order</t>
        </is>
      </c>
      <c r="E111" s="41" t="inlineStr">
        <is>
          <t>IsActive</t>
        </is>
      </c>
      <c r="G111" s="41" t="n"/>
      <c r="H111" s="94" t="inlineStr">
        <is>
          <t>ModelID</t>
        </is>
      </c>
      <c r="I111" s="94" t="inlineStr">
        <is>
          <t>ManufacturerID</t>
        </is>
      </c>
      <c r="J111" s="94" t="inlineStr">
        <is>
          <t>DeviceFamilyID</t>
        </is>
      </c>
      <c r="K111" s="94" t="inlineStr">
        <is>
          <t>DeviceTypeID</t>
        </is>
      </c>
      <c r="L111" s="94" t="inlineStr">
        <is>
          <t>ModelName</t>
        </is>
      </c>
      <c r="M111" s="94" t="inlineStr">
        <is>
          <t>Manufacturer Model</t>
        </is>
      </c>
      <c r="N111" s="94" t="inlineStr">
        <is>
          <t>ReleaseYear</t>
        </is>
      </c>
      <c r="O111" s="94" t="inlineStr">
        <is>
          <t>SortOrder</t>
        </is>
      </c>
      <c r="P111" s="94" t="inlineStr">
        <is>
          <t>IsActive</t>
        </is>
      </c>
    </row>
    <row r="112" ht="21.5" customHeight="1" s="125">
      <c r="A112" s="16" t="inlineStr">
        <is>
          <t>DT-000001</t>
        </is>
      </c>
      <c r="B112" s="16" t="inlineStr">
        <is>
          <t>Smartphone</t>
        </is>
      </c>
      <c r="C112" s="16" t="inlineStr">
        <is>
          <t>Mobile phones</t>
        </is>
      </c>
      <c r="D112" s="43" t="n">
        <v>1</v>
      </c>
      <c r="E112" s="40" t="inlineStr">
        <is>
          <t>Yes</t>
        </is>
      </c>
      <c r="G112" s="16" t="n"/>
      <c r="H112" s="9" t="inlineStr">
        <is>
          <t>MOD-000001</t>
        </is>
      </c>
      <c r="I112" s="37" t="inlineStr">
        <is>
          <t>MFG-001</t>
        </is>
      </c>
      <c r="J112" s="37" t="inlineStr">
        <is>
          <t>DF-001</t>
        </is>
      </c>
      <c r="K112" s="37" t="inlineStr">
        <is>
          <t>DT-001</t>
        </is>
      </c>
      <c r="L112" s="36" t="inlineStr">
        <is>
          <t>iPhone (2G)</t>
        </is>
      </c>
      <c r="M112" s="36" t="inlineStr">
        <is>
          <t>A1203</t>
        </is>
      </c>
      <c r="N112" s="35" t="n">
        <v>2007</v>
      </c>
      <c r="O112" s="94" t="n">
        <v>1</v>
      </c>
      <c r="P112" s="94" t="inlineStr">
        <is>
          <t>Yes</t>
        </is>
      </c>
    </row>
    <row r="113" ht="21.5" customHeight="1" s="125">
      <c r="A113" s="16" t="inlineStr">
        <is>
          <t>DT-000002</t>
        </is>
      </c>
      <c r="B113" s="16" t="inlineStr">
        <is>
          <t>Tablet</t>
        </is>
      </c>
      <c r="C113" s="16" t="inlineStr">
        <is>
          <t>Tablets and iPads</t>
        </is>
      </c>
      <c r="D113" s="43" t="n">
        <v>2</v>
      </c>
      <c r="E113" s="40" t="inlineStr">
        <is>
          <t>Yes</t>
        </is>
      </c>
      <c r="G113" s="16" t="n"/>
      <c r="H113" s="9" t="inlineStr">
        <is>
          <t>MOD-000002</t>
        </is>
      </c>
      <c r="I113" s="37" t="inlineStr">
        <is>
          <t>MFG-001</t>
        </is>
      </c>
      <c r="J113" s="37" t="inlineStr">
        <is>
          <t>DF-001</t>
        </is>
      </c>
      <c r="K113" s="37" t="inlineStr">
        <is>
          <t>DT-001</t>
        </is>
      </c>
      <c r="L113" s="36" t="inlineStr">
        <is>
          <t>iPhone 3G</t>
        </is>
      </c>
      <c r="M113" s="36" t="inlineStr">
        <is>
          <t>A1241</t>
        </is>
      </c>
      <c r="N113" s="35" t="n">
        <v>2008</v>
      </c>
      <c r="O113" s="94" t="n">
        <v>2</v>
      </c>
      <c r="P113" s="94" t="inlineStr">
        <is>
          <t>Yes</t>
        </is>
      </c>
    </row>
    <row r="114" ht="21.5" customHeight="1" s="125">
      <c r="A114" s="16" t="inlineStr">
        <is>
          <t>DT-000003</t>
        </is>
      </c>
      <c r="B114" s="16" t="inlineStr">
        <is>
          <t>Laptop</t>
        </is>
      </c>
      <c r="C114" s="16" t="inlineStr">
        <is>
          <t>Portable computers</t>
        </is>
      </c>
      <c r="D114" s="43" t="n">
        <v>3</v>
      </c>
      <c r="E114" s="40" t="inlineStr">
        <is>
          <t>Yes</t>
        </is>
      </c>
      <c r="G114" s="16" t="n"/>
      <c r="H114" s="9" t="inlineStr">
        <is>
          <t>MOD-000003</t>
        </is>
      </c>
      <c r="I114" s="37" t="inlineStr">
        <is>
          <t>MFG-001</t>
        </is>
      </c>
      <c r="J114" s="37" t="inlineStr">
        <is>
          <t>DF-001</t>
        </is>
      </c>
      <c r="K114" s="37" t="inlineStr">
        <is>
          <t>DT-001</t>
        </is>
      </c>
      <c r="L114" s="36" t="inlineStr">
        <is>
          <t>iPhone 3GS</t>
        </is>
      </c>
      <c r="M114" s="36" t="inlineStr">
        <is>
          <t>A1303</t>
        </is>
      </c>
      <c r="N114" s="35" t="n">
        <v>2009</v>
      </c>
      <c r="O114" s="94" t="n">
        <v>3</v>
      </c>
      <c r="P114" s="94" t="inlineStr">
        <is>
          <t>Yes</t>
        </is>
      </c>
    </row>
    <row r="115" ht="21.5" customHeight="1" s="125">
      <c r="A115" s="16" t="inlineStr">
        <is>
          <t>DT-000004</t>
        </is>
      </c>
      <c r="B115" s="16" t="inlineStr">
        <is>
          <t>Desktop</t>
        </is>
      </c>
      <c r="C115" s="16" t="inlineStr">
        <is>
          <t>Desktop computers</t>
        </is>
      </c>
      <c r="D115" s="43" t="n">
        <v>4</v>
      </c>
      <c r="E115" s="40" t="inlineStr">
        <is>
          <t>Yes</t>
        </is>
      </c>
      <c r="G115" s="16" t="n"/>
      <c r="H115" s="9" t="inlineStr">
        <is>
          <t>MOD-000004</t>
        </is>
      </c>
      <c r="I115" s="37" t="inlineStr">
        <is>
          <t>MFG-001</t>
        </is>
      </c>
      <c r="J115" s="37" t="inlineStr">
        <is>
          <t>DF-001</t>
        </is>
      </c>
      <c r="K115" s="37" t="inlineStr">
        <is>
          <t>DT-001</t>
        </is>
      </c>
      <c r="L115" s="36" t="inlineStr">
        <is>
          <t>iPhone 4</t>
        </is>
      </c>
      <c r="M115" s="36" t="inlineStr">
        <is>
          <t>A1332</t>
        </is>
      </c>
      <c r="N115" s="35" t="n">
        <v>2010</v>
      </c>
      <c r="O115" s="94" t="n">
        <v>4</v>
      </c>
      <c r="P115" s="94" t="inlineStr">
        <is>
          <t>Yes</t>
        </is>
      </c>
    </row>
    <row r="116" ht="21.5" customHeight="1" s="125">
      <c r="A116" s="16" t="inlineStr">
        <is>
          <t>DT-000005</t>
        </is>
      </c>
      <c r="B116" s="16" t="inlineStr">
        <is>
          <t>Gaming Console</t>
        </is>
      </c>
      <c r="C116" s="16" t="inlineStr">
        <is>
          <t>Consoles</t>
        </is>
      </c>
      <c r="D116" s="43" t="n">
        <v>5</v>
      </c>
      <c r="E116" s="40" t="inlineStr">
        <is>
          <t>Yes</t>
        </is>
      </c>
      <c r="G116" s="16" t="n"/>
      <c r="H116" s="9" t="inlineStr">
        <is>
          <t>MOD-000005</t>
        </is>
      </c>
      <c r="I116" s="37" t="inlineStr">
        <is>
          <t>MFG-001</t>
        </is>
      </c>
      <c r="J116" s="37" t="inlineStr">
        <is>
          <t>DF-001</t>
        </is>
      </c>
      <c r="K116" s="37" t="inlineStr">
        <is>
          <t>DT-001</t>
        </is>
      </c>
      <c r="L116" s="36" t="inlineStr">
        <is>
          <t>iPhone 4s</t>
        </is>
      </c>
      <c r="M116" s="36" t="inlineStr">
        <is>
          <t>A1387</t>
        </is>
      </c>
      <c r="N116" s="35" t="n">
        <v>2011</v>
      </c>
      <c r="O116" s="94" t="n">
        <v>5</v>
      </c>
      <c r="P116" s="94" t="inlineStr">
        <is>
          <t>Yes</t>
        </is>
      </c>
    </row>
    <row r="117" ht="21.5" customHeight="1" s="125">
      <c r="A117" s="16" t="inlineStr">
        <is>
          <t>DT-000006</t>
        </is>
      </c>
      <c r="B117" s="16" t="inlineStr">
        <is>
          <t>Smartwatch</t>
        </is>
      </c>
      <c r="C117" s="16" t="inlineStr">
        <is>
          <t>Wearable devices</t>
        </is>
      </c>
      <c r="D117" s="43" t="n">
        <v>6</v>
      </c>
      <c r="E117" s="40" t="inlineStr">
        <is>
          <t>Yes</t>
        </is>
      </c>
      <c r="G117" s="16" t="n"/>
      <c r="H117" s="9" t="inlineStr">
        <is>
          <t>MOD-000006</t>
        </is>
      </c>
      <c r="I117" s="37" t="inlineStr">
        <is>
          <t>MFG-001</t>
        </is>
      </c>
      <c r="J117" s="37" t="inlineStr">
        <is>
          <t>DF-001</t>
        </is>
      </c>
      <c r="K117" s="37" t="inlineStr">
        <is>
          <t>DT-001</t>
        </is>
      </c>
      <c r="L117" s="36" t="inlineStr">
        <is>
          <t>iPhone 5</t>
        </is>
      </c>
      <c r="M117" s="36" t="inlineStr">
        <is>
          <t>A1428</t>
        </is>
      </c>
      <c r="N117" s="35" t="n">
        <v>2012</v>
      </c>
      <c r="O117" s="94" t="n">
        <v>6</v>
      </c>
      <c r="P117" s="94" t="inlineStr">
        <is>
          <t>Yes</t>
        </is>
      </c>
    </row>
    <row r="118" ht="21.5" customHeight="1" s="125">
      <c r="A118" s="16" t="inlineStr">
        <is>
          <t>DT-000007</t>
        </is>
      </c>
      <c r="B118" s="16" t="inlineStr">
        <is>
          <t>Drone</t>
        </is>
      </c>
      <c r="C118" s="16" t="inlineStr">
        <is>
          <t>Consumer drones</t>
        </is>
      </c>
      <c r="D118" s="43" t="n">
        <v>7</v>
      </c>
      <c r="E118" s="40" t="inlineStr">
        <is>
          <t>Yes</t>
        </is>
      </c>
      <c r="G118" s="16" t="n"/>
      <c r="H118" s="9" t="inlineStr">
        <is>
          <t>MOD-000007</t>
        </is>
      </c>
      <c r="I118" s="37" t="inlineStr">
        <is>
          <t>MFG-001</t>
        </is>
      </c>
      <c r="J118" s="37" t="inlineStr">
        <is>
          <t>DF-001</t>
        </is>
      </c>
      <c r="K118" s="37" t="inlineStr">
        <is>
          <t>DT-001</t>
        </is>
      </c>
      <c r="L118" s="36" t="inlineStr">
        <is>
          <t>iPhone 5c</t>
        </is>
      </c>
      <c r="M118" s="36" t="inlineStr">
        <is>
          <t>A1532</t>
        </is>
      </c>
      <c r="N118" s="35" t="n">
        <v>2013</v>
      </c>
      <c r="O118" s="94" t="n">
        <v>7</v>
      </c>
      <c r="P118" s="94" t="inlineStr">
        <is>
          <t>Yes</t>
        </is>
      </c>
    </row>
    <row r="119" ht="21.5" customHeight="1" s="125">
      <c r="A119" s="16" t="inlineStr">
        <is>
          <t>DT-000008</t>
        </is>
      </c>
      <c r="B119" s="16" t="inlineStr">
        <is>
          <t>VR Headset</t>
        </is>
      </c>
      <c r="C119" s="16" t="inlineStr">
        <is>
          <t>Virtual reality devices</t>
        </is>
      </c>
      <c r="D119" s="43" t="n">
        <v>8</v>
      </c>
      <c r="E119" s="40" t="inlineStr">
        <is>
          <t>Yes</t>
        </is>
      </c>
      <c r="G119" s="16" t="n"/>
      <c r="H119" s="9" t="inlineStr">
        <is>
          <t>MOD-000008</t>
        </is>
      </c>
      <c r="I119" s="37" t="inlineStr">
        <is>
          <t>MFG-001</t>
        </is>
      </c>
      <c r="J119" s="37" t="inlineStr">
        <is>
          <t>DF-001</t>
        </is>
      </c>
      <c r="K119" s="37" t="inlineStr">
        <is>
          <t>DT-001</t>
        </is>
      </c>
      <c r="L119" s="36" t="inlineStr">
        <is>
          <t>iPhone 5s</t>
        </is>
      </c>
      <c r="M119" s="36" t="inlineStr">
        <is>
          <t>A1533</t>
        </is>
      </c>
      <c r="N119" s="35" t="n">
        <v>2013</v>
      </c>
      <c r="O119" s="94" t="n">
        <v>8</v>
      </c>
      <c r="P119" s="94" t="inlineStr">
        <is>
          <t>Yes</t>
        </is>
      </c>
    </row>
    <row r="120" ht="21.5" customHeight="1" s="125">
      <c r="A120" s="16" t="inlineStr">
        <is>
          <t>DT-000009</t>
        </is>
      </c>
      <c r="B120" s="16" t="inlineStr">
        <is>
          <t>E-Reader</t>
        </is>
      </c>
      <c r="C120" s="16" t="inlineStr">
        <is>
          <t>Kindle, Nook, etc.</t>
        </is>
      </c>
      <c r="D120" s="43" t="n">
        <v>9</v>
      </c>
      <c r="E120" s="40" t="inlineStr">
        <is>
          <t>Yes</t>
        </is>
      </c>
      <c r="G120" s="16" t="n"/>
      <c r="H120" s="9" t="inlineStr">
        <is>
          <t>MOD-000009</t>
        </is>
      </c>
      <c r="I120" s="37" t="inlineStr">
        <is>
          <t>MFG-001</t>
        </is>
      </c>
      <c r="J120" s="37" t="inlineStr">
        <is>
          <t>DF-001</t>
        </is>
      </c>
      <c r="K120" s="37" t="inlineStr">
        <is>
          <t>DT-001</t>
        </is>
      </c>
      <c r="L120" s="36" t="inlineStr">
        <is>
          <t>iPhone 6</t>
        </is>
      </c>
      <c r="M120" s="36" t="inlineStr">
        <is>
          <t>A1549</t>
        </is>
      </c>
      <c r="N120" s="35" t="n">
        <v>2014</v>
      </c>
      <c r="O120" s="94" t="n">
        <v>9</v>
      </c>
      <c r="P120" s="94" t="inlineStr">
        <is>
          <t>Yes</t>
        </is>
      </c>
    </row>
    <row r="121" ht="21.5" customHeight="1" s="125">
      <c r="A121" s="16" t="inlineStr">
        <is>
          <t>DT-000010</t>
        </is>
      </c>
      <c r="B121" s="16" t="inlineStr">
        <is>
          <t>Media Player</t>
        </is>
      </c>
      <c r="C121" s="16" t="inlineStr">
        <is>
          <t>Apple TV, Roku, etc.</t>
        </is>
      </c>
      <c r="D121" s="43" t="n">
        <v>10</v>
      </c>
      <c r="E121" s="40" t="inlineStr">
        <is>
          <t>Yes</t>
        </is>
      </c>
      <c r="G121" s="16" t="n"/>
      <c r="H121" s="9" t="inlineStr">
        <is>
          <t>MOD-000010</t>
        </is>
      </c>
      <c r="I121" s="37" t="inlineStr">
        <is>
          <t>MFG-001</t>
        </is>
      </c>
      <c r="J121" s="37" t="inlineStr">
        <is>
          <t>DF-001</t>
        </is>
      </c>
      <c r="K121" s="37" t="inlineStr">
        <is>
          <t>DT-001</t>
        </is>
      </c>
      <c r="L121" s="36" t="inlineStr">
        <is>
          <t>iPhone 6 Plus</t>
        </is>
      </c>
      <c r="M121" s="36" t="inlineStr">
        <is>
          <t>A1522</t>
        </is>
      </c>
      <c r="N121" s="35" t="n">
        <v>2014</v>
      </c>
      <c r="O121" s="94" t="n">
        <v>10</v>
      </c>
      <c r="P121" s="94" t="inlineStr">
        <is>
          <t>Yes</t>
        </is>
      </c>
    </row>
    <row r="122" ht="21.5" customHeight="1" s="125">
      <c r="A122" s="16" t="inlineStr">
        <is>
          <t>DT-000011</t>
        </is>
      </c>
      <c r="B122" s="16" t="inlineStr">
        <is>
          <t>Streaming Device</t>
        </is>
      </c>
      <c r="C122" s="16" t="inlineStr">
        <is>
          <t>Fire Stick, Chromecast</t>
        </is>
      </c>
      <c r="D122" s="43" t="n">
        <v>11</v>
      </c>
      <c r="E122" s="40" t="inlineStr">
        <is>
          <t>Yes</t>
        </is>
      </c>
      <c r="F122" s="34" t="n"/>
      <c r="G122" s="16" t="n"/>
      <c r="H122" s="9" t="inlineStr">
        <is>
          <t>MOD-000011</t>
        </is>
      </c>
      <c r="I122" s="37" t="inlineStr">
        <is>
          <t>MFG-001</t>
        </is>
      </c>
      <c r="J122" s="37" t="inlineStr">
        <is>
          <t>DF-001</t>
        </is>
      </c>
      <c r="K122" s="37" t="inlineStr">
        <is>
          <t>DT-001</t>
        </is>
      </c>
      <c r="L122" s="36" t="inlineStr">
        <is>
          <t>iPhone 6s</t>
        </is>
      </c>
      <c r="M122" s="36" t="inlineStr">
        <is>
          <t>A1633</t>
        </is>
      </c>
      <c r="N122" s="35" t="n">
        <v>2015</v>
      </c>
      <c r="O122" s="94" t="n">
        <v>11</v>
      </c>
      <c r="P122" s="94" t="inlineStr">
        <is>
          <t>Yes</t>
        </is>
      </c>
    </row>
    <row r="123" ht="21.5" customHeight="1" s="125">
      <c r="A123" s="16" t="inlineStr">
        <is>
          <t>DT-000012</t>
        </is>
      </c>
      <c r="B123" s="16" t="inlineStr">
        <is>
          <t>Other</t>
        </is>
      </c>
      <c r="C123" s="16" t="inlineStr">
        <is>
          <t>Miscellaneous devices</t>
        </is>
      </c>
      <c r="D123" s="43" t="n">
        <v>99</v>
      </c>
      <c r="E123" s="40" t="inlineStr">
        <is>
          <t>Yes</t>
        </is>
      </c>
      <c r="G123" s="16" t="n"/>
      <c r="H123" s="9" t="inlineStr">
        <is>
          <t>MOD-000012</t>
        </is>
      </c>
      <c r="I123" s="37" t="inlineStr">
        <is>
          <t>MFG-001</t>
        </is>
      </c>
      <c r="J123" s="37" t="inlineStr">
        <is>
          <t>DF-001</t>
        </is>
      </c>
      <c r="K123" s="37" t="inlineStr">
        <is>
          <t>DT-001</t>
        </is>
      </c>
      <c r="L123" s="36" t="inlineStr">
        <is>
          <t>iPhone 6s Plus</t>
        </is>
      </c>
      <c r="M123" s="36" t="inlineStr">
        <is>
          <t>A1634</t>
        </is>
      </c>
      <c r="N123" s="35" t="n">
        <v>2015</v>
      </c>
      <c r="O123" s="94" t="n">
        <v>12</v>
      </c>
      <c r="P123" s="94" t="inlineStr">
        <is>
          <t>Yes</t>
        </is>
      </c>
    </row>
    <row r="124" ht="21.5" customHeight="1" s="125">
      <c r="A124" s="17" t="n"/>
      <c r="B124" s="17" t="n"/>
      <c r="C124" s="38" t="n"/>
      <c r="G124" s="16" t="n"/>
      <c r="H124" s="9" t="inlineStr">
        <is>
          <t>MOD-000013</t>
        </is>
      </c>
      <c r="I124" s="37" t="inlineStr">
        <is>
          <t>MFG-001</t>
        </is>
      </c>
      <c r="J124" s="37" t="inlineStr">
        <is>
          <t>DF-001</t>
        </is>
      </c>
      <c r="K124" s="37" t="inlineStr">
        <is>
          <t>DT-001</t>
        </is>
      </c>
      <c r="L124" s="36" t="inlineStr">
        <is>
          <t>iPhone SE (1st Gen)</t>
        </is>
      </c>
      <c r="M124" s="36" t="inlineStr">
        <is>
          <t>A1662</t>
        </is>
      </c>
      <c r="N124" s="35" t="n">
        <v>2016</v>
      </c>
      <c r="O124" s="94" t="n">
        <v>13</v>
      </c>
      <c r="P124" s="94" t="inlineStr">
        <is>
          <t>Yes</t>
        </is>
      </c>
    </row>
    <row r="125" ht="21.5" customHeight="1" s="125">
      <c r="A125" s="42" t="inlineStr">
        <is>
          <t>tblManufacturers</t>
        </is>
      </c>
      <c r="B125" s="17" t="n"/>
      <c r="C125" s="38" t="n"/>
      <c r="G125" s="16" t="n"/>
      <c r="H125" s="9" t="inlineStr">
        <is>
          <t>MOD-000014</t>
        </is>
      </c>
      <c r="I125" s="37" t="inlineStr">
        <is>
          <t>MFG-001</t>
        </is>
      </c>
      <c r="J125" s="37" t="inlineStr">
        <is>
          <t>DF-001</t>
        </is>
      </c>
      <c r="K125" s="37" t="inlineStr">
        <is>
          <t>DT-001</t>
        </is>
      </c>
      <c r="L125" s="36" t="inlineStr">
        <is>
          <t>iPhone 7</t>
        </is>
      </c>
      <c r="M125" s="36" t="inlineStr">
        <is>
          <t>A1660</t>
        </is>
      </c>
      <c r="N125" s="35" t="n">
        <v>2016</v>
      </c>
      <c r="O125" s="94" t="n">
        <v>14</v>
      </c>
      <c r="P125" s="94" t="inlineStr">
        <is>
          <t>Yes</t>
        </is>
      </c>
    </row>
    <row r="126" ht="21.5" customHeight="1" s="125">
      <c r="A126" s="41" t="inlineStr">
        <is>
          <t>ManufacturerID</t>
        </is>
      </c>
      <c r="B126" s="41" t="inlineStr">
        <is>
          <t>Manufacturer</t>
        </is>
      </c>
      <c r="C126" s="41" t="inlineStr">
        <is>
          <t>Description</t>
        </is>
      </c>
      <c r="D126" s="44" t="inlineStr">
        <is>
          <t>Sort Order</t>
        </is>
      </c>
      <c r="E126" s="41" t="inlineStr">
        <is>
          <t>IsActive</t>
        </is>
      </c>
      <c r="G126" s="16" t="n"/>
      <c r="H126" s="9" t="inlineStr">
        <is>
          <t>MOD-000015</t>
        </is>
      </c>
      <c r="I126" s="37" t="inlineStr">
        <is>
          <t>MFG-001</t>
        </is>
      </c>
      <c r="J126" s="37" t="inlineStr">
        <is>
          <t>DF-001</t>
        </is>
      </c>
      <c r="K126" s="37" t="inlineStr">
        <is>
          <t>DT-001</t>
        </is>
      </c>
      <c r="L126" s="36" t="inlineStr">
        <is>
          <t>iPhone 7 Plus</t>
        </is>
      </c>
      <c r="M126" s="36" t="inlineStr">
        <is>
          <t>A1661</t>
        </is>
      </c>
      <c r="N126" s="35" t="n">
        <v>2016</v>
      </c>
      <c r="O126" s="94" t="n">
        <v>15</v>
      </c>
      <c r="P126" s="94" t="inlineStr">
        <is>
          <t>Yes</t>
        </is>
      </c>
    </row>
    <row r="127" ht="21.5" customHeight="1" s="125">
      <c r="A127" s="16" t="inlineStr">
        <is>
          <t>MFG-000001</t>
        </is>
      </c>
      <c r="B127" s="16" t="inlineStr">
        <is>
          <t>Apple</t>
        </is>
      </c>
      <c r="C127" s="16" t="inlineStr">
        <is>
          <t>Apple Inc.</t>
        </is>
      </c>
      <c r="D127" s="43" t="n">
        <v>1</v>
      </c>
      <c r="E127" s="40" t="inlineStr">
        <is>
          <t>Yes</t>
        </is>
      </c>
      <c r="G127" s="16" t="n"/>
      <c r="H127" s="9" t="inlineStr">
        <is>
          <t>MOD-000016</t>
        </is>
      </c>
      <c r="I127" s="37" t="inlineStr">
        <is>
          <t>MFG-001</t>
        </is>
      </c>
      <c r="J127" s="37" t="inlineStr">
        <is>
          <t>DF-001</t>
        </is>
      </c>
      <c r="K127" s="37" t="inlineStr">
        <is>
          <t>DT-001</t>
        </is>
      </c>
      <c r="L127" s="36" t="inlineStr">
        <is>
          <t>iPhone 8</t>
        </is>
      </c>
      <c r="M127" s="36" t="inlineStr">
        <is>
          <t>A1863</t>
        </is>
      </c>
      <c r="N127" s="35" t="n">
        <v>2017</v>
      </c>
      <c r="O127" s="94" t="n">
        <v>16</v>
      </c>
      <c r="P127" s="94" t="inlineStr">
        <is>
          <t>Yes</t>
        </is>
      </c>
    </row>
    <row r="128" ht="21.5" customHeight="1" s="125">
      <c r="A128" s="16" t="inlineStr">
        <is>
          <t>MFG-000002</t>
        </is>
      </c>
      <c r="B128" s="16" t="inlineStr">
        <is>
          <t>Samsung</t>
        </is>
      </c>
      <c r="C128" s="16" t="inlineStr">
        <is>
          <t>Samsung Electronics</t>
        </is>
      </c>
      <c r="D128" s="43" t="n">
        <v>2</v>
      </c>
      <c r="E128" s="40" t="inlineStr">
        <is>
          <t>Yes</t>
        </is>
      </c>
      <c r="G128" s="16" t="n"/>
      <c r="H128" s="9" t="inlineStr">
        <is>
          <t>MOD-000017</t>
        </is>
      </c>
      <c r="I128" s="37" t="inlineStr">
        <is>
          <t>MFG-001</t>
        </is>
      </c>
      <c r="J128" s="37" t="inlineStr">
        <is>
          <t>DF-001</t>
        </is>
      </c>
      <c r="K128" s="37" t="inlineStr">
        <is>
          <t>DT-001</t>
        </is>
      </c>
      <c r="L128" s="36" t="inlineStr">
        <is>
          <t>iPhone 8 Plus</t>
        </is>
      </c>
      <c r="M128" s="36" t="inlineStr">
        <is>
          <t>A1864</t>
        </is>
      </c>
      <c r="N128" s="35" t="n">
        <v>2017</v>
      </c>
      <c r="O128" s="94" t="n">
        <v>17</v>
      </c>
      <c r="P128" s="94" t="inlineStr">
        <is>
          <t>Yes</t>
        </is>
      </c>
    </row>
    <row r="129" ht="21.5" customHeight="1" s="125">
      <c r="A129" s="16" t="inlineStr">
        <is>
          <t>MFG-000003</t>
        </is>
      </c>
      <c r="B129" s="16" t="inlineStr">
        <is>
          <t>Google</t>
        </is>
      </c>
      <c r="C129" s="16" t="inlineStr">
        <is>
          <t>Pixel devices</t>
        </is>
      </c>
      <c r="D129" s="43" t="n">
        <v>3</v>
      </c>
      <c r="E129" s="40" t="inlineStr">
        <is>
          <t>Yes</t>
        </is>
      </c>
      <c r="G129" s="16" t="n"/>
      <c r="H129" s="9" t="inlineStr">
        <is>
          <t>MOD-000018</t>
        </is>
      </c>
      <c r="I129" s="37" t="inlineStr">
        <is>
          <t>MFG-001</t>
        </is>
      </c>
      <c r="J129" s="37" t="inlineStr">
        <is>
          <t>DF-001</t>
        </is>
      </c>
      <c r="K129" s="37" t="inlineStr">
        <is>
          <t>DT-001</t>
        </is>
      </c>
      <c r="L129" s="36" t="inlineStr">
        <is>
          <t>iPhone X</t>
        </is>
      </c>
      <c r="M129" s="36" t="inlineStr">
        <is>
          <t>A1865</t>
        </is>
      </c>
      <c r="N129" s="35" t="n">
        <v>2017</v>
      </c>
      <c r="O129" s="94" t="n">
        <v>18</v>
      </c>
      <c r="P129" s="94" t="inlineStr">
        <is>
          <t>Yes</t>
        </is>
      </c>
    </row>
    <row r="130" ht="21.5" customHeight="1" s="125">
      <c r="A130" s="16" t="inlineStr">
        <is>
          <t>MFG-000004</t>
        </is>
      </c>
      <c r="B130" s="16" t="inlineStr">
        <is>
          <t>Motorola</t>
        </is>
      </c>
      <c r="C130" s="16" t="inlineStr">
        <is>
          <t>Motorola Mobility</t>
        </is>
      </c>
      <c r="D130" s="43" t="n">
        <v>4</v>
      </c>
      <c r="E130" s="40" t="inlineStr">
        <is>
          <t>Yes</t>
        </is>
      </c>
      <c r="G130" s="16" t="n"/>
      <c r="H130" s="9" t="inlineStr">
        <is>
          <t>MOD-000019</t>
        </is>
      </c>
      <c r="I130" s="37" t="inlineStr">
        <is>
          <t>MFG-001</t>
        </is>
      </c>
      <c r="J130" s="37" t="inlineStr">
        <is>
          <t>DF-001</t>
        </is>
      </c>
      <c r="K130" s="37" t="inlineStr">
        <is>
          <t>DT-001</t>
        </is>
      </c>
      <c r="L130" s="36" t="inlineStr">
        <is>
          <t>iPhone XR</t>
        </is>
      </c>
      <c r="M130" s="36" t="inlineStr">
        <is>
          <t>A1984</t>
        </is>
      </c>
      <c r="N130" s="35" t="n">
        <v>2018</v>
      </c>
      <c r="O130" s="94" t="n">
        <v>19</v>
      </c>
      <c r="P130" s="94" t="inlineStr">
        <is>
          <t>Yes</t>
        </is>
      </c>
    </row>
    <row r="131" ht="21.5" customHeight="1" s="125">
      <c r="A131" s="16" t="inlineStr">
        <is>
          <t>MFG-000005</t>
        </is>
      </c>
      <c r="B131" s="16" t="inlineStr">
        <is>
          <t>OnePlus</t>
        </is>
      </c>
      <c r="C131" s="16" t="inlineStr">
        <is>
          <t>OnePlus</t>
        </is>
      </c>
      <c r="D131" s="43" t="n">
        <v>5</v>
      </c>
      <c r="E131" s="40" t="inlineStr">
        <is>
          <t>Yes</t>
        </is>
      </c>
      <c r="G131" s="16" t="n"/>
      <c r="H131" s="9" t="inlineStr">
        <is>
          <t>MOD-000020</t>
        </is>
      </c>
      <c r="I131" s="37" t="inlineStr">
        <is>
          <t>MFG-001</t>
        </is>
      </c>
      <c r="J131" s="37" t="inlineStr">
        <is>
          <t>DF-001</t>
        </is>
      </c>
      <c r="K131" s="37" t="inlineStr">
        <is>
          <t>DT-001</t>
        </is>
      </c>
      <c r="L131" s="36" t="inlineStr">
        <is>
          <t>iPhone XS</t>
        </is>
      </c>
      <c r="M131" s="36" t="inlineStr">
        <is>
          <t>A1920</t>
        </is>
      </c>
      <c r="N131" s="35" t="n">
        <v>2018</v>
      </c>
      <c r="O131" s="94" t="n">
        <v>20</v>
      </c>
      <c r="P131" s="94" t="inlineStr">
        <is>
          <t>Yes</t>
        </is>
      </c>
    </row>
    <row r="132" ht="21.5" customHeight="1" s="125">
      <c r="A132" s="16" t="inlineStr">
        <is>
          <t>MFG-000006</t>
        </is>
      </c>
      <c r="B132" s="16" t="inlineStr">
        <is>
          <t>LG</t>
        </is>
      </c>
      <c r="C132" s="16" t="inlineStr">
        <is>
          <t>LG Electronics</t>
        </is>
      </c>
      <c r="D132" s="43" t="n">
        <v>6</v>
      </c>
      <c r="E132" s="40" t="inlineStr">
        <is>
          <t>Yes</t>
        </is>
      </c>
      <c r="F132" s="17" t="n"/>
      <c r="G132" s="16" t="n"/>
      <c r="H132" s="9" t="inlineStr">
        <is>
          <t>MOD-000021</t>
        </is>
      </c>
      <c r="I132" s="37" t="inlineStr">
        <is>
          <t>MFG-001</t>
        </is>
      </c>
      <c r="J132" s="37" t="inlineStr">
        <is>
          <t>DF-001</t>
        </is>
      </c>
      <c r="K132" s="37" t="inlineStr">
        <is>
          <t>DT-001</t>
        </is>
      </c>
      <c r="L132" s="36" t="inlineStr">
        <is>
          <t>iPhone XS Max</t>
        </is>
      </c>
      <c r="M132" s="36" t="inlineStr">
        <is>
          <t>A1921</t>
        </is>
      </c>
      <c r="N132" s="35" t="n">
        <v>2018</v>
      </c>
      <c r="O132" s="94" t="n">
        <v>21</v>
      </c>
      <c r="P132" s="94" t="inlineStr">
        <is>
          <t>Yes</t>
        </is>
      </c>
    </row>
    <row r="133" ht="21.5" customHeight="1" s="125">
      <c r="A133" s="16" t="inlineStr">
        <is>
          <t>MFG-000007</t>
        </is>
      </c>
      <c r="B133" s="16" t="inlineStr">
        <is>
          <t>Sony</t>
        </is>
      </c>
      <c r="C133" s="16" t="inlineStr">
        <is>
          <t>Sony Mobile</t>
        </is>
      </c>
      <c r="D133" s="43" t="n">
        <v>7</v>
      </c>
      <c r="E133" s="40" t="inlineStr">
        <is>
          <t>Yes</t>
        </is>
      </c>
      <c r="F133" s="17" t="n"/>
      <c r="G133" s="16" t="n"/>
      <c r="H133" s="9" t="inlineStr">
        <is>
          <t>MOD-000022</t>
        </is>
      </c>
      <c r="I133" s="37" t="inlineStr">
        <is>
          <t>MFG-001</t>
        </is>
      </c>
      <c r="J133" s="37" t="inlineStr">
        <is>
          <t>DF-001</t>
        </is>
      </c>
      <c r="K133" s="37" t="inlineStr">
        <is>
          <t>DT-001</t>
        </is>
      </c>
      <c r="L133" s="36" t="inlineStr">
        <is>
          <t>iPhone 11</t>
        </is>
      </c>
      <c r="M133" s="36" t="inlineStr">
        <is>
          <t>A2111</t>
        </is>
      </c>
      <c r="N133" s="35" t="n">
        <v>2019</v>
      </c>
      <c r="O133" s="94" t="n">
        <v>22</v>
      </c>
      <c r="P133" s="94" t="inlineStr">
        <is>
          <t>Yes</t>
        </is>
      </c>
    </row>
    <row r="134" ht="21.5" customHeight="1" s="125">
      <c r="A134" s="16" t="inlineStr">
        <is>
          <t>MFG-000008</t>
        </is>
      </c>
      <c r="B134" s="16" t="inlineStr">
        <is>
          <t>Nokia</t>
        </is>
      </c>
      <c r="C134" s="16" t="inlineStr">
        <is>
          <t>Nokia/HMD</t>
        </is>
      </c>
      <c r="D134" s="43" t="n">
        <v>8</v>
      </c>
      <c r="E134" s="40" t="inlineStr">
        <is>
          <t>Yes</t>
        </is>
      </c>
      <c r="G134" s="16" t="n"/>
      <c r="H134" s="9" t="inlineStr">
        <is>
          <t>MOD-000023</t>
        </is>
      </c>
      <c r="I134" s="37" t="inlineStr">
        <is>
          <t>MFG-001</t>
        </is>
      </c>
      <c r="J134" s="37" t="inlineStr">
        <is>
          <t>DF-001</t>
        </is>
      </c>
      <c r="K134" s="37" t="inlineStr">
        <is>
          <t>DT-001</t>
        </is>
      </c>
      <c r="L134" s="36" t="inlineStr">
        <is>
          <t>iPhone 11 Pro</t>
        </is>
      </c>
      <c r="M134" s="36" t="inlineStr">
        <is>
          <t>A2160</t>
        </is>
      </c>
      <c r="N134" s="35" t="n">
        <v>2019</v>
      </c>
      <c r="O134" s="94" t="n">
        <v>23</v>
      </c>
      <c r="P134" s="94" t="inlineStr">
        <is>
          <t>Yes</t>
        </is>
      </c>
    </row>
    <row r="135" ht="21.5" customHeight="1" s="125">
      <c r="A135" s="16" t="inlineStr">
        <is>
          <t>MFG-000009</t>
        </is>
      </c>
      <c r="B135" s="16" t="inlineStr">
        <is>
          <t>Microsoft</t>
        </is>
      </c>
      <c r="C135" s="16" t="inlineStr">
        <is>
          <t>Surface devices</t>
        </is>
      </c>
      <c r="D135" s="43" t="n">
        <v>9</v>
      </c>
      <c r="E135" s="40" t="inlineStr">
        <is>
          <t>Yes</t>
        </is>
      </c>
      <c r="G135" s="16" t="n"/>
      <c r="H135" s="9" t="inlineStr">
        <is>
          <t>MOD-000024</t>
        </is>
      </c>
      <c r="I135" s="37" t="inlineStr">
        <is>
          <t>MFG-001</t>
        </is>
      </c>
      <c r="J135" s="37" t="inlineStr">
        <is>
          <t>DF-001</t>
        </is>
      </c>
      <c r="K135" s="37" t="inlineStr">
        <is>
          <t>DT-001</t>
        </is>
      </c>
      <c r="L135" s="36" t="inlineStr">
        <is>
          <t>iPhone 11 Pro Max</t>
        </is>
      </c>
      <c r="M135" s="36" t="inlineStr">
        <is>
          <t>A2161</t>
        </is>
      </c>
      <c r="N135" s="35" t="n">
        <v>2019</v>
      </c>
      <c r="O135" s="94" t="n">
        <v>24</v>
      </c>
      <c r="P135" s="94" t="inlineStr">
        <is>
          <t>Yes</t>
        </is>
      </c>
    </row>
    <row r="136" ht="43" customHeight="1" s="125">
      <c r="A136" s="16" t="inlineStr">
        <is>
          <t>MFG-000010</t>
        </is>
      </c>
      <c r="B136" s="16" t="inlineStr">
        <is>
          <t>Dell</t>
        </is>
      </c>
      <c r="C136" s="16" t="inlineStr">
        <is>
          <t>Dell Technologies</t>
        </is>
      </c>
      <c r="D136" s="43" t="n">
        <v>10</v>
      </c>
      <c r="E136" s="40" t="inlineStr">
        <is>
          <t>Yes</t>
        </is>
      </c>
      <c r="G136" s="16" t="n"/>
      <c r="H136" s="9" t="inlineStr">
        <is>
          <t>MOD-000025</t>
        </is>
      </c>
      <c r="I136" s="37" t="inlineStr">
        <is>
          <t>MFG-001</t>
        </is>
      </c>
      <c r="J136" s="37" t="inlineStr">
        <is>
          <t>DF-001</t>
        </is>
      </c>
      <c r="K136" s="37" t="inlineStr">
        <is>
          <t>DT-001</t>
        </is>
      </c>
      <c r="L136" s="36" t="inlineStr">
        <is>
          <t>iPhone SE (2nd Generation)</t>
        </is>
      </c>
      <c r="M136" s="36" t="inlineStr">
        <is>
          <t>A2275</t>
        </is>
      </c>
      <c r="N136" s="35" t="n">
        <v>2020</v>
      </c>
      <c r="O136" s="94" t="n">
        <v>25</v>
      </c>
      <c r="P136" s="94" t="inlineStr">
        <is>
          <t>Yes</t>
        </is>
      </c>
    </row>
    <row r="137" ht="21.5" customHeight="1" s="125">
      <c r="A137" s="16" t="inlineStr">
        <is>
          <t>MFG-000011</t>
        </is>
      </c>
      <c r="B137" s="16" t="inlineStr">
        <is>
          <t>HP</t>
        </is>
      </c>
      <c r="C137" s="16" t="inlineStr">
        <is>
          <t>Hewlett-Packard</t>
        </is>
      </c>
      <c r="D137" s="43" t="n">
        <v>11</v>
      </c>
      <c r="E137" s="40" t="inlineStr">
        <is>
          <t>Yes</t>
        </is>
      </c>
      <c r="G137" s="16" t="n"/>
      <c r="H137" s="9" t="inlineStr">
        <is>
          <t>MOD-000026</t>
        </is>
      </c>
      <c r="I137" s="37" t="inlineStr">
        <is>
          <t>MFG-001</t>
        </is>
      </c>
      <c r="J137" s="37" t="inlineStr">
        <is>
          <t>DF-001</t>
        </is>
      </c>
      <c r="K137" s="37" t="inlineStr">
        <is>
          <t>DT-001</t>
        </is>
      </c>
      <c r="L137" s="36" t="inlineStr">
        <is>
          <t>iPhone 12 mini</t>
        </is>
      </c>
      <c r="M137" s="36" t="inlineStr">
        <is>
          <t>A2176</t>
        </is>
      </c>
      <c r="N137" s="35" t="n">
        <v>2020</v>
      </c>
      <c r="O137" s="94" t="n">
        <v>26</v>
      </c>
      <c r="P137" s="94" t="inlineStr">
        <is>
          <t>Yes</t>
        </is>
      </c>
    </row>
    <row r="138" ht="21.5" customHeight="1" s="125">
      <c r="A138" s="16" t="inlineStr">
        <is>
          <t>MFG-000012</t>
        </is>
      </c>
      <c r="B138" s="16" t="inlineStr">
        <is>
          <t>Lenovo</t>
        </is>
      </c>
      <c r="C138" s="16" t="inlineStr">
        <is>
          <t>Lenovo</t>
        </is>
      </c>
      <c r="D138" s="43" t="n">
        <v>12</v>
      </c>
      <c r="E138" s="40" t="inlineStr">
        <is>
          <t>Yes</t>
        </is>
      </c>
      <c r="G138" s="16" t="n"/>
      <c r="H138" s="9" t="inlineStr">
        <is>
          <t>MOD-000027</t>
        </is>
      </c>
      <c r="I138" s="37" t="inlineStr">
        <is>
          <t>MFG-001</t>
        </is>
      </c>
      <c r="J138" s="37" t="inlineStr">
        <is>
          <t>DF-001</t>
        </is>
      </c>
      <c r="K138" s="37" t="inlineStr">
        <is>
          <t>DT-001</t>
        </is>
      </c>
      <c r="L138" s="36" t="inlineStr">
        <is>
          <t>iPhone 12</t>
        </is>
      </c>
      <c r="M138" s="36" t="inlineStr">
        <is>
          <t>A2172</t>
        </is>
      </c>
      <c r="N138" s="35" t="n">
        <v>2020</v>
      </c>
      <c r="O138" s="94" t="n">
        <v>27</v>
      </c>
      <c r="P138" s="94" t="inlineStr">
        <is>
          <t>Yes</t>
        </is>
      </c>
    </row>
    <row r="139" ht="21.5" customHeight="1" s="125">
      <c r="A139" s="16" t="inlineStr">
        <is>
          <t>MFG-000013</t>
        </is>
      </c>
      <c r="B139" s="16" t="inlineStr">
        <is>
          <t>ASUS</t>
        </is>
      </c>
      <c r="C139" s="16" t="inlineStr">
        <is>
          <t>ASUS</t>
        </is>
      </c>
      <c r="D139" s="43" t="n">
        <v>13</v>
      </c>
      <c r="E139" s="40" t="inlineStr">
        <is>
          <t>Yes</t>
        </is>
      </c>
      <c r="F139" s="45" t="n"/>
      <c r="G139" s="16" t="n"/>
      <c r="H139" s="9" t="inlineStr">
        <is>
          <t>MOD-000028</t>
        </is>
      </c>
      <c r="I139" s="37" t="inlineStr">
        <is>
          <t>MFG-001</t>
        </is>
      </c>
      <c r="J139" s="37" t="inlineStr">
        <is>
          <t>DF-001</t>
        </is>
      </c>
      <c r="K139" s="37" t="inlineStr">
        <is>
          <t>DT-001</t>
        </is>
      </c>
      <c r="L139" s="36" t="inlineStr">
        <is>
          <t>iPhone 12 Pro</t>
        </is>
      </c>
      <c r="M139" s="36" t="inlineStr">
        <is>
          <t>A2341</t>
        </is>
      </c>
      <c r="N139" s="35" t="n">
        <v>2020</v>
      </c>
      <c r="O139" s="94" t="n">
        <v>28</v>
      </c>
      <c r="P139" s="94" t="inlineStr">
        <is>
          <t>Yes</t>
        </is>
      </c>
    </row>
    <row r="140" ht="21.5" customHeight="1" s="125">
      <c r="A140" s="16" t="inlineStr">
        <is>
          <t>MFG-000014</t>
        </is>
      </c>
      <c r="B140" s="16" t="inlineStr">
        <is>
          <t>Acer</t>
        </is>
      </c>
      <c r="C140" s="16" t="inlineStr">
        <is>
          <t>Acer</t>
        </is>
      </c>
      <c r="D140" s="43" t="n">
        <v>14</v>
      </c>
      <c r="E140" s="40" t="inlineStr">
        <is>
          <t>Yes</t>
        </is>
      </c>
      <c r="F140" s="45" t="n"/>
      <c r="G140" s="16" t="n"/>
      <c r="H140" s="9" t="inlineStr">
        <is>
          <t>MOD-000029</t>
        </is>
      </c>
      <c r="I140" s="37" t="inlineStr">
        <is>
          <t>MFG-001</t>
        </is>
      </c>
      <c r="J140" s="37" t="inlineStr">
        <is>
          <t>DF-001</t>
        </is>
      </c>
      <c r="K140" s="37" t="inlineStr">
        <is>
          <t>DT-001</t>
        </is>
      </c>
      <c r="L140" s="36" t="inlineStr">
        <is>
          <t>iPhone 12 Pro Max</t>
        </is>
      </c>
      <c r="M140" s="36" t="inlineStr">
        <is>
          <t>A2342</t>
        </is>
      </c>
      <c r="N140" s="35" t="n">
        <v>2020</v>
      </c>
      <c r="O140" s="94" t="n">
        <v>29</v>
      </c>
      <c r="P140" s="94" t="inlineStr">
        <is>
          <t>Yes</t>
        </is>
      </c>
    </row>
    <row r="141" ht="21.5" customHeight="1" s="125">
      <c r="A141" s="16" t="inlineStr">
        <is>
          <t>MFG-000015</t>
        </is>
      </c>
      <c r="B141" s="16" t="inlineStr">
        <is>
          <t>MSI</t>
        </is>
      </c>
      <c r="C141" s="16" t="inlineStr">
        <is>
          <t>MSI</t>
        </is>
      </c>
      <c r="D141" s="43" t="n">
        <v>15</v>
      </c>
      <c r="E141" s="40" t="inlineStr">
        <is>
          <t>Yes</t>
        </is>
      </c>
      <c r="F141" s="45" t="n"/>
      <c r="G141" s="16" t="n"/>
      <c r="H141" s="9" t="inlineStr">
        <is>
          <t>MOD-000030</t>
        </is>
      </c>
      <c r="I141" s="37" t="inlineStr">
        <is>
          <t>MFG-001</t>
        </is>
      </c>
      <c r="J141" s="37" t="inlineStr">
        <is>
          <t>DF-001</t>
        </is>
      </c>
      <c r="K141" s="37" t="inlineStr">
        <is>
          <t>DT-001</t>
        </is>
      </c>
      <c r="L141" s="36" t="inlineStr">
        <is>
          <t>iPhone 13 mini</t>
        </is>
      </c>
      <c r="M141" s="36" t="inlineStr">
        <is>
          <t>A2481</t>
        </is>
      </c>
      <c r="N141" s="35" t="n">
        <v>2021</v>
      </c>
      <c r="O141" s="94" t="n">
        <v>30</v>
      </c>
      <c r="P141" s="94" t="inlineStr">
        <is>
          <t>Yes</t>
        </is>
      </c>
    </row>
    <row r="142" ht="21.5" customHeight="1" s="125">
      <c r="A142" s="16" t="inlineStr">
        <is>
          <t>MFG-000016</t>
        </is>
      </c>
      <c r="B142" s="16" t="inlineStr">
        <is>
          <t>Nintendo</t>
        </is>
      </c>
      <c r="C142" s="16" t="inlineStr">
        <is>
          <t>Nintendo</t>
        </is>
      </c>
      <c r="D142" s="43" t="n">
        <v>16</v>
      </c>
      <c r="E142" s="40" t="inlineStr">
        <is>
          <t>Yes</t>
        </is>
      </c>
      <c r="F142" s="45" t="n"/>
      <c r="G142" s="16" t="n"/>
      <c r="H142" s="9" t="inlineStr">
        <is>
          <t>MOD-000031</t>
        </is>
      </c>
      <c r="I142" s="37" t="inlineStr">
        <is>
          <t>MFG-001</t>
        </is>
      </c>
      <c r="J142" s="37" t="inlineStr">
        <is>
          <t>DF-001</t>
        </is>
      </c>
      <c r="K142" s="37" t="inlineStr">
        <is>
          <t>DT-001</t>
        </is>
      </c>
      <c r="L142" s="36" t="inlineStr">
        <is>
          <t>iPhone 13</t>
        </is>
      </c>
      <c r="M142" s="36" t="inlineStr">
        <is>
          <t>A2482</t>
        </is>
      </c>
      <c r="N142" s="35" t="n">
        <v>2021</v>
      </c>
      <c r="O142" s="94" t="n">
        <v>31</v>
      </c>
      <c r="P142" s="94" t="inlineStr">
        <is>
          <t>Yes</t>
        </is>
      </c>
    </row>
    <row r="143" ht="21.5" customHeight="1" s="125">
      <c r="A143" s="16" t="inlineStr">
        <is>
          <t>MFG-000017</t>
        </is>
      </c>
      <c r="B143" s="16" t="inlineStr">
        <is>
          <t>Sony PlayStation</t>
        </is>
      </c>
      <c r="C143" s="16" t="inlineStr">
        <is>
          <t>PlayStation</t>
        </is>
      </c>
      <c r="D143" s="43" t="n">
        <v>17</v>
      </c>
      <c r="E143" s="40" t="inlineStr">
        <is>
          <t>Yes</t>
        </is>
      </c>
      <c r="G143" s="16" t="n"/>
      <c r="H143" s="9" t="inlineStr">
        <is>
          <t>MOD-000032</t>
        </is>
      </c>
      <c r="I143" s="37" t="inlineStr">
        <is>
          <t>MFG-001</t>
        </is>
      </c>
      <c r="J143" s="37" t="inlineStr">
        <is>
          <t>DF-001</t>
        </is>
      </c>
      <c r="K143" s="37" t="inlineStr">
        <is>
          <t>DT-001</t>
        </is>
      </c>
      <c r="L143" s="36" t="inlineStr">
        <is>
          <t>iPhone 13 Pro</t>
        </is>
      </c>
      <c r="M143" s="36" t="inlineStr">
        <is>
          <t>A2483</t>
        </is>
      </c>
      <c r="N143" s="35" t="n">
        <v>2021</v>
      </c>
      <c r="O143" s="94" t="n">
        <v>32</v>
      </c>
      <c r="P143" s="94" t="inlineStr">
        <is>
          <t>Yes</t>
        </is>
      </c>
    </row>
    <row r="144" ht="21.5" customHeight="1" s="125">
      <c r="A144" s="16" t="inlineStr">
        <is>
          <t>MFG-000018</t>
        </is>
      </c>
      <c r="B144" s="16" t="inlineStr">
        <is>
          <t>Microsoft Xbox</t>
        </is>
      </c>
      <c r="C144" s="16" t="inlineStr">
        <is>
          <t>Xbox</t>
        </is>
      </c>
      <c r="D144" s="43" t="n">
        <v>18</v>
      </c>
      <c r="E144" s="40" t="inlineStr">
        <is>
          <t>Yes</t>
        </is>
      </c>
      <c r="G144" s="16" t="n"/>
      <c r="H144" s="9" t="inlineStr">
        <is>
          <t>MOD-000033</t>
        </is>
      </c>
      <c r="I144" s="37" t="inlineStr">
        <is>
          <t>MFG-001</t>
        </is>
      </c>
      <c r="J144" s="37" t="inlineStr">
        <is>
          <t>DF-001</t>
        </is>
      </c>
      <c r="K144" s="37" t="inlineStr">
        <is>
          <t>DT-001</t>
        </is>
      </c>
      <c r="L144" s="36" t="inlineStr">
        <is>
          <t>iPhone 13 Pro Max</t>
        </is>
      </c>
      <c r="M144" s="36" t="inlineStr">
        <is>
          <t>A2484</t>
        </is>
      </c>
      <c r="N144" s="35" t="n">
        <v>2021</v>
      </c>
      <c r="O144" s="94" t="n">
        <v>33</v>
      </c>
      <c r="P144" s="94" t="inlineStr">
        <is>
          <t>Yes</t>
        </is>
      </c>
    </row>
    <row r="145" ht="43" customHeight="1" s="125">
      <c r="A145" s="16" t="inlineStr">
        <is>
          <t>MFG-000019</t>
        </is>
      </c>
      <c r="B145" s="16" t="inlineStr">
        <is>
          <t>Meta</t>
        </is>
      </c>
      <c r="C145" s="16" t="inlineStr">
        <is>
          <t>Quest VR</t>
        </is>
      </c>
      <c r="D145" s="43" t="n">
        <v>19</v>
      </c>
      <c r="E145" s="40" t="inlineStr">
        <is>
          <t>Yes</t>
        </is>
      </c>
      <c r="G145" s="16" t="n"/>
      <c r="H145" s="9" t="inlineStr">
        <is>
          <t>MOD-000034</t>
        </is>
      </c>
      <c r="I145" s="37" t="inlineStr">
        <is>
          <t>MFG-001</t>
        </is>
      </c>
      <c r="J145" s="37" t="inlineStr">
        <is>
          <t>DF-001</t>
        </is>
      </c>
      <c r="K145" s="37" t="inlineStr">
        <is>
          <t>DT-001</t>
        </is>
      </c>
      <c r="L145" s="36" t="inlineStr">
        <is>
          <t>iPhone SE (3rd Generation)</t>
        </is>
      </c>
      <c r="M145" s="36" t="inlineStr">
        <is>
          <t>A2595</t>
        </is>
      </c>
      <c r="N145" s="35" t="n">
        <v>2022</v>
      </c>
      <c r="O145" s="94" t="n">
        <v>34</v>
      </c>
      <c r="P145" s="94" t="inlineStr">
        <is>
          <t>Yes</t>
        </is>
      </c>
    </row>
    <row r="146" ht="21.5" customHeight="1" s="125">
      <c r="A146" s="16" t="inlineStr">
        <is>
          <t>MFG-000020</t>
        </is>
      </c>
      <c r="B146" s="16" t="inlineStr">
        <is>
          <t>DJI</t>
        </is>
      </c>
      <c r="C146" s="16" t="inlineStr">
        <is>
          <t>Drones</t>
        </is>
      </c>
      <c r="D146" s="43" t="n">
        <v>20</v>
      </c>
      <c r="E146" s="40" t="inlineStr">
        <is>
          <t>Yes</t>
        </is>
      </c>
      <c r="F146" s="17" t="n"/>
      <c r="G146" s="16" t="n"/>
      <c r="H146" s="9" t="inlineStr">
        <is>
          <t>MOD-000035</t>
        </is>
      </c>
      <c r="I146" s="37" t="inlineStr">
        <is>
          <t>MFG-001</t>
        </is>
      </c>
      <c r="J146" s="37" t="inlineStr">
        <is>
          <t>DF-001</t>
        </is>
      </c>
      <c r="K146" s="37" t="inlineStr">
        <is>
          <t>DT-001</t>
        </is>
      </c>
      <c r="L146" s="36" t="inlineStr">
        <is>
          <t>iPhone 14</t>
        </is>
      </c>
      <c r="M146" s="36" t="inlineStr">
        <is>
          <t>A2649</t>
        </is>
      </c>
      <c r="N146" s="35" t="n">
        <v>2022</v>
      </c>
      <c r="O146" s="94" t="n">
        <v>35</v>
      </c>
      <c r="P146" s="94" t="inlineStr">
        <is>
          <t>Yes</t>
        </is>
      </c>
    </row>
    <row r="147" ht="21.5" customHeight="1" s="125">
      <c r="A147" s="16" t="n"/>
      <c r="B147" s="16" t="n"/>
      <c r="C147" s="16" t="n"/>
      <c r="D147" s="43" t="n"/>
      <c r="E147" s="40" t="n"/>
      <c r="F147" s="17" t="n"/>
      <c r="G147" s="16" t="n"/>
      <c r="H147" s="9" t="n"/>
      <c r="I147" s="37" t="n"/>
      <c r="J147" s="37" t="n"/>
      <c r="K147" s="37" t="n"/>
      <c r="L147" s="8" t="n"/>
      <c r="M147" s="8" t="n"/>
      <c r="N147" s="35" t="n"/>
      <c r="O147" s="94" t="n"/>
      <c r="P147" s="94" t="n"/>
    </row>
    <row r="148" ht="21.5" customHeight="1" s="125">
      <c r="A148" s="16" t="n"/>
      <c r="B148" s="16" t="n"/>
      <c r="C148" s="16" t="n"/>
      <c r="D148" s="43" t="n"/>
      <c r="E148" s="40" t="n"/>
      <c r="F148" s="17" t="n"/>
      <c r="G148" s="16" t="n"/>
      <c r="H148" s="9" t="n"/>
      <c r="I148" s="37" t="n"/>
      <c r="J148" s="37" t="n"/>
      <c r="K148" s="37" t="n"/>
      <c r="L148" s="8" t="n"/>
      <c r="M148" s="8" t="n"/>
      <c r="N148" s="35" t="n"/>
      <c r="O148" s="94" t="n"/>
      <c r="P148" s="94" t="n"/>
    </row>
    <row r="149" ht="21.5" customHeight="1" s="125">
      <c r="A149" s="17" t="n"/>
      <c r="B149" s="17" t="n"/>
      <c r="C149" s="17" t="n"/>
      <c r="D149" s="17" t="n"/>
      <c r="E149" s="39" t="n"/>
      <c r="F149" s="17" t="n"/>
      <c r="G149" s="16" t="n"/>
      <c r="H149" s="9" t="inlineStr">
        <is>
          <t>MOD-000036</t>
        </is>
      </c>
      <c r="I149" s="37" t="inlineStr">
        <is>
          <t>MFG-001</t>
        </is>
      </c>
      <c r="J149" s="37" t="inlineStr">
        <is>
          <t>DF-001</t>
        </is>
      </c>
      <c r="K149" s="37" t="inlineStr">
        <is>
          <t>DT-001</t>
        </is>
      </c>
      <c r="L149" s="36" t="inlineStr">
        <is>
          <t>iPhone 14 Plus</t>
        </is>
      </c>
      <c r="M149" s="36" t="inlineStr">
        <is>
          <t>A2632</t>
        </is>
      </c>
      <c r="N149" s="35" t="n">
        <v>2022</v>
      </c>
      <c r="O149" s="94" t="n">
        <v>36</v>
      </c>
      <c r="P149" s="94" t="inlineStr">
        <is>
          <t>Yes</t>
        </is>
      </c>
    </row>
    <row r="150" ht="21.5" customHeight="1" s="125">
      <c r="A150" s="42" t="inlineStr">
        <is>
          <t>tblDeviceFamilies</t>
        </is>
      </c>
      <c r="B150" s="17" t="n"/>
      <c r="C150" s="17" t="n"/>
      <c r="D150" s="17" t="n"/>
      <c r="E150" s="39" t="n"/>
      <c r="F150" s="17" t="n"/>
      <c r="G150" s="16" t="n"/>
      <c r="H150" s="9" t="inlineStr">
        <is>
          <t>MOD-000037</t>
        </is>
      </c>
      <c r="I150" s="37" t="inlineStr">
        <is>
          <t>MFG-001</t>
        </is>
      </c>
      <c r="J150" s="37" t="inlineStr">
        <is>
          <t>DF-001</t>
        </is>
      </c>
      <c r="K150" s="37" t="inlineStr">
        <is>
          <t>DT-001</t>
        </is>
      </c>
      <c r="L150" s="36" t="inlineStr">
        <is>
          <t>iPhone 14 Pro</t>
        </is>
      </c>
      <c r="M150" s="36" t="inlineStr">
        <is>
          <t>A2650</t>
        </is>
      </c>
      <c r="N150" s="35" t="n">
        <v>2022</v>
      </c>
      <c r="O150" s="94" t="n">
        <v>37</v>
      </c>
      <c r="P150" s="94" t="inlineStr">
        <is>
          <t>Yes</t>
        </is>
      </c>
    </row>
    <row r="151" ht="21.5" customHeight="1" s="125">
      <c r="A151" s="41" t="inlineStr">
        <is>
          <t>DeviceFamilyID</t>
        </is>
      </c>
      <c r="B151" s="41" t="inlineStr">
        <is>
          <t>Device Family</t>
        </is>
      </c>
      <c r="C151" s="41" t="inlineStr">
        <is>
          <t>Manufacturer</t>
        </is>
      </c>
      <c r="D151" s="44" t="inlineStr">
        <is>
          <t>Sort Order</t>
        </is>
      </c>
      <c r="E151" s="41" t="inlineStr">
        <is>
          <t>IsActive</t>
        </is>
      </c>
      <c r="F151" s="17" t="n"/>
      <c r="G151" s="16" t="n"/>
      <c r="H151" s="9" t="inlineStr">
        <is>
          <t>MOD-000038</t>
        </is>
      </c>
      <c r="I151" s="37" t="inlineStr">
        <is>
          <t>MFG-001</t>
        </is>
      </c>
      <c r="J151" s="37" t="inlineStr">
        <is>
          <t>DF-001</t>
        </is>
      </c>
      <c r="K151" s="37" t="inlineStr">
        <is>
          <t>DT-001</t>
        </is>
      </c>
      <c r="L151" s="36" t="inlineStr">
        <is>
          <t>iPhone 14 Pro Max</t>
        </is>
      </c>
      <c r="M151" s="36" t="inlineStr">
        <is>
          <t>A2651</t>
        </is>
      </c>
      <c r="N151" s="35" t="n">
        <v>2022</v>
      </c>
      <c r="O151" s="94" t="n">
        <v>38</v>
      </c>
      <c r="P151" s="94" t="inlineStr">
        <is>
          <t>Yes</t>
        </is>
      </c>
    </row>
    <row r="152" ht="21.5" customHeight="1" s="125">
      <c r="A152" s="16" t="inlineStr">
        <is>
          <t>DF-000001</t>
        </is>
      </c>
      <c r="B152" s="16" t="inlineStr">
        <is>
          <t>iPhone</t>
        </is>
      </c>
      <c r="C152" s="16" t="inlineStr">
        <is>
          <t>Apple</t>
        </is>
      </c>
      <c r="D152" s="43" t="n">
        <v>1</v>
      </c>
      <c r="E152" s="40" t="inlineStr">
        <is>
          <t>Yes</t>
        </is>
      </c>
      <c r="F152" s="17" t="n"/>
      <c r="G152" s="16" t="n"/>
      <c r="H152" s="9" t="inlineStr">
        <is>
          <t>MOD-000039</t>
        </is>
      </c>
      <c r="I152" s="37" t="inlineStr">
        <is>
          <t>MFG-001</t>
        </is>
      </c>
      <c r="J152" s="37" t="inlineStr">
        <is>
          <t>DF-001</t>
        </is>
      </c>
      <c r="K152" s="37" t="inlineStr">
        <is>
          <t>DT-001</t>
        </is>
      </c>
      <c r="L152" s="36" t="inlineStr">
        <is>
          <t>iPhone 15</t>
        </is>
      </c>
      <c r="M152" s="36" t="inlineStr">
        <is>
          <t>A2846</t>
        </is>
      </c>
      <c r="N152" s="35" t="n">
        <v>2023</v>
      </c>
      <c r="O152" s="94" t="n">
        <v>39</v>
      </c>
      <c r="P152" s="94" t="inlineStr">
        <is>
          <t>Yes</t>
        </is>
      </c>
    </row>
    <row r="153" ht="21.5" customHeight="1" s="125">
      <c r="A153" s="16" t="inlineStr">
        <is>
          <t>DF-000002</t>
        </is>
      </c>
      <c r="B153" s="16" t="inlineStr">
        <is>
          <t>iPad</t>
        </is>
      </c>
      <c r="C153" s="16" t="inlineStr">
        <is>
          <t>Apple</t>
        </is>
      </c>
      <c r="D153" s="43" t="n">
        <v>2</v>
      </c>
      <c r="E153" s="40" t="inlineStr">
        <is>
          <t>Yes</t>
        </is>
      </c>
      <c r="F153" s="17" t="n"/>
      <c r="G153" s="17" t="n"/>
      <c r="H153" s="9" t="inlineStr">
        <is>
          <t>MOD-000040</t>
        </is>
      </c>
      <c r="I153" s="37" t="inlineStr">
        <is>
          <t>MFG-001</t>
        </is>
      </c>
      <c r="J153" s="37" t="inlineStr">
        <is>
          <t>DF-001</t>
        </is>
      </c>
      <c r="K153" s="37" t="inlineStr">
        <is>
          <t>DT-001</t>
        </is>
      </c>
      <c r="L153" s="36" t="inlineStr">
        <is>
          <t>iPhone 15 Plus</t>
        </is>
      </c>
      <c r="M153" s="36" t="inlineStr">
        <is>
          <t>A2847</t>
        </is>
      </c>
      <c r="N153" s="35" t="n">
        <v>2023</v>
      </c>
      <c r="O153" s="94" t="n">
        <v>40</v>
      </c>
      <c r="P153" s="94" t="inlineStr">
        <is>
          <t>Yes</t>
        </is>
      </c>
    </row>
    <row r="154" ht="21.5" customHeight="1" s="125">
      <c r="A154" s="16" t="inlineStr">
        <is>
          <t>DF-000003</t>
        </is>
      </c>
      <c r="B154" s="16" t="inlineStr">
        <is>
          <t>MacBook</t>
        </is>
      </c>
      <c r="C154" s="16" t="inlineStr">
        <is>
          <t>Apple</t>
        </is>
      </c>
      <c r="D154" s="43" t="n">
        <v>3</v>
      </c>
      <c r="E154" s="40" t="inlineStr">
        <is>
          <t>Yes</t>
        </is>
      </c>
      <c r="F154" s="17" t="n"/>
      <c r="G154" s="17" t="n"/>
      <c r="H154" s="9" t="inlineStr">
        <is>
          <t>MOD-000041</t>
        </is>
      </c>
      <c r="I154" s="37" t="inlineStr">
        <is>
          <t>MFG-001</t>
        </is>
      </c>
      <c r="J154" s="37" t="inlineStr">
        <is>
          <t>DF-001</t>
        </is>
      </c>
      <c r="K154" s="37" t="inlineStr">
        <is>
          <t>DT-001</t>
        </is>
      </c>
      <c r="L154" s="36" t="inlineStr">
        <is>
          <t>iPhone 15 Pro</t>
        </is>
      </c>
      <c r="M154" s="36" t="inlineStr">
        <is>
          <t>A2848</t>
        </is>
      </c>
      <c r="N154" s="35" t="n">
        <v>2023</v>
      </c>
      <c r="O154" s="94" t="n">
        <v>41</v>
      </c>
      <c r="P154" s="94" t="inlineStr">
        <is>
          <t>Yes</t>
        </is>
      </c>
    </row>
    <row r="155" ht="21.5" customHeight="1" s="125">
      <c r="A155" s="16" t="inlineStr">
        <is>
          <t>DF-000004</t>
        </is>
      </c>
      <c r="B155" s="16" t="inlineStr">
        <is>
          <t>Galaxy S</t>
        </is>
      </c>
      <c r="C155" s="16" t="inlineStr">
        <is>
          <t>Samsung</t>
        </is>
      </c>
      <c r="D155" s="43" t="n">
        <v>4</v>
      </c>
      <c r="E155" s="40" t="inlineStr">
        <is>
          <t>Yes</t>
        </is>
      </c>
      <c r="F155" s="17" t="n"/>
      <c r="G155" s="17" t="n"/>
      <c r="H155" s="9" t="inlineStr">
        <is>
          <t>MOD-000042</t>
        </is>
      </c>
      <c r="I155" s="37" t="inlineStr">
        <is>
          <t>MFG-001</t>
        </is>
      </c>
      <c r="J155" s="37" t="inlineStr">
        <is>
          <t>DF-001</t>
        </is>
      </c>
      <c r="K155" s="37" t="inlineStr">
        <is>
          <t>DT-001</t>
        </is>
      </c>
      <c r="L155" s="36" t="inlineStr">
        <is>
          <t>iPhone 15 Pro Max</t>
        </is>
      </c>
      <c r="M155" s="36" t="inlineStr">
        <is>
          <t>A2849</t>
        </is>
      </c>
      <c r="N155" s="35" t="n">
        <v>2023</v>
      </c>
      <c r="O155" s="94" t="n">
        <v>42</v>
      </c>
      <c r="P155" s="94" t="inlineStr">
        <is>
          <t>Yes</t>
        </is>
      </c>
    </row>
    <row r="156" ht="21.5" customHeight="1" s="125">
      <c r="A156" s="16" t="inlineStr">
        <is>
          <t>DF-000005</t>
        </is>
      </c>
      <c r="B156" s="16" t="inlineStr">
        <is>
          <t>Galaxy Note</t>
        </is>
      </c>
      <c r="C156" s="16" t="inlineStr">
        <is>
          <t>Samsung</t>
        </is>
      </c>
      <c r="D156" s="43" t="n">
        <v>5</v>
      </c>
      <c r="E156" s="40" t="inlineStr">
        <is>
          <t>Yes</t>
        </is>
      </c>
      <c r="F156" s="17" t="n"/>
      <c r="G156" s="17" t="n"/>
      <c r="H156" s="9" t="inlineStr">
        <is>
          <t>MOD-000043</t>
        </is>
      </c>
      <c r="I156" s="37" t="inlineStr">
        <is>
          <t>MFG-001</t>
        </is>
      </c>
      <c r="J156" s="37" t="inlineStr">
        <is>
          <t>DF-001</t>
        </is>
      </c>
      <c r="K156" s="37" t="inlineStr">
        <is>
          <t>DT-001</t>
        </is>
      </c>
      <c r="L156" s="36" t="inlineStr">
        <is>
          <t>iPhone 16</t>
        </is>
      </c>
      <c r="M156" s="36" t="inlineStr">
        <is>
          <t>A3287</t>
        </is>
      </c>
      <c r="N156" s="35" t="n">
        <v>2024</v>
      </c>
      <c r="O156" s="94" t="n">
        <v>43</v>
      </c>
      <c r="P156" s="94" t="inlineStr">
        <is>
          <t>Yes</t>
        </is>
      </c>
    </row>
    <row r="157" ht="21.5" customHeight="1" s="125">
      <c r="A157" s="16" t="inlineStr">
        <is>
          <t>DF-000006</t>
        </is>
      </c>
      <c r="B157" s="16" t="inlineStr">
        <is>
          <t>Galaxy A</t>
        </is>
      </c>
      <c r="C157" s="16" t="inlineStr">
        <is>
          <t>Samsung</t>
        </is>
      </c>
      <c r="D157" s="43" t="n">
        <v>6</v>
      </c>
      <c r="E157" s="40" t="inlineStr">
        <is>
          <t>Yes</t>
        </is>
      </c>
      <c r="F157" s="17" t="n"/>
      <c r="G157" s="17" t="n"/>
      <c r="H157" s="9" t="inlineStr">
        <is>
          <t>MOD-000044</t>
        </is>
      </c>
      <c r="I157" s="37" t="inlineStr">
        <is>
          <t>MFG-001</t>
        </is>
      </c>
      <c r="J157" s="37" t="inlineStr">
        <is>
          <t>DF-001</t>
        </is>
      </c>
      <c r="K157" s="37" t="inlineStr">
        <is>
          <t>DT-001</t>
        </is>
      </c>
      <c r="L157" s="36" t="inlineStr">
        <is>
          <t>iPhone 16 Plus</t>
        </is>
      </c>
      <c r="M157" s="36" t="inlineStr">
        <is>
          <t>A3288</t>
        </is>
      </c>
      <c r="N157" s="35" t="n">
        <v>2024</v>
      </c>
      <c r="O157" s="94" t="n">
        <v>44</v>
      </c>
      <c r="P157" s="94" t="inlineStr">
        <is>
          <t>Yes</t>
        </is>
      </c>
    </row>
    <row r="158" ht="21.5" customHeight="1" s="125">
      <c r="A158" s="16" t="inlineStr">
        <is>
          <t>DF-000007</t>
        </is>
      </c>
      <c r="B158" s="16" t="inlineStr">
        <is>
          <t>Pixel</t>
        </is>
      </c>
      <c r="C158" s="16" t="inlineStr">
        <is>
          <t>Google</t>
        </is>
      </c>
      <c r="D158" s="43" t="n">
        <v>7</v>
      </c>
      <c r="E158" s="40" t="inlineStr">
        <is>
          <t>Yes</t>
        </is>
      </c>
      <c r="H158" s="9" t="inlineStr">
        <is>
          <t>MOD-000045</t>
        </is>
      </c>
      <c r="I158" s="37" t="inlineStr">
        <is>
          <t>MFG-001</t>
        </is>
      </c>
      <c r="J158" s="37" t="inlineStr">
        <is>
          <t>DF-001</t>
        </is>
      </c>
      <c r="K158" s="37" t="inlineStr">
        <is>
          <t>DT-001</t>
        </is>
      </c>
      <c r="L158" s="36" t="inlineStr">
        <is>
          <t>iPhone 16 Pro</t>
        </is>
      </c>
      <c r="M158" s="36" t="inlineStr">
        <is>
          <t>A3293</t>
        </is>
      </c>
      <c r="N158" s="35" t="n">
        <v>2024</v>
      </c>
      <c r="O158" s="94" t="n">
        <v>45</v>
      </c>
      <c r="P158" s="94" t="inlineStr">
        <is>
          <t>Yes</t>
        </is>
      </c>
    </row>
    <row r="159" ht="21.5" customHeight="1" s="125">
      <c r="A159" s="16" t="inlineStr">
        <is>
          <t>DF-000008</t>
        </is>
      </c>
      <c r="B159" s="16" t="inlineStr">
        <is>
          <t>Surface</t>
        </is>
      </c>
      <c r="C159" s="16" t="inlineStr">
        <is>
          <t>Microsoft</t>
        </is>
      </c>
      <c r="D159" s="43" t="n">
        <v>8</v>
      </c>
      <c r="E159" s="40" t="inlineStr">
        <is>
          <t>Yes</t>
        </is>
      </c>
      <c r="H159" s="9" t="inlineStr">
        <is>
          <t>MOD-000046</t>
        </is>
      </c>
      <c r="I159" s="37" t="inlineStr">
        <is>
          <t>MFG-001</t>
        </is>
      </c>
      <c r="J159" s="37" t="inlineStr">
        <is>
          <t>DF-001</t>
        </is>
      </c>
      <c r="K159" s="37" t="inlineStr">
        <is>
          <t>DT-001</t>
        </is>
      </c>
      <c r="L159" s="36" t="inlineStr">
        <is>
          <t>iPhone 16 Pro Max</t>
        </is>
      </c>
      <c r="M159" s="36" t="inlineStr">
        <is>
          <t>A3295</t>
        </is>
      </c>
      <c r="N159" s="35" t="n">
        <v>2024</v>
      </c>
      <c r="O159" s="94" t="n">
        <v>46</v>
      </c>
      <c r="P159" s="94" t="inlineStr">
        <is>
          <t>Yes</t>
        </is>
      </c>
    </row>
    <row r="160" ht="21.5" customHeight="1" s="125">
      <c r="A160" s="16" t="inlineStr">
        <is>
          <t>DF-000009</t>
        </is>
      </c>
      <c r="B160" s="16" t="inlineStr">
        <is>
          <t>Inspiron</t>
        </is>
      </c>
      <c r="C160" s="16" t="inlineStr">
        <is>
          <t>Dell</t>
        </is>
      </c>
      <c r="D160" s="43" t="n">
        <v>9</v>
      </c>
      <c r="E160" s="40" t="inlineStr">
        <is>
          <t>Yes</t>
        </is>
      </c>
      <c r="H160" s="9" t="inlineStr">
        <is>
          <t>MOD-000047</t>
        </is>
      </c>
      <c r="I160" s="37" t="inlineStr">
        <is>
          <t>MFG-001</t>
        </is>
      </c>
      <c r="J160" s="37" t="inlineStr">
        <is>
          <t>DF-001</t>
        </is>
      </c>
      <c r="K160" s="37" t="inlineStr">
        <is>
          <t>DT-001</t>
        </is>
      </c>
      <c r="L160" s="36" t="inlineStr">
        <is>
          <t>iPhone 16e</t>
        </is>
      </c>
      <c r="M160" s="36" t="inlineStr">
        <is>
          <t>A3409</t>
        </is>
      </c>
      <c r="N160" s="35" t="n">
        <v>2025</v>
      </c>
      <c r="O160" s="94" t="n">
        <v>47</v>
      </c>
      <c r="P160" s="94" t="inlineStr">
        <is>
          <t>Yes</t>
        </is>
      </c>
    </row>
    <row r="161" ht="43" customHeight="1" s="125">
      <c r="A161" s="16" t="inlineStr">
        <is>
          <t>DF-000010</t>
        </is>
      </c>
      <c r="B161" s="16" t="inlineStr">
        <is>
          <t>Latitude</t>
        </is>
      </c>
      <c r="C161" s="16" t="inlineStr">
        <is>
          <t>Dell</t>
        </is>
      </c>
      <c r="D161" s="43" t="n">
        <v>10</v>
      </c>
      <c r="E161" s="40" t="inlineStr">
        <is>
          <t>Yes</t>
        </is>
      </c>
      <c r="H161" s="9" t="inlineStr">
        <is>
          <t>MOD-000048</t>
        </is>
      </c>
      <c r="I161" s="37" t="inlineStr">
        <is>
          <t>MFG-001</t>
        </is>
      </c>
      <c r="J161" s="37" t="inlineStr">
        <is>
          <t>DF-002</t>
        </is>
      </c>
      <c r="K161" s="37" t="inlineStr">
        <is>
          <t>DT-002</t>
        </is>
      </c>
      <c r="L161" s="36" t="inlineStr">
        <is>
          <t>iPad (1st Generation)</t>
        </is>
      </c>
      <c r="M161" s="36" t="inlineStr">
        <is>
          <t>A1219</t>
        </is>
      </c>
      <c r="N161" s="35" t="n">
        <v>2010</v>
      </c>
      <c r="O161" s="94" t="n">
        <v>48</v>
      </c>
      <c r="P161" s="94" t="inlineStr">
        <is>
          <t>Yes</t>
        </is>
      </c>
    </row>
    <row r="162" ht="21.5" customHeight="1" s="125">
      <c r="A162" s="16" t="inlineStr">
        <is>
          <t>DF-000011</t>
        </is>
      </c>
      <c r="B162" s="16" t="inlineStr">
        <is>
          <t>PlayStation</t>
        </is>
      </c>
      <c r="C162" s="16" t="inlineStr">
        <is>
          <t>Sony</t>
        </is>
      </c>
      <c r="D162" s="43" t="n">
        <v>11</v>
      </c>
      <c r="E162" s="40" t="inlineStr">
        <is>
          <t>Yes</t>
        </is>
      </c>
      <c r="H162" s="9" t="inlineStr">
        <is>
          <t>MOD-000049</t>
        </is>
      </c>
      <c r="I162" s="37" t="inlineStr">
        <is>
          <t>MFG-001</t>
        </is>
      </c>
      <c r="J162" s="37" t="inlineStr">
        <is>
          <t>DF-002</t>
        </is>
      </c>
      <c r="K162" s="37" t="inlineStr">
        <is>
          <t>DT-002</t>
        </is>
      </c>
      <c r="L162" s="36" t="inlineStr">
        <is>
          <t>iPad 2</t>
        </is>
      </c>
      <c r="M162" s="36" t="inlineStr">
        <is>
          <t>A1395</t>
        </is>
      </c>
      <c r="N162" s="35" t="n">
        <v>2011</v>
      </c>
      <c r="O162" s="94" t="n">
        <v>49</v>
      </c>
      <c r="P162" s="94" t="inlineStr">
        <is>
          <t>Yes</t>
        </is>
      </c>
    </row>
    <row r="163" ht="43" customHeight="1" s="125">
      <c r="A163" s="16" t="inlineStr">
        <is>
          <t>DF-000012</t>
        </is>
      </c>
      <c r="B163" s="16" t="inlineStr">
        <is>
          <t>Xbox</t>
        </is>
      </c>
      <c r="C163" s="16" t="inlineStr">
        <is>
          <t>Microsoft</t>
        </is>
      </c>
      <c r="D163" s="43" t="n">
        <v>12</v>
      </c>
      <c r="E163" s="40" t="inlineStr">
        <is>
          <t>Yes</t>
        </is>
      </c>
      <c r="H163" s="9" t="inlineStr">
        <is>
          <t>MOD-000050</t>
        </is>
      </c>
      <c r="I163" s="37" t="inlineStr">
        <is>
          <t>MFG-001</t>
        </is>
      </c>
      <c r="J163" s="37" t="inlineStr">
        <is>
          <t>DF-002</t>
        </is>
      </c>
      <c r="K163" s="37" t="inlineStr">
        <is>
          <t>DT-002</t>
        </is>
      </c>
      <c r="L163" s="36" t="inlineStr">
        <is>
          <t>iPad (3rd Generation)</t>
        </is>
      </c>
      <c r="M163" s="36" t="inlineStr">
        <is>
          <t>A1416</t>
        </is>
      </c>
      <c r="N163" s="35" t="n">
        <v>2012</v>
      </c>
      <c r="O163" s="94" t="n">
        <v>50</v>
      </c>
      <c r="P163" s="94" t="inlineStr">
        <is>
          <t>Yes</t>
        </is>
      </c>
    </row>
    <row r="164" ht="43" customHeight="1" s="125">
      <c r="A164" s="16" t="inlineStr">
        <is>
          <t>DF-000013</t>
        </is>
      </c>
      <c r="B164" s="16" t="inlineStr">
        <is>
          <t>Switch</t>
        </is>
      </c>
      <c r="C164" s="16" t="inlineStr">
        <is>
          <t>Nintendo</t>
        </is>
      </c>
      <c r="D164" s="43" t="n">
        <v>13</v>
      </c>
      <c r="E164" s="40" t="inlineStr">
        <is>
          <t>Yes</t>
        </is>
      </c>
      <c r="H164" s="9" t="inlineStr">
        <is>
          <t>MOD-000051</t>
        </is>
      </c>
      <c r="I164" s="37" t="inlineStr">
        <is>
          <t>MFG-001</t>
        </is>
      </c>
      <c r="J164" s="37" t="inlineStr">
        <is>
          <t>DF-002</t>
        </is>
      </c>
      <c r="K164" s="37" t="inlineStr">
        <is>
          <t>DT-002</t>
        </is>
      </c>
      <c r="L164" s="36" t="inlineStr">
        <is>
          <t>iPad (4th Generation)</t>
        </is>
      </c>
      <c r="M164" s="36" t="inlineStr">
        <is>
          <t>A1458</t>
        </is>
      </c>
      <c r="N164" s="35" t="n">
        <v>2012</v>
      </c>
      <c r="O164" s="94" t="n">
        <v>51</v>
      </c>
      <c r="P164" s="94" t="inlineStr">
        <is>
          <t>Yes</t>
        </is>
      </c>
    </row>
    <row r="165" ht="43" customHeight="1" s="125">
      <c r="A165" s="16" t="n"/>
      <c r="B165" s="16" t="n"/>
      <c r="C165" s="16" t="n"/>
      <c r="D165" s="43" t="n"/>
      <c r="E165" s="40" t="n"/>
      <c r="H165" s="9" t="inlineStr">
        <is>
          <t>MOD-000052</t>
        </is>
      </c>
      <c r="I165" s="37" t="inlineStr">
        <is>
          <t>MFG-001</t>
        </is>
      </c>
      <c r="J165" s="37" t="inlineStr">
        <is>
          <t>DF-002</t>
        </is>
      </c>
      <c r="K165" s="37" t="inlineStr">
        <is>
          <t>DT-002</t>
        </is>
      </c>
      <c r="L165" s="36" t="inlineStr">
        <is>
          <t>iPad (5th Generation)</t>
        </is>
      </c>
      <c r="M165" s="36" t="inlineStr">
        <is>
          <t>A1822</t>
        </is>
      </c>
      <c r="N165" s="35" t="n">
        <v>2017</v>
      </c>
      <c r="O165" s="94" t="n">
        <v>52</v>
      </c>
      <c r="P165" s="94" t="inlineStr">
        <is>
          <t>Yes</t>
        </is>
      </c>
    </row>
    <row r="166" ht="43" customHeight="1" s="125">
      <c r="A166" s="3" t="inlineStr">
        <is>
          <t>tblDeviceColors</t>
        </is>
      </c>
      <c r="H166" s="9" t="inlineStr">
        <is>
          <t>MOD-000053</t>
        </is>
      </c>
      <c r="I166" s="37" t="inlineStr">
        <is>
          <t>MFG-001</t>
        </is>
      </c>
      <c r="J166" s="37" t="inlineStr">
        <is>
          <t>DF-002</t>
        </is>
      </c>
      <c r="K166" s="37" t="inlineStr">
        <is>
          <t>DT-002</t>
        </is>
      </c>
      <c r="L166" s="36" t="inlineStr">
        <is>
          <t>iPad (6th Generation)</t>
        </is>
      </c>
      <c r="M166" s="36" t="inlineStr">
        <is>
          <t>A1893</t>
        </is>
      </c>
      <c r="N166" s="35" t="n">
        <v>2018</v>
      </c>
      <c r="O166" s="94" t="n">
        <v>53</v>
      </c>
      <c r="P166" s="94" t="inlineStr">
        <is>
          <t>Yes</t>
        </is>
      </c>
    </row>
    <row r="167" ht="43" customHeight="1" s="125">
      <c r="A167" s="6" t="inlineStr">
        <is>
          <t>ID</t>
        </is>
      </c>
      <c r="B167" s="6" t="inlineStr">
        <is>
          <t>Name</t>
        </is>
      </c>
      <c r="C167" s="6" t="inlineStr">
        <is>
          <t>Description</t>
        </is>
      </c>
      <c r="D167" s="6" t="inlineStr">
        <is>
          <t>DisplayOrder</t>
        </is>
      </c>
      <c r="E167" s="6" t="inlineStr">
        <is>
          <t>Active</t>
        </is>
      </c>
      <c r="H167" s="9" t="inlineStr">
        <is>
          <t>MOD-000054</t>
        </is>
      </c>
      <c r="I167" s="37" t="inlineStr">
        <is>
          <t>MFG-001</t>
        </is>
      </c>
      <c r="J167" s="37" t="inlineStr">
        <is>
          <t>DF-002</t>
        </is>
      </c>
      <c r="K167" s="37" t="inlineStr">
        <is>
          <t>DT-002</t>
        </is>
      </c>
      <c r="L167" s="36" t="inlineStr">
        <is>
          <t>iPad (7th Generation)</t>
        </is>
      </c>
      <c r="M167" s="36" t="inlineStr">
        <is>
          <t>A2197</t>
        </is>
      </c>
      <c r="N167" s="35" t="n">
        <v>2019</v>
      </c>
      <c r="O167" s="94" t="n">
        <v>54</v>
      </c>
      <c r="P167" s="94" t="inlineStr">
        <is>
          <t>Yes</t>
        </is>
      </c>
    </row>
    <row r="168" ht="43" customHeight="1" s="125">
      <c r="A168" s="94" t="inlineStr">
        <is>
          <t>CLR-000001</t>
        </is>
      </c>
      <c r="B168" s="94" t="inlineStr">
        <is>
          <t>Black</t>
        </is>
      </c>
      <c r="C168" s="94" t="inlineStr">
        <is>
          <t>Black</t>
        </is>
      </c>
      <c r="D168" s="94" t="n">
        <v>1</v>
      </c>
      <c r="E168" s="94" t="b">
        <v>1</v>
      </c>
      <c r="H168" s="9" t="inlineStr">
        <is>
          <t>MOD-000055</t>
        </is>
      </c>
      <c r="I168" s="37" t="inlineStr">
        <is>
          <t>MFG-001</t>
        </is>
      </c>
      <c r="J168" s="37" t="inlineStr">
        <is>
          <t>DF-002</t>
        </is>
      </c>
      <c r="K168" s="37" t="inlineStr">
        <is>
          <t>DT-002</t>
        </is>
      </c>
      <c r="L168" s="36" t="inlineStr">
        <is>
          <t>iPad (8th Generation)</t>
        </is>
      </c>
      <c r="M168" s="36" t="inlineStr">
        <is>
          <t>A2270</t>
        </is>
      </c>
      <c r="N168" s="35" t="n">
        <v>2020</v>
      </c>
      <c r="O168" s="94" t="n">
        <v>55</v>
      </c>
      <c r="P168" s="94" t="inlineStr">
        <is>
          <t>Yes</t>
        </is>
      </c>
    </row>
    <row r="169" ht="43" customHeight="1" s="125">
      <c r="A169" s="94" t="inlineStr">
        <is>
          <t>CLR-000002</t>
        </is>
      </c>
      <c r="B169" s="94" t="inlineStr">
        <is>
          <t>White</t>
        </is>
      </c>
      <c r="C169" s="94" t="inlineStr">
        <is>
          <t>White</t>
        </is>
      </c>
      <c r="D169" s="94" t="n">
        <v>2</v>
      </c>
      <c r="E169" s="94" t="b">
        <v>1</v>
      </c>
      <c r="H169" s="9" t="inlineStr">
        <is>
          <t>MOD-000056</t>
        </is>
      </c>
      <c r="I169" s="37" t="inlineStr">
        <is>
          <t>MFG-001</t>
        </is>
      </c>
      <c r="J169" s="37" t="inlineStr">
        <is>
          <t>DF-002</t>
        </is>
      </c>
      <c r="K169" s="37" t="inlineStr">
        <is>
          <t>DT-002</t>
        </is>
      </c>
      <c r="L169" s="36" t="inlineStr">
        <is>
          <t>iPad (9th Generation)</t>
        </is>
      </c>
      <c r="M169" s="36" t="inlineStr">
        <is>
          <t>A2602</t>
        </is>
      </c>
      <c r="N169" s="35" t="n">
        <v>2021</v>
      </c>
      <c r="O169" s="94" t="n">
        <v>56</v>
      </c>
      <c r="P169" s="94" t="inlineStr">
        <is>
          <t>Yes</t>
        </is>
      </c>
    </row>
    <row r="170" ht="43" customHeight="1" s="125">
      <c r="A170" s="94" t="inlineStr">
        <is>
          <t>CLR-000003</t>
        </is>
      </c>
      <c r="B170" s="94" t="inlineStr">
        <is>
          <t>Midnight</t>
        </is>
      </c>
      <c r="C170" s="94" t="inlineStr">
        <is>
          <t>Midnight</t>
        </is>
      </c>
      <c r="D170" s="94" t="n">
        <v>3</v>
      </c>
      <c r="E170" s="94" t="b">
        <v>1</v>
      </c>
      <c r="H170" s="9" t="inlineStr">
        <is>
          <t>MOD-000057</t>
        </is>
      </c>
      <c r="I170" s="37" t="inlineStr">
        <is>
          <t>MFG-001</t>
        </is>
      </c>
      <c r="J170" s="37" t="inlineStr">
        <is>
          <t>DF-002</t>
        </is>
      </c>
      <c r="K170" s="37" t="inlineStr">
        <is>
          <t>DT-002</t>
        </is>
      </c>
      <c r="L170" s="36" t="inlineStr">
        <is>
          <t>iPad (10th Generation)</t>
        </is>
      </c>
      <c r="M170" s="36" t="inlineStr">
        <is>
          <t>A2696</t>
        </is>
      </c>
      <c r="N170" s="35" t="n">
        <v>2022</v>
      </c>
      <c r="O170" s="94" t="n">
        <v>57</v>
      </c>
      <c r="P170" s="94" t="inlineStr">
        <is>
          <t>Yes</t>
        </is>
      </c>
    </row>
    <row r="171" ht="21.5" customHeight="1" s="125">
      <c r="A171" s="94" t="inlineStr">
        <is>
          <t>CLR-000004</t>
        </is>
      </c>
      <c r="B171" s="94" t="inlineStr">
        <is>
          <t>Space Black</t>
        </is>
      </c>
      <c r="C171" s="94" t="inlineStr">
        <is>
          <t>Space Black</t>
        </is>
      </c>
      <c r="D171" s="94" t="n">
        <v>4</v>
      </c>
      <c r="E171" s="94" t="b">
        <v>1</v>
      </c>
      <c r="H171" s="9" t="inlineStr">
        <is>
          <t>MOD-000058</t>
        </is>
      </c>
      <c r="I171" s="37" t="inlineStr">
        <is>
          <t>MFG-001</t>
        </is>
      </c>
      <c r="J171" s="37" t="inlineStr">
        <is>
          <t>DF-004</t>
        </is>
      </c>
      <c r="K171" s="37" t="inlineStr">
        <is>
          <t>DT-002</t>
        </is>
      </c>
      <c r="L171" s="36" t="inlineStr">
        <is>
          <t>iPad mini</t>
        </is>
      </c>
      <c r="M171" s="36" t="inlineStr">
        <is>
          <t>A1432</t>
        </is>
      </c>
      <c r="N171" s="35" t="n">
        <v>2012</v>
      </c>
      <c r="O171" s="94" t="n">
        <v>58</v>
      </c>
      <c r="P171" s="94" t="inlineStr">
        <is>
          <t>Yes</t>
        </is>
      </c>
    </row>
    <row r="172" ht="21.5" customHeight="1" s="125">
      <c r="A172" s="94" t="inlineStr">
        <is>
          <t>CLR-000005</t>
        </is>
      </c>
      <c r="B172" s="94" t="inlineStr">
        <is>
          <t>Space Gray</t>
        </is>
      </c>
      <c r="C172" s="94" t="inlineStr">
        <is>
          <t>Space Gray</t>
        </is>
      </c>
      <c r="D172" s="94" t="n">
        <v>5</v>
      </c>
      <c r="E172" s="94" t="b">
        <v>1</v>
      </c>
      <c r="H172" s="9" t="inlineStr">
        <is>
          <t>MOD-000059</t>
        </is>
      </c>
      <c r="I172" s="37" t="inlineStr">
        <is>
          <t>MFG-001</t>
        </is>
      </c>
      <c r="J172" s="37" t="inlineStr">
        <is>
          <t>DF-004</t>
        </is>
      </c>
      <c r="K172" s="37" t="inlineStr">
        <is>
          <t>DT-002</t>
        </is>
      </c>
      <c r="L172" s="36" t="inlineStr">
        <is>
          <t>iPad mini 2</t>
        </is>
      </c>
      <c r="M172" s="36" t="inlineStr">
        <is>
          <t>A1489</t>
        </is>
      </c>
      <c r="N172" s="35" t="n">
        <v>2013</v>
      </c>
      <c r="O172" s="94" t="n">
        <v>59</v>
      </c>
      <c r="P172" s="94" t="inlineStr">
        <is>
          <t>Yes</t>
        </is>
      </c>
    </row>
    <row r="173" ht="21.5" customHeight="1" s="125">
      <c r="A173" s="94" t="inlineStr">
        <is>
          <t>CLR-000006</t>
        </is>
      </c>
      <c r="B173" s="94" t="inlineStr">
        <is>
          <t>Silver</t>
        </is>
      </c>
      <c r="C173" s="94" t="inlineStr">
        <is>
          <t>Silver</t>
        </is>
      </c>
      <c r="D173" s="94" t="n">
        <v>6</v>
      </c>
      <c r="E173" s="94" t="b">
        <v>1</v>
      </c>
      <c r="H173" s="9" t="inlineStr">
        <is>
          <t>MOD-000060</t>
        </is>
      </c>
      <c r="I173" s="37" t="inlineStr">
        <is>
          <t>MFG-001</t>
        </is>
      </c>
      <c r="J173" s="37" t="inlineStr">
        <is>
          <t>DF-004</t>
        </is>
      </c>
      <c r="K173" s="37" t="inlineStr">
        <is>
          <t>DT-002</t>
        </is>
      </c>
      <c r="L173" s="36" t="inlineStr">
        <is>
          <t>iPad mini 3</t>
        </is>
      </c>
      <c r="M173" s="36" t="inlineStr">
        <is>
          <t>A1599</t>
        </is>
      </c>
      <c r="N173" s="35" t="n">
        <v>2014</v>
      </c>
      <c r="O173" s="94" t="n">
        <v>60</v>
      </c>
      <c r="P173" s="94" t="inlineStr">
        <is>
          <t>Yes</t>
        </is>
      </c>
    </row>
    <row r="174" ht="21.5" customHeight="1" s="125">
      <c r="A174" s="94" t="inlineStr">
        <is>
          <t>CLR-000007</t>
        </is>
      </c>
      <c r="B174" s="94" t="inlineStr">
        <is>
          <t>Gold</t>
        </is>
      </c>
      <c r="C174" s="94" t="inlineStr">
        <is>
          <t>Gold</t>
        </is>
      </c>
      <c r="D174" s="94" t="n">
        <v>7</v>
      </c>
      <c r="E174" s="94" t="b">
        <v>1</v>
      </c>
      <c r="H174" s="9" t="inlineStr">
        <is>
          <t>MOD-000061</t>
        </is>
      </c>
      <c r="I174" s="37" t="inlineStr">
        <is>
          <t>MFG-001</t>
        </is>
      </c>
      <c r="J174" s="37" t="inlineStr">
        <is>
          <t>DF-004</t>
        </is>
      </c>
      <c r="K174" s="37" t="inlineStr">
        <is>
          <t>DT-002</t>
        </is>
      </c>
      <c r="L174" s="36" t="inlineStr">
        <is>
          <t>iPad mini 4</t>
        </is>
      </c>
      <c r="M174" s="36" t="inlineStr">
        <is>
          <t>A1538</t>
        </is>
      </c>
      <c r="N174" s="35" t="n">
        <v>2015</v>
      </c>
      <c r="O174" s="94" t="n">
        <v>61</v>
      </c>
      <c r="P174" s="94" t="inlineStr">
        <is>
          <t>Yes</t>
        </is>
      </c>
    </row>
    <row r="175" ht="43" customHeight="1" s="125">
      <c r="A175" s="94" t="inlineStr">
        <is>
          <t>CLR-000008</t>
        </is>
      </c>
      <c r="B175" s="94" t="inlineStr">
        <is>
          <t>Rose Gold</t>
        </is>
      </c>
      <c r="C175" s="94" t="inlineStr">
        <is>
          <t>Rose Gold</t>
        </is>
      </c>
      <c r="D175" s="94" t="n">
        <v>8</v>
      </c>
      <c r="E175" s="94" t="b">
        <v>1</v>
      </c>
      <c r="H175" s="9" t="inlineStr">
        <is>
          <t>MOD-000062</t>
        </is>
      </c>
      <c r="I175" s="37" t="inlineStr">
        <is>
          <t>MFG-001</t>
        </is>
      </c>
      <c r="J175" s="37" t="inlineStr">
        <is>
          <t>DF-004</t>
        </is>
      </c>
      <c r="K175" s="37" t="inlineStr">
        <is>
          <t>DT-002</t>
        </is>
      </c>
      <c r="L175" s="36" t="inlineStr">
        <is>
          <t>iPad mini (5th Generation)</t>
        </is>
      </c>
      <c r="M175" s="36" t="inlineStr">
        <is>
          <t>A2133</t>
        </is>
      </c>
      <c r="N175" s="35" t="n">
        <v>2019</v>
      </c>
      <c r="O175" s="94" t="n">
        <v>62</v>
      </c>
      <c r="P175" s="94" t="inlineStr">
        <is>
          <t>Yes</t>
        </is>
      </c>
    </row>
    <row r="176" ht="43" customHeight="1" s="125">
      <c r="A176" s="94" t="inlineStr">
        <is>
          <t>CLR-000009</t>
        </is>
      </c>
      <c r="B176" s="94" t="inlineStr">
        <is>
          <t>Sierra Blue</t>
        </is>
      </c>
      <c r="C176" s="94" t="inlineStr">
        <is>
          <t>Sierra Blue</t>
        </is>
      </c>
      <c r="D176" s="94" t="n">
        <v>9</v>
      </c>
      <c r="E176" s="94" t="b">
        <v>1</v>
      </c>
      <c r="H176" s="9" t="inlineStr">
        <is>
          <t>MOD-000063</t>
        </is>
      </c>
      <c r="I176" s="37" t="inlineStr">
        <is>
          <t>MFG-001</t>
        </is>
      </c>
      <c r="J176" s="37" t="inlineStr">
        <is>
          <t>DF-004</t>
        </is>
      </c>
      <c r="K176" s="37" t="inlineStr">
        <is>
          <t>DT-002</t>
        </is>
      </c>
      <c r="L176" s="36" t="inlineStr">
        <is>
          <t>iPad mini (6th Generation)</t>
        </is>
      </c>
      <c r="M176" s="36" t="inlineStr">
        <is>
          <t>A2567</t>
        </is>
      </c>
      <c r="N176" s="35" t="n">
        <v>2021</v>
      </c>
      <c r="O176" s="94" t="n">
        <v>63</v>
      </c>
      <c r="P176" s="94" t="inlineStr">
        <is>
          <t>Yes</t>
        </is>
      </c>
    </row>
    <row r="177" ht="21.5" customHeight="1" s="125">
      <c r="A177" s="94" t="inlineStr">
        <is>
          <t>CLR-000010</t>
        </is>
      </c>
      <c r="B177" s="94" t="inlineStr">
        <is>
          <t>Pacific Blue</t>
        </is>
      </c>
      <c r="C177" s="94" t="inlineStr">
        <is>
          <t>Pacific Blue</t>
        </is>
      </c>
      <c r="D177" s="94" t="n">
        <v>10</v>
      </c>
      <c r="E177" s="94" t="b">
        <v>1</v>
      </c>
      <c r="H177" s="9" t="inlineStr">
        <is>
          <t>MOD-000064</t>
        </is>
      </c>
      <c r="I177" s="37" t="inlineStr">
        <is>
          <t>MFG-001</t>
        </is>
      </c>
      <c r="J177" s="37" t="inlineStr">
        <is>
          <t>DF-003</t>
        </is>
      </c>
      <c r="K177" s="37" t="inlineStr">
        <is>
          <t>DT-002</t>
        </is>
      </c>
      <c r="L177" s="36" t="inlineStr">
        <is>
          <t>iPad Air</t>
        </is>
      </c>
      <c r="M177" s="36" t="inlineStr">
        <is>
          <t>A1474</t>
        </is>
      </c>
      <c r="N177" s="35" t="n">
        <v>2013</v>
      </c>
      <c r="O177" s="94" t="n">
        <v>64</v>
      </c>
      <c r="P177" s="94" t="inlineStr">
        <is>
          <t>Yes</t>
        </is>
      </c>
    </row>
    <row r="178" ht="21.5" customHeight="1" s="125">
      <c r="A178" s="94" t="inlineStr">
        <is>
          <t>CLR-000011</t>
        </is>
      </c>
      <c r="B178" s="94" t="inlineStr">
        <is>
          <t>Deep Purple</t>
        </is>
      </c>
      <c r="C178" s="94" t="inlineStr">
        <is>
          <t>Deep Purple</t>
        </is>
      </c>
      <c r="D178" s="94" t="n">
        <v>11</v>
      </c>
      <c r="E178" s="94" t="b">
        <v>1</v>
      </c>
      <c r="H178" s="9" t="inlineStr">
        <is>
          <t>MOD-000065</t>
        </is>
      </c>
      <c r="I178" s="37" t="inlineStr">
        <is>
          <t>MFG-001</t>
        </is>
      </c>
      <c r="J178" s="37" t="inlineStr">
        <is>
          <t>DF-003</t>
        </is>
      </c>
      <c r="K178" s="37" t="inlineStr">
        <is>
          <t>DT-002</t>
        </is>
      </c>
      <c r="L178" s="36" t="inlineStr">
        <is>
          <t>iPad Air 2</t>
        </is>
      </c>
      <c r="M178" s="36" t="inlineStr">
        <is>
          <t>A1566</t>
        </is>
      </c>
      <c r="N178" s="35" t="n">
        <v>2014</v>
      </c>
      <c r="O178" s="94" t="n">
        <v>65</v>
      </c>
      <c r="P178" s="94" t="inlineStr">
        <is>
          <t>Yes</t>
        </is>
      </c>
    </row>
    <row r="179" ht="43" customHeight="1" s="125">
      <c r="A179" s="94" t="inlineStr">
        <is>
          <t>CLR-000012</t>
        </is>
      </c>
      <c r="B179" s="94" t="inlineStr">
        <is>
          <t>Natural Titanium</t>
        </is>
      </c>
      <c r="C179" s="94" t="inlineStr">
        <is>
          <t>Natural Titanium</t>
        </is>
      </c>
      <c r="D179" s="94" t="n">
        <v>12</v>
      </c>
      <c r="E179" s="94" t="b">
        <v>1</v>
      </c>
      <c r="H179" s="9" t="inlineStr">
        <is>
          <t>MOD-000066</t>
        </is>
      </c>
      <c r="I179" s="37" t="inlineStr">
        <is>
          <t>MFG-001</t>
        </is>
      </c>
      <c r="J179" s="37" t="inlineStr">
        <is>
          <t>DF-003</t>
        </is>
      </c>
      <c r="K179" s="37" t="inlineStr">
        <is>
          <t>DT-002</t>
        </is>
      </c>
      <c r="L179" s="36" t="inlineStr">
        <is>
          <t>iPad Air (3rd Generation)</t>
        </is>
      </c>
      <c r="M179" s="36" t="inlineStr">
        <is>
          <t>A2152</t>
        </is>
      </c>
      <c r="N179" s="35" t="n">
        <v>2019</v>
      </c>
      <c r="O179" s="94" t="n">
        <v>66</v>
      </c>
      <c r="P179" s="94" t="inlineStr">
        <is>
          <t>Yes</t>
        </is>
      </c>
    </row>
    <row r="180" ht="43" customHeight="1" s="125">
      <c r="A180" s="94" t="inlineStr">
        <is>
          <t>CLR-000013</t>
        </is>
      </c>
      <c r="B180" s="94" t="inlineStr">
        <is>
          <t>Desert Titanium</t>
        </is>
      </c>
      <c r="C180" s="94" t="inlineStr">
        <is>
          <t>Desert Titanium</t>
        </is>
      </c>
      <c r="D180" s="94" t="n">
        <v>13</v>
      </c>
      <c r="E180" s="94" t="b">
        <v>1</v>
      </c>
      <c r="H180" s="9" t="inlineStr">
        <is>
          <t>MOD-000067</t>
        </is>
      </c>
      <c r="I180" s="37" t="inlineStr">
        <is>
          <t>MFG-001</t>
        </is>
      </c>
      <c r="J180" s="37" t="inlineStr">
        <is>
          <t>DF-003</t>
        </is>
      </c>
      <c r="K180" s="37" t="inlineStr">
        <is>
          <t>DT-002</t>
        </is>
      </c>
      <c r="L180" s="36" t="inlineStr">
        <is>
          <t>iPad Air (4th Generation)</t>
        </is>
      </c>
      <c r="M180" s="36" t="inlineStr">
        <is>
          <t>A2316</t>
        </is>
      </c>
      <c r="N180" s="35" t="n">
        <v>2020</v>
      </c>
      <c r="O180" s="94" t="n">
        <v>67</v>
      </c>
      <c r="P180" s="94" t="inlineStr">
        <is>
          <t>Yes</t>
        </is>
      </c>
    </row>
    <row r="181" ht="43" customHeight="1" s="125">
      <c r="A181" s="94" t="inlineStr">
        <is>
          <t>CLR-000014</t>
        </is>
      </c>
      <c r="B181" s="94" t="inlineStr">
        <is>
          <t>Phantom Black</t>
        </is>
      </c>
      <c r="C181" s="94" t="inlineStr">
        <is>
          <t>Phantom Black</t>
        </is>
      </c>
      <c r="D181" s="94" t="n">
        <v>14</v>
      </c>
      <c r="E181" s="94" t="b">
        <v>1</v>
      </c>
      <c r="H181" s="9" t="inlineStr">
        <is>
          <t>MOD-000068</t>
        </is>
      </c>
      <c r="I181" s="37" t="inlineStr">
        <is>
          <t>MFG-001</t>
        </is>
      </c>
      <c r="J181" s="37" t="inlineStr">
        <is>
          <t>DF-003</t>
        </is>
      </c>
      <c r="K181" s="37" t="inlineStr">
        <is>
          <t>DT-002</t>
        </is>
      </c>
      <c r="L181" s="36" t="inlineStr">
        <is>
          <t>iPad Air (5th Generation)</t>
        </is>
      </c>
      <c r="M181" s="36" t="inlineStr">
        <is>
          <t>A2588</t>
        </is>
      </c>
      <c r="N181" s="35" t="n">
        <v>2022</v>
      </c>
      <c r="O181" s="94" t="n">
        <v>68</v>
      </c>
      <c r="P181" s="94" t="inlineStr">
        <is>
          <t>Yes</t>
        </is>
      </c>
    </row>
    <row r="182" ht="43" customHeight="1" s="125">
      <c r="A182" s="94" t="inlineStr">
        <is>
          <t>CLR-000015</t>
        </is>
      </c>
      <c r="B182" s="94" t="inlineStr">
        <is>
          <t>Phantom Silver</t>
        </is>
      </c>
      <c r="C182" s="94" t="inlineStr">
        <is>
          <t>Phantom Silver</t>
        </is>
      </c>
      <c r="D182" s="94" t="n">
        <v>15</v>
      </c>
      <c r="E182" s="94" t="b">
        <v>1</v>
      </c>
      <c r="H182" s="9" t="inlineStr">
        <is>
          <t>MOD-000069</t>
        </is>
      </c>
      <c r="I182" s="37" t="inlineStr">
        <is>
          <t>MFG-001</t>
        </is>
      </c>
      <c r="J182" s="37" t="inlineStr">
        <is>
          <t>DF-003</t>
        </is>
      </c>
      <c r="K182" s="37" t="inlineStr">
        <is>
          <t>DT-002</t>
        </is>
      </c>
      <c r="L182" s="36" t="inlineStr">
        <is>
          <t>iPad Air 11-inch (M2)</t>
        </is>
      </c>
      <c r="M182" s="36" t="inlineStr">
        <is>
          <t>A2902</t>
        </is>
      </c>
      <c r="N182" s="35" t="n">
        <v>2024</v>
      </c>
      <c r="O182" s="94" t="n">
        <v>69</v>
      </c>
      <c r="P182" s="94" t="inlineStr">
        <is>
          <t>Yes</t>
        </is>
      </c>
    </row>
    <row r="183" ht="43" customHeight="1" s="125">
      <c r="A183" s="94" t="inlineStr">
        <is>
          <t>CLR-000016</t>
        </is>
      </c>
      <c r="B183" s="94" t="inlineStr">
        <is>
          <t>Lavender</t>
        </is>
      </c>
      <c r="C183" s="94" t="inlineStr">
        <is>
          <t>Lavender</t>
        </is>
      </c>
      <c r="D183" s="94" t="n">
        <v>16</v>
      </c>
      <c r="E183" s="94" t="b">
        <v>1</v>
      </c>
      <c r="H183" s="9" t="inlineStr">
        <is>
          <t>MOD-000070</t>
        </is>
      </c>
      <c r="I183" s="37" t="inlineStr">
        <is>
          <t>MFG-001</t>
        </is>
      </c>
      <c r="J183" s="37" t="inlineStr">
        <is>
          <t>DF-003</t>
        </is>
      </c>
      <c r="K183" s="37" t="inlineStr">
        <is>
          <t>DT-002</t>
        </is>
      </c>
      <c r="L183" s="36" t="inlineStr">
        <is>
          <t>iPad Air 13-inch (M2)</t>
        </is>
      </c>
      <c r="M183" s="36" t="inlineStr">
        <is>
          <t>A2898</t>
        </is>
      </c>
      <c r="N183" s="35" t="n">
        <v>2024</v>
      </c>
      <c r="O183" s="94" t="n">
        <v>70</v>
      </c>
      <c r="P183" s="94" t="inlineStr">
        <is>
          <t>Yes</t>
        </is>
      </c>
    </row>
    <row r="184" ht="43" customHeight="1" s="125">
      <c r="A184" s="16" t="n"/>
      <c r="B184" s="16" t="n"/>
      <c r="C184" s="16" t="n"/>
      <c r="D184" s="43" t="n"/>
      <c r="E184" s="40" t="n"/>
      <c r="H184" s="9" t="inlineStr">
        <is>
          <t>MOD-000071</t>
        </is>
      </c>
      <c r="I184" s="37" t="inlineStr">
        <is>
          <t>MFG-001</t>
        </is>
      </c>
      <c r="J184" s="37" t="inlineStr">
        <is>
          <t>DF-005</t>
        </is>
      </c>
      <c r="K184" s="37" t="inlineStr">
        <is>
          <t>DT-002</t>
        </is>
      </c>
      <c r="L184" s="36" t="inlineStr">
        <is>
          <t>iPad Pro 12.9-inch (1st Generation)</t>
        </is>
      </c>
      <c r="M184" s="36" t="inlineStr">
        <is>
          <t>A1584</t>
        </is>
      </c>
      <c r="N184" s="35" t="n">
        <v>2015</v>
      </c>
      <c r="O184" s="94" t="n">
        <v>71</v>
      </c>
      <c r="P184" s="94" t="inlineStr">
        <is>
          <t>Yes</t>
        </is>
      </c>
    </row>
    <row r="185" ht="21.5" customHeight="1" s="125">
      <c r="A185" s="3" t="inlineStr">
        <is>
          <t>tblCarriers</t>
        </is>
      </c>
      <c r="H185" s="9" t="inlineStr">
        <is>
          <t>MOD-000072</t>
        </is>
      </c>
      <c r="I185" s="37" t="inlineStr">
        <is>
          <t>MFG-001</t>
        </is>
      </c>
      <c r="J185" s="37" t="inlineStr">
        <is>
          <t>DF-005</t>
        </is>
      </c>
      <c r="K185" s="37" t="inlineStr">
        <is>
          <t>DT-002</t>
        </is>
      </c>
      <c r="L185" s="36" t="inlineStr">
        <is>
          <t>iPad Pro 9.7-inch</t>
        </is>
      </c>
      <c r="M185" s="36" t="inlineStr">
        <is>
          <t>A1673</t>
        </is>
      </c>
      <c r="N185" s="35" t="n">
        <v>2016</v>
      </c>
      <c r="O185" s="94" t="n">
        <v>72</v>
      </c>
      <c r="P185" s="94" t="inlineStr">
        <is>
          <t>Yes</t>
        </is>
      </c>
    </row>
    <row r="186" ht="21.5" customHeight="1" s="125">
      <c r="A186" s="6" t="inlineStr">
        <is>
          <t>ID</t>
        </is>
      </c>
      <c r="B186" s="6" t="inlineStr">
        <is>
          <t>Name</t>
        </is>
      </c>
      <c r="C186" s="6" t="inlineStr">
        <is>
          <t>Description</t>
        </is>
      </c>
      <c r="D186" s="6" t="inlineStr">
        <is>
          <t>DisplayOrder</t>
        </is>
      </c>
      <c r="E186" s="6" t="inlineStr">
        <is>
          <t>Active</t>
        </is>
      </c>
      <c r="H186" s="9" t="inlineStr">
        <is>
          <t>MOD-000073</t>
        </is>
      </c>
      <c r="I186" s="37" t="inlineStr">
        <is>
          <t>MFG-001</t>
        </is>
      </c>
      <c r="J186" s="37" t="inlineStr">
        <is>
          <t>DF-005</t>
        </is>
      </c>
      <c r="K186" s="37" t="inlineStr">
        <is>
          <t>DT-002</t>
        </is>
      </c>
      <c r="L186" s="36" t="inlineStr">
        <is>
          <t>iPad Pro 10.5-inch</t>
        </is>
      </c>
      <c r="M186" s="36" t="inlineStr">
        <is>
          <t>A1701</t>
        </is>
      </c>
      <c r="N186" s="35" t="n">
        <v>2017</v>
      </c>
      <c r="O186" s="94" t="n">
        <v>73</v>
      </c>
      <c r="P186" s="94" t="inlineStr">
        <is>
          <t>Yes</t>
        </is>
      </c>
    </row>
    <row r="187" ht="43" customHeight="1" s="125">
      <c r="A187" s="94" t="inlineStr">
        <is>
          <t>CAR-000001</t>
        </is>
      </c>
      <c r="B187" s="94" t="inlineStr">
        <is>
          <t>AT&amp;T</t>
        </is>
      </c>
      <c r="C187" s="94" t="inlineStr">
        <is>
          <t>US</t>
        </is>
      </c>
      <c r="D187" s="94" t="n">
        <v>1</v>
      </c>
      <c r="E187" s="94" t="b">
        <v>1</v>
      </c>
      <c r="H187" s="9" t="inlineStr">
        <is>
          <t>MOD-000074</t>
        </is>
      </c>
      <c r="I187" s="37" t="inlineStr">
        <is>
          <t>MFG-001</t>
        </is>
      </c>
      <c r="J187" s="37" t="inlineStr">
        <is>
          <t>DF-005</t>
        </is>
      </c>
      <c r="K187" s="37" t="inlineStr">
        <is>
          <t>DT-002</t>
        </is>
      </c>
      <c r="L187" s="36" t="inlineStr">
        <is>
          <t>iPad Pro 12.9-inch (2nd Generation)</t>
        </is>
      </c>
      <c r="M187" s="36" t="inlineStr">
        <is>
          <t>A1670</t>
        </is>
      </c>
      <c r="N187" s="35" t="n">
        <v>2017</v>
      </c>
      <c r="O187" s="94" t="n">
        <v>74</v>
      </c>
      <c r="P187" s="94" t="inlineStr">
        <is>
          <t>Yes</t>
        </is>
      </c>
    </row>
    <row r="188" ht="43" customHeight="1" s="125">
      <c r="A188" s="94" t="inlineStr">
        <is>
          <t>CAR-000002</t>
        </is>
      </c>
      <c r="B188" s="94" t="inlineStr">
        <is>
          <t>Verizon</t>
        </is>
      </c>
      <c r="C188" s="94" t="inlineStr">
        <is>
          <t>US</t>
        </is>
      </c>
      <c r="D188" s="94" t="n">
        <v>2</v>
      </c>
      <c r="E188" s="94" t="b">
        <v>1</v>
      </c>
      <c r="H188" s="9" t="inlineStr">
        <is>
          <t>MOD-000075</t>
        </is>
      </c>
      <c r="I188" s="37" t="inlineStr">
        <is>
          <t>MFG-001</t>
        </is>
      </c>
      <c r="J188" s="37" t="inlineStr">
        <is>
          <t>DF-005</t>
        </is>
      </c>
      <c r="K188" s="37" t="inlineStr">
        <is>
          <t>DT-002</t>
        </is>
      </c>
      <c r="L188" s="36" t="inlineStr">
        <is>
          <t>iPad Pro 11-inch (1st Generation)</t>
        </is>
      </c>
      <c r="M188" s="36" t="inlineStr">
        <is>
          <t>A1980</t>
        </is>
      </c>
      <c r="N188" s="35" t="n">
        <v>2018</v>
      </c>
      <c r="O188" s="94" t="n">
        <v>75</v>
      </c>
      <c r="P188" s="94" t="inlineStr">
        <is>
          <t>Yes</t>
        </is>
      </c>
    </row>
    <row r="189" ht="43" customHeight="1" s="125">
      <c r="A189" s="94" t="inlineStr">
        <is>
          <t>CAR-000003</t>
        </is>
      </c>
      <c r="B189" s="94" t="inlineStr">
        <is>
          <t>T-Mobile</t>
        </is>
      </c>
      <c r="C189" s="94" t="inlineStr">
        <is>
          <t>US</t>
        </is>
      </c>
      <c r="D189" s="94" t="n">
        <v>3</v>
      </c>
      <c r="E189" s="94" t="b">
        <v>1</v>
      </c>
      <c r="H189" s="9" t="inlineStr">
        <is>
          <t>MOD-000076</t>
        </is>
      </c>
      <c r="I189" s="37" t="inlineStr">
        <is>
          <t>MFG-001</t>
        </is>
      </c>
      <c r="J189" s="37" t="inlineStr">
        <is>
          <t>DF-005</t>
        </is>
      </c>
      <c r="K189" s="37" t="inlineStr">
        <is>
          <t>DT-002</t>
        </is>
      </c>
      <c r="L189" s="36" t="inlineStr">
        <is>
          <t>iPad Pro 12.9-inch (3rd Generation)</t>
        </is>
      </c>
      <c r="M189" s="36" t="inlineStr">
        <is>
          <t>A1876</t>
        </is>
      </c>
      <c r="N189" s="35" t="n">
        <v>2018</v>
      </c>
      <c r="O189" s="94" t="n">
        <v>76</v>
      </c>
      <c r="P189" s="94" t="inlineStr">
        <is>
          <t>Yes</t>
        </is>
      </c>
    </row>
    <row r="190" ht="43" customHeight="1" s="125">
      <c r="A190" s="94" t="inlineStr">
        <is>
          <t>CAR-000004</t>
        </is>
      </c>
      <c r="B190" s="94" t="inlineStr">
        <is>
          <t>US Cellular</t>
        </is>
      </c>
      <c r="C190" s="94" t="inlineStr">
        <is>
          <t>US</t>
        </is>
      </c>
      <c r="D190" s="94" t="n">
        <v>4</v>
      </c>
      <c r="E190" s="94" t="b">
        <v>1</v>
      </c>
      <c r="H190" s="9" t="inlineStr">
        <is>
          <t>MOD-000077</t>
        </is>
      </c>
      <c r="I190" s="37" t="inlineStr">
        <is>
          <t>MFG-001</t>
        </is>
      </c>
      <c r="J190" s="37" t="inlineStr">
        <is>
          <t>DF-005</t>
        </is>
      </c>
      <c r="K190" s="37" t="inlineStr">
        <is>
          <t>DT-002</t>
        </is>
      </c>
      <c r="L190" s="36" t="inlineStr">
        <is>
          <t>iPad Pro 11-inch (2nd Generation)</t>
        </is>
      </c>
      <c r="M190" s="36" t="inlineStr">
        <is>
          <t>A2228</t>
        </is>
      </c>
      <c r="N190" s="35" t="n">
        <v>2020</v>
      </c>
      <c r="O190" s="94" t="n">
        <v>77</v>
      </c>
      <c r="P190" s="94" t="inlineStr">
        <is>
          <t>Yes</t>
        </is>
      </c>
    </row>
    <row r="191" ht="43" customHeight="1" s="125">
      <c r="A191" s="94" t="inlineStr">
        <is>
          <t>CAR-000005</t>
        </is>
      </c>
      <c r="B191" s="94" t="inlineStr">
        <is>
          <t>Boost Mobile</t>
        </is>
      </c>
      <c r="C191" s="94" t="inlineStr">
        <is>
          <t>US</t>
        </is>
      </c>
      <c r="D191" s="94" t="n">
        <v>5</v>
      </c>
      <c r="E191" s="94" t="b">
        <v>1</v>
      </c>
      <c r="H191" s="9" t="inlineStr">
        <is>
          <t>MOD-000078</t>
        </is>
      </c>
      <c r="I191" s="37" t="inlineStr">
        <is>
          <t>MFG-001</t>
        </is>
      </c>
      <c r="J191" s="37" t="inlineStr">
        <is>
          <t>DF-005</t>
        </is>
      </c>
      <c r="K191" s="37" t="inlineStr">
        <is>
          <t>DT-002</t>
        </is>
      </c>
      <c r="L191" s="36" t="inlineStr">
        <is>
          <t>iPad Pro 12.9-inch (4th Generation)</t>
        </is>
      </c>
      <c r="M191" s="36" t="inlineStr">
        <is>
          <t>A2229</t>
        </is>
      </c>
      <c r="N191" s="35" t="n">
        <v>2020</v>
      </c>
      <c r="O191" s="94" t="n">
        <v>78</v>
      </c>
      <c r="P191" s="94" t="inlineStr">
        <is>
          <t>Yes</t>
        </is>
      </c>
    </row>
    <row r="192" ht="43" customHeight="1" s="125">
      <c r="A192" s="94" t="inlineStr">
        <is>
          <t>CAR-000006</t>
        </is>
      </c>
      <c r="B192" s="94" t="inlineStr">
        <is>
          <t>Metro by T-Mobile</t>
        </is>
      </c>
      <c r="C192" s="94" t="inlineStr">
        <is>
          <t>US</t>
        </is>
      </c>
      <c r="D192" s="94" t="n">
        <v>6</v>
      </c>
      <c r="E192" s="94" t="n">
        <v>1</v>
      </c>
      <c r="H192" s="9" t="inlineStr">
        <is>
          <t>MOD-000079</t>
        </is>
      </c>
      <c r="I192" s="37" t="inlineStr">
        <is>
          <t>MFG-001</t>
        </is>
      </c>
      <c r="J192" s="37" t="inlineStr">
        <is>
          <t>DF-005</t>
        </is>
      </c>
      <c r="K192" s="37" t="inlineStr">
        <is>
          <t>DT-002</t>
        </is>
      </c>
      <c r="L192" s="36" t="inlineStr">
        <is>
          <t>iPad Pro 11-inch (3rd Generation)</t>
        </is>
      </c>
      <c r="M192" s="36" t="inlineStr">
        <is>
          <t>A2377</t>
        </is>
      </c>
      <c r="N192" s="35" t="n">
        <v>2021</v>
      </c>
      <c r="O192" s="94" t="n">
        <v>79</v>
      </c>
      <c r="P192" s="94" t="inlineStr">
        <is>
          <t>Yes</t>
        </is>
      </c>
    </row>
    <row r="193" ht="43" customHeight="1" s="125">
      <c r="A193" s="94" t="inlineStr">
        <is>
          <t>CAR-000007</t>
        </is>
      </c>
      <c r="B193" s="94" t="inlineStr">
        <is>
          <t>Google Fi</t>
        </is>
      </c>
      <c r="C193" s="94" t="inlineStr">
        <is>
          <t>US</t>
        </is>
      </c>
      <c r="D193" s="94" t="n">
        <v>7</v>
      </c>
      <c r="E193" s="94" t="b">
        <v>1</v>
      </c>
      <c r="H193" s="9" t="inlineStr">
        <is>
          <t>MOD-000080</t>
        </is>
      </c>
      <c r="I193" s="37" t="inlineStr">
        <is>
          <t>MFG-001</t>
        </is>
      </c>
      <c r="J193" s="37" t="inlineStr">
        <is>
          <t>DF-005</t>
        </is>
      </c>
      <c r="K193" s="37" t="inlineStr">
        <is>
          <t>DT-002</t>
        </is>
      </c>
      <c r="L193" s="36" t="inlineStr">
        <is>
          <t>iPad Pro 12.9-inch (5th Generation)</t>
        </is>
      </c>
      <c r="M193" s="36" t="inlineStr">
        <is>
          <t>A2378</t>
        </is>
      </c>
      <c r="N193" s="35" t="n">
        <v>2021</v>
      </c>
      <c r="O193" s="94" t="n">
        <v>80</v>
      </c>
      <c r="P193" s="94" t="inlineStr">
        <is>
          <t>Yes</t>
        </is>
      </c>
    </row>
    <row r="194" ht="43" customHeight="1" s="125">
      <c r="A194" s="94" t="inlineStr">
        <is>
          <t>CAR-000008</t>
        </is>
      </c>
      <c r="B194" s="94" t="inlineStr">
        <is>
          <t>Xfinity Mobile</t>
        </is>
      </c>
      <c r="C194" s="94" t="inlineStr">
        <is>
          <t>US</t>
        </is>
      </c>
      <c r="D194" s="94" t="n">
        <v>8</v>
      </c>
      <c r="E194" s="94" t="b">
        <v>1</v>
      </c>
      <c r="H194" s="9" t="inlineStr">
        <is>
          <t>MOD-000081</t>
        </is>
      </c>
      <c r="I194" s="37" t="inlineStr">
        <is>
          <t>MFG-001</t>
        </is>
      </c>
      <c r="J194" s="37" t="inlineStr">
        <is>
          <t>DF-005</t>
        </is>
      </c>
      <c r="K194" s="37" t="inlineStr">
        <is>
          <t>DT-002</t>
        </is>
      </c>
      <c r="L194" s="36" t="inlineStr">
        <is>
          <t>iPad Pro 11-inch (4th Generation)</t>
        </is>
      </c>
      <c r="M194" s="36" t="inlineStr">
        <is>
          <t>A2759</t>
        </is>
      </c>
      <c r="N194" s="35" t="n">
        <v>2022</v>
      </c>
      <c r="O194" s="94" t="n">
        <v>81</v>
      </c>
      <c r="P194" s="94" t="inlineStr">
        <is>
          <t>Yes</t>
        </is>
      </c>
    </row>
    <row r="195" ht="43" customHeight="1" s="125">
      <c r="A195" s="94" t="inlineStr">
        <is>
          <t>CAR-000009</t>
        </is>
      </c>
      <c r="B195" s="94" t="inlineStr">
        <is>
          <t>Spectrum Mobile</t>
        </is>
      </c>
      <c r="C195" s="94" t="inlineStr">
        <is>
          <t>US</t>
        </is>
      </c>
      <c r="D195" s="94" t="n">
        <v>9</v>
      </c>
      <c r="E195" s="94" t="b">
        <v>1</v>
      </c>
      <c r="H195" s="9" t="inlineStr">
        <is>
          <t>MOD-000082</t>
        </is>
      </c>
      <c r="I195" s="37" t="inlineStr">
        <is>
          <t>MFG-001</t>
        </is>
      </c>
      <c r="J195" s="37" t="inlineStr">
        <is>
          <t>DF-005</t>
        </is>
      </c>
      <c r="K195" s="37" t="inlineStr">
        <is>
          <t>DT-002</t>
        </is>
      </c>
      <c r="L195" s="36" t="inlineStr">
        <is>
          <t>iPad Pro 12.9-inch (6th Generation)</t>
        </is>
      </c>
      <c r="M195" s="36" t="inlineStr">
        <is>
          <t>A2764</t>
        </is>
      </c>
      <c r="N195" s="35" t="n">
        <v>2022</v>
      </c>
      <c r="O195" s="94" t="n">
        <v>82</v>
      </c>
      <c r="P195" s="94" t="inlineStr">
        <is>
          <t>Yes</t>
        </is>
      </c>
    </row>
    <row r="196" ht="43" customHeight="1" s="125">
      <c r="A196" s="94" t="inlineStr">
        <is>
          <t>CAR-000010</t>
        </is>
      </c>
      <c r="B196" s="94" t="inlineStr">
        <is>
          <t>Mint Mobile</t>
        </is>
      </c>
      <c r="C196" s="94" t="inlineStr">
        <is>
          <t>US</t>
        </is>
      </c>
      <c r="D196" s="94" t="n">
        <v>10</v>
      </c>
      <c r="E196" s="94" t="b">
        <v>1</v>
      </c>
      <c r="H196" s="9" t="inlineStr">
        <is>
          <t>MOD-000083</t>
        </is>
      </c>
      <c r="I196" s="37" t="inlineStr">
        <is>
          <t>MFG-001</t>
        </is>
      </c>
      <c r="J196" s="37" t="inlineStr">
        <is>
          <t>DF-005</t>
        </is>
      </c>
      <c r="K196" s="37" t="inlineStr">
        <is>
          <t>DT-002</t>
        </is>
      </c>
      <c r="L196" s="36" t="inlineStr">
        <is>
          <t>iPad Pro 11-inch (M4)</t>
        </is>
      </c>
      <c r="M196" s="36" t="inlineStr">
        <is>
          <t>A2836</t>
        </is>
      </c>
      <c r="N196" s="35" t="n">
        <v>2024</v>
      </c>
      <c r="O196" s="94" t="n">
        <v>83</v>
      </c>
      <c r="P196" s="94" t="inlineStr">
        <is>
          <t>Yes</t>
        </is>
      </c>
    </row>
    <row r="197" ht="43" customHeight="1" s="125">
      <c r="A197" s="16" t="n"/>
      <c r="B197" s="16" t="n"/>
      <c r="C197" s="16" t="n"/>
      <c r="D197" s="43" t="n"/>
      <c r="E197" s="40" t="n"/>
      <c r="H197" s="9" t="inlineStr">
        <is>
          <t>MOD-000084</t>
        </is>
      </c>
      <c r="I197" s="37" t="inlineStr">
        <is>
          <t>MFG-001</t>
        </is>
      </c>
      <c r="J197" s="37" t="inlineStr">
        <is>
          <t>DF-005</t>
        </is>
      </c>
      <c r="K197" s="37" t="inlineStr">
        <is>
          <t>DT-002</t>
        </is>
      </c>
      <c r="L197" s="36" t="inlineStr">
        <is>
          <t>iPad Pro 13-inch (M4)</t>
        </is>
      </c>
      <c r="M197" s="36" t="inlineStr">
        <is>
          <t>A2925</t>
        </is>
      </c>
      <c r="N197" s="35" t="n">
        <v>2024</v>
      </c>
      <c r="O197" s="94" t="n">
        <v>84</v>
      </c>
      <c r="P197" s="94" t="inlineStr">
        <is>
          <t>Yes</t>
        </is>
      </c>
    </row>
    <row r="198" ht="21.5" customHeight="1" s="125">
      <c r="A198" s="3" t="inlineStr">
        <is>
          <t>tblCarrierLockStatus</t>
        </is>
      </c>
      <c r="H198" s="9" t="inlineStr">
        <is>
          <t>MOD-000085</t>
        </is>
      </c>
      <c r="I198" s="37" t="inlineStr">
        <is>
          <t>MFG-001</t>
        </is>
      </c>
      <c r="J198" s="37" t="inlineStr">
        <is>
          <t>DF-006</t>
        </is>
      </c>
      <c r="K198" s="37" t="inlineStr">
        <is>
          <t>DT-003</t>
        </is>
      </c>
      <c r="L198" s="36" t="inlineStr">
        <is>
          <t>MacBook (Original)</t>
        </is>
      </c>
      <c r="M198" s="36" t="inlineStr">
        <is>
          <t>A1181</t>
        </is>
      </c>
      <c r="N198" s="35" t="n">
        <v>2006</v>
      </c>
      <c r="O198" s="94" t="n">
        <v>85</v>
      </c>
      <c r="P198" s="94" t="inlineStr">
        <is>
          <t>Yes</t>
        </is>
      </c>
    </row>
    <row r="199" ht="43" customHeight="1" s="125">
      <c r="A199" s="6" t="inlineStr">
        <is>
          <t>ID</t>
        </is>
      </c>
      <c r="B199" s="6" t="inlineStr">
        <is>
          <t>Name</t>
        </is>
      </c>
      <c r="C199" s="6" t="inlineStr">
        <is>
          <t>Description</t>
        </is>
      </c>
      <c r="D199" s="6" t="inlineStr">
        <is>
          <t>DisplayOrder</t>
        </is>
      </c>
      <c r="E199" s="6" t="inlineStr">
        <is>
          <t>Active</t>
        </is>
      </c>
      <c r="H199" s="9" t="inlineStr">
        <is>
          <t>MOD-000086</t>
        </is>
      </c>
      <c r="I199" s="37" t="inlineStr">
        <is>
          <t>MFG-001</t>
        </is>
      </c>
      <c r="J199" s="37" t="inlineStr">
        <is>
          <t>DF-006</t>
        </is>
      </c>
      <c r="K199" s="37" t="inlineStr">
        <is>
          <t>DT-003</t>
        </is>
      </c>
      <c r="L199" s="36" t="inlineStr">
        <is>
          <t>MacBook (Late 2008 Aluminum)</t>
        </is>
      </c>
      <c r="M199" s="36" t="inlineStr">
        <is>
          <t>A1278</t>
        </is>
      </c>
      <c r="N199" s="35" t="n">
        <v>2008</v>
      </c>
      <c r="O199" s="94" t="n">
        <v>86</v>
      </c>
      <c r="P199" s="94" t="inlineStr">
        <is>
          <t>Yes</t>
        </is>
      </c>
    </row>
    <row r="200" ht="43" customHeight="1" s="125">
      <c r="A200" s="94" t="inlineStr">
        <is>
          <t>LCK-000001</t>
        </is>
      </c>
      <c r="B200" s="94" t="inlineStr">
        <is>
          <t>Unlocked</t>
        </is>
      </c>
      <c r="C200" s="94" t="inlineStr">
        <is>
          <t>Unlocked</t>
        </is>
      </c>
      <c r="D200" s="94" t="n">
        <v>1</v>
      </c>
      <c r="E200" s="94" t="b">
        <v>1</v>
      </c>
      <c r="H200" s="9" t="inlineStr">
        <is>
          <t>MOD-000087</t>
        </is>
      </c>
      <c r="I200" s="37" t="inlineStr">
        <is>
          <t>MFG-001</t>
        </is>
      </c>
      <c r="J200" s="37" t="inlineStr">
        <is>
          <t>DF-006</t>
        </is>
      </c>
      <c r="K200" s="37" t="inlineStr">
        <is>
          <t>DT-003</t>
        </is>
      </c>
      <c r="L200" s="36" t="inlineStr">
        <is>
          <t>MacBook (Retina 12-inch)</t>
        </is>
      </c>
      <c r="M200" s="36" t="inlineStr">
        <is>
          <t>A1534</t>
        </is>
      </c>
      <c r="N200" s="35" t="n">
        <v>2015</v>
      </c>
      <c r="O200" s="94" t="n">
        <v>87</v>
      </c>
      <c r="P200" s="94" t="inlineStr">
        <is>
          <t>Yes</t>
        </is>
      </c>
    </row>
    <row r="201" ht="43" customHeight="1" s="125">
      <c r="A201" s="94" t="inlineStr">
        <is>
          <t>LCK-000002</t>
        </is>
      </c>
      <c r="B201" s="94" t="inlineStr">
        <is>
          <t>Carrier Locked</t>
        </is>
      </c>
      <c r="C201" s="94" t="inlineStr">
        <is>
          <t>Carrier Locked</t>
        </is>
      </c>
      <c r="D201" s="94" t="n">
        <v>2</v>
      </c>
      <c r="E201" s="94" t="b">
        <v>1</v>
      </c>
      <c r="H201" s="9" t="inlineStr">
        <is>
          <t>MOD-000088</t>
        </is>
      </c>
      <c r="I201" s="37" t="inlineStr">
        <is>
          <t>MFG-001</t>
        </is>
      </c>
      <c r="J201" s="37" t="inlineStr">
        <is>
          <t>DF-007</t>
        </is>
      </c>
      <c r="K201" s="37" t="inlineStr">
        <is>
          <t>DT-003</t>
        </is>
      </c>
      <c r="L201" s="36" t="inlineStr">
        <is>
          <t>MacBook Air (Original)</t>
        </is>
      </c>
      <c r="M201" s="36" t="inlineStr">
        <is>
          <t>A1237</t>
        </is>
      </c>
      <c r="N201" s="35" t="n">
        <v>2008</v>
      </c>
      <c r="O201" s="94" t="n">
        <v>88</v>
      </c>
      <c r="P201" s="94" t="inlineStr">
        <is>
          <t>Yes</t>
        </is>
      </c>
    </row>
    <row r="202" ht="21.5" customHeight="1" s="125">
      <c r="A202" s="94" t="inlineStr">
        <is>
          <t>LCK-000003</t>
        </is>
      </c>
      <c r="B202" s="94" t="inlineStr">
        <is>
          <t>Factory Unlocked</t>
        </is>
      </c>
      <c r="C202" s="94" t="inlineStr">
        <is>
          <t>Factory Unlocked</t>
        </is>
      </c>
      <c r="D202" s="94" t="n">
        <v>3</v>
      </c>
      <c r="E202" s="94" t="b">
        <v>1</v>
      </c>
      <c r="H202" s="9" t="inlineStr">
        <is>
          <t>MOD-000089</t>
        </is>
      </c>
      <c r="I202" s="37" t="inlineStr">
        <is>
          <t>MFG-001</t>
        </is>
      </c>
      <c r="J202" s="37" t="inlineStr">
        <is>
          <t>DF-007</t>
        </is>
      </c>
      <c r="K202" s="37" t="inlineStr">
        <is>
          <t>DT-003</t>
        </is>
      </c>
      <c r="L202" s="36" t="inlineStr">
        <is>
          <t>MacBook Air 11-inch</t>
        </is>
      </c>
      <c r="M202" s="36" t="inlineStr">
        <is>
          <t>A1370</t>
        </is>
      </c>
      <c r="N202" s="35" t="n">
        <v>2010</v>
      </c>
      <c r="O202" s="94" t="n">
        <v>89</v>
      </c>
      <c r="P202" s="94" t="inlineStr">
        <is>
          <t>Yes</t>
        </is>
      </c>
    </row>
    <row r="203" ht="43" customHeight="1" s="125">
      <c r="A203" s="94" t="inlineStr">
        <is>
          <t>LCK-000004</t>
        </is>
      </c>
      <c r="B203" s="94" t="inlineStr">
        <is>
          <t>Activation Locked</t>
        </is>
      </c>
      <c r="C203" s="94" t="inlineStr">
        <is>
          <t>Activation Locked</t>
        </is>
      </c>
      <c r="D203" s="94" t="n">
        <v>4</v>
      </c>
      <c r="E203" s="94" t="b">
        <v>1</v>
      </c>
      <c r="H203" s="9" t="inlineStr">
        <is>
          <t>MOD-000090</t>
        </is>
      </c>
      <c r="I203" s="37" t="inlineStr">
        <is>
          <t>MFG-001</t>
        </is>
      </c>
      <c r="J203" s="37" t="inlineStr">
        <is>
          <t>DF-007</t>
        </is>
      </c>
      <c r="K203" s="37" t="inlineStr">
        <is>
          <t>DT-003</t>
        </is>
      </c>
      <c r="L203" s="36" t="inlineStr">
        <is>
          <t>MacBook Air 13-inch (Intel)</t>
        </is>
      </c>
      <c r="M203" s="36" t="inlineStr">
        <is>
          <t>A1369</t>
        </is>
      </c>
      <c r="N203" s="35" t="n">
        <v>2010</v>
      </c>
      <c r="O203" s="94" t="n">
        <v>90</v>
      </c>
      <c r="P203" s="94" t="inlineStr">
        <is>
          <t>Yes</t>
        </is>
      </c>
    </row>
    <row r="204" ht="43" customHeight="1" s="125">
      <c r="A204" s="94" t="inlineStr">
        <is>
          <t>LCK-000005</t>
        </is>
      </c>
      <c r="B204" s="94" t="inlineStr">
        <is>
          <t>MDM Locked</t>
        </is>
      </c>
      <c r="C204" s="94" t="inlineStr">
        <is>
          <t>MDM Locked</t>
        </is>
      </c>
      <c r="D204" s="94" t="n">
        <v>5</v>
      </c>
      <c r="E204" s="94" t="b">
        <v>1</v>
      </c>
      <c r="H204" s="9" t="inlineStr">
        <is>
          <t>MOD-000091</t>
        </is>
      </c>
      <c r="I204" s="37" t="inlineStr">
        <is>
          <t>MFG-001</t>
        </is>
      </c>
      <c r="J204" s="37" t="inlineStr">
        <is>
          <t>DF-007</t>
        </is>
      </c>
      <c r="K204" s="37" t="inlineStr">
        <is>
          <t>DT-003</t>
        </is>
      </c>
      <c r="L204" s="36" t="inlineStr">
        <is>
          <t>MacBook Air (Retina)</t>
        </is>
      </c>
      <c r="M204" s="36" t="inlineStr">
        <is>
          <t>A1932</t>
        </is>
      </c>
      <c r="N204" s="35" t="n">
        <v>2018</v>
      </c>
      <c r="O204" s="94" t="n">
        <v>91</v>
      </c>
      <c r="P204" s="94" t="inlineStr">
        <is>
          <t>Yes</t>
        </is>
      </c>
    </row>
    <row r="205" ht="21.5" customHeight="1" s="125">
      <c r="A205" s="16" t="n"/>
      <c r="B205" s="16" t="n"/>
      <c r="C205" s="16" t="n"/>
      <c r="D205" s="43" t="n"/>
      <c r="E205" s="40" t="n"/>
      <c r="H205" s="9" t="inlineStr">
        <is>
          <t>MOD-000092</t>
        </is>
      </c>
      <c r="I205" s="37" t="inlineStr">
        <is>
          <t>MFG-001</t>
        </is>
      </c>
      <c r="J205" s="37" t="inlineStr">
        <is>
          <t>DF-007</t>
        </is>
      </c>
      <c r="K205" s="37" t="inlineStr">
        <is>
          <t>DT-003</t>
        </is>
      </c>
      <c r="L205" s="36" t="inlineStr">
        <is>
          <t>MacBook Air (M1)</t>
        </is>
      </c>
      <c r="M205" s="36" t="inlineStr">
        <is>
          <t>A2337</t>
        </is>
      </c>
      <c r="N205" s="35" t="n">
        <v>2020</v>
      </c>
      <c r="O205" s="94" t="n">
        <v>92</v>
      </c>
      <c r="P205" s="94" t="inlineStr">
        <is>
          <t>Yes</t>
        </is>
      </c>
    </row>
    <row r="206" ht="21.5" customHeight="1" s="125">
      <c r="A206" s="42" t="inlineStr">
        <is>
          <t>tblOperatingSystems</t>
        </is>
      </c>
      <c r="B206" s="38" t="n"/>
      <c r="H206" s="9" t="inlineStr">
        <is>
          <t>MOD-000093</t>
        </is>
      </c>
      <c r="I206" s="37" t="inlineStr">
        <is>
          <t>MFG-001</t>
        </is>
      </c>
      <c r="J206" s="37" t="inlineStr">
        <is>
          <t>DF-007</t>
        </is>
      </c>
      <c r="K206" s="37" t="inlineStr">
        <is>
          <t>DT-003</t>
        </is>
      </c>
      <c r="L206" s="36" t="inlineStr">
        <is>
          <t>MacBook Air (M2)</t>
        </is>
      </c>
      <c r="M206" s="36" t="inlineStr">
        <is>
          <t>A2681</t>
        </is>
      </c>
      <c r="N206" s="35" t="n">
        <v>2022</v>
      </c>
      <c r="O206" s="94" t="n">
        <v>93</v>
      </c>
      <c r="P206" s="94" t="inlineStr">
        <is>
          <t>Yes</t>
        </is>
      </c>
    </row>
    <row r="207" ht="43" customHeight="1" s="125">
      <c r="A207" s="6" t="inlineStr">
        <is>
          <t>OperatingSystemID</t>
        </is>
      </c>
      <c r="B207" s="6" t="inlineStr">
        <is>
          <t>OperatingSystem</t>
        </is>
      </c>
      <c r="C207" s="17" t="n"/>
      <c r="D207" s="52" t="inlineStr">
        <is>
          <t>Tool Category ID</t>
        </is>
      </c>
      <c r="E207" s="52" t="inlineStr">
        <is>
          <t>Category</t>
        </is>
      </c>
      <c r="F207" s="17" t="n"/>
      <c r="G207" s="17" t="n"/>
      <c r="H207" s="9" t="inlineStr">
        <is>
          <t>MOD-000094</t>
        </is>
      </c>
      <c r="I207" s="37" t="inlineStr">
        <is>
          <t>MFG-001</t>
        </is>
      </c>
      <c r="J207" s="37" t="inlineStr">
        <is>
          <t>DF-007</t>
        </is>
      </c>
      <c r="K207" s="37" t="inlineStr">
        <is>
          <t>DT-003</t>
        </is>
      </c>
      <c r="L207" s="36" t="inlineStr">
        <is>
          <t>MacBook Air 15-inch (M2)</t>
        </is>
      </c>
      <c r="M207" s="36" t="inlineStr">
        <is>
          <t>A2941</t>
        </is>
      </c>
      <c r="N207" s="35" t="n">
        <v>2023</v>
      </c>
      <c r="O207" s="94" t="n">
        <v>94</v>
      </c>
      <c r="P207" s="94" t="inlineStr">
        <is>
          <t>Yes</t>
        </is>
      </c>
    </row>
    <row r="208" ht="21.5" customHeight="1" s="125">
      <c r="A208" s="16" t="inlineStr">
        <is>
          <t>OS-000001</t>
        </is>
      </c>
      <c r="B208" s="94" t="inlineStr">
        <is>
          <t>Android</t>
        </is>
      </c>
      <c r="C208" s="17" t="n"/>
      <c r="D208" s="65" t="inlineStr">
        <is>
          <t>TCAT001</t>
        </is>
      </c>
      <c r="E208" s="65" t="inlineStr">
        <is>
          <t>Screwdrivers</t>
        </is>
      </c>
      <c r="F208" s="17" t="n"/>
      <c r="G208" s="17" t="n"/>
      <c r="H208" s="9" t="inlineStr">
        <is>
          <t>MOD-000095</t>
        </is>
      </c>
      <c r="I208" s="37" t="inlineStr">
        <is>
          <t>MFG-001</t>
        </is>
      </c>
      <c r="J208" s="37" t="inlineStr">
        <is>
          <t>DF-007</t>
        </is>
      </c>
      <c r="K208" s="37" t="inlineStr">
        <is>
          <t>DT-003</t>
        </is>
      </c>
      <c r="L208" s="36" t="inlineStr">
        <is>
          <t>MacBook Air (M3)</t>
        </is>
      </c>
      <c r="M208" s="36" t="inlineStr">
        <is>
          <t>A3113</t>
        </is>
      </c>
      <c r="N208" s="35" t="n">
        <v>2024</v>
      </c>
      <c r="O208" s="94" t="n">
        <v>95</v>
      </c>
      <c r="P208" s="94" t="inlineStr">
        <is>
          <t>Yes</t>
        </is>
      </c>
    </row>
    <row r="209" ht="43" customHeight="1" s="125">
      <c r="A209" s="16" t="inlineStr">
        <is>
          <t>OS-000002</t>
        </is>
      </c>
      <c r="B209" s="94" t="inlineStr">
        <is>
          <t>iOS</t>
        </is>
      </c>
      <c r="D209" s="65" t="inlineStr">
        <is>
          <t>TCAT002</t>
        </is>
      </c>
      <c r="E209" s="65" t="inlineStr">
        <is>
          <t>Opening Tools</t>
        </is>
      </c>
      <c r="H209" s="9" t="inlineStr">
        <is>
          <t>MOD-000096</t>
        </is>
      </c>
      <c r="I209" s="37" t="inlineStr">
        <is>
          <t>MFG-001</t>
        </is>
      </c>
      <c r="J209" s="37" t="inlineStr">
        <is>
          <t>DF-007</t>
        </is>
      </c>
      <c r="K209" s="37" t="inlineStr">
        <is>
          <t>DT-003</t>
        </is>
      </c>
      <c r="L209" s="36" t="inlineStr">
        <is>
          <t>MacBook Air 15-inch (M3)</t>
        </is>
      </c>
      <c r="M209" s="36" t="inlineStr">
        <is>
          <t>A3114</t>
        </is>
      </c>
      <c r="N209" s="35" t="n">
        <v>2024</v>
      </c>
      <c r="O209" s="94" t="n">
        <v>96</v>
      </c>
      <c r="P209" s="94" t="inlineStr">
        <is>
          <t>Yes</t>
        </is>
      </c>
    </row>
    <row r="210" ht="43" customHeight="1" s="125">
      <c r="A210" s="16" t="inlineStr">
        <is>
          <t>OS-000003</t>
        </is>
      </c>
      <c r="B210" s="94" t="inlineStr">
        <is>
          <t>iPadOS</t>
        </is>
      </c>
      <c r="C210" s="41" t="n"/>
      <c r="D210" s="65" t="inlineStr">
        <is>
          <t>TCAT003</t>
        </is>
      </c>
      <c r="E210" s="65" t="inlineStr">
        <is>
          <t>Pry Tools</t>
        </is>
      </c>
      <c r="H210" s="9" t="inlineStr">
        <is>
          <t>MOD-000097</t>
        </is>
      </c>
      <c r="I210" s="37" t="inlineStr">
        <is>
          <t>MFG-001</t>
        </is>
      </c>
      <c r="J210" s="37" t="inlineStr">
        <is>
          <t>DF-008</t>
        </is>
      </c>
      <c r="K210" s="37" t="inlineStr">
        <is>
          <t>DT-003</t>
        </is>
      </c>
      <c r="L210" s="36" t="inlineStr">
        <is>
          <t>MacBook Pro 13-inch (Intel)</t>
        </is>
      </c>
      <c r="M210" s="36" t="inlineStr">
        <is>
          <t>A1278</t>
        </is>
      </c>
      <c r="N210" s="35" t="n">
        <v>2009</v>
      </c>
      <c r="O210" s="94" t="n">
        <v>97</v>
      </c>
      <c r="P210" s="94" t="inlineStr">
        <is>
          <t>Yes</t>
        </is>
      </c>
    </row>
    <row r="211" ht="43" customHeight="1" s="125">
      <c r="A211" s="16" t="inlineStr">
        <is>
          <t>OS-000004</t>
        </is>
      </c>
      <c r="B211" s="94" t="inlineStr">
        <is>
          <t>HarmonyOS</t>
        </is>
      </c>
      <c r="C211" s="40" t="n"/>
      <c r="D211" s="65" t="inlineStr">
        <is>
          <t>TCAT004</t>
        </is>
      </c>
      <c r="E211" s="65" t="inlineStr">
        <is>
          <t>Tweezers</t>
        </is>
      </c>
      <c r="H211" s="9" t="inlineStr">
        <is>
          <t>MOD-000098</t>
        </is>
      </c>
      <c r="I211" s="37" t="inlineStr">
        <is>
          <t>MFG-001</t>
        </is>
      </c>
      <c r="J211" s="37" t="inlineStr">
        <is>
          <t>DF-008</t>
        </is>
      </c>
      <c r="K211" s="37" t="inlineStr">
        <is>
          <t>DT-003</t>
        </is>
      </c>
      <c r="L211" s="36" t="inlineStr">
        <is>
          <t>MacBook Pro Retina 13-inch</t>
        </is>
      </c>
      <c r="M211" s="36" t="inlineStr">
        <is>
          <t>A1425</t>
        </is>
      </c>
      <c r="N211" s="35" t="n">
        <v>2012</v>
      </c>
      <c r="O211" s="94" t="n">
        <v>98</v>
      </c>
      <c r="P211" s="94" t="inlineStr">
        <is>
          <t>Yes</t>
        </is>
      </c>
    </row>
    <row r="212" ht="43" customHeight="1" s="125">
      <c r="A212" s="16" t="inlineStr">
        <is>
          <t>OS-000005</t>
        </is>
      </c>
      <c r="B212" s="94" t="inlineStr">
        <is>
          <t>Windows</t>
        </is>
      </c>
      <c r="C212" s="40" t="n"/>
      <c r="D212" s="65" t="inlineStr">
        <is>
          <t>TCAT005</t>
        </is>
      </c>
      <c r="E212" s="65" t="inlineStr">
        <is>
          <t>Heating Equipment</t>
        </is>
      </c>
      <c r="F212" s="17" t="n"/>
      <c r="G212" s="33" t="n"/>
      <c r="H212" s="9" t="inlineStr">
        <is>
          <t>MOD-000099</t>
        </is>
      </c>
      <c r="I212" s="37" t="inlineStr">
        <is>
          <t>MFG-001</t>
        </is>
      </c>
      <c r="J212" s="37" t="inlineStr">
        <is>
          <t>DF-008</t>
        </is>
      </c>
      <c r="K212" s="37" t="inlineStr">
        <is>
          <t>DT-003</t>
        </is>
      </c>
      <c r="L212" s="36" t="inlineStr">
        <is>
          <t>MacBook Pro 14-inch (M1 Pro/Max)</t>
        </is>
      </c>
      <c r="M212" s="36" t="inlineStr">
        <is>
          <t>A2442</t>
        </is>
      </c>
      <c r="N212" s="35" t="n">
        <v>2021</v>
      </c>
      <c r="O212" s="94" t="n">
        <v>99</v>
      </c>
      <c r="P212" s="94" t="inlineStr">
        <is>
          <t>Yes</t>
        </is>
      </c>
    </row>
    <row r="213" ht="43" customHeight="1" s="125">
      <c r="A213" s="16" t="inlineStr">
        <is>
          <t>OS-000006</t>
        </is>
      </c>
      <c r="B213" s="94" t="inlineStr">
        <is>
          <t>macOS</t>
        </is>
      </c>
      <c r="C213" s="40" t="n"/>
      <c r="D213" s="65" t="inlineStr">
        <is>
          <t>TCAT006</t>
        </is>
      </c>
      <c r="E213" s="65" t="inlineStr">
        <is>
          <t>Cleaning Tools</t>
        </is>
      </c>
      <c r="H213" s="9" t="inlineStr">
        <is>
          <t>MOD-000100</t>
        </is>
      </c>
      <c r="I213" s="37" t="inlineStr">
        <is>
          <t>MFG-001</t>
        </is>
      </c>
      <c r="J213" s="37" t="inlineStr">
        <is>
          <t>DF-008</t>
        </is>
      </c>
      <c r="K213" s="37" t="inlineStr">
        <is>
          <t>DT-003</t>
        </is>
      </c>
      <c r="L213" s="36" t="inlineStr">
        <is>
          <t>MacBook Pro 16-inch (M1 Pro/Max)</t>
        </is>
      </c>
      <c r="M213" s="36" t="inlineStr">
        <is>
          <t>A2485</t>
        </is>
      </c>
      <c r="N213" s="35" t="n">
        <v>2021</v>
      </c>
      <c r="O213" s="94" t="n">
        <v>100</v>
      </c>
      <c r="P213" s="94" t="inlineStr">
        <is>
          <t>Yes</t>
        </is>
      </c>
    </row>
    <row r="214" ht="43" customHeight="1" s="125">
      <c r="A214" s="16" t="inlineStr">
        <is>
          <t>OS-000007</t>
        </is>
      </c>
      <c r="B214" s="94" t="inlineStr">
        <is>
          <t>ChromeOS</t>
        </is>
      </c>
      <c r="C214" s="40" t="n"/>
      <c r="D214" s="65" t="inlineStr">
        <is>
          <t>TCAT007</t>
        </is>
      </c>
      <c r="E214" s="65" t="inlineStr">
        <is>
          <t>Measuring Equipment</t>
        </is>
      </c>
      <c r="H214" s="9" t="inlineStr">
        <is>
          <t>MOD-000101</t>
        </is>
      </c>
      <c r="I214" s="37" t="inlineStr">
        <is>
          <t>MFG-001</t>
        </is>
      </c>
      <c r="J214" s="37" t="inlineStr">
        <is>
          <t>DF-008</t>
        </is>
      </c>
      <c r="K214" s="37" t="inlineStr">
        <is>
          <t>DT-003</t>
        </is>
      </c>
      <c r="L214" s="36" t="inlineStr">
        <is>
          <t>MacBook Pro 14-inch (M3 Family)</t>
        </is>
      </c>
      <c r="M214" s="36" t="inlineStr">
        <is>
          <t>A2992</t>
        </is>
      </c>
      <c r="N214" s="35" t="n">
        <v>2023</v>
      </c>
      <c r="O214" s="94" t="n">
        <v>101</v>
      </c>
      <c r="P214" s="94" t="inlineStr">
        <is>
          <t>Yes</t>
        </is>
      </c>
    </row>
    <row r="215" ht="43" customHeight="1" s="125">
      <c r="A215" s="16" t="inlineStr">
        <is>
          <t>OS-000008</t>
        </is>
      </c>
      <c r="B215" s="94" t="inlineStr">
        <is>
          <t>Fire OS</t>
        </is>
      </c>
      <c r="C215" s="40" t="n"/>
      <c r="D215" s="65" t="inlineStr">
        <is>
          <t>TCAT008</t>
        </is>
      </c>
      <c r="E215" s="65" t="inlineStr">
        <is>
          <t>Soldering Equipment</t>
        </is>
      </c>
      <c r="H215" s="9" t="inlineStr">
        <is>
          <t>MOD-000102</t>
        </is>
      </c>
      <c r="I215" s="37" t="inlineStr">
        <is>
          <t>MFG-001</t>
        </is>
      </c>
      <c r="J215" s="37" t="inlineStr">
        <is>
          <t>DF-008</t>
        </is>
      </c>
      <c r="K215" s="37" t="inlineStr">
        <is>
          <t>DT-003</t>
        </is>
      </c>
      <c r="L215" s="36" t="inlineStr">
        <is>
          <t>MacBook Pro 16-inch (M3 Family)</t>
        </is>
      </c>
      <c r="M215" s="36" t="inlineStr">
        <is>
          <t>A2991</t>
        </is>
      </c>
      <c r="N215" s="35" t="n">
        <v>2023</v>
      </c>
      <c r="O215" s="94" t="n">
        <v>102</v>
      </c>
      <c r="P215" s="94" t="inlineStr">
        <is>
          <t>Yes</t>
        </is>
      </c>
    </row>
    <row r="216" ht="21.5" customHeight="1" s="125">
      <c r="A216" s="16" t="inlineStr">
        <is>
          <t>OS-000009</t>
        </is>
      </c>
      <c r="B216" s="94" t="inlineStr">
        <is>
          <t>SteamOS</t>
        </is>
      </c>
      <c r="C216" s="40" t="n"/>
      <c r="D216" s="65" t="inlineStr">
        <is>
          <t>TCAT009</t>
        </is>
      </c>
      <c r="E216" s="65" t="inlineStr">
        <is>
          <t>Microscopes</t>
        </is>
      </c>
      <c r="F216" s="17" t="n"/>
      <c r="G216" s="17" t="n"/>
      <c r="H216" s="9" t="inlineStr">
        <is>
          <t>MOD-000103</t>
        </is>
      </c>
      <c r="I216" s="37" t="inlineStr">
        <is>
          <t>MFG-001</t>
        </is>
      </c>
      <c r="J216" s="37" t="inlineStr">
        <is>
          <t>DF-009</t>
        </is>
      </c>
      <c r="K216" s="37" t="inlineStr">
        <is>
          <t>DT-004</t>
        </is>
      </c>
      <c r="L216" s="36" t="inlineStr">
        <is>
          <t>iMac G3</t>
        </is>
      </c>
      <c r="M216" s="36" t="inlineStr">
        <is>
          <t>M4984</t>
        </is>
      </c>
      <c r="N216" s="35" t="n">
        <v>1998</v>
      </c>
      <c r="O216" s="94" t="n">
        <v>103</v>
      </c>
      <c r="P216" s="94" t="inlineStr">
        <is>
          <t>Yes</t>
        </is>
      </c>
    </row>
    <row r="217" ht="21.5" customHeight="1" s="125">
      <c r="A217" s="16" t="inlineStr">
        <is>
          <t>OS-000010</t>
        </is>
      </c>
      <c r="B217" s="94" t="inlineStr">
        <is>
          <t>Nintendo OS</t>
        </is>
      </c>
      <c r="C217" s="40" t="n"/>
      <c r="D217" s="65" t="inlineStr">
        <is>
          <t>TCAT010</t>
        </is>
      </c>
      <c r="E217" s="65" t="inlineStr">
        <is>
          <t>Safety Equipment</t>
        </is>
      </c>
      <c r="H217" s="9" t="inlineStr">
        <is>
          <t>MOD-000104</t>
        </is>
      </c>
      <c r="I217" s="37" t="inlineStr">
        <is>
          <t>MFG-001</t>
        </is>
      </c>
      <c r="J217" s="37" t="inlineStr">
        <is>
          <t>DF-009</t>
        </is>
      </c>
      <c r="K217" s="37" t="inlineStr">
        <is>
          <t>DT-004</t>
        </is>
      </c>
      <c r="L217" s="36" t="inlineStr">
        <is>
          <t>iMac G4</t>
        </is>
      </c>
      <c r="M217" s="36" t="inlineStr">
        <is>
          <t>M8893</t>
        </is>
      </c>
      <c r="N217" s="35" t="n">
        <v>2002</v>
      </c>
      <c r="O217" s="94" t="n">
        <v>104</v>
      </c>
      <c r="P217" s="94" t="inlineStr">
        <is>
          <t>Yes</t>
        </is>
      </c>
    </row>
    <row r="218" ht="21.5" customHeight="1" s="125">
      <c r="A218" s="16" t="inlineStr">
        <is>
          <t>OS-000011</t>
        </is>
      </c>
      <c r="B218" s="94" t="inlineStr">
        <is>
          <t>PlayStation OS</t>
        </is>
      </c>
      <c r="C218" s="40" t="n"/>
      <c r="D218" s="16" t="n"/>
      <c r="E218" s="39" t="n"/>
      <c r="F218" s="17" t="n"/>
      <c r="G218" s="33" t="n"/>
      <c r="H218" s="9" t="inlineStr">
        <is>
          <t>MOD-000105</t>
        </is>
      </c>
      <c r="I218" s="37" t="inlineStr">
        <is>
          <t>MFG-001</t>
        </is>
      </c>
      <c r="J218" s="37" t="inlineStr">
        <is>
          <t>DF-009</t>
        </is>
      </c>
      <c r="K218" s="37" t="inlineStr">
        <is>
          <t>DT-004</t>
        </is>
      </c>
      <c r="L218" s="36" t="inlineStr">
        <is>
          <t>iMac G5</t>
        </is>
      </c>
      <c r="M218" s="36" t="inlineStr">
        <is>
          <t>A1058</t>
        </is>
      </c>
      <c r="N218" s="35" t="n">
        <v>2004</v>
      </c>
      <c r="O218" s="94" t="n">
        <v>105</v>
      </c>
      <c r="P218" s="94" t="inlineStr">
        <is>
          <t>Yes</t>
        </is>
      </c>
    </row>
    <row r="219" ht="21.5" customHeight="1" s="125">
      <c r="A219" s="16" t="inlineStr">
        <is>
          <t>OS-000012</t>
        </is>
      </c>
      <c r="B219" s="94" t="inlineStr">
        <is>
          <t>Xbox OS</t>
        </is>
      </c>
      <c r="C219" s="40" t="n"/>
      <c r="D219" s="16" t="n"/>
      <c r="E219" s="39" t="n"/>
      <c r="F219" s="17" t="n"/>
      <c r="G219" s="33" t="n"/>
      <c r="H219" s="9" t="inlineStr">
        <is>
          <t>MOD-000106</t>
        </is>
      </c>
      <c r="I219" s="37" t="inlineStr">
        <is>
          <t>MFG-001</t>
        </is>
      </c>
      <c r="J219" s="37" t="inlineStr">
        <is>
          <t>DF-009</t>
        </is>
      </c>
      <c r="K219" s="37" t="inlineStr">
        <is>
          <t>DT-004</t>
        </is>
      </c>
      <c r="L219" s="36" t="inlineStr">
        <is>
          <t>iMac Intel</t>
        </is>
      </c>
      <c r="M219" s="36" t="inlineStr">
        <is>
          <t>A1173</t>
        </is>
      </c>
      <c r="N219" s="35" t="n">
        <v>2006</v>
      </c>
      <c r="O219" s="94" t="n">
        <v>106</v>
      </c>
      <c r="P219" s="94" t="inlineStr">
        <is>
          <t>Yes</t>
        </is>
      </c>
    </row>
    <row r="220" ht="21.5" customHeight="1" s="125">
      <c r="A220" s="16" t="n"/>
      <c r="B220" s="16" t="n"/>
      <c r="C220" s="40" t="n"/>
      <c r="D220" s="16" t="n"/>
      <c r="E220" s="39" t="n"/>
      <c r="F220" s="17" t="n"/>
      <c r="G220" s="17" t="n"/>
      <c r="H220" s="9" t="inlineStr">
        <is>
          <t>MOD-000107</t>
        </is>
      </c>
      <c r="I220" s="37" t="inlineStr">
        <is>
          <t>MFG-001</t>
        </is>
      </c>
      <c r="J220" s="37" t="inlineStr">
        <is>
          <t>DF-009</t>
        </is>
      </c>
      <c r="K220" s="37" t="inlineStr">
        <is>
          <t>DT-004</t>
        </is>
      </c>
      <c r="L220" s="36" t="inlineStr">
        <is>
          <t>iMac 21.5-inch</t>
        </is>
      </c>
      <c r="M220" s="36" t="inlineStr">
        <is>
          <t>A1311</t>
        </is>
      </c>
      <c r="N220" s="35" t="n">
        <v>2009</v>
      </c>
      <c r="O220" s="94" t="n">
        <v>107</v>
      </c>
      <c r="P220" s="94" t="inlineStr">
        <is>
          <t>Yes</t>
        </is>
      </c>
    </row>
    <row r="221" ht="21.5" customHeight="1" s="125">
      <c r="A221" s="3" t="inlineStr">
        <is>
          <t>ChargingTypeID</t>
        </is>
      </c>
      <c r="H221" s="9" t="inlineStr">
        <is>
          <t>MOD-000108</t>
        </is>
      </c>
      <c r="I221" s="37" t="inlineStr">
        <is>
          <t>MFG-001</t>
        </is>
      </c>
      <c r="J221" s="37" t="inlineStr">
        <is>
          <t>DF-009</t>
        </is>
      </c>
      <c r="K221" s="37" t="inlineStr">
        <is>
          <t>DT-004</t>
        </is>
      </c>
      <c r="L221" s="36" t="inlineStr">
        <is>
          <t>iMac 27-inch</t>
        </is>
      </c>
      <c r="M221" s="36" t="inlineStr">
        <is>
          <t>A1312</t>
        </is>
      </c>
      <c r="N221" s="35" t="n">
        <v>2009</v>
      </c>
      <c r="O221" s="94" t="n">
        <v>108</v>
      </c>
      <c r="P221" s="94" t="inlineStr">
        <is>
          <t>Yes</t>
        </is>
      </c>
    </row>
    <row r="222" ht="21.5" customHeight="1" s="125">
      <c r="A222" s="6" t="inlineStr">
        <is>
          <t>ChargingTypeID</t>
        </is>
      </c>
      <c r="B222" s="6" t="inlineStr">
        <is>
          <t>ChargingType</t>
        </is>
      </c>
      <c r="H222" s="9" t="inlineStr">
        <is>
          <t>MOD-000109</t>
        </is>
      </c>
      <c r="I222" s="37" t="inlineStr">
        <is>
          <t>MFG-001</t>
        </is>
      </c>
      <c r="J222" s="37" t="inlineStr">
        <is>
          <t>DF-009</t>
        </is>
      </c>
      <c r="K222" s="37" t="inlineStr">
        <is>
          <t>DT-004</t>
        </is>
      </c>
      <c r="L222" s="36" t="inlineStr">
        <is>
          <t>iMac Retina 4K</t>
        </is>
      </c>
      <c r="M222" s="36" t="inlineStr">
        <is>
          <t>A1418</t>
        </is>
      </c>
      <c r="N222" s="35" t="n">
        <v>2015</v>
      </c>
      <c r="O222" s="94" t="n">
        <v>109</v>
      </c>
      <c r="P222" s="94" t="inlineStr">
        <is>
          <t>Yes</t>
        </is>
      </c>
    </row>
    <row r="223" ht="21.5" customHeight="1" s="125">
      <c r="A223" s="16" t="inlineStr">
        <is>
          <t>CHG-000001</t>
        </is>
      </c>
      <c r="B223" s="94" t="inlineStr">
        <is>
          <t>USB-C</t>
        </is>
      </c>
      <c r="H223" s="9" t="inlineStr">
        <is>
          <t>MOD-000110</t>
        </is>
      </c>
      <c r="I223" s="37" t="inlineStr">
        <is>
          <t>MFG-001</t>
        </is>
      </c>
      <c r="J223" s="37" t="inlineStr">
        <is>
          <t>DF-009</t>
        </is>
      </c>
      <c r="K223" s="37" t="inlineStr">
        <is>
          <t>DT-004</t>
        </is>
      </c>
      <c r="L223" s="36" t="inlineStr">
        <is>
          <t>iMac Retina 5K</t>
        </is>
      </c>
      <c r="M223" s="36" t="inlineStr">
        <is>
          <t>A1419</t>
        </is>
      </c>
      <c r="N223" s="35" t="n">
        <v>2015</v>
      </c>
      <c r="O223" s="94" t="n">
        <v>110</v>
      </c>
      <c r="P223" s="94" t="inlineStr">
        <is>
          <t>Yes</t>
        </is>
      </c>
    </row>
    <row r="224" ht="21.5" customHeight="1" s="125">
      <c r="A224" s="16" t="inlineStr">
        <is>
          <t>CHG-000002</t>
        </is>
      </c>
      <c r="B224" s="94" t="inlineStr">
        <is>
          <t>Lightning</t>
        </is>
      </c>
      <c r="H224" s="9" t="inlineStr">
        <is>
          <t>MOD-000111</t>
        </is>
      </c>
      <c r="I224" s="37" t="inlineStr">
        <is>
          <t>MFG-001</t>
        </is>
      </c>
      <c r="J224" s="37" t="inlineStr">
        <is>
          <t>DF-009</t>
        </is>
      </c>
      <c r="K224" s="37" t="inlineStr">
        <is>
          <t>DT-004</t>
        </is>
      </c>
      <c r="L224" s="36" t="inlineStr">
        <is>
          <t>iMac 24-inch (M1)</t>
        </is>
      </c>
      <c r="M224" s="36" t="inlineStr">
        <is>
          <t>A2438</t>
        </is>
      </c>
      <c r="N224" s="35" t="n">
        <v>2021</v>
      </c>
      <c r="O224" s="94" t="n">
        <v>111</v>
      </c>
      <c r="P224" s="94" t="inlineStr">
        <is>
          <t>Yes</t>
        </is>
      </c>
    </row>
    <row r="225" ht="21.5" customHeight="1" s="125">
      <c r="A225" s="16" t="inlineStr">
        <is>
          <t>CHG-000003</t>
        </is>
      </c>
      <c r="B225" s="94" t="inlineStr">
        <is>
          <t>Micro USB</t>
        </is>
      </c>
      <c r="H225" s="9" t="inlineStr">
        <is>
          <t>MOD-000112</t>
        </is>
      </c>
      <c r="I225" s="37" t="inlineStr">
        <is>
          <t>MFG-001</t>
        </is>
      </c>
      <c r="J225" s="37" t="inlineStr">
        <is>
          <t>DF-010</t>
        </is>
      </c>
      <c r="K225" s="37" t="inlineStr">
        <is>
          <t>DT-004</t>
        </is>
      </c>
      <c r="L225" s="36" t="inlineStr">
        <is>
          <t>iMac Pro</t>
        </is>
      </c>
      <c r="M225" s="36" t="inlineStr">
        <is>
          <t>A1862</t>
        </is>
      </c>
      <c r="N225" s="35" t="n">
        <v>2017</v>
      </c>
      <c r="O225" s="94" t="n">
        <v>112</v>
      </c>
      <c r="P225" s="94" t="inlineStr">
        <is>
          <t>Yes</t>
        </is>
      </c>
    </row>
    <row r="226" ht="43" customHeight="1" s="125">
      <c r="A226" s="16" t="inlineStr">
        <is>
          <t>CHG-000004</t>
        </is>
      </c>
      <c r="B226" s="94" t="inlineStr">
        <is>
          <t>Mini USB</t>
        </is>
      </c>
      <c r="H226" s="9" t="inlineStr">
        <is>
          <t>MOD-000113</t>
        </is>
      </c>
      <c r="I226" s="37" t="inlineStr">
        <is>
          <t>MFG-001</t>
        </is>
      </c>
      <c r="J226" s="37" t="inlineStr">
        <is>
          <t>DF-011</t>
        </is>
      </c>
      <c r="K226" s="37" t="inlineStr">
        <is>
          <t>DT-004</t>
        </is>
      </c>
      <c r="L226" s="36" t="inlineStr">
        <is>
          <t>Mac mini (PowerPC)</t>
        </is>
      </c>
      <c r="M226" s="36" t="inlineStr">
        <is>
          <t>A1103</t>
        </is>
      </c>
      <c r="N226" s="35" t="n">
        <v>2005</v>
      </c>
      <c r="O226" s="94" t="n">
        <v>113</v>
      </c>
      <c r="P226" s="94" t="inlineStr">
        <is>
          <t>Yes</t>
        </is>
      </c>
    </row>
    <row r="227" ht="21.5" customHeight="1" s="125">
      <c r="A227" s="16" t="inlineStr">
        <is>
          <t>CHG-000005</t>
        </is>
      </c>
      <c r="B227" s="94" t="inlineStr">
        <is>
          <t>MagSafe</t>
        </is>
      </c>
      <c r="H227" s="9" t="inlineStr">
        <is>
          <t>MOD-000114</t>
        </is>
      </c>
      <c r="I227" s="37" t="inlineStr">
        <is>
          <t>MFG-001</t>
        </is>
      </c>
      <c r="J227" s="37" t="inlineStr">
        <is>
          <t>DF-011</t>
        </is>
      </c>
      <c r="K227" s="37" t="inlineStr">
        <is>
          <t>DT-004</t>
        </is>
      </c>
      <c r="L227" s="36" t="inlineStr">
        <is>
          <t>Mac mini (Intel)</t>
        </is>
      </c>
      <c r="M227" s="36" t="inlineStr">
        <is>
          <t>A1176</t>
        </is>
      </c>
      <c r="N227" s="35" t="n">
        <v>2006</v>
      </c>
      <c r="O227" s="94" t="n">
        <v>114</v>
      </c>
      <c r="P227" s="94" t="inlineStr">
        <is>
          <t>Yes</t>
        </is>
      </c>
    </row>
    <row r="228" ht="21.5" customHeight="1" s="125">
      <c r="A228" s="16" t="inlineStr">
        <is>
          <t>CHG-000006</t>
        </is>
      </c>
      <c r="B228" s="94" t="inlineStr">
        <is>
          <t>30-pin</t>
        </is>
      </c>
      <c r="H228" s="9" t="inlineStr">
        <is>
          <t>MOD-000115</t>
        </is>
      </c>
      <c r="I228" s="37" t="inlineStr">
        <is>
          <t>MFG-001</t>
        </is>
      </c>
      <c r="J228" s="37" t="inlineStr">
        <is>
          <t>DF-011</t>
        </is>
      </c>
      <c r="K228" s="37" t="inlineStr">
        <is>
          <t>DT-004</t>
        </is>
      </c>
      <c r="L228" s="36" t="inlineStr">
        <is>
          <t>Mac mini (M1)</t>
        </is>
      </c>
      <c r="M228" s="36" t="inlineStr">
        <is>
          <t>A2348</t>
        </is>
      </c>
      <c r="N228" s="35" t="n">
        <v>2020</v>
      </c>
      <c r="O228" s="94" t="n">
        <v>115</v>
      </c>
      <c r="P228" s="94" t="inlineStr">
        <is>
          <t>Yes</t>
        </is>
      </c>
    </row>
    <row r="229" ht="21.5" customHeight="1" s="125">
      <c r="A229" s="16" t="inlineStr">
        <is>
          <t>CHG-000007</t>
        </is>
      </c>
      <c r="B229" s="94" t="inlineStr">
        <is>
          <t>Wireless</t>
        </is>
      </c>
      <c r="H229" s="9" t="inlineStr">
        <is>
          <t>MOD-000116</t>
        </is>
      </c>
      <c r="I229" s="37" t="inlineStr">
        <is>
          <t>MFG-001</t>
        </is>
      </c>
      <c r="J229" s="37" t="inlineStr">
        <is>
          <t>DF-011</t>
        </is>
      </c>
      <c r="K229" s="37" t="inlineStr">
        <is>
          <t>DT-004</t>
        </is>
      </c>
      <c r="L229" s="36" t="inlineStr">
        <is>
          <t>Mac mini (M2)</t>
        </is>
      </c>
      <c r="M229" s="36" t="inlineStr">
        <is>
          <t>A2686</t>
        </is>
      </c>
      <c r="N229" s="35" t="n">
        <v>2023</v>
      </c>
      <c r="O229" s="94" t="n">
        <v>116</v>
      </c>
      <c r="P229" s="94" t="inlineStr">
        <is>
          <t>Yes</t>
        </is>
      </c>
    </row>
    <row r="230" ht="43" customHeight="1" s="125">
      <c r="A230" s="16" t="inlineStr">
        <is>
          <t>CHG-000008</t>
        </is>
      </c>
      <c r="B230" s="94" t="inlineStr">
        <is>
          <t>Barrel Jack</t>
        </is>
      </c>
      <c r="C230" s="17" t="n"/>
      <c r="D230" s="17" t="n"/>
      <c r="E230" s="39" t="n"/>
      <c r="F230" s="17" t="n"/>
      <c r="G230" s="33" t="n"/>
      <c r="H230" s="9" t="inlineStr">
        <is>
          <t>MOD-000117</t>
        </is>
      </c>
      <c r="I230" s="37" t="inlineStr">
        <is>
          <t>MFG-001</t>
        </is>
      </c>
      <c r="J230" s="37" t="inlineStr">
        <is>
          <t>DF-012</t>
        </is>
      </c>
      <c r="K230" s="37" t="inlineStr">
        <is>
          <t>DT-004</t>
        </is>
      </c>
      <c r="L230" s="36" t="inlineStr">
        <is>
          <t>Mac Studio (M1 Max)</t>
        </is>
      </c>
      <c r="M230" s="36" t="inlineStr">
        <is>
          <t>A2615</t>
        </is>
      </c>
      <c r="N230" s="35" t="n">
        <v>2022</v>
      </c>
      <c r="O230" s="94" t="n">
        <v>117</v>
      </c>
      <c r="P230" s="94" t="inlineStr">
        <is>
          <t>Yes</t>
        </is>
      </c>
    </row>
    <row r="231" ht="43" customHeight="1" s="125">
      <c r="H231" s="9" t="inlineStr">
        <is>
          <t>MOD-000118</t>
        </is>
      </c>
      <c r="I231" s="37" t="inlineStr">
        <is>
          <t>MFG-001</t>
        </is>
      </c>
      <c r="J231" s="37" t="inlineStr">
        <is>
          <t>DF-012</t>
        </is>
      </c>
      <c r="K231" s="37" t="inlineStr">
        <is>
          <t>DT-004</t>
        </is>
      </c>
      <c r="L231" s="36" t="inlineStr">
        <is>
          <t>Mac Studio (M1 Ultra)</t>
        </is>
      </c>
      <c r="M231" s="36" t="inlineStr">
        <is>
          <t>A2615</t>
        </is>
      </c>
      <c r="N231" s="35" t="n">
        <v>2022</v>
      </c>
      <c r="O231" s="94" t="n">
        <v>118</v>
      </c>
      <c r="P231" s="94" t="inlineStr">
        <is>
          <t>Yes</t>
        </is>
      </c>
    </row>
    <row r="232" ht="43" customHeight="1" s="125">
      <c r="A232" s="3" t="inlineStr">
        <is>
          <t>tblWaterResistanceRatings</t>
        </is>
      </c>
      <c r="H232" s="9" t="inlineStr">
        <is>
          <t>MOD-000119</t>
        </is>
      </c>
      <c r="I232" s="37" t="inlineStr">
        <is>
          <t>MFG-001</t>
        </is>
      </c>
      <c r="J232" s="37" t="inlineStr">
        <is>
          <t>DF-012</t>
        </is>
      </c>
      <c r="K232" s="37" t="inlineStr">
        <is>
          <t>DT-004</t>
        </is>
      </c>
      <c r="L232" s="36" t="inlineStr">
        <is>
          <t>Mac Studio (M2 Max)</t>
        </is>
      </c>
      <c r="M232" s="36" t="inlineStr">
        <is>
          <t>A2901</t>
        </is>
      </c>
      <c r="N232" s="35" t="n">
        <v>2023</v>
      </c>
      <c r="O232" s="94" t="n">
        <v>119</v>
      </c>
      <c r="P232" s="94" t="inlineStr">
        <is>
          <t>Yes</t>
        </is>
      </c>
    </row>
    <row r="233" ht="43" customHeight="1" s="125">
      <c r="A233" s="6" t="inlineStr">
        <is>
          <t>ID</t>
        </is>
      </c>
      <c r="B233" s="6" t="inlineStr">
        <is>
          <t>Name</t>
        </is>
      </c>
      <c r="C233" s="6" t="inlineStr">
        <is>
          <t>Description</t>
        </is>
      </c>
      <c r="D233" s="6" t="inlineStr">
        <is>
          <t>DisplayOrder</t>
        </is>
      </c>
      <c r="E233" s="6" t="inlineStr">
        <is>
          <t>Active</t>
        </is>
      </c>
      <c r="H233" s="9" t="inlineStr">
        <is>
          <t>MOD-000120</t>
        </is>
      </c>
      <c r="I233" s="37" t="inlineStr">
        <is>
          <t>MFG-001</t>
        </is>
      </c>
      <c r="J233" s="37" t="inlineStr">
        <is>
          <t>DF-012</t>
        </is>
      </c>
      <c r="K233" s="37" t="inlineStr">
        <is>
          <t>DT-004</t>
        </is>
      </c>
      <c r="L233" s="36" t="inlineStr">
        <is>
          <t>Mac Studio (M2 Ultra)</t>
        </is>
      </c>
      <c r="M233" s="36" t="inlineStr">
        <is>
          <t>A2901</t>
        </is>
      </c>
      <c r="N233" s="35" t="n">
        <v>2023</v>
      </c>
      <c r="O233" s="94" t="n">
        <v>120</v>
      </c>
      <c r="P233" s="94" t="inlineStr">
        <is>
          <t>Yes</t>
        </is>
      </c>
    </row>
    <row r="234" ht="43" customHeight="1" s="125">
      <c r="A234" s="94" t="inlineStr">
        <is>
          <t>WTR-000001</t>
        </is>
      </c>
      <c r="B234" s="94" t="inlineStr">
        <is>
          <t>None</t>
        </is>
      </c>
      <c r="C234" s="94" t="inlineStr">
        <is>
          <t>None</t>
        </is>
      </c>
      <c r="D234" s="94" t="n">
        <v>1</v>
      </c>
      <c r="E234" s="94" t="b">
        <v>1</v>
      </c>
      <c r="F234" s="17" t="n"/>
      <c r="G234" s="33" t="n"/>
      <c r="H234" s="9" t="inlineStr">
        <is>
          <t>MOD-000121</t>
        </is>
      </c>
      <c r="I234" s="37" t="inlineStr">
        <is>
          <t>MFG-001</t>
        </is>
      </c>
      <c r="J234" s="37" t="inlineStr">
        <is>
          <t>DF-013</t>
        </is>
      </c>
      <c r="K234" s="37" t="inlineStr">
        <is>
          <t>DT-004</t>
        </is>
      </c>
      <c r="L234" s="36" t="inlineStr">
        <is>
          <t>Mac Pro (Intel Tower)</t>
        </is>
      </c>
      <c r="M234" s="36" t="inlineStr">
        <is>
          <t>A1481</t>
        </is>
      </c>
      <c r="N234" s="35" t="n">
        <v>2013</v>
      </c>
      <c r="O234" s="94" t="n">
        <v>121</v>
      </c>
      <c r="P234" s="94" t="inlineStr">
        <is>
          <t>Yes</t>
        </is>
      </c>
    </row>
    <row r="235" ht="21.5" customHeight="1" s="125">
      <c r="A235" s="94" t="inlineStr">
        <is>
          <t>WTR-000002</t>
        </is>
      </c>
      <c r="B235" s="94" t="inlineStr">
        <is>
          <t>IP52</t>
        </is>
      </c>
      <c r="C235" s="94" t="inlineStr">
        <is>
          <t>IP52</t>
        </is>
      </c>
      <c r="D235" s="94" t="n">
        <v>2</v>
      </c>
      <c r="E235" s="94" t="b">
        <v>1</v>
      </c>
      <c r="H235" s="9" t="inlineStr">
        <is>
          <t>MOD-000122</t>
        </is>
      </c>
      <c r="I235" s="37" t="inlineStr">
        <is>
          <t>MFG-001</t>
        </is>
      </c>
      <c r="J235" s="37" t="inlineStr">
        <is>
          <t>DF-013</t>
        </is>
      </c>
      <c r="K235" s="37" t="inlineStr">
        <is>
          <t>DT-004</t>
        </is>
      </c>
      <c r="L235" s="36" t="inlineStr">
        <is>
          <t>Mac Pro (2019)</t>
        </is>
      </c>
      <c r="M235" s="36" t="inlineStr">
        <is>
          <t>A1991</t>
        </is>
      </c>
      <c r="N235" s="35" t="n">
        <v>2019</v>
      </c>
      <c r="O235" s="94" t="n">
        <v>122</v>
      </c>
      <c r="P235" s="94" t="inlineStr">
        <is>
          <t>Yes</t>
        </is>
      </c>
    </row>
    <row r="236" ht="21.5" customHeight="1" s="125">
      <c r="A236" s="94" t="inlineStr">
        <is>
          <t>WTR-000003</t>
        </is>
      </c>
      <c r="B236" s="94" t="inlineStr">
        <is>
          <t>IP53</t>
        </is>
      </c>
      <c r="C236" s="94" t="inlineStr">
        <is>
          <t>IP53</t>
        </is>
      </c>
      <c r="D236" s="94" t="n">
        <v>3</v>
      </c>
      <c r="E236" s="94" t="b">
        <v>1</v>
      </c>
      <c r="F236" s="17" t="n"/>
      <c r="G236" s="33" t="n"/>
      <c r="H236" s="9" t="inlineStr">
        <is>
          <t>MOD-000123</t>
        </is>
      </c>
      <c r="I236" s="37" t="inlineStr">
        <is>
          <t>MFG-001</t>
        </is>
      </c>
      <c r="J236" s="37" t="inlineStr">
        <is>
          <t>DF-013</t>
        </is>
      </c>
      <c r="K236" s="37" t="inlineStr">
        <is>
          <t>DT-004</t>
        </is>
      </c>
      <c r="L236" s="36" t="inlineStr">
        <is>
          <t>Mac Pro (M2 Ultra)</t>
        </is>
      </c>
      <c r="M236" s="36" t="inlineStr">
        <is>
          <t>A2786</t>
        </is>
      </c>
      <c r="N236" s="35" t="n">
        <v>2023</v>
      </c>
      <c r="O236" s="94" t="n">
        <v>123</v>
      </c>
      <c r="P236" s="94" t="inlineStr">
        <is>
          <t>Yes</t>
        </is>
      </c>
    </row>
    <row r="237" ht="43" customHeight="1" s="125">
      <c r="A237" s="94" t="inlineStr">
        <is>
          <t>WTR-000004</t>
        </is>
      </c>
      <c r="B237" s="94" t="inlineStr">
        <is>
          <t>IP54</t>
        </is>
      </c>
      <c r="C237" s="94" t="inlineStr">
        <is>
          <t>IP54</t>
        </is>
      </c>
      <c r="D237" s="94" t="n">
        <v>4</v>
      </c>
      <c r="E237" s="94" t="b">
        <v>1</v>
      </c>
      <c r="F237" s="17" t="n"/>
      <c r="G237" s="33" t="n"/>
      <c r="H237" s="9" t="inlineStr">
        <is>
          <t>MOD-000124</t>
        </is>
      </c>
      <c r="I237" s="37" t="inlineStr">
        <is>
          <t>MFG-001</t>
        </is>
      </c>
      <c r="J237" s="37" t="inlineStr">
        <is>
          <t>DF-014</t>
        </is>
      </c>
      <c r="K237" s="37" t="inlineStr">
        <is>
          <t>DT-005</t>
        </is>
      </c>
      <c r="L237" s="36" t="inlineStr">
        <is>
          <t>Apple Watch (1st Generation)</t>
        </is>
      </c>
      <c r="M237" s="36" t="inlineStr">
        <is>
          <t>A1553</t>
        </is>
      </c>
      <c r="N237" s="35" t="n">
        <v>2015</v>
      </c>
      <c r="O237" s="94" t="n">
        <v>124</v>
      </c>
      <c r="P237" s="94" t="inlineStr">
        <is>
          <t>Yes</t>
        </is>
      </c>
    </row>
    <row r="238" ht="43" customHeight="1" s="125">
      <c r="A238" s="94" t="inlineStr">
        <is>
          <t>WTR-000005</t>
        </is>
      </c>
      <c r="B238" s="94" t="inlineStr">
        <is>
          <t>IP67</t>
        </is>
      </c>
      <c r="C238" s="94" t="inlineStr">
        <is>
          <t>IP67</t>
        </is>
      </c>
      <c r="D238" s="94" t="n">
        <v>5</v>
      </c>
      <c r="E238" s="94" t="b">
        <v>1</v>
      </c>
      <c r="H238" s="9" t="inlineStr">
        <is>
          <t>MOD-000125</t>
        </is>
      </c>
      <c r="I238" s="37" t="inlineStr">
        <is>
          <t>MFG-001</t>
        </is>
      </c>
      <c r="J238" s="37" t="inlineStr">
        <is>
          <t>DF-014</t>
        </is>
      </c>
      <c r="K238" s="37" t="inlineStr">
        <is>
          <t>DT-005</t>
        </is>
      </c>
      <c r="L238" s="36" t="inlineStr">
        <is>
          <t>Apple Watch Series 1</t>
        </is>
      </c>
      <c r="M238" s="36" t="inlineStr">
        <is>
          <t>A1802</t>
        </is>
      </c>
      <c r="N238" s="35" t="n">
        <v>2016</v>
      </c>
      <c r="O238" s="94" t="n">
        <v>125</v>
      </c>
      <c r="P238" s="94" t="inlineStr">
        <is>
          <t>Yes</t>
        </is>
      </c>
    </row>
    <row r="239" ht="43" customHeight="1" s="125">
      <c r="A239" s="94" t="inlineStr">
        <is>
          <t>WTR-000006</t>
        </is>
      </c>
      <c r="B239" s="94" t="inlineStr">
        <is>
          <t>IP68</t>
        </is>
      </c>
      <c r="C239" s="94" t="inlineStr">
        <is>
          <t>IP68</t>
        </is>
      </c>
      <c r="D239" s="94" t="n">
        <v>6</v>
      </c>
      <c r="E239" s="94" t="b">
        <v>1</v>
      </c>
      <c r="H239" s="9" t="inlineStr">
        <is>
          <t>MOD-000126</t>
        </is>
      </c>
      <c r="I239" s="37" t="inlineStr">
        <is>
          <t>MFG-001</t>
        </is>
      </c>
      <c r="J239" s="37" t="inlineStr">
        <is>
          <t>DF-014</t>
        </is>
      </c>
      <c r="K239" s="37" t="inlineStr">
        <is>
          <t>DT-005</t>
        </is>
      </c>
      <c r="L239" s="36" t="inlineStr">
        <is>
          <t>Apple Watch Series 2</t>
        </is>
      </c>
      <c r="M239" s="36" t="inlineStr">
        <is>
          <t>A1757</t>
        </is>
      </c>
      <c r="N239" s="35" t="n">
        <v>2016</v>
      </c>
      <c r="O239" s="94" t="n">
        <v>126</v>
      </c>
      <c r="P239" s="94" t="inlineStr">
        <is>
          <t>Yes</t>
        </is>
      </c>
    </row>
    <row r="240" ht="43" customHeight="1" s="125">
      <c r="A240" s="94" t="inlineStr">
        <is>
          <t>WTR-000007</t>
        </is>
      </c>
      <c r="B240" s="94" t="inlineStr">
        <is>
          <t>IP69</t>
        </is>
      </c>
      <c r="C240" s="94" t="inlineStr">
        <is>
          <t>IP69</t>
        </is>
      </c>
      <c r="D240" s="94" t="n">
        <v>7</v>
      </c>
      <c r="E240" s="94" t="b">
        <v>1</v>
      </c>
      <c r="H240" s="9" t="inlineStr">
        <is>
          <t>MOD-000127</t>
        </is>
      </c>
      <c r="I240" s="37" t="inlineStr">
        <is>
          <t>MFG-001</t>
        </is>
      </c>
      <c r="J240" s="37" t="inlineStr">
        <is>
          <t>DF-014</t>
        </is>
      </c>
      <c r="K240" s="37" t="inlineStr">
        <is>
          <t>DT-005</t>
        </is>
      </c>
      <c r="L240" s="36" t="inlineStr">
        <is>
          <t>Apple Watch Series 3</t>
        </is>
      </c>
      <c r="M240" s="36" t="inlineStr">
        <is>
          <t>A1858</t>
        </is>
      </c>
      <c r="N240" s="35" t="n">
        <v>2017</v>
      </c>
      <c r="O240" s="94" t="n">
        <v>127</v>
      </c>
      <c r="P240" s="94" t="inlineStr">
        <is>
          <t>Yes</t>
        </is>
      </c>
    </row>
    <row r="241" ht="43" customHeight="1" s="125">
      <c r="A241" s="94" t="inlineStr">
        <is>
          <t>WTR-000008</t>
        </is>
      </c>
      <c r="B241" s="94" t="inlineStr">
        <is>
          <t>IP69K</t>
        </is>
      </c>
      <c r="C241" s="94" t="inlineStr">
        <is>
          <t>IP69K</t>
        </is>
      </c>
      <c r="D241" s="94" t="n">
        <v>8</v>
      </c>
      <c r="E241" s="94" t="b">
        <v>1</v>
      </c>
      <c r="H241" s="9" t="inlineStr">
        <is>
          <t>MOD-000128</t>
        </is>
      </c>
      <c r="I241" s="37" t="inlineStr">
        <is>
          <t>MFG-001</t>
        </is>
      </c>
      <c r="J241" s="37" t="inlineStr">
        <is>
          <t>DF-014</t>
        </is>
      </c>
      <c r="K241" s="37" t="inlineStr">
        <is>
          <t>DT-005</t>
        </is>
      </c>
      <c r="L241" s="36" t="inlineStr">
        <is>
          <t>Apple Watch Series 4</t>
        </is>
      </c>
      <c r="M241" s="36" t="inlineStr">
        <is>
          <t>A1977</t>
        </is>
      </c>
      <c r="N241" s="35" t="n">
        <v>2018</v>
      </c>
      <c r="O241" s="94" t="n">
        <v>128</v>
      </c>
      <c r="P241" s="94" t="inlineStr">
        <is>
          <t>Yes</t>
        </is>
      </c>
    </row>
    <row r="242" ht="43" customHeight="1" s="125">
      <c r="H242" s="9" t="inlineStr">
        <is>
          <t>MOD-000129</t>
        </is>
      </c>
      <c r="I242" s="37" t="inlineStr">
        <is>
          <t>MFG-001</t>
        </is>
      </c>
      <c r="J242" s="37" t="inlineStr">
        <is>
          <t>DF-014</t>
        </is>
      </c>
      <c r="K242" s="37" t="inlineStr">
        <is>
          <t>DT-005</t>
        </is>
      </c>
      <c r="L242" s="36" t="inlineStr">
        <is>
          <t>Apple Watch Series 5</t>
        </is>
      </c>
      <c r="M242" s="36" t="inlineStr">
        <is>
          <t>A2092</t>
        </is>
      </c>
      <c r="N242" s="35" t="n">
        <v>2019</v>
      </c>
      <c r="O242" s="94" t="n">
        <v>129</v>
      </c>
      <c r="P242" s="94" t="inlineStr">
        <is>
          <t>Yes</t>
        </is>
      </c>
    </row>
    <row r="243" ht="43" customHeight="1" s="125">
      <c r="A243" s="3" t="inlineStr">
        <is>
          <t>tblSIMType</t>
        </is>
      </c>
      <c r="H243" s="9" t="inlineStr">
        <is>
          <t>MOD-000130</t>
        </is>
      </c>
      <c r="I243" s="37" t="inlineStr">
        <is>
          <t>MFG-001</t>
        </is>
      </c>
      <c r="J243" s="37" t="inlineStr">
        <is>
          <t>DF-014</t>
        </is>
      </c>
      <c r="K243" s="37" t="inlineStr">
        <is>
          <t>DT-005</t>
        </is>
      </c>
      <c r="L243" s="36" t="inlineStr">
        <is>
          <t>Apple Watch Series 6</t>
        </is>
      </c>
      <c r="M243" s="36" t="inlineStr">
        <is>
          <t>A2291</t>
        </is>
      </c>
      <c r="N243" s="35" t="n">
        <v>2020</v>
      </c>
      <c r="O243" s="94" t="n">
        <v>130</v>
      </c>
      <c r="P243" s="94" t="inlineStr">
        <is>
          <t>Yes</t>
        </is>
      </c>
    </row>
    <row r="244" ht="43" customHeight="1" s="125">
      <c r="A244" s="6" t="inlineStr">
        <is>
          <t>ID</t>
        </is>
      </c>
      <c r="B244" s="6" t="inlineStr">
        <is>
          <t>Name</t>
        </is>
      </c>
      <c r="C244" s="6" t="inlineStr">
        <is>
          <t>Description</t>
        </is>
      </c>
      <c r="D244" s="6" t="inlineStr">
        <is>
          <t>DisplayOrder</t>
        </is>
      </c>
      <c r="E244" s="6" t="inlineStr">
        <is>
          <t>Active</t>
        </is>
      </c>
      <c r="H244" s="9" t="inlineStr">
        <is>
          <t>MOD-000131</t>
        </is>
      </c>
      <c r="I244" s="37" t="inlineStr">
        <is>
          <t>MFG-001</t>
        </is>
      </c>
      <c r="J244" s="37" t="inlineStr">
        <is>
          <t>DF-014</t>
        </is>
      </c>
      <c r="K244" s="37" t="inlineStr">
        <is>
          <t>DT-005</t>
        </is>
      </c>
      <c r="L244" s="36" t="inlineStr">
        <is>
          <t>Apple Watch SE (1st Generation)</t>
        </is>
      </c>
      <c r="M244" s="36" t="inlineStr">
        <is>
          <t>A2351</t>
        </is>
      </c>
      <c r="N244" s="35" t="n">
        <v>2020</v>
      </c>
      <c r="O244" s="94" t="n">
        <v>131</v>
      </c>
      <c r="P244" s="94" t="inlineStr">
        <is>
          <t>Yes</t>
        </is>
      </c>
    </row>
    <row r="245" ht="43" customHeight="1" s="125">
      <c r="A245" s="94" t="inlineStr">
        <is>
          <t>SIM-000001</t>
        </is>
      </c>
      <c r="B245" s="94" t="inlineStr">
        <is>
          <t>Standard SIM</t>
        </is>
      </c>
      <c r="C245" s="94" t="inlineStr">
        <is>
          <t>Standard SIM</t>
        </is>
      </c>
      <c r="D245" s="94" t="n">
        <v>1</v>
      </c>
      <c r="E245" s="94" t="b">
        <v>1</v>
      </c>
      <c r="H245" s="9" t="inlineStr">
        <is>
          <t>MOD-000132</t>
        </is>
      </c>
      <c r="I245" s="37" t="inlineStr">
        <is>
          <t>MFG-001</t>
        </is>
      </c>
      <c r="J245" s="37" t="inlineStr">
        <is>
          <t>DF-014</t>
        </is>
      </c>
      <c r="K245" s="37" t="inlineStr">
        <is>
          <t>DT-005</t>
        </is>
      </c>
      <c r="L245" s="36" t="inlineStr">
        <is>
          <t>Apple Watch Series 7</t>
        </is>
      </c>
      <c r="M245" s="36" t="inlineStr">
        <is>
          <t>A2473</t>
        </is>
      </c>
      <c r="N245" s="35" t="n">
        <v>2021</v>
      </c>
      <c r="O245" s="94" t="n">
        <v>132</v>
      </c>
      <c r="P245" s="94" t="inlineStr">
        <is>
          <t>Yes</t>
        </is>
      </c>
    </row>
    <row r="246" ht="43" customHeight="1" s="125">
      <c r="A246" s="94" t="inlineStr">
        <is>
          <t>SIM-000002</t>
        </is>
      </c>
      <c r="B246" s="94" t="inlineStr">
        <is>
          <t>Micro SIM</t>
        </is>
      </c>
      <c r="C246" s="94" t="inlineStr">
        <is>
          <t>Micro SIM</t>
        </is>
      </c>
      <c r="D246" s="94" t="n">
        <v>2</v>
      </c>
      <c r="E246" s="94" t="b">
        <v>1</v>
      </c>
      <c r="H246" s="9" t="inlineStr">
        <is>
          <t>MOD-000133</t>
        </is>
      </c>
      <c r="I246" s="37" t="inlineStr">
        <is>
          <t>MFG-001</t>
        </is>
      </c>
      <c r="J246" s="37" t="inlineStr">
        <is>
          <t>DF-014</t>
        </is>
      </c>
      <c r="K246" s="37" t="inlineStr">
        <is>
          <t>DT-005</t>
        </is>
      </c>
      <c r="L246" s="36" t="inlineStr">
        <is>
          <t>Apple Watch Series 8</t>
        </is>
      </c>
      <c r="M246" s="36" t="inlineStr">
        <is>
          <t>A2770</t>
        </is>
      </c>
      <c r="N246" s="35" t="n">
        <v>2022</v>
      </c>
      <c r="O246" s="94" t="n">
        <v>133</v>
      </c>
      <c r="P246" s="94" t="inlineStr">
        <is>
          <t>Yes</t>
        </is>
      </c>
    </row>
    <row r="247" ht="21.5" customHeight="1" s="125">
      <c r="A247" s="94" t="inlineStr">
        <is>
          <t>SIM-000003</t>
        </is>
      </c>
      <c r="B247" s="94" t="inlineStr">
        <is>
          <t>Nano SIM</t>
        </is>
      </c>
      <c r="C247" s="94" t="inlineStr">
        <is>
          <t>Nano SIM</t>
        </is>
      </c>
      <c r="D247" s="94" t="n">
        <v>3</v>
      </c>
      <c r="E247" s="94" t="b">
        <v>1</v>
      </c>
      <c r="F247" s="17" t="n"/>
      <c r="G247" s="33" t="n"/>
      <c r="H247" s="9" t="inlineStr">
        <is>
          <t>MOD-000134</t>
        </is>
      </c>
      <c r="I247" s="37" t="inlineStr">
        <is>
          <t>MFG-001</t>
        </is>
      </c>
      <c r="J247" s="37" t="inlineStr">
        <is>
          <t>DF-014</t>
        </is>
      </c>
      <c r="K247" s="37" t="inlineStr">
        <is>
          <t>DT-005</t>
        </is>
      </c>
      <c r="L247" s="36" t="inlineStr">
        <is>
          <t>Apple Watch Ultra</t>
        </is>
      </c>
      <c r="M247" s="36" t="inlineStr">
        <is>
          <t>A2622</t>
        </is>
      </c>
      <c r="N247" s="35" t="n">
        <v>2022</v>
      </c>
      <c r="O247" s="94" t="n">
        <v>134</v>
      </c>
      <c r="P247" s="94" t="inlineStr">
        <is>
          <t>Yes</t>
        </is>
      </c>
    </row>
    <row r="248" ht="43" customHeight="1" s="125">
      <c r="A248" s="94" t="inlineStr">
        <is>
          <t>SIM-000004</t>
        </is>
      </c>
      <c r="B248" s="94" t="inlineStr">
        <is>
          <t>eSIM</t>
        </is>
      </c>
      <c r="C248" s="94" t="inlineStr">
        <is>
          <t>eSIM</t>
        </is>
      </c>
      <c r="D248" s="94" t="n">
        <v>4</v>
      </c>
      <c r="E248" s="94" t="b">
        <v>1</v>
      </c>
      <c r="H248" s="9" t="inlineStr">
        <is>
          <t>MOD-000135</t>
        </is>
      </c>
      <c r="I248" s="37" t="inlineStr">
        <is>
          <t>MFG-001</t>
        </is>
      </c>
      <c r="J248" s="37" t="inlineStr">
        <is>
          <t>DF-014</t>
        </is>
      </c>
      <c r="K248" s="37" t="inlineStr">
        <is>
          <t>DT-005</t>
        </is>
      </c>
      <c r="L248" s="36" t="inlineStr">
        <is>
          <t>Apple Watch SE (2nd Generation)</t>
        </is>
      </c>
      <c r="M248" s="36" t="inlineStr">
        <is>
          <t>A2722</t>
        </is>
      </c>
      <c r="N248" s="35" t="n">
        <v>2022</v>
      </c>
      <c r="O248" s="94" t="n">
        <v>135</v>
      </c>
      <c r="P248" s="94" t="inlineStr">
        <is>
          <t>Yes</t>
        </is>
      </c>
    </row>
    <row r="249" ht="43" customHeight="1" s="125">
      <c r="A249" s="94" t="inlineStr">
        <is>
          <t>SIM-000005</t>
        </is>
      </c>
      <c r="B249" s="94" t="inlineStr">
        <is>
          <t>Nano + eSIM</t>
        </is>
      </c>
      <c r="C249" s="94" t="inlineStr">
        <is>
          <t>Nano + eSIM</t>
        </is>
      </c>
      <c r="D249" s="94" t="n">
        <v>5</v>
      </c>
      <c r="E249" s="94" t="b">
        <v>1</v>
      </c>
      <c r="H249" s="9" t="inlineStr">
        <is>
          <t>MOD-000136</t>
        </is>
      </c>
      <c r="I249" s="37" t="inlineStr">
        <is>
          <t>MFG-001</t>
        </is>
      </c>
      <c r="J249" s="37" t="inlineStr">
        <is>
          <t>DF-014</t>
        </is>
      </c>
      <c r="K249" s="37" t="inlineStr">
        <is>
          <t>DT-005</t>
        </is>
      </c>
      <c r="L249" s="36" t="inlineStr">
        <is>
          <t>Apple Watch Series 9</t>
        </is>
      </c>
      <c r="M249" s="36" t="inlineStr">
        <is>
          <t>A2982</t>
        </is>
      </c>
      <c r="N249" s="35" t="n">
        <v>2023</v>
      </c>
      <c r="O249" s="94" t="n">
        <v>136</v>
      </c>
      <c r="P249" s="94" t="inlineStr">
        <is>
          <t>Yes</t>
        </is>
      </c>
    </row>
    <row r="250" ht="43" customHeight="1" s="125">
      <c r="A250" s="94" t="inlineStr">
        <is>
          <t>SIM-000006</t>
        </is>
      </c>
      <c r="B250" s="94" t="inlineStr">
        <is>
          <t>Dual eSIM</t>
        </is>
      </c>
      <c r="C250" s="94" t="inlineStr">
        <is>
          <t>Dual eSIM</t>
        </is>
      </c>
      <c r="D250" s="94" t="n">
        <v>6</v>
      </c>
      <c r="E250" s="94" t="b">
        <v>1</v>
      </c>
      <c r="H250" s="9" t="inlineStr">
        <is>
          <t>MOD-000137</t>
        </is>
      </c>
      <c r="I250" s="37" t="inlineStr">
        <is>
          <t>MFG-001</t>
        </is>
      </c>
      <c r="J250" s="37" t="inlineStr">
        <is>
          <t>DF-014</t>
        </is>
      </c>
      <c r="K250" s="37" t="inlineStr">
        <is>
          <t>DT-005</t>
        </is>
      </c>
      <c r="L250" s="36" t="inlineStr">
        <is>
          <t>Apple Watch Ultra 2</t>
        </is>
      </c>
      <c r="M250" s="36" t="inlineStr">
        <is>
          <t>A2986</t>
        </is>
      </c>
      <c r="N250" s="35" t="n">
        <v>2023</v>
      </c>
      <c r="O250" s="94" t="n">
        <v>137</v>
      </c>
      <c r="P250" s="94" t="inlineStr">
        <is>
          <t>Yes</t>
        </is>
      </c>
    </row>
    <row r="251" ht="43" customHeight="1" s="125">
      <c r="A251" s="94" t="inlineStr">
        <is>
          <t>SIM-000007</t>
        </is>
      </c>
      <c r="B251" s="94" t="inlineStr">
        <is>
          <t>Wi-Fi Only</t>
        </is>
      </c>
      <c r="C251" s="94" t="inlineStr">
        <is>
          <t>Wi-Fi Only</t>
        </is>
      </c>
      <c r="D251" s="94" t="n">
        <v>7</v>
      </c>
      <c r="E251" s="94" t="b">
        <v>1</v>
      </c>
      <c r="F251" s="17" t="n"/>
      <c r="G251" s="33" t="n"/>
      <c r="H251" s="9" t="inlineStr">
        <is>
          <t>MOD-000138</t>
        </is>
      </c>
      <c r="I251" s="37" t="inlineStr">
        <is>
          <t>MFG-001</t>
        </is>
      </c>
      <c r="J251" s="37" t="inlineStr">
        <is>
          <t>DF-014</t>
        </is>
      </c>
      <c r="K251" s="37" t="inlineStr">
        <is>
          <t>DT-005</t>
        </is>
      </c>
      <c r="L251" s="36" t="inlineStr">
        <is>
          <t>Apple Watch Series 10</t>
        </is>
      </c>
      <c r="M251" s="36" t="inlineStr">
        <is>
          <t>A2997</t>
        </is>
      </c>
      <c r="N251" s="35" t="n">
        <v>2024</v>
      </c>
      <c r="O251" s="94" t="n">
        <v>138</v>
      </c>
      <c r="P251" s="94" t="inlineStr">
        <is>
          <t>Yes</t>
        </is>
      </c>
    </row>
    <row r="252" ht="43" customHeight="1" s="125">
      <c r="A252" s="94" t="n"/>
      <c r="B252" s="94" t="n"/>
      <c r="C252" s="94" t="n"/>
      <c r="D252" s="94" t="n"/>
      <c r="E252" s="94" t="n"/>
      <c r="F252" s="17" t="n"/>
      <c r="G252" s="33" t="n"/>
      <c r="H252" s="9" t="inlineStr">
        <is>
          <t>MOD-000139</t>
        </is>
      </c>
      <c r="I252" s="37" t="inlineStr">
        <is>
          <t>MFG-001</t>
        </is>
      </c>
      <c r="J252" s="37" t="inlineStr">
        <is>
          <t>DF-015</t>
        </is>
      </c>
      <c r="K252" s="37" t="inlineStr">
        <is>
          <t>DT-006</t>
        </is>
      </c>
      <c r="L252" s="36" t="inlineStr">
        <is>
          <t>Apple TV (1st Generation)</t>
        </is>
      </c>
      <c r="M252" s="36" t="inlineStr">
        <is>
          <t>A1218</t>
        </is>
      </c>
      <c r="N252" s="35" t="n">
        <v>2007</v>
      </c>
      <c r="O252" s="94" t="n">
        <v>139</v>
      </c>
      <c r="P252" s="94" t="inlineStr">
        <is>
          <t>Yes</t>
        </is>
      </c>
    </row>
    <row r="253" ht="43" customHeight="1" s="125">
      <c r="A253" s="3" t="inlineStr">
        <is>
          <t>tblNetworkGenerations</t>
        </is>
      </c>
      <c r="C253" s="38" t="n"/>
      <c r="H253" s="9" t="inlineStr">
        <is>
          <t>MOD-000140</t>
        </is>
      </c>
      <c r="I253" s="37" t="inlineStr">
        <is>
          <t>MFG-001</t>
        </is>
      </c>
      <c r="J253" s="37" t="inlineStr">
        <is>
          <t>DF-015</t>
        </is>
      </c>
      <c r="K253" s="37" t="inlineStr">
        <is>
          <t>DT-006</t>
        </is>
      </c>
      <c r="L253" s="36" t="inlineStr">
        <is>
          <t>Apple TV (2nd Generation)</t>
        </is>
      </c>
      <c r="M253" s="36" t="inlineStr">
        <is>
          <t>A1378</t>
        </is>
      </c>
      <c r="N253" s="35" t="n">
        <v>2010</v>
      </c>
      <c r="O253" s="94" t="n">
        <v>140</v>
      </c>
      <c r="P253" s="94" t="inlineStr">
        <is>
          <t>Yes</t>
        </is>
      </c>
    </row>
    <row r="254" ht="43" customHeight="1" s="125">
      <c r="A254" s="6" t="inlineStr">
        <is>
          <t>ID</t>
        </is>
      </c>
      <c r="B254" s="6" t="inlineStr">
        <is>
          <t>Name</t>
        </is>
      </c>
      <c r="C254" s="6" t="inlineStr">
        <is>
          <t>Description</t>
        </is>
      </c>
      <c r="D254" s="6" t="inlineStr">
        <is>
          <t>DisplayOrder</t>
        </is>
      </c>
      <c r="E254" s="6" t="inlineStr">
        <is>
          <t>Active</t>
        </is>
      </c>
      <c r="F254" s="17" t="n"/>
      <c r="G254" s="33" t="n"/>
      <c r="H254" s="9" t="inlineStr">
        <is>
          <t>MOD-000141</t>
        </is>
      </c>
      <c r="I254" s="37" t="inlineStr">
        <is>
          <t>MFG-001</t>
        </is>
      </c>
      <c r="J254" s="37" t="inlineStr">
        <is>
          <t>DF-015</t>
        </is>
      </c>
      <c r="K254" s="37" t="inlineStr">
        <is>
          <t>DT-006</t>
        </is>
      </c>
      <c r="L254" s="36" t="inlineStr">
        <is>
          <t>Apple TV (3rd Generation)</t>
        </is>
      </c>
      <c r="M254" s="36" t="inlineStr">
        <is>
          <t>A1427</t>
        </is>
      </c>
      <c r="N254" s="35" t="n">
        <v>2012</v>
      </c>
      <c r="O254" s="94" t="n">
        <v>141</v>
      </c>
      <c r="P254" s="94" t="inlineStr">
        <is>
          <t>Yes</t>
        </is>
      </c>
    </row>
    <row r="255" ht="21.5" customHeight="1" s="125">
      <c r="A255" s="94" t="inlineStr">
        <is>
          <t>NET-000001</t>
        </is>
      </c>
      <c r="B255" s="94" t="inlineStr">
        <is>
          <t>2G</t>
        </is>
      </c>
      <c r="C255" s="94" t="inlineStr">
        <is>
          <t>2G</t>
        </is>
      </c>
      <c r="D255" s="94" t="n">
        <v>1</v>
      </c>
      <c r="E255" s="94" t="b">
        <v>1</v>
      </c>
      <c r="F255" s="17" t="n"/>
      <c r="G255" s="33" t="n"/>
      <c r="H255" s="9" t="inlineStr">
        <is>
          <t>MOD-000142</t>
        </is>
      </c>
      <c r="I255" s="37" t="inlineStr">
        <is>
          <t>MFG-001</t>
        </is>
      </c>
      <c r="J255" s="37" t="inlineStr">
        <is>
          <t>DF-015</t>
        </is>
      </c>
      <c r="K255" s="37" t="inlineStr">
        <is>
          <t>DT-006</t>
        </is>
      </c>
      <c r="L255" s="36" t="inlineStr">
        <is>
          <t>Apple TV HD</t>
        </is>
      </c>
      <c r="M255" s="36" t="inlineStr">
        <is>
          <t>A1625</t>
        </is>
      </c>
      <c r="N255" s="35" t="n">
        <v>2015</v>
      </c>
      <c r="O255" s="94" t="n">
        <v>142</v>
      </c>
      <c r="P255" s="94" t="inlineStr">
        <is>
          <t>Yes</t>
        </is>
      </c>
    </row>
    <row r="256" ht="43" customHeight="1" s="125">
      <c r="A256" s="94" t="inlineStr">
        <is>
          <t>NET-000002</t>
        </is>
      </c>
      <c r="B256" s="94" t="inlineStr">
        <is>
          <t>3G</t>
        </is>
      </c>
      <c r="C256" s="94" t="inlineStr">
        <is>
          <t>3G</t>
        </is>
      </c>
      <c r="D256" s="94" t="n">
        <v>2</v>
      </c>
      <c r="E256" s="94" t="b">
        <v>1</v>
      </c>
      <c r="H256" s="9" t="inlineStr">
        <is>
          <t>MOD-000143</t>
        </is>
      </c>
      <c r="I256" s="37" t="inlineStr">
        <is>
          <t>MFG-001</t>
        </is>
      </c>
      <c r="J256" s="37" t="inlineStr">
        <is>
          <t>DF-015</t>
        </is>
      </c>
      <c r="K256" s="37" t="inlineStr">
        <is>
          <t>DT-006</t>
        </is>
      </c>
      <c r="L256" s="36" t="inlineStr">
        <is>
          <t>Apple TV 4K (1st Gen)</t>
        </is>
      </c>
      <c r="M256" s="36" t="inlineStr">
        <is>
          <t>A1842</t>
        </is>
      </c>
      <c r="N256" s="35" t="n">
        <v>2017</v>
      </c>
      <c r="O256" s="94" t="n">
        <v>143</v>
      </c>
      <c r="P256" s="94" t="inlineStr">
        <is>
          <t>Yes</t>
        </is>
      </c>
    </row>
    <row r="257" ht="43" customHeight="1" s="125">
      <c r="A257" s="94" t="inlineStr">
        <is>
          <t>NET-000003</t>
        </is>
      </c>
      <c r="B257" s="94" t="inlineStr">
        <is>
          <t>4G LTE</t>
        </is>
      </c>
      <c r="C257" s="94" t="inlineStr">
        <is>
          <t>4G LTE</t>
        </is>
      </c>
      <c r="D257" s="94" t="n">
        <v>3</v>
      </c>
      <c r="E257" s="94" t="b">
        <v>1</v>
      </c>
      <c r="H257" s="9" t="inlineStr">
        <is>
          <t>MOD-000144</t>
        </is>
      </c>
      <c r="I257" s="37" t="inlineStr">
        <is>
          <t>MFG-001</t>
        </is>
      </c>
      <c r="J257" s="37" t="inlineStr">
        <is>
          <t>DF-015</t>
        </is>
      </c>
      <c r="K257" s="37" t="inlineStr">
        <is>
          <t>DT-006</t>
        </is>
      </c>
      <c r="L257" s="36" t="inlineStr">
        <is>
          <t>Apple TV 4K (2nd Gen)</t>
        </is>
      </c>
      <c r="M257" s="36" t="inlineStr">
        <is>
          <t>A2169</t>
        </is>
      </c>
      <c r="N257" s="35" t="n">
        <v>2021</v>
      </c>
      <c r="O257" s="94" t="n">
        <v>144</v>
      </c>
      <c r="P257" s="94" t="inlineStr">
        <is>
          <t>Yes</t>
        </is>
      </c>
    </row>
    <row r="258" ht="43" customHeight="1" s="125">
      <c r="A258" s="94" t="inlineStr">
        <is>
          <t>NET-000004</t>
        </is>
      </c>
      <c r="B258" s="94" t="inlineStr">
        <is>
          <t>5G</t>
        </is>
      </c>
      <c r="C258" s="94" t="inlineStr">
        <is>
          <t>5G</t>
        </is>
      </c>
      <c r="D258" s="94" t="n">
        <v>4</v>
      </c>
      <c r="E258" s="94" t="b">
        <v>1</v>
      </c>
      <c r="H258" s="9" t="inlineStr">
        <is>
          <t>MOD-000145</t>
        </is>
      </c>
      <c r="I258" s="37" t="inlineStr">
        <is>
          <t>MFG-001</t>
        </is>
      </c>
      <c r="J258" s="37" t="inlineStr">
        <is>
          <t>DF-015</t>
        </is>
      </c>
      <c r="K258" s="37" t="inlineStr">
        <is>
          <t>DT-006</t>
        </is>
      </c>
      <c r="L258" s="36" t="inlineStr">
        <is>
          <t>Apple TV 4K (3rd Gen)</t>
        </is>
      </c>
      <c r="M258" s="36" t="inlineStr">
        <is>
          <t>A2843</t>
        </is>
      </c>
      <c r="N258" s="35" t="n">
        <v>2022</v>
      </c>
      <c r="O258" s="94" t="n">
        <v>145</v>
      </c>
      <c r="P258" s="94" t="inlineStr">
        <is>
          <t>Yes</t>
        </is>
      </c>
    </row>
    <row r="259" ht="21.5" customHeight="1" s="125">
      <c r="A259" s="94" t="inlineStr">
        <is>
          <t>NET-000005</t>
        </is>
      </c>
      <c r="B259" s="94" t="inlineStr">
        <is>
          <t>Wi-Fi Only</t>
        </is>
      </c>
      <c r="C259" s="94" t="inlineStr">
        <is>
          <t>Wi-Fi Only</t>
        </is>
      </c>
      <c r="D259" s="94" t="n">
        <v>5</v>
      </c>
      <c r="E259" s="94" t="b">
        <v>1</v>
      </c>
      <c r="H259" s="9" t="inlineStr">
        <is>
          <t>MOD-000146</t>
        </is>
      </c>
      <c r="I259" s="37" t="inlineStr">
        <is>
          <t>MFG-001</t>
        </is>
      </c>
      <c r="J259" s="37" t="inlineStr">
        <is>
          <t>DF-016</t>
        </is>
      </c>
      <c r="K259" s="37" t="inlineStr">
        <is>
          <t>DT-007</t>
        </is>
      </c>
      <c r="L259" s="36" t="inlineStr">
        <is>
          <t>Apple Vision Pro</t>
        </is>
      </c>
      <c r="M259" s="36" t="inlineStr">
        <is>
          <t>A2117</t>
        </is>
      </c>
      <c r="N259" s="35" t="n">
        <v>2024</v>
      </c>
      <c r="O259" s="94" t="n">
        <v>146</v>
      </c>
      <c r="P259" s="94" t="inlineStr">
        <is>
          <t>Yes</t>
        </is>
      </c>
    </row>
    <row r="260" ht="21.5" customHeight="1" s="125">
      <c r="A260" s="94" t="inlineStr">
        <is>
          <t>NET-000006</t>
        </is>
      </c>
      <c r="B260" s="94" t="inlineStr">
        <is>
          <t>Satellite</t>
        </is>
      </c>
      <c r="C260" s="94" t="inlineStr">
        <is>
          <t>Satellite</t>
        </is>
      </c>
      <c r="D260" s="94" t="n">
        <v>6</v>
      </c>
      <c r="E260" s="94" t="b">
        <v>1</v>
      </c>
      <c r="H260" s="9" t="inlineStr">
        <is>
          <t>MOD-000147</t>
        </is>
      </c>
      <c r="I260" s="7" t="inlineStr">
        <is>
          <t>MFG-002</t>
        </is>
      </c>
      <c r="J260" s="7" t="inlineStr">
        <is>
          <t>DF-020</t>
        </is>
      </c>
      <c r="K260" s="7" t="inlineStr">
        <is>
          <t>DT-001</t>
        </is>
      </c>
      <c r="L260" s="8" t="inlineStr">
        <is>
          <t>Galaxy S</t>
        </is>
      </c>
      <c r="M260" s="8" t="inlineStr">
        <is>
          <t>GT-I9000</t>
        </is>
      </c>
      <c r="N260" s="7" t="n">
        <v>2010</v>
      </c>
      <c r="O260" s="94" t="n">
        <v>147</v>
      </c>
      <c r="P260" s="94" t="inlineStr">
        <is>
          <t>Yes</t>
        </is>
      </c>
    </row>
    <row r="261" ht="21.5" customHeight="1" s="125">
      <c r="H261" s="9" t="inlineStr">
        <is>
          <t>MOD-000148</t>
        </is>
      </c>
      <c r="I261" s="7" t="inlineStr">
        <is>
          <t>MFG-002</t>
        </is>
      </c>
      <c r="J261" s="7" t="inlineStr">
        <is>
          <t>DF-020</t>
        </is>
      </c>
      <c r="K261" s="7" t="inlineStr">
        <is>
          <t>DT-001</t>
        </is>
      </c>
      <c r="L261" s="8" t="inlineStr">
        <is>
          <t>Galaxy S II</t>
        </is>
      </c>
      <c r="M261" s="8" t="inlineStr">
        <is>
          <t>GT-I9100</t>
        </is>
      </c>
      <c r="N261" s="7" t="n">
        <v>2011</v>
      </c>
      <c r="O261" s="94" t="n">
        <v>148</v>
      </c>
      <c r="P261" s="94" t="inlineStr">
        <is>
          <t>Yes</t>
        </is>
      </c>
    </row>
    <row r="262" ht="21.5" customHeight="1" s="125">
      <c r="A262" s="3" t="inlineStr">
        <is>
          <t>tblScreenTechnologies</t>
        </is>
      </c>
      <c r="H262" s="9" t="inlineStr">
        <is>
          <t>MOD-000149</t>
        </is>
      </c>
      <c r="I262" s="7" t="inlineStr">
        <is>
          <t>MFG-002</t>
        </is>
      </c>
      <c r="J262" s="7" t="inlineStr">
        <is>
          <t>DF-020</t>
        </is>
      </c>
      <c r="K262" s="7" t="inlineStr">
        <is>
          <t>DT-001</t>
        </is>
      </c>
      <c r="L262" s="8" t="inlineStr">
        <is>
          <t>Galaxy S III</t>
        </is>
      </c>
      <c r="M262" s="8" t="inlineStr">
        <is>
          <t>GT-I9300</t>
        </is>
      </c>
      <c r="N262" s="7" t="n">
        <v>2012</v>
      </c>
      <c r="O262" s="94" t="n">
        <v>149</v>
      </c>
      <c r="P262" s="94" t="inlineStr">
        <is>
          <t>Yes</t>
        </is>
      </c>
    </row>
    <row r="263" ht="21.5" customHeight="1" s="125">
      <c r="A263" s="6" t="inlineStr">
        <is>
          <t>ID</t>
        </is>
      </c>
      <c r="B263" s="6" t="inlineStr">
        <is>
          <t>Name</t>
        </is>
      </c>
      <c r="C263" s="6" t="inlineStr">
        <is>
          <t>Description</t>
        </is>
      </c>
      <c r="D263" s="6" t="inlineStr">
        <is>
          <t>DisplayOrder</t>
        </is>
      </c>
      <c r="E263" s="6" t="inlineStr">
        <is>
          <t>Active</t>
        </is>
      </c>
      <c r="H263" s="9" t="inlineStr">
        <is>
          <t>MOD-000150</t>
        </is>
      </c>
      <c r="I263" s="7" t="inlineStr">
        <is>
          <t>MFG-002</t>
        </is>
      </c>
      <c r="J263" s="7" t="inlineStr">
        <is>
          <t>DF-020</t>
        </is>
      </c>
      <c r="K263" s="7" t="inlineStr">
        <is>
          <t>DT-001</t>
        </is>
      </c>
      <c r="L263" s="8" t="inlineStr">
        <is>
          <t>Galaxy S4</t>
        </is>
      </c>
      <c r="M263" s="8" t="inlineStr">
        <is>
          <t>GT-I9505</t>
        </is>
      </c>
      <c r="N263" s="7" t="n">
        <v>2013</v>
      </c>
      <c r="O263" s="94" t="n">
        <v>150</v>
      </c>
      <c r="P263" s="94" t="inlineStr">
        <is>
          <t>Yes</t>
        </is>
      </c>
    </row>
    <row r="264" ht="21.5" customHeight="1" s="125">
      <c r="A264" s="94" t="inlineStr">
        <is>
          <t>SCT-000001</t>
        </is>
      </c>
      <c r="B264" s="94" t="inlineStr">
        <is>
          <t>LCD</t>
        </is>
      </c>
      <c r="C264" s="94" t="inlineStr">
        <is>
          <t>Liquid Crystal Display</t>
        </is>
      </c>
      <c r="D264" s="94" t="n">
        <v>1</v>
      </c>
      <c r="E264" s="94" t="b">
        <v>1</v>
      </c>
      <c r="H264" s="9" t="inlineStr">
        <is>
          <t>MOD-000151</t>
        </is>
      </c>
      <c r="I264" s="7" t="inlineStr">
        <is>
          <t>MFG-002</t>
        </is>
      </c>
      <c r="J264" s="7" t="inlineStr">
        <is>
          <t>DF-020</t>
        </is>
      </c>
      <c r="K264" s="7" t="inlineStr">
        <is>
          <t>DT-001</t>
        </is>
      </c>
      <c r="L264" s="8" t="inlineStr">
        <is>
          <t>Galaxy S5</t>
        </is>
      </c>
      <c r="M264" s="8" t="inlineStr">
        <is>
          <t>SM-G900</t>
        </is>
      </c>
      <c r="N264" s="7" t="n">
        <v>2014</v>
      </c>
      <c r="O264" s="94" t="n">
        <v>151</v>
      </c>
      <c r="P264" s="94" t="inlineStr">
        <is>
          <t>Yes</t>
        </is>
      </c>
    </row>
    <row r="265" ht="21.5" customHeight="1" s="125">
      <c r="A265" s="94" t="inlineStr">
        <is>
          <t>SCT-000002</t>
        </is>
      </c>
      <c r="B265" s="94" t="inlineStr">
        <is>
          <t>IPS LCD</t>
        </is>
      </c>
      <c r="C265" s="94" t="inlineStr">
        <is>
          <t>In-Plane Switching LCD</t>
        </is>
      </c>
      <c r="D265" s="94" t="n">
        <v>2</v>
      </c>
      <c r="E265" s="94" t="b">
        <v>1</v>
      </c>
      <c r="F265" s="17" t="n"/>
      <c r="G265" s="33" t="n"/>
      <c r="H265" s="9" t="inlineStr">
        <is>
          <t>MOD-000152</t>
        </is>
      </c>
      <c r="I265" s="7" t="inlineStr">
        <is>
          <t>MFG-002</t>
        </is>
      </c>
      <c r="J265" s="7" t="inlineStr">
        <is>
          <t>DF-020</t>
        </is>
      </c>
      <c r="K265" s="7" t="inlineStr">
        <is>
          <t>DT-001</t>
        </is>
      </c>
      <c r="L265" s="8" t="inlineStr">
        <is>
          <t>Galaxy S6</t>
        </is>
      </c>
      <c r="M265" s="8" t="inlineStr">
        <is>
          <t>SM-G920</t>
        </is>
      </c>
      <c r="N265" s="7" t="n">
        <v>2015</v>
      </c>
      <c r="O265" s="94" t="n">
        <v>152</v>
      </c>
      <c r="P265" s="94" t="inlineStr">
        <is>
          <t>Yes</t>
        </is>
      </c>
    </row>
    <row r="266" ht="21.5" customHeight="1" s="125">
      <c r="A266" s="94" t="inlineStr">
        <is>
          <t>SCT-000003</t>
        </is>
      </c>
      <c r="B266" s="94" t="inlineStr">
        <is>
          <t>OLED</t>
        </is>
      </c>
      <c r="C266" s="94" t="inlineStr">
        <is>
          <t>Organic LED</t>
        </is>
      </c>
      <c r="D266" s="94" t="n">
        <v>3</v>
      </c>
      <c r="E266" s="94" t="b">
        <v>1</v>
      </c>
      <c r="H266" s="9" t="inlineStr">
        <is>
          <t>MOD-000153</t>
        </is>
      </c>
      <c r="I266" s="7" t="inlineStr">
        <is>
          <t>MFG-002</t>
        </is>
      </c>
      <c r="J266" s="7" t="inlineStr">
        <is>
          <t>DF-020</t>
        </is>
      </c>
      <c r="K266" s="7" t="inlineStr">
        <is>
          <t>DT-001</t>
        </is>
      </c>
      <c r="L266" s="8" t="inlineStr">
        <is>
          <t>Galaxy S6 edge</t>
        </is>
      </c>
      <c r="M266" s="8" t="inlineStr">
        <is>
          <t>SM-G925</t>
        </is>
      </c>
      <c r="N266" s="7" t="n">
        <v>2015</v>
      </c>
      <c r="O266" s="94" t="n">
        <v>153</v>
      </c>
      <c r="P266" s="94" t="inlineStr">
        <is>
          <t>Yes</t>
        </is>
      </c>
    </row>
    <row r="267" ht="21.5" customHeight="1" s="125">
      <c r="A267" s="94" t="inlineStr">
        <is>
          <t>SCT-000004</t>
        </is>
      </c>
      <c r="B267" s="94" t="inlineStr">
        <is>
          <t>AMOLED</t>
        </is>
      </c>
      <c r="C267" s="94" t="inlineStr">
        <is>
          <t>Active Matrix OLED</t>
        </is>
      </c>
      <c r="D267" s="94" t="n">
        <v>4</v>
      </c>
      <c r="E267" s="94" t="b">
        <v>1</v>
      </c>
      <c r="H267" s="9" t="inlineStr">
        <is>
          <t>MOD-000154</t>
        </is>
      </c>
      <c r="I267" s="7" t="inlineStr">
        <is>
          <t>MFG-002</t>
        </is>
      </c>
      <c r="J267" s="7" t="inlineStr">
        <is>
          <t>DF-020</t>
        </is>
      </c>
      <c r="K267" s="7" t="inlineStr">
        <is>
          <t>DT-001</t>
        </is>
      </c>
      <c r="L267" s="8" t="inlineStr">
        <is>
          <t>Galaxy S6 edge+</t>
        </is>
      </c>
      <c r="M267" s="8" t="inlineStr">
        <is>
          <t>SM-G928</t>
        </is>
      </c>
      <c r="N267" s="7" t="n">
        <v>2015</v>
      </c>
      <c r="O267" s="94" t="n">
        <v>154</v>
      </c>
      <c r="P267" s="94" t="inlineStr">
        <is>
          <t>Yes</t>
        </is>
      </c>
    </row>
    <row r="268" ht="21.5" customHeight="1" s="125">
      <c r="A268" s="94" t="inlineStr">
        <is>
          <t>SCT-000005</t>
        </is>
      </c>
      <c r="B268" s="94" t="inlineStr">
        <is>
          <t>Dynamic AMOLED</t>
        </is>
      </c>
      <c r="C268" s="94" t="inlineStr">
        <is>
          <t>Samsung AMOLED</t>
        </is>
      </c>
      <c r="D268" s="94" t="n">
        <v>5</v>
      </c>
      <c r="E268" s="94" t="b">
        <v>1</v>
      </c>
      <c r="H268" s="9" t="inlineStr">
        <is>
          <t>MOD-000155</t>
        </is>
      </c>
      <c r="I268" s="7" t="inlineStr">
        <is>
          <t>MFG-002</t>
        </is>
      </c>
      <c r="J268" s="7" t="inlineStr">
        <is>
          <t>DF-020</t>
        </is>
      </c>
      <c r="K268" s="7" t="inlineStr">
        <is>
          <t>DT-001</t>
        </is>
      </c>
      <c r="L268" s="8" t="inlineStr">
        <is>
          <t>Galaxy S6 Active</t>
        </is>
      </c>
      <c r="M268" s="8" t="inlineStr">
        <is>
          <t>SM-G890</t>
        </is>
      </c>
      <c r="N268" s="7" t="n">
        <v>2015</v>
      </c>
      <c r="O268" s="94" t="n">
        <v>155</v>
      </c>
      <c r="P268" s="94" t="inlineStr">
        <is>
          <t>Yes</t>
        </is>
      </c>
    </row>
    <row r="269" ht="21.5" customHeight="1" s="125">
      <c r="A269" s="94" t="inlineStr">
        <is>
          <t>SCT-000006</t>
        </is>
      </c>
      <c r="B269" s="94" t="inlineStr">
        <is>
          <t>LTPO OLED</t>
        </is>
      </c>
      <c r="C269" s="94" t="inlineStr">
        <is>
          <t>Adaptive refresh OLED</t>
        </is>
      </c>
      <c r="D269" s="94" t="n">
        <v>6</v>
      </c>
      <c r="E269" s="94" t="b">
        <v>1</v>
      </c>
      <c r="F269" s="17" t="n"/>
      <c r="G269" s="33" t="n"/>
      <c r="H269" s="9" t="inlineStr">
        <is>
          <t>MOD-000156</t>
        </is>
      </c>
      <c r="I269" s="7" t="inlineStr">
        <is>
          <t>MFG-002</t>
        </is>
      </c>
      <c r="J269" s="7" t="inlineStr">
        <is>
          <t>DF-020</t>
        </is>
      </c>
      <c r="K269" s="7" t="inlineStr">
        <is>
          <t>DT-001</t>
        </is>
      </c>
      <c r="L269" s="8" t="inlineStr">
        <is>
          <t>Galaxy S7</t>
        </is>
      </c>
      <c r="M269" s="8" t="inlineStr">
        <is>
          <t>SM-G930</t>
        </is>
      </c>
      <c r="N269" s="7" t="n">
        <v>2016</v>
      </c>
      <c r="O269" s="94" t="n">
        <v>156</v>
      </c>
      <c r="P269" s="94" t="inlineStr">
        <is>
          <t>Yes</t>
        </is>
      </c>
    </row>
    <row r="270" ht="21.5" customHeight="1" s="125">
      <c r="A270" s="94" t="inlineStr">
        <is>
          <t>SCT-000007</t>
        </is>
      </c>
      <c r="B270" s="94" t="inlineStr">
        <is>
          <t>Retina</t>
        </is>
      </c>
      <c r="C270" s="94" t="inlineStr">
        <is>
          <t>Apple Retina</t>
        </is>
      </c>
      <c r="D270" s="94" t="n">
        <v>7</v>
      </c>
      <c r="E270" s="94" t="b">
        <v>1</v>
      </c>
      <c r="F270" s="34" t="n"/>
      <c r="G270" s="34" t="n"/>
      <c r="H270" s="9" t="inlineStr">
        <is>
          <t>MOD-000157</t>
        </is>
      </c>
      <c r="I270" s="7" t="inlineStr">
        <is>
          <t>MFG-002</t>
        </is>
      </c>
      <c r="J270" s="7" t="inlineStr">
        <is>
          <t>DF-020</t>
        </is>
      </c>
      <c r="K270" s="7" t="inlineStr">
        <is>
          <t>DT-001</t>
        </is>
      </c>
      <c r="L270" s="8" t="inlineStr">
        <is>
          <t>Galaxy S7 edge</t>
        </is>
      </c>
      <c r="M270" s="8" t="inlineStr">
        <is>
          <t>SM-G935</t>
        </is>
      </c>
      <c r="N270" s="7" t="n">
        <v>2016</v>
      </c>
      <c r="O270" s="94" t="n">
        <v>157</v>
      </c>
      <c r="P270" s="94" t="inlineStr">
        <is>
          <t>Yes</t>
        </is>
      </c>
    </row>
    <row r="271" ht="21.5" customHeight="1" s="125">
      <c r="A271" s="94" t="inlineStr">
        <is>
          <t>SCT-000008</t>
        </is>
      </c>
      <c r="B271" s="94" t="inlineStr">
        <is>
          <t>Liquid Retina</t>
        </is>
      </c>
      <c r="C271" s="94" t="inlineStr">
        <is>
          <t>Apple LCD</t>
        </is>
      </c>
      <c r="D271" s="94" t="n">
        <v>8</v>
      </c>
      <c r="E271" s="94" t="b">
        <v>1</v>
      </c>
      <c r="F271" s="17" t="n"/>
      <c r="G271" s="33" t="n"/>
      <c r="H271" s="9" t="inlineStr">
        <is>
          <t>MOD-000158</t>
        </is>
      </c>
      <c r="I271" s="7" t="inlineStr">
        <is>
          <t>MFG-002</t>
        </is>
      </c>
      <c r="J271" s="7" t="inlineStr">
        <is>
          <t>DF-020</t>
        </is>
      </c>
      <c r="K271" s="7" t="inlineStr">
        <is>
          <t>DT-001</t>
        </is>
      </c>
      <c r="L271" s="8" t="inlineStr">
        <is>
          <t>Galaxy S8</t>
        </is>
      </c>
      <c r="M271" s="8" t="inlineStr">
        <is>
          <t>SM-G950</t>
        </is>
      </c>
      <c r="N271" s="7" t="n">
        <v>2017</v>
      </c>
      <c r="O271" s="94" t="n">
        <v>158</v>
      </c>
      <c r="P271" s="94" t="inlineStr">
        <is>
          <t>Yes</t>
        </is>
      </c>
    </row>
    <row r="272" ht="21.5" customHeight="1" s="125">
      <c r="A272" s="94" t="inlineStr">
        <is>
          <t>SCT-000009</t>
        </is>
      </c>
      <c r="B272" s="94" t="inlineStr">
        <is>
          <t>Super Retina XDR</t>
        </is>
      </c>
      <c r="C272" s="94" t="inlineStr">
        <is>
          <t>Apple OLED</t>
        </is>
      </c>
      <c r="D272" s="94" t="n">
        <v>9</v>
      </c>
      <c r="E272" s="94" t="b">
        <v>1</v>
      </c>
      <c r="F272" s="17" t="n"/>
      <c r="G272" s="33" t="n"/>
      <c r="H272" s="9" t="inlineStr">
        <is>
          <t>MOD-000159</t>
        </is>
      </c>
      <c r="I272" s="7" t="inlineStr">
        <is>
          <t>MFG-002</t>
        </is>
      </c>
      <c r="J272" s="7" t="inlineStr">
        <is>
          <t>DF-020</t>
        </is>
      </c>
      <c r="K272" s="7" t="inlineStr">
        <is>
          <t>DT-001</t>
        </is>
      </c>
      <c r="L272" s="8" t="inlineStr">
        <is>
          <t>Galaxy S8+</t>
        </is>
      </c>
      <c r="M272" s="8" t="inlineStr">
        <is>
          <t>SM-G955</t>
        </is>
      </c>
      <c r="N272" s="7" t="n">
        <v>2017</v>
      </c>
      <c r="O272" s="94" t="n">
        <v>159</v>
      </c>
      <c r="P272" s="94" t="inlineStr">
        <is>
          <t>Yes</t>
        </is>
      </c>
    </row>
    <row r="273" ht="21.5" customHeight="1" s="125">
      <c r="A273" s="94" t="inlineStr">
        <is>
          <t>SCT-000010</t>
        </is>
      </c>
      <c r="B273" s="94" t="inlineStr">
        <is>
          <t>miniLED</t>
        </is>
      </c>
      <c r="C273" s="94" t="inlineStr">
        <is>
          <t>Mini LED</t>
        </is>
      </c>
      <c r="D273" s="94" t="n">
        <v>10</v>
      </c>
      <c r="E273" s="94" t="b">
        <v>1</v>
      </c>
      <c r="H273" s="9" t="inlineStr">
        <is>
          <t>MOD-000160</t>
        </is>
      </c>
      <c r="I273" s="7" t="inlineStr">
        <is>
          <t>MFG-002</t>
        </is>
      </c>
      <c r="J273" s="7" t="inlineStr">
        <is>
          <t>DF-020</t>
        </is>
      </c>
      <c r="K273" s="7" t="inlineStr">
        <is>
          <t>DT-001</t>
        </is>
      </c>
      <c r="L273" s="8" t="inlineStr">
        <is>
          <t>Galaxy S9</t>
        </is>
      </c>
      <c r="M273" s="8" t="inlineStr">
        <is>
          <t>SM-G960</t>
        </is>
      </c>
      <c r="N273" s="7" t="n">
        <v>2018</v>
      </c>
      <c r="O273" s="94" t="n">
        <v>160</v>
      </c>
      <c r="P273" s="94" t="inlineStr">
        <is>
          <t>Yes</t>
        </is>
      </c>
    </row>
    <row r="274" ht="21.5" customHeight="1" s="125">
      <c r="H274" s="9" t="inlineStr">
        <is>
          <t>MOD-000161</t>
        </is>
      </c>
      <c r="I274" s="7" t="inlineStr">
        <is>
          <t>MFG-002</t>
        </is>
      </c>
      <c r="J274" s="7" t="inlineStr">
        <is>
          <t>DF-020</t>
        </is>
      </c>
      <c r="K274" s="7" t="inlineStr">
        <is>
          <t>DT-001</t>
        </is>
      </c>
      <c r="L274" s="8" t="inlineStr">
        <is>
          <t>Galaxy S9+</t>
        </is>
      </c>
      <c r="M274" s="8" t="inlineStr">
        <is>
          <t>SM-G965</t>
        </is>
      </c>
      <c r="N274" s="7" t="n">
        <v>2018</v>
      </c>
      <c r="O274" s="94" t="n">
        <v>161</v>
      </c>
      <c r="P274" s="94" t="inlineStr">
        <is>
          <t>Yes</t>
        </is>
      </c>
    </row>
    <row r="275" ht="21.5" customHeight="1" s="125">
      <c r="A275" s="3" t="inlineStr">
        <is>
          <t>tblProcessorManufacturers</t>
        </is>
      </c>
      <c r="H275" s="9" t="inlineStr">
        <is>
          <t>MOD-000162</t>
        </is>
      </c>
      <c r="I275" s="7" t="inlineStr">
        <is>
          <t>MFG-002</t>
        </is>
      </c>
      <c r="J275" s="7" t="inlineStr">
        <is>
          <t>DF-020</t>
        </is>
      </c>
      <c r="K275" s="7" t="inlineStr">
        <is>
          <t>DT-001</t>
        </is>
      </c>
      <c r="L275" s="8" t="inlineStr">
        <is>
          <t>Galaxy S10e</t>
        </is>
      </c>
      <c r="M275" s="8" t="inlineStr">
        <is>
          <t>SM-G970</t>
        </is>
      </c>
      <c r="N275" s="7" t="n">
        <v>2019</v>
      </c>
      <c r="O275" s="94" t="n">
        <v>162</v>
      </c>
      <c r="P275" s="94" t="inlineStr">
        <is>
          <t>Yes</t>
        </is>
      </c>
    </row>
    <row r="276" ht="21.5" customHeight="1" s="125">
      <c r="A276" s="6" t="inlineStr">
        <is>
          <t>ID</t>
        </is>
      </c>
      <c r="B276" s="6" t="inlineStr">
        <is>
          <t>Name</t>
        </is>
      </c>
      <c r="C276" s="6" t="inlineStr">
        <is>
          <t>Description</t>
        </is>
      </c>
      <c r="D276" s="6" t="inlineStr">
        <is>
          <t>DisplayOrder</t>
        </is>
      </c>
      <c r="E276" s="6" t="inlineStr">
        <is>
          <t>Active</t>
        </is>
      </c>
      <c r="H276" s="9" t="inlineStr">
        <is>
          <t>MOD-000163</t>
        </is>
      </c>
      <c r="I276" s="7" t="inlineStr">
        <is>
          <t>MFG-002</t>
        </is>
      </c>
      <c r="J276" s="7" t="inlineStr">
        <is>
          <t>DF-020</t>
        </is>
      </c>
      <c r="K276" s="7" t="inlineStr">
        <is>
          <t>DT-001</t>
        </is>
      </c>
      <c r="L276" s="8" t="inlineStr">
        <is>
          <t>Galaxy S10</t>
        </is>
      </c>
      <c r="M276" s="8" t="inlineStr">
        <is>
          <t>SM-G973</t>
        </is>
      </c>
      <c r="N276" s="7" t="n">
        <v>2019</v>
      </c>
      <c r="O276" s="94" t="n">
        <v>163</v>
      </c>
      <c r="P276" s="94" t="inlineStr">
        <is>
          <t>Yes</t>
        </is>
      </c>
    </row>
    <row r="277" ht="21.5" customHeight="1" s="125">
      <c r="A277" s="94" t="inlineStr">
        <is>
          <t>CPU-000001</t>
        </is>
      </c>
      <c r="B277" s="94" t="inlineStr">
        <is>
          <t>Apple</t>
        </is>
      </c>
      <c r="C277" s="94" t="inlineStr">
        <is>
          <t>Apple Silicon</t>
        </is>
      </c>
      <c r="D277" s="94" t="n">
        <v>1</v>
      </c>
      <c r="E277" s="94" t="b">
        <v>1</v>
      </c>
      <c r="H277" s="9" t="inlineStr">
        <is>
          <t>MOD-000164</t>
        </is>
      </c>
      <c r="I277" s="7" t="inlineStr">
        <is>
          <t>MFG-002</t>
        </is>
      </c>
      <c r="J277" s="7" t="inlineStr">
        <is>
          <t>DF-020</t>
        </is>
      </c>
      <c r="K277" s="7" t="inlineStr">
        <is>
          <t>DT-001</t>
        </is>
      </c>
      <c r="L277" s="8" t="inlineStr">
        <is>
          <t>Galaxy S10+</t>
        </is>
      </c>
      <c r="M277" s="8" t="inlineStr">
        <is>
          <t>SM-G975</t>
        </is>
      </c>
      <c r="N277" s="7" t="n">
        <v>2019</v>
      </c>
      <c r="O277" s="94" t="n">
        <v>164</v>
      </c>
      <c r="P277" s="94" t="inlineStr">
        <is>
          <t>Yes</t>
        </is>
      </c>
    </row>
    <row r="278" ht="21.5" customHeight="1" s="125">
      <c r="A278" s="94" t="inlineStr">
        <is>
          <t>CPU-000002</t>
        </is>
      </c>
      <c r="B278" s="94" t="inlineStr">
        <is>
          <t>Qualcomm</t>
        </is>
      </c>
      <c r="C278" s="94" t="inlineStr">
        <is>
          <t>Snapdragon</t>
        </is>
      </c>
      <c r="D278" s="94" t="n">
        <v>2</v>
      </c>
      <c r="E278" s="94" t="b">
        <v>1</v>
      </c>
      <c r="H278" s="9" t="inlineStr">
        <is>
          <t>MOD-000165</t>
        </is>
      </c>
      <c r="I278" s="7" t="inlineStr">
        <is>
          <t>MFG-002</t>
        </is>
      </c>
      <c r="J278" s="7" t="inlineStr">
        <is>
          <t>DF-020</t>
        </is>
      </c>
      <c r="K278" s="7" t="inlineStr">
        <is>
          <t>DT-001</t>
        </is>
      </c>
      <c r="L278" s="8" t="inlineStr">
        <is>
          <t>Galaxy S10 5G</t>
        </is>
      </c>
      <c r="M278" s="8" t="inlineStr">
        <is>
          <t>SM-G977</t>
        </is>
      </c>
      <c r="N278" s="7" t="n">
        <v>2019</v>
      </c>
      <c r="O278" s="94" t="n">
        <v>165</v>
      </c>
      <c r="P278" s="94" t="inlineStr">
        <is>
          <t>Yes</t>
        </is>
      </c>
    </row>
    <row r="279" ht="21.5" customHeight="1" s="125">
      <c r="A279" s="94" t="inlineStr">
        <is>
          <t>CPU-000003</t>
        </is>
      </c>
      <c r="B279" s="94" t="inlineStr">
        <is>
          <t>MediaTek</t>
        </is>
      </c>
      <c r="C279" s="94" t="inlineStr">
        <is>
          <t>Dimensity/Helio</t>
        </is>
      </c>
      <c r="D279" s="94" t="n">
        <v>3</v>
      </c>
      <c r="E279" s="94" t="b">
        <v>1</v>
      </c>
      <c r="H279" s="9" t="inlineStr">
        <is>
          <t>MOD-000166</t>
        </is>
      </c>
      <c r="I279" s="7" t="inlineStr">
        <is>
          <t>MFG-002</t>
        </is>
      </c>
      <c r="J279" s="7" t="inlineStr">
        <is>
          <t>DF-020</t>
        </is>
      </c>
      <c r="K279" s="7" t="inlineStr">
        <is>
          <t>DT-001</t>
        </is>
      </c>
      <c r="L279" s="8" t="inlineStr">
        <is>
          <t>Galaxy S20</t>
        </is>
      </c>
      <c r="M279" s="8" t="inlineStr">
        <is>
          <t>SM-G981</t>
        </is>
      </c>
      <c r="N279" s="7" t="n">
        <v>2020</v>
      </c>
      <c r="O279" s="94" t="n">
        <v>166</v>
      </c>
      <c r="P279" s="94" t="inlineStr">
        <is>
          <t>Yes</t>
        </is>
      </c>
    </row>
    <row r="280" ht="21.5" customHeight="1" s="125">
      <c r="A280" s="94" t="inlineStr">
        <is>
          <t>CPU-000004</t>
        </is>
      </c>
      <c r="B280" s="94" t="inlineStr">
        <is>
          <t>Samsung Exynos</t>
        </is>
      </c>
      <c r="C280" s="94" t="inlineStr">
        <is>
          <t>Exynos</t>
        </is>
      </c>
      <c r="D280" s="94" t="n">
        <v>4</v>
      </c>
      <c r="E280" s="94" t="b">
        <v>1</v>
      </c>
      <c r="H280" s="9" t="inlineStr">
        <is>
          <t>MOD-000167</t>
        </is>
      </c>
      <c r="I280" s="7" t="inlineStr">
        <is>
          <t>MFG-002</t>
        </is>
      </c>
      <c r="J280" s="7" t="inlineStr">
        <is>
          <t>DF-020</t>
        </is>
      </c>
      <c r="K280" s="7" t="inlineStr">
        <is>
          <t>DT-001</t>
        </is>
      </c>
      <c r="L280" s="8" t="inlineStr">
        <is>
          <t>Galaxy S20+</t>
        </is>
      </c>
      <c r="M280" s="8" t="inlineStr">
        <is>
          <t>SM-G986</t>
        </is>
      </c>
      <c r="N280" s="7" t="n">
        <v>2020</v>
      </c>
      <c r="O280" s="94" t="n">
        <v>167</v>
      </c>
      <c r="P280" s="94" t="inlineStr">
        <is>
          <t>Yes</t>
        </is>
      </c>
    </row>
    <row r="281" ht="21.5" customHeight="1" s="125">
      <c r="A281" s="94" t="inlineStr">
        <is>
          <t>CPU-000005</t>
        </is>
      </c>
      <c r="B281" s="94" t="inlineStr">
        <is>
          <t>Google</t>
        </is>
      </c>
      <c r="C281" s="94" t="inlineStr">
        <is>
          <t>Tensor</t>
        </is>
      </c>
      <c r="D281" s="94" t="n">
        <v>5</v>
      </c>
      <c r="E281" s="94" t="b">
        <v>1</v>
      </c>
      <c r="H281" s="9" t="inlineStr">
        <is>
          <t>MOD-000168</t>
        </is>
      </c>
      <c r="I281" s="7" t="inlineStr">
        <is>
          <t>MFG-002</t>
        </is>
      </c>
      <c r="J281" s="7" t="inlineStr">
        <is>
          <t>DF-020</t>
        </is>
      </c>
      <c r="K281" s="7" t="inlineStr">
        <is>
          <t>DT-001</t>
        </is>
      </c>
      <c r="L281" s="8" t="inlineStr">
        <is>
          <t>Galaxy S20 Ultra</t>
        </is>
      </c>
      <c r="M281" s="8" t="inlineStr">
        <is>
          <t>SM-G988</t>
        </is>
      </c>
      <c r="N281" s="7" t="n">
        <v>2020</v>
      </c>
      <c r="O281" s="94" t="n">
        <v>168</v>
      </c>
      <c r="P281" s="94" t="inlineStr">
        <is>
          <t>Yes</t>
        </is>
      </c>
    </row>
    <row r="282" ht="21.5" customHeight="1" s="125">
      <c r="A282" s="94" t="inlineStr">
        <is>
          <t>CPU-000006</t>
        </is>
      </c>
      <c r="B282" s="94" t="inlineStr">
        <is>
          <t>Intel</t>
        </is>
      </c>
      <c r="C282" s="94" t="inlineStr">
        <is>
          <t>Intel CPUs</t>
        </is>
      </c>
      <c r="D282" s="94" t="n">
        <v>6</v>
      </c>
      <c r="E282" s="94" t="b">
        <v>1</v>
      </c>
      <c r="F282" s="17" t="n"/>
      <c r="G282" s="33" t="n"/>
      <c r="H282" s="9" t="inlineStr">
        <is>
          <t>MOD-000169</t>
        </is>
      </c>
      <c r="I282" s="7" t="inlineStr">
        <is>
          <t>MFG-002</t>
        </is>
      </c>
      <c r="J282" s="7" t="inlineStr">
        <is>
          <t>DF-020</t>
        </is>
      </c>
      <c r="K282" s="7" t="inlineStr">
        <is>
          <t>DT-001</t>
        </is>
      </c>
      <c r="L282" s="8" t="inlineStr">
        <is>
          <t>Galaxy S20 FE</t>
        </is>
      </c>
      <c r="M282" s="8" t="inlineStr">
        <is>
          <t>SM-G781</t>
        </is>
      </c>
      <c r="N282" s="7" t="n">
        <v>2020</v>
      </c>
      <c r="O282" s="94" t="n">
        <v>169</v>
      </c>
      <c r="P282" s="94" t="inlineStr">
        <is>
          <t>Yes</t>
        </is>
      </c>
    </row>
    <row r="283" ht="21.5" customHeight="1" s="125">
      <c r="A283" s="94" t="inlineStr">
        <is>
          <t>CPU-000007</t>
        </is>
      </c>
      <c r="B283" s="94" t="inlineStr">
        <is>
          <t>AMD</t>
        </is>
      </c>
      <c r="C283" s="94" t="inlineStr">
        <is>
          <t>Ryzen</t>
        </is>
      </c>
      <c r="D283" s="94" t="n">
        <v>7</v>
      </c>
      <c r="E283" s="94" t="b">
        <v>1</v>
      </c>
      <c r="H283" s="9" t="inlineStr">
        <is>
          <t>MOD-000170</t>
        </is>
      </c>
      <c r="I283" s="7" t="inlineStr">
        <is>
          <t>MFG-002</t>
        </is>
      </c>
      <c r="J283" s="7" t="inlineStr">
        <is>
          <t>DF-020</t>
        </is>
      </c>
      <c r="K283" s="7" t="inlineStr">
        <is>
          <t>DT-001</t>
        </is>
      </c>
      <c r="L283" s="8" t="inlineStr">
        <is>
          <t>Galaxy S21</t>
        </is>
      </c>
      <c r="M283" s="8" t="inlineStr">
        <is>
          <t>SM-G991</t>
        </is>
      </c>
      <c r="N283" s="7" t="n">
        <v>2021</v>
      </c>
      <c r="O283" s="94" t="n">
        <v>170</v>
      </c>
      <c r="P283" s="94" t="inlineStr">
        <is>
          <t>Yes</t>
        </is>
      </c>
    </row>
    <row r="284" ht="21.5" customHeight="1" s="125">
      <c r="A284" s="94" t="inlineStr">
        <is>
          <t>CPU-000008</t>
        </is>
      </c>
      <c r="B284" s="94" t="inlineStr">
        <is>
          <t>NVIDIA</t>
        </is>
      </c>
      <c r="C284" s="94" t="inlineStr">
        <is>
          <t>Tegra</t>
        </is>
      </c>
      <c r="D284" s="94" t="n">
        <v>8</v>
      </c>
      <c r="E284" s="94" t="b">
        <v>1</v>
      </c>
      <c r="H284" s="9" t="inlineStr">
        <is>
          <t>MOD-000171</t>
        </is>
      </c>
      <c r="I284" s="7" t="inlineStr">
        <is>
          <t>MFG-002</t>
        </is>
      </c>
      <c r="J284" s="7" t="inlineStr">
        <is>
          <t>DF-020</t>
        </is>
      </c>
      <c r="K284" s="7" t="inlineStr">
        <is>
          <t>DT-001</t>
        </is>
      </c>
      <c r="L284" s="8" t="inlineStr">
        <is>
          <t>Galaxy S21+</t>
        </is>
      </c>
      <c r="M284" s="8" t="inlineStr">
        <is>
          <t>SM-G996</t>
        </is>
      </c>
      <c r="N284" s="7" t="n">
        <v>2021</v>
      </c>
      <c r="O284" s="94" t="n">
        <v>171</v>
      </c>
      <c r="P284" s="94" t="inlineStr">
        <is>
          <t>Yes</t>
        </is>
      </c>
    </row>
    <row r="285" ht="21.5" customHeight="1" s="125">
      <c r="A285" s="94" t="inlineStr">
        <is>
          <t>CPU-000009</t>
        </is>
      </c>
      <c r="B285" s="94" t="inlineStr">
        <is>
          <t>Huawei HiSilicon</t>
        </is>
      </c>
      <c r="C285" s="94" t="inlineStr">
        <is>
          <t>Kirin</t>
        </is>
      </c>
      <c r="D285" s="94" t="n">
        <v>9</v>
      </c>
      <c r="E285" s="94" t="b">
        <v>1</v>
      </c>
      <c r="H285" s="9" t="inlineStr">
        <is>
          <t>MOD-000172</t>
        </is>
      </c>
      <c r="I285" s="7" t="inlineStr">
        <is>
          <t>MFG-002</t>
        </is>
      </c>
      <c r="J285" s="7" t="inlineStr">
        <is>
          <t>DF-020</t>
        </is>
      </c>
      <c r="K285" s="7" t="inlineStr">
        <is>
          <t>DT-001</t>
        </is>
      </c>
      <c r="L285" s="8" t="inlineStr">
        <is>
          <t>Galaxy S21 Ultra</t>
        </is>
      </c>
      <c r="M285" s="8" t="inlineStr">
        <is>
          <t>SM-G998</t>
        </is>
      </c>
      <c r="N285" s="7" t="n">
        <v>2021</v>
      </c>
      <c r="O285" s="94" t="n">
        <v>172</v>
      </c>
      <c r="P285" s="94" t="inlineStr">
        <is>
          <t>Yes</t>
        </is>
      </c>
    </row>
    <row r="286" ht="21.5" customHeight="1" s="125">
      <c r="A286" s="94" t="inlineStr">
        <is>
          <t>CPU-000010</t>
        </is>
      </c>
      <c r="B286" s="94" t="inlineStr">
        <is>
          <t>UNISOC</t>
        </is>
      </c>
      <c r="C286" s="94" t="inlineStr">
        <is>
          <t>UNISOC</t>
        </is>
      </c>
      <c r="D286" s="94" t="n">
        <v>10</v>
      </c>
      <c r="E286" s="94" t="b">
        <v>1</v>
      </c>
      <c r="F286" s="17" t="n"/>
      <c r="G286" s="33" t="n"/>
      <c r="H286" s="9" t="inlineStr">
        <is>
          <t>MOD-000173</t>
        </is>
      </c>
      <c r="I286" s="7" t="inlineStr">
        <is>
          <t>MFG-002</t>
        </is>
      </c>
      <c r="J286" s="7" t="inlineStr">
        <is>
          <t>DF-020</t>
        </is>
      </c>
      <c r="K286" s="7" t="inlineStr">
        <is>
          <t>DT-001</t>
        </is>
      </c>
      <c r="L286" s="8" t="inlineStr">
        <is>
          <t>Galaxy S21 FE</t>
        </is>
      </c>
      <c r="M286" s="8" t="inlineStr">
        <is>
          <t>SM-G990</t>
        </is>
      </c>
      <c r="N286" s="7" t="n">
        <v>2022</v>
      </c>
      <c r="O286" s="94" t="n">
        <v>173</v>
      </c>
      <c r="P286" s="94" t="inlineStr">
        <is>
          <t>Yes</t>
        </is>
      </c>
    </row>
    <row r="287" ht="21.5" customHeight="1" s="125">
      <c r="A287" s="94" t="n"/>
      <c r="B287" s="94" t="n"/>
      <c r="C287" s="94" t="n"/>
      <c r="D287" s="94" t="n"/>
      <c r="E287" s="94" t="n"/>
      <c r="F287" s="17" t="n"/>
      <c r="G287" s="33" t="n"/>
      <c r="H287" s="9" t="inlineStr">
        <is>
          <t>MOD-000174</t>
        </is>
      </c>
      <c r="I287" s="7" t="inlineStr">
        <is>
          <t>MFG-002</t>
        </is>
      </c>
      <c r="J287" s="7" t="inlineStr">
        <is>
          <t>DF-020</t>
        </is>
      </c>
      <c r="K287" s="7" t="inlineStr">
        <is>
          <t>DT-001</t>
        </is>
      </c>
      <c r="L287" s="8" t="inlineStr">
        <is>
          <t>Galaxy S22</t>
        </is>
      </c>
      <c r="M287" s="8" t="inlineStr">
        <is>
          <t>SM-S901</t>
        </is>
      </c>
      <c r="N287" s="7" t="n">
        <v>2022</v>
      </c>
      <c r="O287" s="94" t="n">
        <v>174</v>
      </c>
      <c r="P287" s="94" t="inlineStr">
        <is>
          <t>Yes</t>
        </is>
      </c>
    </row>
    <row r="288" ht="21.5" customHeight="1" s="125">
      <c r="A288" s="94" t="inlineStr">
        <is>
          <t>tblRefreshRates</t>
        </is>
      </c>
      <c r="B288" s="94" t="n"/>
      <c r="C288" s="94" t="n"/>
      <c r="D288" s="94" t="n"/>
      <c r="E288" s="94" t="n"/>
      <c r="F288" s="17" t="n"/>
      <c r="G288" s="33" t="n"/>
      <c r="H288" s="9" t="inlineStr">
        <is>
          <t>MOD-000175</t>
        </is>
      </c>
      <c r="I288" s="7" t="inlineStr">
        <is>
          <t>MFG-002</t>
        </is>
      </c>
      <c r="J288" s="7" t="inlineStr">
        <is>
          <t>DF-020</t>
        </is>
      </c>
      <c r="K288" s="7" t="inlineStr">
        <is>
          <t>DT-001</t>
        </is>
      </c>
      <c r="L288" s="8" t="inlineStr">
        <is>
          <t>Galaxy S22+</t>
        </is>
      </c>
      <c r="M288" s="8" t="inlineStr">
        <is>
          <t>SM-S906</t>
        </is>
      </c>
      <c r="N288" s="7" t="n">
        <v>2022</v>
      </c>
      <c r="O288" s="94" t="n">
        <v>175</v>
      </c>
      <c r="P288" s="94" t="inlineStr">
        <is>
          <t>Yes</t>
        </is>
      </c>
    </row>
    <row r="289" ht="21.5" customHeight="1" s="125">
      <c r="A289" s="6" t="inlineStr">
        <is>
          <t>ID</t>
        </is>
      </c>
      <c r="B289" s="6" t="inlineStr">
        <is>
          <t>Name</t>
        </is>
      </c>
      <c r="C289" s="6" t="inlineStr">
        <is>
          <t>Description</t>
        </is>
      </c>
      <c r="D289" s="6" t="inlineStr">
        <is>
          <t>DisplayOrder</t>
        </is>
      </c>
      <c r="E289" s="6" t="inlineStr">
        <is>
          <t>Active</t>
        </is>
      </c>
      <c r="F289" s="17" t="n"/>
      <c r="G289" s="33" t="n"/>
      <c r="H289" s="9" t="inlineStr">
        <is>
          <t>MOD-000176</t>
        </is>
      </c>
      <c r="I289" s="7" t="inlineStr">
        <is>
          <t>MFG-002</t>
        </is>
      </c>
      <c r="J289" s="7" t="inlineStr">
        <is>
          <t>DF-020</t>
        </is>
      </c>
      <c r="K289" s="7" t="inlineStr">
        <is>
          <t>DT-001</t>
        </is>
      </c>
      <c r="L289" s="8" t="inlineStr">
        <is>
          <t>Galaxy S22 Ultra</t>
        </is>
      </c>
      <c r="M289" s="8" t="inlineStr">
        <is>
          <t>SM-S908</t>
        </is>
      </c>
      <c r="N289" s="7" t="n">
        <v>2022</v>
      </c>
      <c r="O289" s="94" t="n">
        <v>176</v>
      </c>
      <c r="P289" s="94" t="inlineStr">
        <is>
          <t>Yes</t>
        </is>
      </c>
    </row>
    <row r="290" ht="21.5" customHeight="1" s="125">
      <c r="A290" s="94" t="inlineStr">
        <is>
          <t>REF-000001</t>
        </is>
      </c>
      <c r="B290" s="94" t="inlineStr">
        <is>
          <t>60 Hz</t>
        </is>
      </c>
      <c r="C290" s="94" t="inlineStr">
        <is>
          <t>60 Hz</t>
        </is>
      </c>
      <c r="D290" s="94" t="n">
        <v>1</v>
      </c>
      <c r="E290" s="94" t="b">
        <v>1</v>
      </c>
      <c r="F290" s="17" t="n"/>
      <c r="G290" s="33" t="n"/>
      <c r="H290" s="9" t="inlineStr">
        <is>
          <t>MOD-000177</t>
        </is>
      </c>
      <c r="I290" s="7" t="inlineStr">
        <is>
          <t>MFG-002</t>
        </is>
      </c>
      <c r="J290" s="7" t="inlineStr">
        <is>
          <t>DF-020</t>
        </is>
      </c>
      <c r="K290" s="7" t="inlineStr">
        <is>
          <t>DT-001</t>
        </is>
      </c>
      <c r="L290" s="8" t="inlineStr">
        <is>
          <t>Galaxy S23</t>
        </is>
      </c>
      <c r="M290" s="8" t="inlineStr">
        <is>
          <t>SM-S911</t>
        </is>
      </c>
      <c r="N290" s="7" t="n">
        <v>2023</v>
      </c>
      <c r="O290" s="94" t="n">
        <v>177</v>
      </c>
      <c r="P290" s="94" t="inlineStr">
        <is>
          <t>Yes</t>
        </is>
      </c>
    </row>
    <row r="291" ht="21.5" customHeight="1" s="125">
      <c r="A291" s="94" t="inlineStr">
        <is>
          <t>REF-000002</t>
        </is>
      </c>
      <c r="B291" s="94" t="inlineStr">
        <is>
          <t>90 Hz</t>
        </is>
      </c>
      <c r="C291" s="94" t="inlineStr">
        <is>
          <t>90 Hz</t>
        </is>
      </c>
      <c r="D291" s="94" t="n">
        <v>2</v>
      </c>
      <c r="E291" s="94" t="b">
        <v>1</v>
      </c>
      <c r="F291" s="17" t="n"/>
      <c r="G291" s="33" t="n"/>
      <c r="H291" s="9" t="inlineStr">
        <is>
          <t>MOD-000178</t>
        </is>
      </c>
      <c r="I291" s="7" t="inlineStr">
        <is>
          <t>MFG-002</t>
        </is>
      </c>
      <c r="J291" s="7" t="inlineStr">
        <is>
          <t>DF-020</t>
        </is>
      </c>
      <c r="K291" s="7" t="inlineStr">
        <is>
          <t>DT-001</t>
        </is>
      </c>
      <c r="L291" s="8" t="inlineStr">
        <is>
          <t>Galaxy S23+</t>
        </is>
      </c>
      <c r="M291" s="8" t="inlineStr">
        <is>
          <t>SM-S916</t>
        </is>
      </c>
      <c r="N291" s="7" t="n">
        <v>2023</v>
      </c>
      <c r="O291" s="94" t="n">
        <v>178</v>
      </c>
      <c r="P291" s="94" t="inlineStr">
        <is>
          <t>Yes</t>
        </is>
      </c>
    </row>
    <row r="292" ht="21.5" customHeight="1" s="125">
      <c r="A292" s="94" t="inlineStr">
        <is>
          <t>REF-000003</t>
        </is>
      </c>
      <c r="B292" s="94" t="inlineStr">
        <is>
          <t>120 Hz</t>
        </is>
      </c>
      <c r="C292" s="94" t="inlineStr">
        <is>
          <t>120 Hz</t>
        </is>
      </c>
      <c r="D292" s="94" t="n">
        <v>3</v>
      </c>
      <c r="E292" s="94" t="b">
        <v>1</v>
      </c>
      <c r="F292" s="17" t="n"/>
      <c r="G292" s="33" t="n"/>
      <c r="H292" s="9" t="inlineStr">
        <is>
          <t>MOD-000179</t>
        </is>
      </c>
      <c r="I292" s="7" t="inlineStr">
        <is>
          <t>MFG-002</t>
        </is>
      </c>
      <c r="J292" s="7" t="inlineStr">
        <is>
          <t>DF-020</t>
        </is>
      </c>
      <c r="K292" s="7" t="inlineStr">
        <is>
          <t>DT-001</t>
        </is>
      </c>
      <c r="L292" s="8" t="inlineStr">
        <is>
          <t>Galaxy S23 Ultra</t>
        </is>
      </c>
      <c r="M292" s="8" t="inlineStr">
        <is>
          <t>SM-S918</t>
        </is>
      </c>
      <c r="N292" s="7" t="n">
        <v>2023</v>
      </c>
      <c r="O292" s="94" t="n">
        <v>179</v>
      </c>
      <c r="P292" s="94" t="inlineStr">
        <is>
          <t>Yes</t>
        </is>
      </c>
    </row>
    <row r="293" ht="21.5" customHeight="1" s="125">
      <c r="A293" s="94" t="inlineStr">
        <is>
          <t>REF-000004</t>
        </is>
      </c>
      <c r="B293" s="94" t="inlineStr">
        <is>
          <t>144 Hz</t>
        </is>
      </c>
      <c r="C293" s="94" t="inlineStr">
        <is>
          <t>144 Hz</t>
        </is>
      </c>
      <c r="D293" s="94" t="n">
        <v>4</v>
      </c>
      <c r="E293" s="94" t="b">
        <v>1</v>
      </c>
      <c r="F293" s="17" t="n"/>
      <c r="G293" s="33" t="n"/>
      <c r="H293" s="9" t="inlineStr">
        <is>
          <t>MOD-000180</t>
        </is>
      </c>
      <c r="I293" s="7" t="inlineStr">
        <is>
          <t>MFG-002</t>
        </is>
      </c>
      <c r="J293" s="7" t="inlineStr">
        <is>
          <t>DF-020</t>
        </is>
      </c>
      <c r="K293" s="7" t="inlineStr">
        <is>
          <t>DT-001</t>
        </is>
      </c>
      <c r="L293" s="8" t="inlineStr">
        <is>
          <t>Galaxy S23 FE</t>
        </is>
      </c>
      <c r="M293" s="8" t="inlineStr">
        <is>
          <t>SM-S711</t>
        </is>
      </c>
      <c r="N293" s="7" t="n">
        <v>2023</v>
      </c>
      <c r="O293" s="94" t="n">
        <v>180</v>
      </c>
      <c r="P293" s="94" t="inlineStr">
        <is>
          <t>Yes</t>
        </is>
      </c>
    </row>
    <row r="294" ht="21.5" customHeight="1" s="125">
      <c r="A294" s="94" t="inlineStr">
        <is>
          <t>REF-000005</t>
        </is>
      </c>
      <c r="B294" s="94" t="inlineStr">
        <is>
          <t>165 Hz</t>
        </is>
      </c>
      <c r="C294" s="94" t="inlineStr">
        <is>
          <t>165 Hz</t>
        </is>
      </c>
      <c r="D294" s="94" t="n">
        <v>5</v>
      </c>
      <c r="E294" s="94" t="b">
        <v>1</v>
      </c>
      <c r="F294" s="17" t="n"/>
      <c r="G294" s="33" t="n"/>
      <c r="H294" s="9" t="inlineStr">
        <is>
          <t>MOD-000181</t>
        </is>
      </c>
      <c r="I294" s="7" t="inlineStr">
        <is>
          <t>MFG-002</t>
        </is>
      </c>
      <c r="J294" s="7" t="inlineStr">
        <is>
          <t>DF-020</t>
        </is>
      </c>
      <c r="K294" s="7" t="inlineStr">
        <is>
          <t>DT-001</t>
        </is>
      </c>
      <c r="L294" s="8" t="inlineStr">
        <is>
          <t>Galaxy S24</t>
        </is>
      </c>
      <c r="M294" s="8" t="inlineStr">
        <is>
          <t>SM-S921</t>
        </is>
      </c>
      <c r="N294" s="7" t="n">
        <v>2024</v>
      </c>
      <c r="O294" s="94" t="n">
        <v>181</v>
      </c>
      <c r="P294" s="94" t="inlineStr">
        <is>
          <t>Yes</t>
        </is>
      </c>
    </row>
    <row r="295" ht="21.5" customHeight="1" s="125">
      <c r="A295" s="94" t="inlineStr">
        <is>
          <t>REF-000006</t>
        </is>
      </c>
      <c r="B295" s="94" t="inlineStr">
        <is>
          <t>240 Hz</t>
        </is>
      </c>
      <c r="C295" s="94" t="inlineStr">
        <is>
          <t>240 Hz</t>
        </is>
      </c>
      <c r="D295" s="94" t="n">
        <v>6</v>
      </c>
      <c r="E295" s="94" t="b">
        <v>1</v>
      </c>
      <c r="F295" s="17" t="n"/>
      <c r="G295" s="33" t="n"/>
      <c r="H295" s="9" t="inlineStr">
        <is>
          <t>MOD-000182</t>
        </is>
      </c>
      <c r="I295" s="7" t="inlineStr">
        <is>
          <t>MFG-002</t>
        </is>
      </c>
      <c r="J295" s="7" t="inlineStr">
        <is>
          <t>DF-020</t>
        </is>
      </c>
      <c r="K295" s="7" t="inlineStr">
        <is>
          <t>DT-001</t>
        </is>
      </c>
      <c r="L295" s="8" t="inlineStr">
        <is>
          <t>Galaxy S24+</t>
        </is>
      </c>
      <c r="M295" s="8" t="inlineStr">
        <is>
          <t>SM-S926</t>
        </is>
      </c>
      <c r="N295" s="7" t="n">
        <v>2024</v>
      </c>
      <c r="O295" s="94" t="n">
        <v>182</v>
      </c>
      <c r="P295" s="94" t="inlineStr">
        <is>
          <t>Yes</t>
        </is>
      </c>
    </row>
    <row r="296" ht="21.5" customHeight="1" s="125">
      <c r="A296" s="94" t="n"/>
      <c r="B296" s="94" t="n"/>
      <c r="C296" s="94" t="n"/>
      <c r="D296" s="94" t="n"/>
      <c r="E296" s="94" t="n"/>
      <c r="F296" s="17" t="n"/>
      <c r="G296" s="33" t="n"/>
      <c r="H296" s="9" t="inlineStr">
        <is>
          <t>MOD-000183</t>
        </is>
      </c>
      <c r="I296" s="7" t="inlineStr">
        <is>
          <t>MFG-002</t>
        </is>
      </c>
      <c r="J296" s="7" t="inlineStr">
        <is>
          <t>DF-020</t>
        </is>
      </c>
      <c r="K296" s="7" t="inlineStr">
        <is>
          <t>DT-001</t>
        </is>
      </c>
      <c r="L296" s="8" t="inlineStr">
        <is>
          <t>Galaxy S24 Ultra</t>
        </is>
      </c>
      <c r="M296" s="8" t="inlineStr">
        <is>
          <t>SM-S928</t>
        </is>
      </c>
      <c r="N296" s="7" t="n">
        <v>2024</v>
      </c>
      <c r="O296" s="94" t="n">
        <v>183</v>
      </c>
      <c r="P296" s="94" t="inlineStr">
        <is>
          <t>Yes</t>
        </is>
      </c>
    </row>
    <row r="297" ht="21.5" customHeight="1" s="125">
      <c r="A297" s="94" t="inlineStr">
        <is>
          <t>tblRepairabilityRatings</t>
        </is>
      </c>
      <c r="B297" s="94" t="n"/>
      <c r="C297" s="94" t="n"/>
      <c r="D297" s="94" t="n"/>
      <c r="E297" s="94" t="n"/>
      <c r="F297" s="17" t="n"/>
      <c r="G297" s="33" t="n"/>
      <c r="H297" s="9" t="inlineStr">
        <is>
          <t>MOD-000184</t>
        </is>
      </c>
      <c r="I297" s="7" t="inlineStr">
        <is>
          <t>MFG-002</t>
        </is>
      </c>
      <c r="J297" s="7" t="inlineStr">
        <is>
          <t>DF-020</t>
        </is>
      </c>
      <c r="K297" s="7" t="inlineStr">
        <is>
          <t>DT-001</t>
        </is>
      </c>
      <c r="L297" s="8" t="inlineStr">
        <is>
          <t>Galaxy S24 FE</t>
        </is>
      </c>
      <c r="M297" s="8" t="inlineStr">
        <is>
          <t>SM-S721</t>
        </is>
      </c>
      <c r="N297" s="7" t="n">
        <v>2024</v>
      </c>
      <c r="O297" s="94" t="n">
        <v>184</v>
      </c>
      <c r="P297" s="94" t="inlineStr">
        <is>
          <t>Yes</t>
        </is>
      </c>
    </row>
    <row r="298" ht="21.5" customHeight="1" s="125">
      <c r="A298" s="6" t="inlineStr">
        <is>
          <t>ID</t>
        </is>
      </c>
      <c r="B298" s="6" t="inlineStr">
        <is>
          <t>Name</t>
        </is>
      </c>
      <c r="C298" s="6" t="inlineStr">
        <is>
          <t>Description</t>
        </is>
      </c>
      <c r="D298" s="6" t="inlineStr">
        <is>
          <t>DisplayOrder</t>
        </is>
      </c>
      <c r="E298" s="6" t="inlineStr">
        <is>
          <t>Active</t>
        </is>
      </c>
      <c r="F298" s="17" t="n"/>
      <c r="G298" s="33" t="n"/>
      <c r="H298" s="9" t="inlineStr">
        <is>
          <t>MOD-000185</t>
        </is>
      </c>
      <c r="I298" s="7" t="inlineStr">
        <is>
          <t>MFG-002</t>
        </is>
      </c>
      <c r="J298" s="7" t="inlineStr">
        <is>
          <t>DF-020</t>
        </is>
      </c>
      <c r="K298" s="7" t="inlineStr">
        <is>
          <t>DT-001</t>
        </is>
      </c>
      <c r="L298" s="8" t="inlineStr">
        <is>
          <t>Galaxy S25</t>
        </is>
      </c>
      <c r="M298" s="8" t="inlineStr">
        <is>
          <t>SM-S931</t>
        </is>
      </c>
      <c r="N298" s="7" t="n">
        <v>2025</v>
      </c>
      <c r="O298" s="94" t="n">
        <v>185</v>
      </c>
      <c r="P298" s="94" t="inlineStr">
        <is>
          <t>Yes</t>
        </is>
      </c>
    </row>
    <row r="299" ht="21.5" customHeight="1" s="125">
      <c r="A299" s="16" t="inlineStr">
        <is>
          <t>RPR-000001</t>
        </is>
      </c>
      <c r="B299" s="94" t="inlineStr">
        <is>
          <t>Extremely Difficult</t>
        </is>
      </c>
      <c r="C299" s="94" t="inlineStr">
        <is>
          <t>1 - Extremely Difficult</t>
        </is>
      </c>
      <c r="D299" s="94" t="n">
        <v>1</v>
      </c>
      <c r="E299" s="94" t="b">
        <v>1</v>
      </c>
      <c r="F299" s="17" t="n"/>
      <c r="G299" s="33" t="n"/>
      <c r="H299" s="9" t="inlineStr">
        <is>
          <t>MOD-000186</t>
        </is>
      </c>
      <c r="I299" s="7" t="inlineStr">
        <is>
          <t>MFG-002</t>
        </is>
      </c>
      <c r="J299" s="7" t="inlineStr">
        <is>
          <t>DF-020</t>
        </is>
      </c>
      <c r="K299" s="7" t="inlineStr">
        <is>
          <t>DT-001</t>
        </is>
      </c>
      <c r="L299" s="8" t="inlineStr">
        <is>
          <t>Galaxy S25+</t>
        </is>
      </c>
      <c r="M299" s="8" t="inlineStr">
        <is>
          <t>SM-S936</t>
        </is>
      </c>
      <c r="N299" s="7" t="n">
        <v>2025</v>
      </c>
      <c r="O299" s="94" t="n">
        <v>186</v>
      </c>
      <c r="P299" s="94" t="inlineStr">
        <is>
          <t>Yes</t>
        </is>
      </c>
    </row>
    <row r="300" ht="21.5" customHeight="1" s="125">
      <c r="A300" s="16" t="inlineStr">
        <is>
          <t>RPR-000002</t>
        </is>
      </c>
      <c r="B300" s="94" t="inlineStr">
        <is>
          <t>Very Difficult</t>
        </is>
      </c>
      <c r="C300" s="94" t="inlineStr">
        <is>
          <t>2 - Very Difficult</t>
        </is>
      </c>
      <c r="D300" s="94" t="n">
        <v>2</v>
      </c>
      <c r="E300" s="94" t="b">
        <v>1</v>
      </c>
      <c r="F300" s="17" t="n"/>
      <c r="G300" s="33" t="n"/>
      <c r="H300" s="9" t="inlineStr">
        <is>
          <t>MOD-000187</t>
        </is>
      </c>
      <c r="I300" s="7" t="inlineStr">
        <is>
          <t>MFG-002</t>
        </is>
      </c>
      <c r="J300" s="7" t="inlineStr">
        <is>
          <t>DF-020</t>
        </is>
      </c>
      <c r="K300" s="7" t="inlineStr">
        <is>
          <t>DT-001</t>
        </is>
      </c>
      <c r="L300" s="8" t="inlineStr">
        <is>
          <t>Galaxy S25 Ultra</t>
        </is>
      </c>
      <c r="M300" s="8" t="inlineStr">
        <is>
          <t>SM-S938</t>
        </is>
      </c>
      <c r="N300" s="7" t="n">
        <v>2025</v>
      </c>
      <c r="O300" s="94" t="n">
        <v>187</v>
      </c>
      <c r="P300" s="94" t="inlineStr">
        <is>
          <t>Yes</t>
        </is>
      </c>
    </row>
    <row r="301" ht="21.5" customHeight="1" s="125">
      <c r="A301" s="16" t="inlineStr">
        <is>
          <t>RPR-000003</t>
        </is>
      </c>
      <c r="B301" s="94" t="inlineStr">
        <is>
          <t>Difficult</t>
        </is>
      </c>
      <c r="C301" s="94" t="inlineStr">
        <is>
          <t>3 - Difficult</t>
        </is>
      </c>
      <c r="D301" s="94" t="n">
        <v>3</v>
      </c>
      <c r="E301" s="94" t="b">
        <v>1</v>
      </c>
      <c r="F301" s="17" t="n"/>
      <c r="G301" s="33" t="n"/>
      <c r="H301" s="9" t="inlineStr">
        <is>
          <t>MOD-000188</t>
        </is>
      </c>
      <c r="I301" s="7" t="inlineStr">
        <is>
          <t>MFG-002</t>
        </is>
      </c>
      <c r="J301" s="7" t="inlineStr">
        <is>
          <t>DF-020</t>
        </is>
      </c>
      <c r="K301" s="7" t="inlineStr">
        <is>
          <t>DT-001</t>
        </is>
      </c>
      <c r="L301" s="8" t="inlineStr">
        <is>
          <t>Galaxy S25 Edge</t>
        </is>
      </c>
      <c r="M301" s="8" t="inlineStr">
        <is>
          <t>SM-S937</t>
        </is>
      </c>
      <c r="N301" s="7" t="n">
        <v>2025</v>
      </c>
      <c r="O301" s="94" t="n">
        <v>188</v>
      </c>
      <c r="P301" s="94" t="inlineStr">
        <is>
          <t>Yes</t>
        </is>
      </c>
    </row>
    <row r="302" ht="21.5" customHeight="1" s="125">
      <c r="A302" s="16" t="inlineStr">
        <is>
          <t>RPR-000004</t>
        </is>
      </c>
      <c r="B302" s="94" t="inlineStr">
        <is>
          <t>Moderately Difficult</t>
        </is>
      </c>
      <c r="C302" s="94" t="inlineStr">
        <is>
          <t>4 - Moderately Difficult</t>
        </is>
      </c>
      <c r="D302" s="94" t="n">
        <v>4</v>
      </c>
      <c r="E302" s="94" t="b">
        <v>1</v>
      </c>
      <c r="F302" s="17" t="n"/>
      <c r="G302" s="33" t="n"/>
      <c r="H302" s="9" t="inlineStr">
        <is>
          <t>MOD-000189</t>
        </is>
      </c>
      <c r="I302" s="7" t="inlineStr">
        <is>
          <t>MFG-002</t>
        </is>
      </c>
      <c r="J302" s="7" t="inlineStr">
        <is>
          <t>DF-021</t>
        </is>
      </c>
      <c r="K302" s="7" t="inlineStr">
        <is>
          <t>DT-001</t>
        </is>
      </c>
      <c r="L302" s="8" t="inlineStr">
        <is>
          <t>Galaxy Note</t>
        </is>
      </c>
      <c r="M302" s="8" t="inlineStr">
        <is>
          <t>GT-N7000</t>
        </is>
      </c>
      <c r="N302" s="7" t="n">
        <v>2011</v>
      </c>
      <c r="O302" s="94" t="n">
        <v>189</v>
      </c>
      <c r="P302" s="94" t="inlineStr">
        <is>
          <t>Yes</t>
        </is>
      </c>
    </row>
    <row r="303" ht="21.5" customHeight="1" s="125">
      <c r="A303" s="16" t="inlineStr">
        <is>
          <t>RPR-000005</t>
        </is>
      </c>
      <c r="B303" s="94" t="inlineStr">
        <is>
          <t>Moderate</t>
        </is>
      </c>
      <c r="C303" s="94" t="inlineStr">
        <is>
          <t>5 - Moderate</t>
        </is>
      </c>
      <c r="D303" s="94" t="n">
        <v>5</v>
      </c>
      <c r="E303" s="94" t="b">
        <v>1</v>
      </c>
      <c r="F303" s="17" t="n"/>
      <c r="G303" s="33" t="n"/>
      <c r="H303" s="9" t="inlineStr">
        <is>
          <t>MOD-000190</t>
        </is>
      </c>
      <c r="I303" s="7" t="inlineStr">
        <is>
          <t>MFG-002</t>
        </is>
      </c>
      <c r="J303" s="7" t="inlineStr">
        <is>
          <t>DF-021</t>
        </is>
      </c>
      <c r="K303" s="7" t="inlineStr">
        <is>
          <t>DT-001</t>
        </is>
      </c>
      <c r="L303" s="8" t="inlineStr">
        <is>
          <t>Galaxy Note II</t>
        </is>
      </c>
      <c r="M303" s="8" t="inlineStr">
        <is>
          <t>GT-N7100</t>
        </is>
      </c>
      <c r="N303" s="7" t="n">
        <v>2012</v>
      </c>
      <c r="O303" s="94" t="n">
        <v>190</v>
      </c>
      <c r="P303" s="94" t="inlineStr">
        <is>
          <t>Yes</t>
        </is>
      </c>
    </row>
    <row r="304" ht="21.5" customHeight="1" s="125">
      <c r="A304" s="16" t="inlineStr">
        <is>
          <t>RPR-000006</t>
        </is>
      </c>
      <c r="B304" s="94" t="inlineStr">
        <is>
          <t>Semi-Moderate</t>
        </is>
      </c>
      <c r="C304" s="94" t="inlineStr">
        <is>
          <t>6 - Semi-Moderate</t>
        </is>
      </c>
      <c r="D304" s="94" t="n">
        <v>6</v>
      </c>
      <c r="E304" s="94" t="b">
        <v>1</v>
      </c>
      <c r="F304" s="17" t="n"/>
      <c r="G304" s="33" t="n"/>
      <c r="H304" s="9" t="inlineStr">
        <is>
          <t>MOD-000191</t>
        </is>
      </c>
      <c r="I304" s="7" t="inlineStr">
        <is>
          <t>MFG-002</t>
        </is>
      </c>
      <c r="J304" s="7" t="inlineStr">
        <is>
          <t>DF-021</t>
        </is>
      </c>
      <c r="K304" s="7" t="inlineStr">
        <is>
          <t>DT-001</t>
        </is>
      </c>
      <c r="L304" s="8" t="inlineStr">
        <is>
          <t>Galaxy Note 3</t>
        </is>
      </c>
      <c r="M304" s="8" t="inlineStr">
        <is>
          <t>SM-N900</t>
        </is>
      </c>
      <c r="N304" s="7" t="n">
        <v>2013</v>
      </c>
      <c r="O304" s="94" t="n">
        <v>191</v>
      </c>
      <c r="P304" s="94" t="inlineStr">
        <is>
          <t>Yes</t>
        </is>
      </c>
    </row>
    <row r="305" ht="21.5" customHeight="1" s="125">
      <c r="A305" s="16" t="inlineStr">
        <is>
          <t>RPR-000007</t>
        </is>
      </c>
      <c r="B305" s="94" t="inlineStr">
        <is>
          <t>Semi-Easy</t>
        </is>
      </c>
      <c r="C305" s="94" t="inlineStr">
        <is>
          <t>7 - Semi-Easy</t>
        </is>
      </c>
      <c r="D305" s="94" t="n">
        <v>7</v>
      </c>
      <c r="E305" s="94" t="b">
        <v>1</v>
      </c>
      <c r="F305" s="17" t="n"/>
      <c r="G305" s="33" t="n"/>
      <c r="H305" s="9" t="inlineStr">
        <is>
          <t>MOD-000192</t>
        </is>
      </c>
      <c r="I305" s="7" t="inlineStr">
        <is>
          <t>MFG-002</t>
        </is>
      </c>
      <c r="J305" s="7" t="inlineStr">
        <is>
          <t>DF-021</t>
        </is>
      </c>
      <c r="K305" s="7" t="inlineStr">
        <is>
          <t>DT-001</t>
        </is>
      </c>
      <c r="L305" s="8" t="inlineStr">
        <is>
          <t>Galaxy Note 4</t>
        </is>
      </c>
      <c r="M305" s="8" t="inlineStr">
        <is>
          <t>SM-N910</t>
        </is>
      </c>
      <c r="N305" s="7" t="n">
        <v>2014</v>
      </c>
      <c r="O305" s="94" t="n">
        <v>192</v>
      </c>
      <c r="P305" s="94" t="inlineStr">
        <is>
          <t>Yes</t>
        </is>
      </c>
    </row>
    <row r="306" ht="21.5" customHeight="1" s="125">
      <c r="A306" s="16" t="inlineStr">
        <is>
          <t>RPR-000008</t>
        </is>
      </c>
      <c r="B306" s="94" t="inlineStr">
        <is>
          <t>Easy</t>
        </is>
      </c>
      <c r="C306" s="94" t="inlineStr">
        <is>
          <t>8 - Easy</t>
        </is>
      </c>
      <c r="D306" s="94" t="n">
        <v>8</v>
      </c>
      <c r="E306" s="94" t="b">
        <v>1</v>
      </c>
      <c r="F306" s="17" t="n"/>
      <c r="G306" s="33" t="n"/>
      <c r="H306" s="9" t="inlineStr">
        <is>
          <t>MOD-000193</t>
        </is>
      </c>
      <c r="I306" s="7" t="inlineStr">
        <is>
          <t>MFG-002</t>
        </is>
      </c>
      <c r="J306" s="7" t="inlineStr">
        <is>
          <t>DF-021</t>
        </is>
      </c>
      <c r="K306" s="7" t="inlineStr">
        <is>
          <t>DT-001</t>
        </is>
      </c>
      <c r="L306" s="8" t="inlineStr">
        <is>
          <t>Galaxy Note Edge</t>
        </is>
      </c>
      <c r="M306" s="8" t="inlineStr">
        <is>
          <t>SM-N915</t>
        </is>
      </c>
      <c r="N306" s="7" t="n">
        <v>2014</v>
      </c>
      <c r="O306" s="94" t="n">
        <v>193</v>
      </c>
      <c r="P306" s="94" t="inlineStr">
        <is>
          <t>Yes</t>
        </is>
      </c>
    </row>
    <row r="307" ht="21.5" customHeight="1" s="125">
      <c r="A307" s="16" t="inlineStr">
        <is>
          <t>RPR-000009</t>
        </is>
      </c>
      <c r="B307" s="94" t="inlineStr">
        <is>
          <t>Very Easy</t>
        </is>
      </c>
      <c r="C307" s="94" t="inlineStr">
        <is>
          <t>9 - Very Easy</t>
        </is>
      </c>
      <c r="D307" s="94" t="n">
        <v>9</v>
      </c>
      <c r="E307" s="94" t="b">
        <v>1</v>
      </c>
      <c r="F307" s="17" t="n"/>
      <c r="G307" s="33" t="n"/>
      <c r="H307" s="9" t="inlineStr">
        <is>
          <t>MOD-000194</t>
        </is>
      </c>
      <c r="I307" s="7" t="inlineStr">
        <is>
          <t>MFG-002</t>
        </is>
      </c>
      <c r="J307" s="7" t="inlineStr">
        <is>
          <t>DF-021</t>
        </is>
      </c>
      <c r="K307" s="7" t="inlineStr">
        <is>
          <t>DT-001</t>
        </is>
      </c>
      <c r="L307" s="8" t="inlineStr">
        <is>
          <t>Galaxy Note5</t>
        </is>
      </c>
      <c r="M307" s="8" t="inlineStr">
        <is>
          <t>SM-N920</t>
        </is>
      </c>
      <c r="N307" s="7" t="n">
        <v>2015</v>
      </c>
      <c r="O307" s="94" t="n">
        <v>194</v>
      </c>
      <c r="P307" s="94" t="inlineStr">
        <is>
          <t>Yes</t>
        </is>
      </c>
    </row>
    <row r="308" ht="21.5" customHeight="1" s="125">
      <c r="A308" s="16" t="inlineStr">
        <is>
          <t>RPR-000010</t>
        </is>
      </c>
      <c r="B308" s="94" t="inlineStr">
        <is>
          <t>Modular</t>
        </is>
      </c>
      <c r="C308" s="94" t="inlineStr">
        <is>
          <t>10 - Modular</t>
        </is>
      </c>
      <c r="D308" s="94" t="n">
        <v>10</v>
      </c>
      <c r="E308" s="94" t="b">
        <v>1</v>
      </c>
      <c r="F308" s="17" t="n"/>
      <c r="G308" s="33" t="n"/>
      <c r="H308" s="9" t="inlineStr">
        <is>
          <t>MOD-000195</t>
        </is>
      </c>
      <c r="I308" s="7" t="inlineStr">
        <is>
          <t>MFG-002</t>
        </is>
      </c>
      <c r="J308" s="7" t="inlineStr">
        <is>
          <t>DF-021</t>
        </is>
      </c>
      <c r="K308" s="7" t="inlineStr">
        <is>
          <t>DT-001</t>
        </is>
      </c>
      <c r="L308" s="8" t="inlineStr">
        <is>
          <t>Galaxy Note FE</t>
        </is>
      </c>
      <c r="M308" s="8" t="inlineStr">
        <is>
          <t>SM-N935</t>
        </is>
      </c>
      <c r="N308" s="7" t="n">
        <v>2017</v>
      </c>
      <c r="O308" s="94" t="n">
        <v>195</v>
      </c>
      <c r="P308" s="94" t="inlineStr">
        <is>
          <t>Yes</t>
        </is>
      </c>
    </row>
    <row r="309" ht="21.5" customHeight="1" s="125">
      <c r="A309" s="94" t="n"/>
      <c r="B309" s="94" t="n"/>
      <c r="C309" s="94" t="n"/>
      <c r="D309" s="94" t="n"/>
      <c r="E309" s="94" t="n"/>
      <c r="F309" s="17" t="n"/>
      <c r="G309" s="33" t="n"/>
      <c r="H309" s="9" t="inlineStr">
        <is>
          <t>MOD-000196</t>
        </is>
      </c>
      <c r="I309" s="7" t="inlineStr">
        <is>
          <t>MFG-002</t>
        </is>
      </c>
      <c r="J309" s="7" t="inlineStr">
        <is>
          <t>DF-021</t>
        </is>
      </c>
      <c r="K309" s="7" t="inlineStr">
        <is>
          <t>DT-001</t>
        </is>
      </c>
      <c r="L309" s="8" t="inlineStr">
        <is>
          <t>Galaxy Note8</t>
        </is>
      </c>
      <c r="M309" s="8" t="inlineStr">
        <is>
          <t>SM-N950</t>
        </is>
      </c>
      <c r="N309" s="7" t="n">
        <v>2017</v>
      </c>
      <c r="O309" s="94" t="n">
        <v>196</v>
      </c>
      <c r="P309" s="94" t="inlineStr">
        <is>
          <t>Yes</t>
        </is>
      </c>
    </row>
    <row r="310" ht="21.5" customHeight="1" s="125">
      <c r="A310" s="94" t="inlineStr">
        <is>
          <t>tblDeviceStatus</t>
        </is>
      </c>
      <c r="B310" s="94" t="n"/>
      <c r="C310" s="94" t="n"/>
      <c r="D310" s="94" t="n"/>
      <c r="E310" s="94" t="n"/>
      <c r="F310" s="17" t="n"/>
      <c r="G310" s="33" t="n"/>
      <c r="H310" s="9" t="inlineStr">
        <is>
          <t>MOD-000197</t>
        </is>
      </c>
      <c r="I310" s="7" t="inlineStr">
        <is>
          <t>MFG-002</t>
        </is>
      </c>
      <c r="J310" s="7" t="inlineStr">
        <is>
          <t>DF-021</t>
        </is>
      </c>
      <c r="K310" s="7" t="inlineStr">
        <is>
          <t>DT-001</t>
        </is>
      </c>
      <c r="L310" s="8" t="inlineStr">
        <is>
          <t>Galaxy Note9</t>
        </is>
      </c>
      <c r="M310" s="8" t="inlineStr">
        <is>
          <t>SM-N960</t>
        </is>
      </c>
      <c r="N310" s="7" t="n">
        <v>2018</v>
      </c>
      <c r="O310" s="94" t="n">
        <v>197</v>
      </c>
      <c r="P310" s="94" t="inlineStr">
        <is>
          <t>Yes</t>
        </is>
      </c>
    </row>
    <row r="311" ht="21.5" customHeight="1" s="125">
      <c r="A311" s="6" t="inlineStr">
        <is>
          <t>ID</t>
        </is>
      </c>
      <c r="B311" s="6" t="inlineStr">
        <is>
          <t>Name</t>
        </is>
      </c>
      <c r="C311" s="6" t="inlineStr">
        <is>
          <t>Description</t>
        </is>
      </c>
      <c r="D311" s="6" t="inlineStr">
        <is>
          <t>DisplayOrder</t>
        </is>
      </c>
      <c r="E311" s="6" t="inlineStr">
        <is>
          <t>Active</t>
        </is>
      </c>
      <c r="F311" s="17" t="n"/>
      <c r="G311" s="33" t="n"/>
      <c r="H311" s="9" t="inlineStr">
        <is>
          <t>MOD-000198</t>
        </is>
      </c>
      <c r="I311" s="7" t="inlineStr">
        <is>
          <t>MFG-002</t>
        </is>
      </c>
      <c r="J311" s="7" t="inlineStr">
        <is>
          <t>DF-021</t>
        </is>
      </c>
      <c r="K311" s="7" t="inlineStr">
        <is>
          <t>DT-001</t>
        </is>
      </c>
      <c r="L311" s="8" t="inlineStr">
        <is>
          <t>Galaxy Note10</t>
        </is>
      </c>
      <c r="M311" s="8" t="inlineStr">
        <is>
          <t>SM-N970</t>
        </is>
      </c>
      <c r="N311" s="7" t="n">
        <v>2019</v>
      </c>
      <c r="O311" s="94" t="n">
        <v>198</v>
      </c>
      <c r="P311" s="94" t="inlineStr">
        <is>
          <t>Yes</t>
        </is>
      </c>
    </row>
    <row r="312" ht="21.5" customHeight="1" s="125">
      <c r="A312" s="94" t="inlineStr">
        <is>
          <t>DST-000001</t>
        </is>
      </c>
      <c r="B312" s="94" t="inlineStr">
        <is>
          <t>Active</t>
        </is>
      </c>
      <c r="C312" s="94" t="inlineStr">
        <is>
          <t>Currently supported</t>
        </is>
      </c>
      <c r="D312" s="94" t="n">
        <v>1</v>
      </c>
      <c r="E312" s="94" t="b">
        <v>1</v>
      </c>
      <c r="F312" s="17" t="n"/>
      <c r="G312" s="33" t="n"/>
      <c r="H312" s="9" t="inlineStr">
        <is>
          <t>MOD-000199</t>
        </is>
      </c>
      <c r="I312" s="7" t="inlineStr">
        <is>
          <t>MFG-002</t>
        </is>
      </c>
      <c r="J312" s="7" t="inlineStr">
        <is>
          <t>DF-021</t>
        </is>
      </c>
      <c r="K312" s="7" t="inlineStr">
        <is>
          <t>DT-001</t>
        </is>
      </c>
      <c r="L312" s="8" t="inlineStr">
        <is>
          <t>Galaxy Note10+</t>
        </is>
      </c>
      <c r="M312" s="8" t="inlineStr">
        <is>
          <t>SM-N975</t>
        </is>
      </c>
      <c r="N312" s="7" t="n">
        <v>2019</v>
      </c>
      <c r="O312" s="94" t="n">
        <v>199</v>
      </c>
      <c r="P312" s="94" t="inlineStr">
        <is>
          <t>Yes</t>
        </is>
      </c>
    </row>
    <row r="313" ht="21.5" customHeight="1" s="125">
      <c r="A313" s="94" t="inlineStr">
        <is>
          <t>DST-000002</t>
        </is>
      </c>
      <c r="B313" s="94" t="inlineStr">
        <is>
          <t>Legacy</t>
        </is>
      </c>
      <c r="C313" s="94" t="inlineStr">
        <is>
          <t>Older supported</t>
        </is>
      </c>
      <c r="D313" s="94" t="n">
        <v>2</v>
      </c>
      <c r="E313" s="94" t="b">
        <v>1</v>
      </c>
      <c r="F313" s="17" t="n"/>
      <c r="G313" s="33" t="n"/>
      <c r="H313" s="9" t="inlineStr">
        <is>
          <t>MOD-000200</t>
        </is>
      </c>
      <c r="I313" s="7" t="inlineStr">
        <is>
          <t>MFG-002</t>
        </is>
      </c>
      <c r="J313" s="7" t="inlineStr">
        <is>
          <t>DF-021</t>
        </is>
      </c>
      <c r="K313" s="7" t="inlineStr">
        <is>
          <t>DT-001</t>
        </is>
      </c>
      <c r="L313" s="8" t="inlineStr">
        <is>
          <t>Galaxy Note10+ 5G</t>
        </is>
      </c>
      <c r="M313" s="8" t="inlineStr">
        <is>
          <t>SM-N976</t>
        </is>
      </c>
      <c r="N313" s="7" t="n">
        <v>2019</v>
      </c>
      <c r="O313" s="94" t="n">
        <v>200</v>
      </c>
      <c r="P313" s="94" t="inlineStr">
        <is>
          <t>Yes</t>
        </is>
      </c>
    </row>
    <row r="314" ht="21.5" customHeight="1" s="125">
      <c r="A314" s="94" t="inlineStr">
        <is>
          <t>DST-000003</t>
        </is>
      </c>
      <c r="B314" s="94" t="inlineStr">
        <is>
          <t>End of Life</t>
        </is>
      </c>
      <c r="C314" s="94" t="inlineStr">
        <is>
          <t>Manufacturer support ended</t>
        </is>
      </c>
      <c r="D314" s="94" t="n">
        <v>3</v>
      </c>
      <c r="E314" s="94" t="b">
        <v>1</v>
      </c>
      <c r="F314" s="17" t="n"/>
      <c r="G314" s="33" t="n"/>
      <c r="H314" s="9" t="inlineStr">
        <is>
          <t>MOD-000201</t>
        </is>
      </c>
      <c r="I314" s="7" t="inlineStr">
        <is>
          <t>MFG-002</t>
        </is>
      </c>
      <c r="J314" s="7" t="inlineStr">
        <is>
          <t>DF-021</t>
        </is>
      </c>
      <c r="K314" s="7" t="inlineStr">
        <is>
          <t>DT-001</t>
        </is>
      </c>
      <c r="L314" s="8" t="inlineStr">
        <is>
          <t>Galaxy Note20</t>
        </is>
      </c>
      <c r="M314" s="8" t="inlineStr">
        <is>
          <t>SM-N981</t>
        </is>
      </c>
      <c r="N314" s="7" t="n">
        <v>2020</v>
      </c>
      <c r="O314" s="94" t="n">
        <v>201</v>
      </c>
      <c r="P314" s="94" t="inlineStr">
        <is>
          <t>Yes</t>
        </is>
      </c>
    </row>
    <row r="315" ht="21.5" customHeight="1" s="125">
      <c r="A315" s="94" t="inlineStr">
        <is>
          <t>DST-000004</t>
        </is>
      </c>
      <c r="B315" s="94" t="inlineStr">
        <is>
          <t>Discontinued</t>
        </is>
      </c>
      <c r="C315" s="94" t="inlineStr">
        <is>
          <t>No longer sold</t>
        </is>
      </c>
      <c r="D315" s="94" t="n">
        <v>4</v>
      </c>
      <c r="E315" s="94" t="b">
        <v>1</v>
      </c>
      <c r="F315" s="17" t="n"/>
      <c r="G315" s="33" t="n"/>
      <c r="H315" s="9" t="inlineStr">
        <is>
          <t>MOD-000202</t>
        </is>
      </c>
      <c r="I315" s="7" t="inlineStr">
        <is>
          <t>MFG-002</t>
        </is>
      </c>
      <c r="J315" s="7" t="inlineStr">
        <is>
          <t>DF-021</t>
        </is>
      </c>
      <c r="K315" s="7" t="inlineStr">
        <is>
          <t>DT-001</t>
        </is>
      </c>
      <c r="L315" s="8" t="inlineStr">
        <is>
          <t>Galaxy Note20 Ultra</t>
        </is>
      </c>
      <c r="M315" s="8" t="inlineStr">
        <is>
          <t>SM-N986</t>
        </is>
      </c>
      <c r="N315" s="7" t="n">
        <v>2020</v>
      </c>
      <c r="O315" s="94" t="n">
        <v>202</v>
      </c>
      <c r="P315" s="94" t="inlineStr">
        <is>
          <t>Yes</t>
        </is>
      </c>
    </row>
    <row r="316" ht="21.5" customHeight="1" s="125">
      <c r="A316" s="94" t="inlineStr">
        <is>
          <t>DST-000005</t>
        </is>
      </c>
      <c r="B316" s="94" t="inlineStr">
        <is>
          <t>Upcoming</t>
        </is>
      </c>
      <c r="C316" s="94" t="inlineStr">
        <is>
          <t>Not yet released</t>
        </is>
      </c>
      <c r="D316" s="94" t="n">
        <v>5</v>
      </c>
      <c r="E316" s="94" t="b">
        <v>1</v>
      </c>
      <c r="F316" s="17" t="n"/>
      <c r="G316" s="33" t="n"/>
      <c r="H316" s="9" t="inlineStr">
        <is>
          <t>MOD-000203</t>
        </is>
      </c>
      <c r="I316" s="7" t="inlineStr">
        <is>
          <t>MFG-002</t>
        </is>
      </c>
      <c r="J316" s="7" t="inlineStr">
        <is>
          <t>DF-022</t>
        </is>
      </c>
      <c r="K316" s="7" t="inlineStr">
        <is>
          <t>DT-001</t>
        </is>
      </c>
      <c r="L316" s="8" t="inlineStr">
        <is>
          <t>Galaxy Fold</t>
        </is>
      </c>
      <c r="M316" s="8" t="inlineStr">
        <is>
          <t>SM-F900</t>
        </is>
      </c>
      <c r="N316" s="7" t="n">
        <v>2019</v>
      </c>
      <c r="O316" s="94" t="n">
        <v>203</v>
      </c>
      <c r="P316" s="94" t="inlineStr">
        <is>
          <t>Yes</t>
        </is>
      </c>
    </row>
    <row r="317" ht="21.5" customHeight="1" s="125">
      <c r="A317" s="94" t="n"/>
      <c r="B317" s="94" t="n"/>
      <c r="C317" s="94" t="n"/>
      <c r="D317" s="94" t="n"/>
      <c r="E317" s="94" t="n"/>
      <c r="F317" s="17" t="n"/>
      <c r="G317" s="33" t="n"/>
      <c r="H317" s="9" t="inlineStr">
        <is>
          <t>MOD-000204</t>
        </is>
      </c>
      <c r="I317" s="7" t="inlineStr">
        <is>
          <t>MFG-002</t>
        </is>
      </c>
      <c r="J317" s="7" t="inlineStr">
        <is>
          <t>DF-022</t>
        </is>
      </c>
      <c r="K317" s="7" t="inlineStr">
        <is>
          <t>DT-001</t>
        </is>
      </c>
      <c r="L317" s="8" t="inlineStr">
        <is>
          <t>Galaxy Z Fold2</t>
        </is>
      </c>
      <c r="M317" s="8" t="inlineStr">
        <is>
          <t>SM-F916</t>
        </is>
      </c>
      <c r="N317" s="7" t="n">
        <v>2020</v>
      </c>
      <c r="O317" s="94" t="n">
        <v>204</v>
      </c>
      <c r="P317" s="94" t="inlineStr">
        <is>
          <t>Yes</t>
        </is>
      </c>
    </row>
    <row r="318" ht="21.5" customHeight="1" s="125">
      <c r="A318" s="94" t="inlineStr">
        <is>
          <t>tblMarketRegions</t>
        </is>
      </c>
      <c r="B318" s="94" t="n"/>
      <c r="C318" s="94" t="n"/>
      <c r="D318" s="94" t="n"/>
      <c r="E318" s="94" t="n"/>
      <c r="F318" s="17" t="n"/>
      <c r="G318" s="33" t="n"/>
      <c r="H318" s="9" t="inlineStr">
        <is>
          <t>MOD-000205</t>
        </is>
      </c>
      <c r="I318" s="7" t="inlineStr">
        <is>
          <t>MFG-002</t>
        </is>
      </c>
      <c r="J318" s="7" t="inlineStr">
        <is>
          <t>DF-022</t>
        </is>
      </c>
      <c r="K318" s="7" t="inlineStr">
        <is>
          <t>DT-001</t>
        </is>
      </c>
      <c r="L318" s="8" t="inlineStr">
        <is>
          <t>Galaxy Z Fold3</t>
        </is>
      </c>
      <c r="M318" s="8" t="inlineStr">
        <is>
          <t>SM-F926</t>
        </is>
      </c>
      <c r="N318" s="7" t="n">
        <v>2021</v>
      </c>
      <c r="O318" s="94" t="n">
        <v>205</v>
      </c>
      <c r="P318" s="94" t="inlineStr">
        <is>
          <t>Yes</t>
        </is>
      </c>
    </row>
    <row r="319" ht="21.5" customHeight="1" s="125">
      <c r="A319" s="6" t="inlineStr">
        <is>
          <t>ID</t>
        </is>
      </c>
      <c r="B319" s="6" t="inlineStr">
        <is>
          <t>Name</t>
        </is>
      </c>
      <c r="C319" s="6" t="inlineStr">
        <is>
          <t>Description</t>
        </is>
      </c>
      <c r="D319" s="6" t="inlineStr">
        <is>
          <t>DisplayOrder</t>
        </is>
      </c>
      <c r="E319" s="6" t="inlineStr">
        <is>
          <t>Active</t>
        </is>
      </c>
      <c r="F319" s="17" t="n"/>
      <c r="G319" s="33" t="n"/>
      <c r="H319" s="9" t="inlineStr">
        <is>
          <t>MOD-000206</t>
        </is>
      </c>
      <c r="I319" s="7" t="inlineStr">
        <is>
          <t>MFG-002</t>
        </is>
      </c>
      <c r="J319" s="7" t="inlineStr">
        <is>
          <t>DF-022</t>
        </is>
      </c>
      <c r="K319" s="7" t="inlineStr">
        <is>
          <t>DT-001</t>
        </is>
      </c>
      <c r="L319" s="8" t="inlineStr">
        <is>
          <t>Galaxy Z Fold4</t>
        </is>
      </c>
      <c r="M319" s="8" t="inlineStr">
        <is>
          <t>SM-F936</t>
        </is>
      </c>
      <c r="N319" s="7" t="n">
        <v>2022</v>
      </c>
      <c r="O319" s="94" t="n">
        <v>206</v>
      </c>
      <c r="P319" s="94" t="inlineStr">
        <is>
          <t>Yes</t>
        </is>
      </c>
    </row>
    <row r="320" ht="21.5" customHeight="1" s="125">
      <c r="A320" s="15" t="inlineStr">
        <is>
          <t>REG-000001</t>
        </is>
      </c>
      <c r="B320" s="15" t="inlineStr">
        <is>
          <t>Global</t>
        </is>
      </c>
      <c r="C320" s="15" t="inlineStr">
        <is>
          <t>Worldwide</t>
        </is>
      </c>
      <c r="D320" s="15" t="n">
        <v>1</v>
      </c>
      <c r="E320" s="15" t="b">
        <v>1</v>
      </c>
      <c r="F320" s="17" t="n"/>
      <c r="G320" s="33" t="n"/>
      <c r="H320" s="9" t="inlineStr">
        <is>
          <t>MOD-000207</t>
        </is>
      </c>
      <c r="I320" s="7" t="inlineStr">
        <is>
          <t>MFG-002</t>
        </is>
      </c>
      <c r="J320" s="7" t="inlineStr">
        <is>
          <t>DF-022</t>
        </is>
      </c>
      <c r="K320" s="7" t="inlineStr">
        <is>
          <t>DT-001</t>
        </is>
      </c>
      <c r="L320" s="8" t="inlineStr">
        <is>
          <t>Galaxy Z Fold5</t>
        </is>
      </c>
      <c r="M320" s="8" t="inlineStr">
        <is>
          <t>SM-F946</t>
        </is>
      </c>
      <c r="N320" s="7" t="n">
        <v>2023</v>
      </c>
      <c r="O320" s="94" t="n">
        <v>207</v>
      </c>
      <c r="P320" s="94" t="inlineStr">
        <is>
          <t>Yes</t>
        </is>
      </c>
    </row>
    <row r="321" ht="21.5" customHeight="1" s="125">
      <c r="A321" s="15" t="inlineStr">
        <is>
          <t>REG-000002</t>
        </is>
      </c>
      <c r="B321" s="15" t="inlineStr">
        <is>
          <t>United States</t>
        </is>
      </c>
      <c r="C321" s="15" t="inlineStr">
        <is>
          <t>US</t>
        </is>
      </c>
      <c r="D321" s="15" t="n">
        <v>2</v>
      </c>
      <c r="E321" s="15" t="b">
        <v>1</v>
      </c>
      <c r="F321" s="17" t="n"/>
      <c r="G321" s="33" t="n"/>
      <c r="H321" s="9" t="inlineStr">
        <is>
          <t>MOD-000208</t>
        </is>
      </c>
      <c r="I321" s="7" t="inlineStr">
        <is>
          <t>MFG-002</t>
        </is>
      </c>
      <c r="J321" s="7" t="inlineStr">
        <is>
          <t>DF-022</t>
        </is>
      </c>
      <c r="K321" s="7" t="inlineStr">
        <is>
          <t>DT-001</t>
        </is>
      </c>
      <c r="L321" s="8" t="inlineStr">
        <is>
          <t>Galaxy Z Fold6</t>
        </is>
      </c>
      <c r="M321" s="8" t="inlineStr">
        <is>
          <t>SM-F956</t>
        </is>
      </c>
      <c r="N321" s="7" t="n">
        <v>2024</v>
      </c>
      <c r="O321" s="94" t="n">
        <v>208</v>
      </c>
      <c r="P321" s="94" t="inlineStr">
        <is>
          <t>Yes</t>
        </is>
      </c>
    </row>
    <row r="322" ht="21.5" customHeight="1" s="125">
      <c r="A322" s="15" t="inlineStr">
        <is>
          <t>REG-000003</t>
        </is>
      </c>
      <c r="B322" s="15" t="inlineStr">
        <is>
          <t>Canada</t>
        </is>
      </c>
      <c r="C322" s="15" t="inlineStr">
        <is>
          <t>CA</t>
        </is>
      </c>
      <c r="D322" s="15" t="n">
        <v>3</v>
      </c>
      <c r="E322" s="15" t="b">
        <v>1</v>
      </c>
      <c r="F322" s="17" t="n"/>
      <c r="G322" s="33" t="n"/>
      <c r="H322" s="9" t="inlineStr">
        <is>
          <t>MOD-000209</t>
        </is>
      </c>
      <c r="I322" s="7" t="inlineStr">
        <is>
          <t>MFG-002</t>
        </is>
      </c>
      <c r="J322" s="7" t="inlineStr">
        <is>
          <t>DF-022</t>
        </is>
      </c>
      <c r="K322" s="7" t="inlineStr">
        <is>
          <t>DT-001</t>
        </is>
      </c>
      <c r="L322" s="8" t="inlineStr">
        <is>
          <t>Galaxy Z Fold7</t>
        </is>
      </c>
      <c r="M322" s="8" t="inlineStr">
        <is>
          <t>SM-F966</t>
        </is>
      </c>
      <c r="N322" s="7" t="n">
        <v>2025</v>
      </c>
      <c r="O322" s="94" t="n">
        <v>209</v>
      </c>
      <c r="P322" s="94" t="inlineStr">
        <is>
          <t>Yes</t>
        </is>
      </c>
    </row>
    <row r="323" ht="21.5" customHeight="1" s="125">
      <c r="A323" s="15" t="inlineStr">
        <is>
          <t>REG-000004</t>
        </is>
      </c>
      <c r="B323" s="15" t="inlineStr">
        <is>
          <t>Europe</t>
        </is>
      </c>
      <c r="C323" s="15" t="inlineStr">
        <is>
          <t>EU</t>
        </is>
      </c>
      <c r="D323" s="15" t="n">
        <v>4</v>
      </c>
      <c r="E323" s="15" t="b">
        <v>1</v>
      </c>
      <c r="F323" s="17" t="n"/>
      <c r="G323" s="33" t="n"/>
      <c r="H323" s="9" t="inlineStr">
        <is>
          <t>MOD-000210</t>
        </is>
      </c>
      <c r="I323" s="7" t="inlineStr">
        <is>
          <t>MFG-002</t>
        </is>
      </c>
      <c r="J323" s="7" t="inlineStr">
        <is>
          <t>DF-024</t>
        </is>
      </c>
      <c r="K323" s="7" t="inlineStr">
        <is>
          <t>DT-001</t>
        </is>
      </c>
      <c r="L323" s="8" t="inlineStr">
        <is>
          <t>Galaxy A01</t>
        </is>
      </c>
      <c r="M323" s="8" t="inlineStr">
        <is>
          <t>SM-A015</t>
        </is>
      </c>
      <c r="N323" s="7" t="n">
        <v>2019</v>
      </c>
      <c r="O323" s="94" t="n">
        <v>210</v>
      </c>
      <c r="P323" s="94" t="inlineStr">
        <is>
          <t>Yes</t>
        </is>
      </c>
    </row>
    <row r="324" ht="21.5" customHeight="1" s="125">
      <c r="A324" s="15" t="inlineStr">
        <is>
          <t>REG-000005</t>
        </is>
      </c>
      <c r="B324" s="15" t="inlineStr">
        <is>
          <t>United Kingdom</t>
        </is>
      </c>
      <c r="C324" s="15" t="inlineStr">
        <is>
          <t>UK</t>
        </is>
      </c>
      <c r="D324" s="15" t="n">
        <v>5</v>
      </c>
      <c r="E324" s="15" t="b">
        <v>1</v>
      </c>
      <c r="H324" s="9" t="inlineStr">
        <is>
          <t>MOD-000211</t>
        </is>
      </c>
      <c r="I324" s="7" t="inlineStr">
        <is>
          <t>MFG-002</t>
        </is>
      </c>
      <c r="J324" s="7" t="inlineStr">
        <is>
          <t>DF-024</t>
        </is>
      </c>
      <c r="K324" s="7" t="inlineStr">
        <is>
          <t>DT-001</t>
        </is>
      </c>
      <c r="L324" s="8" t="inlineStr">
        <is>
          <t>Galaxy A01 Core</t>
        </is>
      </c>
      <c r="M324" s="8" t="inlineStr">
        <is>
          <t>SM-A013</t>
        </is>
      </c>
      <c r="N324" s="7" t="n">
        <v>2020</v>
      </c>
      <c r="O324" s="94" t="n">
        <v>211</v>
      </c>
      <c r="P324" s="94" t="inlineStr">
        <is>
          <t>Yes</t>
        </is>
      </c>
    </row>
    <row r="325" ht="21.5" customHeight="1" s="125">
      <c r="A325" s="15" t="inlineStr">
        <is>
          <t>REG-000006</t>
        </is>
      </c>
      <c r="B325" s="15" t="inlineStr">
        <is>
          <t>Japan</t>
        </is>
      </c>
      <c r="C325" s="15" t="inlineStr">
        <is>
          <t>JP</t>
        </is>
      </c>
      <c r="D325" s="15" t="n">
        <v>6</v>
      </c>
      <c r="E325" s="15" t="b">
        <v>1</v>
      </c>
      <c r="H325" s="9" t="inlineStr">
        <is>
          <t>MOD-000212</t>
        </is>
      </c>
      <c r="I325" s="7" t="inlineStr">
        <is>
          <t>MFG-002</t>
        </is>
      </c>
      <c r="J325" s="7" t="inlineStr">
        <is>
          <t>DF-024</t>
        </is>
      </c>
      <c r="K325" s="7" t="inlineStr">
        <is>
          <t>DT-001</t>
        </is>
      </c>
      <c r="L325" s="8" t="inlineStr">
        <is>
          <t>Galaxy A02</t>
        </is>
      </c>
      <c r="M325" s="8" t="inlineStr">
        <is>
          <t>SM-A022</t>
        </is>
      </c>
      <c r="N325" s="7" t="n">
        <v>2021</v>
      </c>
      <c r="O325" s="94" t="n">
        <v>212</v>
      </c>
      <c r="P325" s="94" t="inlineStr">
        <is>
          <t>Yes</t>
        </is>
      </c>
    </row>
    <row r="326" ht="21.5" customHeight="1" s="125">
      <c r="A326" s="15" t="inlineStr">
        <is>
          <t>REG-000007</t>
        </is>
      </c>
      <c r="B326" s="15" t="inlineStr">
        <is>
          <t>China</t>
        </is>
      </c>
      <c r="C326" s="15" t="inlineStr">
        <is>
          <t>CN</t>
        </is>
      </c>
      <c r="D326" s="15" t="n">
        <v>7</v>
      </c>
      <c r="E326" s="15" t="b">
        <v>1</v>
      </c>
      <c r="H326" s="9" t="inlineStr">
        <is>
          <t>MOD-000213</t>
        </is>
      </c>
      <c r="I326" s="7" t="inlineStr">
        <is>
          <t>MFG-002</t>
        </is>
      </c>
      <c r="J326" s="7" t="inlineStr">
        <is>
          <t>DF-024</t>
        </is>
      </c>
      <c r="K326" s="7" t="inlineStr">
        <is>
          <t>DT-001</t>
        </is>
      </c>
      <c r="L326" s="8" t="inlineStr">
        <is>
          <t>Galaxy A02s</t>
        </is>
      </c>
      <c r="M326" s="8" t="inlineStr">
        <is>
          <t>SM-A025</t>
        </is>
      </c>
      <c r="N326" s="7" t="n">
        <v>2021</v>
      </c>
      <c r="O326" s="94" t="n">
        <v>213</v>
      </c>
      <c r="P326" s="94" t="inlineStr">
        <is>
          <t>Yes</t>
        </is>
      </c>
    </row>
    <row r="327" ht="21.5" customHeight="1" s="125">
      <c r="A327" s="15" t="inlineStr">
        <is>
          <t>REG-000008</t>
        </is>
      </c>
      <c r="B327" s="15" t="inlineStr">
        <is>
          <t>India</t>
        </is>
      </c>
      <c r="C327" s="15" t="inlineStr">
        <is>
          <t>IN</t>
        </is>
      </c>
      <c r="D327" s="15" t="n">
        <v>8</v>
      </c>
      <c r="E327" s="15" t="b">
        <v>1</v>
      </c>
      <c r="H327" s="9" t="inlineStr">
        <is>
          <t>MOD-000214</t>
        </is>
      </c>
      <c r="I327" s="7" t="inlineStr">
        <is>
          <t>MFG-002</t>
        </is>
      </c>
      <c r="J327" s="7" t="inlineStr">
        <is>
          <t>DF-024</t>
        </is>
      </c>
      <c r="K327" s="7" t="inlineStr">
        <is>
          <t>DT-001</t>
        </is>
      </c>
      <c r="L327" s="8" t="inlineStr">
        <is>
          <t>Galaxy A03</t>
        </is>
      </c>
      <c r="M327" s="8" t="inlineStr">
        <is>
          <t>SM-A035</t>
        </is>
      </c>
      <c r="N327" s="7" t="n">
        <v>2021</v>
      </c>
      <c r="O327" s="94" t="n">
        <v>214</v>
      </c>
      <c r="P327" s="94" t="inlineStr">
        <is>
          <t>Yes</t>
        </is>
      </c>
    </row>
    <row r="328" ht="21.5" customHeight="1" s="125">
      <c r="A328" s="15" t="inlineStr">
        <is>
          <t>REG-000009</t>
        </is>
      </c>
      <c r="B328" s="15" t="inlineStr">
        <is>
          <t>Australia</t>
        </is>
      </c>
      <c r="C328" s="15" t="inlineStr">
        <is>
          <t>AU</t>
        </is>
      </c>
      <c r="D328" s="15" t="n">
        <v>9</v>
      </c>
      <c r="E328" s="15" t="b">
        <v>1</v>
      </c>
      <c r="H328" s="9" t="inlineStr">
        <is>
          <t>MOD-000215</t>
        </is>
      </c>
      <c r="I328" s="7" t="inlineStr">
        <is>
          <t>MFG-002</t>
        </is>
      </c>
      <c r="J328" s="7" t="inlineStr">
        <is>
          <t>DF-024</t>
        </is>
      </c>
      <c r="K328" s="7" t="inlineStr">
        <is>
          <t>DT-001</t>
        </is>
      </c>
      <c r="L328" s="8" t="inlineStr">
        <is>
          <t>Galaxy A03 Core</t>
        </is>
      </c>
      <c r="M328" s="8" t="inlineStr">
        <is>
          <t>SM-A032</t>
        </is>
      </c>
      <c r="N328" s="7" t="n">
        <v>2021</v>
      </c>
      <c r="O328" s="94" t="n">
        <v>215</v>
      </c>
      <c r="P328" s="94" t="inlineStr">
        <is>
          <t>Yes</t>
        </is>
      </c>
    </row>
    <row r="329" ht="21.5" customHeight="1" s="125">
      <c r="A329" s="15" t="inlineStr">
        <is>
          <t>REG-000010</t>
        </is>
      </c>
      <c r="B329" s="15" t="inlineStr">
        <is>
          <t>Latin America</t>
        </is>
      </c>
      <c r="C329" s="15" t="inlineStr">
        <is>
          <t>LATAM</t>
        </is>
      </c>
      <c r="D329" s="15" t="n">
        <v>10</v>
      </c>
      <c r="E329" s="15" t="b">
        <v>1</v>
      </c>
      <c r="H329" s="9" t="inlineStr">
        <is>
          <t>MOD-000216</t>
        </is>
      </c>
      <c r="I329" s="7" t="inlineStr">
        <is>
          <t>MFG-002</t>
        </is>
      </c>
      <c r="J329" s="7" t="inlineStr">
        <is>
          <t>DF-024</t>
        </is>
      </c>
      <c r="K329" s="7" t="inlineStr">
        <is>
          <t>DT-001</t>
        </is>
      </c>
      <c r="L329" s="8" t="inlineStr">
        <is>
          <t>Galaxy A03s</t>
        </is>
      </c>
      <c r="M329" s="8" t="inlineStr">
        <is>
          <t>SM-A037</t>
        </is>
      </c>
      <c r="N329" s="7" t="n">
        <v>2021</v>
      </c>
      <c r="O329" s="94" t="n">
        <v>216</v>
      </c>
      <c r="P329" s="94" t="inlineStr">
        <is>
          <t>Yes</t>
        </is>
      </c>
    </row>
    <row r="330" ht="21.5" customHeight="1" s="125">
      <c r="A330" s="15" t="inlineStr">
        <is>
          <t>REG-000011</t>
        </is>
      </c>
      <c r="B330" s="15" t="inlineStr">
        <is>
          <t>Middle East</t>
        </is>
      </c>
      <c r="C330" s="15" t="inlineStr">
        <is>
          <t>MEA</t>
        </is>
      </c>
      <c r="D330" s="15" t="n">
        <v>11</v>
      </c>
      <c r="E330" s="15" t="b">
        <v>1</v>
      </c>
      <c r="H330" s="9" t="inlineStr">
        <is>
          <t>MOD-000217</t>
        </is>
      </c>
      <c r="I330" s="7" t="inlineStr">
        <is>
          <t>MFG-002</t>
        </is>
      </c>
      <c r="J330" s="7" t="inlineStr">
        <is>
          <t>DF-024</t>
        </is>
      </c>
      <c r="K330" s="7" t="inlineStr">
        <is>
          <t>DT-001</t>
        </is>
      </c>
      <c r="L330" s="8" t="inlineStr">
        <is>
          <t>Galaxy A04</t>
        </is>
      </c>
      <c r="M330" s="8" t="inlineStr">
        <is>
          <t>SM-A045</t>
        </is>
      </c>
      <c r="N330" s="7" t="n">
        <v>2022</v>
      </c>
      <c r="O330" s="94" t="n">
        <v>217</v>
      </c>
      <c r="P330" s="94" t="inlineStr">
        <is>
          <t>Yes</t>
        </is>
      </c>
    </row>
    <row r="331" ht="21.5" customHeight="1" s="125">
      <c r="D331" s="3" t="n"/>
      <c r="E331" s="3" t="n"/>
      <c r="H331" s="9" t="inlineStr">
        <is>
          <t>MOD-000218</t>
        </is>
      </c>
      <c r="I331" s="7" t="inlineStr">
        <is>
          <t>MFG-002</t>
        </is>
      </c>
      <c r="J331" s="7" t="inlineStr">
        <is>
          <t>DF-024</t>
        </is>
      </c>
      <c r="K331" s="7" t="inlineStr">
        <is>
          <t>DT-001</t>
        </is>
      </c>
      <c r="L331" s="8" t="inlineStr">
        <is>
          <t>Galaxy A04e</t>
        </is>
      </c>
      <c r="M331" s="8" t="inlineStr">
        <is>
          <t>SM-A042</t>
        </is>
      </c>
      <c r="N331" s="7" t="n">
        <v>2022</v>
      </c>
      <c r="O331" s="94" t="n">
        <v>218</v>
      </c>
      <c r="P331" s="94" t="inlineStr">
        <is>
          <t>Yes</t>
        </is>
      </c>
    </row>
    <row r="332" ht="21.5" customHeight="1" s="125">
      <c r="A332" s="3" t="inlineStr">
        <is>
          <t>tblMemoryOptions</t>
        </is>
      </c>
      <c r="D332" s="3" t="n"/>
      <c r="E332" s="3" t="n"/>
      <c r="H332" s="9" t="inlineStr">
        <is>
          <t>MOD-000219</t>
        </is>
      </c>
      <c r="I332" s="7" t="inlineStr">
        <is>
          <t>MFG-002</t>
        </is>
      </c>
      <c r="J332" s="7" t="inlineStr">
        <is>
          <t>DF-024</t>
        </is>
      </c>
      <c r="K332" s="7" t="inlineStr">
        <is>
          <t>DT-001</t>
        </is>
      </c>
      <c r="L332" s="8" t="inlineStr">
        <is>
          <t>Galaxy A04s</t>
        </is>
      </c>
      <c r="M332" s="8" t="inlineStr">
        <is>
          <t>SM-A047</t>
        </is>
      </c>
      <c r="N332" s="7" t="n">
        <v>2022</v>
      </c>
      <c r="O332" s="94" t="n">
        <v>219</v>
      </c>
      <c r="P332" s="94" t="inlineStr">
        <is>
          <t>Yes</t>
        </is>
      </c>
    </row>
    <row r="333" ht="21.5" customHeight="1" s="125">
      <c r="A333" s="6" t="inlineStr">
        <is>
          <t>ID</t>
        </is>
      </c>
      <c r="B333" s="6" t="inlineStr">
        <is>
          <t>Name</t>
        </is>
      </c>
      <c r="C333" s="6" t="inlineStr">
        <is>
          <t>Description</t>
        </is>
      </c>
      <c r="D333" s="6" t="inlineStr">
        <is>
          <t>DisplayOrder</t>
        </is>
      </c>
      <c r="E333" s="6" t="inlineStr">
        <is>
          <t>Active</t>
        </is>
      </c>
      <c r="H333" s="9" t="inlineStr">
        <is>
          <t>MOD-000220</t>
        </is>
      </c>
      <c r="I333" s="7" t="inlineStr">
        <is>
          <t>MFG-002</t>
        </is>
      </c>
      <c r="J333" s="7" t="inlineStr">
        <is>
          <t>DF-024</t>
        </is>
      </c>
      <c r="K333" s="7" t="inlineStr">
        <is>
          <t>DT-001</t>
        </is>
      </c>
      <c r="L333" s="8" t="inlineStr">
        <is>
          <t>Galaxy A05</t>
        </is>
      </c>
      <c r="M333" s="8" t="inlineStr">
        <is>
          <t>SM-A055</t>
        </is>
      </c>
      <c r="N333" s="7" t="n">
        <v>2023</v>
      </c>
      <c r="O333" s="94" t="n">
        <v>220</v>
      </c>
      <c r="P333" s="94" t="inlineStr">
        <is>
          <t>Yes</t>
        </is>
      </c>
    </row>
    <row r="334" ht="21.5" customHeight="1" s="125">
      <c r="A334" s="15" t="inlineStr">
        <is>
          <t>RAM-000001</t>
        </is>
      </c>
      <c r="B334" s="15" t="inlineStr">
        <is>
          <t>4 GB</t>
        </is>
      </c>
      <c r="C334" s="15" t="inlineStr">
        <is>
          <t>4 GB</t>
        </is>
      </c>
      <c r="D334" s="15" t="n">
        <v>1</v>
      </c>
      <c r="E334" s="15" t="b">
        <v>1</v>
      </c>
      <c r="H334" s="9" t="inlineStr">
        <is>
          <t>MOD-000221</t>
        </is>
      </c>
      <c r="I334" s="7" t="inlineStr">
        <is>
          <t>MFG-002</t>
        </is>
      </c>
      <c r="J334" s="7" t="inlineStr">
        <is>
          <t>DF-024</t>
        </is>
      </c>
      <c r="K334" s="7" t="inlineStr">
        <is>
          <t>DT-001</t>
        </is>
      </c>
      <c r="L334" s="8" t="inlineStr">
        <is>
          <t>Galaxy A05s</t>
        </is>
      </c>
      <c r="M334" s="8" t="inlineStr">
        <is>
          <t>SM-A057</t>
        </is>
      </c>
      <c r="N334" s="7" t="n">
        <v>2023</v>
      </c>
      <c r="O334" s="94" t="n">
        <v>221</v>
      </c>
      <c r="P334" s="94" t="inlineStr">
        <is>
          <t>Yes</t>
        </is>
      </c>
    </row>
    <row r="335" ht="21.5" customHeight="1" s="125">
      <c r="A335" s="15" t="inlineStr">
        <is>
          <t>RAM-000002</t>
        </is>
      </c>
      <c r="B335" s="15" t="inlineStr">
        <is>
          <t>6 GB</t>
        </is>
      </c>
      <c r="C335" s="15" t="inlineStr">
        <is>
          <t>6 GB</t>
        </is>
      </c>
      <c r="D335" s="15" t="n">
        <v>2</v>
      </c>
      <c r="E335" s="15" t="b">
        <v>1</v>
      </c>
      <c r="H335" s="9" t="inlineStr">
        <is>
          <t>MOD-000222</t>
        </is>
      </c>
      <c r="I335" s="7" t="inlineStr">
        <is>
          <t>MFG-002</t>
        </is>
      </c>
      <c r="J335" s="7" t="inlineStr">
        <is>
          <t>DF-024</t>
        </is>
      </c>
      <c r="K335" s="7" t="inlineStr">
        <is>
          <t>DT-001</t>
        </is>
      </c>
      <c r="L335" s="8" t="inlineStr">
        <is>
          <t>Galaxy A06</t>
        </is>
      </c>
      <c r="M335" s="8" t="inlineStr">
        <is>
          <t>SM-A065</t>
        </is>
      </c>
      <c r="N335" s="7" t="n">
        <v>2024</v>
      </c>
      <c r="O335" s="94" t="n">
        <v>222</v>
      </c>
      <c r="P335" s="94" t="inlineStr">
        <is>
          <t>Yes</t>
        </is>
      </c>
    </row>
    <row r="336" ht="21.5" customHeight="1" s="125">
      <c r="A336" s="15" t="inlineStr">
        <is>
          <t>RAM-000003</t>
        </is>
      </c>
      <c r="B336" s="15" t="inlineStr">
        <is>
          <t>8 GB</t>
        </is>
      </c>
      <c r="C336" s="15" t="inlineStr">
        <is>
          <t>8 GB</t>
        </is>
      </c>
      <c r="D336" s="15" t="n">
        <v>3</v>
      </c>
      <c r="E336" s="15" t="b">
        <v>1</v>
      </c>
      <c r="H336" s="9" t="inlineStr">
        <is>
          <t>MOD-000223</t>
        </is>
      </c>
      <c r="I336" s="7" t="inlineStr">
        <is>
          <t>MFG-002</t>
        </is>
      </c>
      <c r="J336" s="7" t="inlineStr">
        <is>
          <t>DF-024</t>
        </is>
      </c>
      <c r="K336" s="7" t="inlineStr">
        <is>
          <t>DT-001</t>
        </is>
      </c>
      <c r="L336" s="8" t="inlineStr">
        <is>
          <t>Galaxy A06 5G</t>
        </is>
      </c>
      <c r="M336" s="8" t="inlineStr">
        <is>
          <t>SM-A066</t>
        </is>
      </c>
      <c r="N336" s="7" t="n">
        <v>2025</v>
      </c>
      <c r="O336" s="94" t="n">
        <v>223</v>
      </c>
      <c r="P336" s="94" t="inlineStr">
        <is>
          <t>Yes</t>
        </is>
      </c>
    </row>
    <row r="337" ht="21.5" customHeight="1" s="125">
      <c r="A337" s="15" t="inlineStr">
        <is>
          <t>RAM-000004</t>
        </is>
      </c>
      <c r="B337" s="15" t="inlineStr">
        <is>
          <t>12 GB</t>
        </is>
      </c>
      <c r="C337" s="15" t="inlineStr">
        <is>
          <t>12 GB</t>
        </is>
      </c>
      <c r="D337" s="15" t="n">
        <v>4</v>
      </c>
      <c r="E337" s="15" t="b">
        <v>1</v>
      </c>
      <c r="H337" s="9" t="inlineStr">
        <is>
          <t>MOD-000224</t>
        </is>
      </c>
      <c r="I337" s="7" t="inlineStr">
        <is>
          <t>MFG-002</t>
        </is>
      </c>
      <c r="J337" s="7" t="inlineStr">
        <is>
          <t>DF-024</t>
        </is>
      </c>
      <c r="K337" s="7" t="inlineStr">
        <is>
          <t>DT-001</t>
        </is>
      </c>
      <c r="L337" s="8" t="inlineStr">
        <is>
          <t>Galaxy A10</t>
        </is>
      </c>
      <c r="M337" s="8" t="inlineStr">
        <is>
          <t>SM-A105</t>
        </is>
      </c>
      <c r="N337" s="7" t="n">
        <v>2019</v>
      </c>
      <c r="O337" s="94" t="n">
        <v>224</v>
      </c>
      <c r="P337" s="94" t="inlineStr">
        <is>
          <t>Yes</t>
        </is>
      </c>
    </row>
    <row r="338" ht="21.5" customHeight="1" s="125">
      <c r="A338" s="15" t="inlineStr">
        <is>
          <t>RAM-000005</t>
        </is>
      </c>
      <c r="B338" s="15" t="inlineStr">
        <is>
          <t>16 GB</t>
        </is>
      </c>
      <c r="C338" s="15" t="inlineStr">
        <is>
          <t>16 GB</t>
        </is>
      </c>
      <c r="D338" s="15" t="n">
        <v>5</v>
      </c>
      <c r="E338" s="15" t="b">
        <v>1</v>
      </c>
      <c r="H338" s="9" t="inlineStr">
        <is>
          <t>MOD-000225</t>
        </is>
      </c>
      <c r="I338" s="7" t="inlineStr">
        <is>
          <t>MFG-002</t>
        </is>
      </c>
      <c r="J338" s="7" t="inlineStr">
        <is>
          <t>DF-024</t>
        </is>
      </c>
      <c r="K338" s="7" t="inlineStr">
        <is>
          <t>DT-001</t>
        </is>
      </c>
      <c r="L338" s="8" t="inlineStr">
        <is>
          <t>Galaxy A10e</t>
        </is>
      </c>
      <c r="M338" s="8" t="inlineStr">
        <is>
          <t>SM-A102</t>
        </is>
      </c>
      <c r="N338" s="7" t="n">
        <v>2019</v>
      </c>
      <c r="O338" s="94" t="n">
        <v>225</v>
      </c>
      <c r="P338" s="94" t="inlineStr">
        <is>
          <t>Yes</t>
        </is>
      </c>
    </row>
    <row r="339" ht="21.5" customHeight="1" s="125">
      <c r="A339" s="15" t="inlineStr">
        <is>
          <t>RAM-000006</t>
        </is>
      </c>
      <c r="B339" s="15" t="inlineStr">
        <is>
          <t>24 GB</t>
        </is>
      </c>
      <c r="C339" s="15" t="inlineStr">
        <is>
          <t>24 GB</t>
        </is>
      </c>
      <c r="D339" s="15" t="n">
        <v>6</v>
      </c>
      <c r="E339" s="15" t="b">
        <v>1</v>
      </c>
      <c r="H339" s="9" t="inlineStr">
        <is>
          <t>MOD-000226</t>
        </is>
      </c>
      <c r="I339" s="7" t="inlineStr">
        <is>
          <t>MFG-002</t>
        </is>
      </c>
      <c r="J339" s="7" t="inlineStr">
        <is>
          <t>DF-024</t>
        </is>
      </c>
      <c r="K339" s="7" t="inlineStr">
        <is>
          <t>DT-001</t>
        </is>
      </c>
      <c r="L339" s="8" t="inlineStr">
        <is>
          <t>Galaxy A11</t>
        </is>
      </c>
      <c r="M339" s="8" t="inlineStr">
        <is>
          <t>SM-A115</t>
        </is>
      </c>
      <c r="N339" s="7" t="n">
        <v>2020</v>
      </c>
      <c r="O339" s="94" t="n">
        <v>226</v>
      </c>
      <c r="P339" s="94" t="inlineStr">
        <is>
          <t>Yes</t>
        </is>
      </c>
    </row>
    <row r="340" ht="21.5" customHeight="1" s="125">
      <c r="A340" s="15" t="inlineStr">
        <is>
          <t>RAM-000007</t>
        </is>
      </c>
      <c r="B340" s="15" t="inlineStr">
        <is>
          <t>32 GB</t>
        </is>
      </c>
      <c r="C340" s="15" t="inlineStr">
        <is>
          <t>32 GB</t>
        </is>
      </c>
      <c r="D340" s="15" t="n">
        <v>7</v>
      </c>
      <c r="E340" s="15" t="b">
        <v>1</v>
      </c>
      <c r="H340" s="9" t="inlineStr">
        <is>
          <t>MOD-000227</t>
        </is>
      </c>
      <c r="I340" s="7" t="inlineStr">
        <is>
          <t>MFG-002</t>
        </is>
      </c>
      <c r="J340" s="7" t="inlineStr">
        <is>
          <t>DF-024</t>
        </is>
      </c>
      <c r="K340" s="7" t="inlineStr">
        <is>
          <t>DT-001</t>
        </is>
      </c>
      <c r="L340" s="8" t="inlineStr">
        <is>
          <t>Galaxy A12</t>
        </is>
      </c>
      <c r="M340" s="8" t="inlineStr">
        <is>
          <t>SM-A125</t>
        </is>
      </c>
      <c r="N340" s="7" t="n">
        <v>2020</v>
      </c>
      <c r="O340" s="94" t="n">
        <v>227</v>
      </c>
      <c r="P340" s="94" t="inlineStr">
        <is>
          <t>Yes</t>
        </is>
      </c>
    </row>
    <row r="341" ht="21.5" customHeight="1" s="125">
      <c r="D341" s="3" t="n"/>
      <c r="E341" s="3" t="n"/>
      <c r="H341" s="9" t="inlineStr">
        <is>
          <t>MOD-000228</t>
        </is>
      </c>
      <c r="I341" s="7" t="inlineStr">
        <is>
          <t>MFG-002</t>
        </is>
      </c>
      <c r="J341" s="7" t="inlineStr">
        <is>
          <t>DF-024</t>
        </is>
      </c>
      <c r="K341" s="7" t="inlineStr">
        <is>
          <t>DT-001</t>
        </is>
      </c>
      <c r="L341" s="8" t="inlineStr">
        <is>
          <t>Galaxy A13</t>
        </is>
      </c>
      <c r="M341" s="8" t="inlineStr">
        <is>
          <t>SM-A135</t>
        </is>
      </c>
      <c r="N341" s="7" t="n">
        <v>2022</v>
      </c>
      <c r="O341" s="94" t="n">
        <v>228</v>
      </c>
      <c r="P341" s="94" t="inlineStr">
        <is>
          <t>Yes</t>
        </is>
      </c>
    </row>
    <row r="342" ht="21.5" customHeight="1" s="125">
      <c r="A342" s="3" t="inlineStr">
        <is>
          <t>tblStorageOptions</t>
        </is>
      </c>
      <c r="D342" s="3" t="n"/>
      <c r="E342" s="3" t="n"/>
      <c r="H342" s="9" t="inlineStr">
        <is>
          <t>MOD-000229</t>
        </is>
      </c>
      <c r="I342" s="7" t="inlineStr">
        <is>
          <t>MFG-002</t>
        </is>
      </c>
      <c r="J342" s="7" t="inlineStr">
        <is>
          <t>DF-024</t>
        </is>
      </c>
      <c r="K342" s="7" t="inlineStr">
        <is>
          <t>DT-001</t>
        </is>
      </c>
      <c r="L342" s="8" t="inlineStr">
        <is>
          <t>Galaxy A14</t>
        </is>
      </c>
      <c r="M342" s="8" t="inlineStr">
        <is>
          <t>SM-A145</t>
        </is>
      </c>
      <c r="N342" s="7" t="n">
        <v>2023</v>
      </c>
      <c r="O342" s="94" t="n">
        <v>229</v>
      </c>
      <c r="P342" s="94" t="inlineStr">
        <is>
          <t>Yes</t>
        </is>
      </c>
    </row>
    <row r="343" ht="21.5" customHeight="1" s="125">
      <c r="A343" s="6" t="inlineStr">
        <is>
          <t>ID</t>
        </is>
      </c>
      <c r="B343" s="6" t="inlineStr">
        <is>
          <t>Name</t>
        </is>
      </c>
      <c r="C343" s="6" t="inlineStr">
        <is>
          <t>Description</t>
        </is>
      </c>
      <c r="D343" s="6" t="inlineStr">
        <is>
          <t>DisplayOrder</t>
        </is>
      </c>
      <c r="E343" s="6" t="inlineStr">
        <is>
          <t>Active</t>
        </is>
      </c>
      <c r="H343" s="9" t="inlineStr">
        <is>
          <t>MOD-000230</t>
        </is>
      </c>
      <c r="I343" s="7" t="inlineStr">
        <is>
          <t>MFG-002</t>
        </is>
      </c>
      <c r="J343" s="7" t="inlineStr">
        <is>
          <t>DF-024</t>
        </is>
      </c>
      <c r="K343" s="7" t="inlineStr">
        <is>
          <t>DT-001</t>
        </is>
      </c>
      <c r="L343" s="8" t="inlineStr">
        <is>
          <t>Galaxy A14 5G</t>
        </is>
      </c>
      <c r="M343" s="8" t="inlineStr">
        <is>
          <t>SM-A146</t>
        </is>
      </c>
      <c r="N343" s="7" t="n">
        <v>2023</v>
      </c>
      <c r="O343" s="94" t="n">
        <v>230</v>
      </c>
      <c r="P343" s="94" t="inlineStr">
        <is>
          <t>Yes</t>
        </is>
      </c>
    </row>
    <row r="344" ht="21.5" customHeight="1" s="125">
      <c r="A344" s="15" t="inlineStr">
        <is>
          <t>STO-000001</t>
        </is>
      </c>
      <c r="B344" s="15" t="inlineStr">
        <is>
          <t>64 GB</t>
        </is>
      </c>
      <c r="C344" s="15" t="inlineStr">
        <is>
          <t>64 GB</t>
        </is>
      </c>
      <c r="D344" s="15" t="n">
        <v>1</v>
      </c>
      <c r="E344" s="15" t="b">
        <v>1</v>
      </c>
      <c r="H344" s="9" t="inlineStr">
        <is>
          <t>MOD-000231</t>
        </is>
      </c>
      <c r="I344" s="7" t="inlineStr">
        <is>
          <t>MFG-002</t>
        </is>
      </c>
      <c r="J344" s="7" t="inlineStr">
        <is>
          <t>DF-024</t>
        </is>
      </c>
      <c r="K344" s="7" t="inlineStr">
        <is>
          <t>DT-001</t>
        </is>
      </c>
      <c r="L344" s="8" t="inlineStr">
        <is>
          <t>Galaxy A15</t>
        </is>
      </c>
      <c r="M344" s="8" t="inlineStr">
        <is>
          <t>SM-A155</t>
        </is>
      </c>
      <c r="N344" s="7" t="n">
        <v>2024</v>
      </c>
      <c r="O344" s="94" t="n">
        <v>231</v>
      </c>
      <c r="P344" s="94" t="inlineStr">
        <is>
          <t>Yes</t>
        </is>
      </c>
    </row>
    <row r="345" ht="21.5" customHeight="1" s="125">
      <c r="A345" s="15" t="inlineStr">
        <is>
          <t>STO-000002</t>
        </is>
      </c>
      <c r="B345" s="15" t="inlineStr">
        <is>
          <t>128 GB</t>
        </is>
      </c>
      <c r="C345" s="15" t="inlineStr">
        <is>
          <t>128 GB</t>
        </is>
      </c>
      <c r="D345" s="15" t="n">
        <v>2</v>
      </c>
      <c r="E345" s="15" t="b">
        <v>1</v>
      </c>
      <c r="H345" s="9" t="inlineStr">
        <is>
          <t>MOD-000232</t>
        </is>
      </c>
      <c r="I345" s="7" t="inlineStr">
        <is>
          <t>MFG-002</t>
        </is>
      </c>
      <c r="J345" s="7" t="inlineStr">
        <is>
          <t>DF-024</t>
        </is>
      </c>
      <c r="K345" s="7" t="inlineStr">
        <is>
          <t>DT-001</t>
        </is>
      </c>
      <c r="L345" s="8" t="inlineStr">
        <is>
          <t>Galaxy A15 5G</t>
        </is>
      </c>
      <c r="M345" s="8" t="inlineStr">
        <is>
          <t>SM-A156</t>
        </is>
      </c>
      <c r="N345" s="7" t="n">
        <v>2024</v>
      </c>
      <c r="O345" s="94" t="n">
        <v>232</v>
      </c>
      <c r="P345" s="94" t="inlineStr">
        <is>
          <t>Yes</t>
        </is>
      </c>
    </row>
    <row r="346" ht="21.5" customHeight="1" s="125">
      <c r="A346" s="15" t="inlineStr">
        <is>
          <t>STO-000003</t>
        </is>
      </c>
      <c r="B346" s="15" t="inlineStr">
        <is>
          <t>256 GB</t>
        </is>
      </c>
      <c r="C346" s="15" t="inlineStr">
        <is>
          <t>256 GB</t>
        </is>
      </c>
      <c r="D346" s="15" t="n">
        <v>3</v>
      </c>
      <c r="E346" s="15" t="b">
        <v>1</v>
      </c>
      <c r="H346" s="9" t="inlineStr">
        <is>
          <t>MOD-000233</t>
        </is>
      </c>
      <c r="I346" s="7" t="inlineStr">
        <is>
          <t>MFG-002</t>
        </is>
      </c>
      <c r="J346" s="7" t="inlineStr">
        <is>
          <t>DF-024</t>
        </is>
      </c>
      <c r="K346" s="7" t="inlineStr">
        <is>
          <t>DT-001</t>
        </is>
      </c>
      <c r="L346" s="8" t="inlineStr">
        <is>
          <t>Galaxy A16</t>
        </is>
      </c>
      <c r="M346" s="8" t="inlineStr">
        <is>
          <t>SM-A165</t>
        </is>
      </c>
      <c r="N346" s="7" t="n">
        <v>2025</v>
      </c>
      <c r="O346" s="94" t="n">
        <v>233</v>
      </c>
      <c r="P346" s="94" t="inlineStr">
        <is>
          <t>Yes</t>
        </is>
      </c>
    </row>
    <row r="347" ht="21.5" customHeight="1" s="125">
      <c r="A347" s="15" t="inlineStr">
        <is>
          <t>STO-000004</t>
        </is>
      </c>
      <c r="B347" s="15" t="inlineStr">
        <is>
          <t>512 GB</t>
        </is>
      </c>
      <c r="C347" s="15" t="inlineStr">
        <is>
          <t>512 GB</t>
        </is>
      </c>
      <c r="D347" s="15" t="n">
        <v>4</v>
      </c>
      <c r="E347" s="15" t="b">
        <v>1</v>
      </c>
      <c r="H347" s="9" t="inlineStr">
        <is>
          <t>MOD-000234</t>
        </is>
      </c>
      <c r="I347" s="7" t="inlineStr">
        <is>
          <t>MFG-002</t>
        </is>
      </c>
      <c r="J347" s="7" t="inlineStr">
        <is>
          <t>DF-024</t>
        </is>
      </c>
      <c r="K347" s="7" t="inlineStr">
        <is>
          <t>DT-001</t>
        </is>
      </c>
      <c r="L347" s="8" t="inlineStr">
        <is>
          <t>Galaxy A20</t>
        </is>
      </c>
      <c r="M347" s="8" t="inlineStr">
        <is>
          <t>SM-A205</t>
        </is>
      </c>
      <c r="N347" s="7" t="n">
        <v>2019</v>
      </c>
      <c r="O347" s="94" t="n">
        <v>234</v>
      </c>
      <c r="P347" s="94" t="inlineStr">
        <is>
          <t>Yes</t>
        </is>
      </c>
    </row>
    <row r="348" ht="21.5" customHeight="1" s="125">
      <c r="A348" s="15" t="inlineStr">
        <is>
          <t>STO-000005</t>
        </is>
      </c>
      <c r="B348" s="15" t="inlineStr">
        <is>
          <t>1 TB</t>
        </is>
      </c>
      <c r="C348" s="15" t="inlineStr">
        <is>
          <t>1 TB</t>
        </is>
      </c>
      <c r="D348" s="15" t="n">
        <v>5</v>
      </c>
      <c r="E348" s="15" t="b">
        <v>1</v>
      </c>
      <c r="H348" s="9" t="inlineStr">
        <is>
          <t>MOD-000235</t>
        </is>
      </c>
      <c r="I348" s="7" t="inlineStr">
        <is>
          <t>MFG-002</t>
        </is>
      </c>
      <c r="J348" s="7" t="inlineStr">
        <is>
          <t>DF-024</t>
        </is>
      </c>
      <c r="K348" s="7" t="inlineStr">
        <is>
          <t>DT-001</t>
        </is>
      </c>
      <c r="L348" s="8" t="inlineStr">
        <is>
          <t>Galaxy A20e</t>
        </is>
      </c>
      <c r="M348" s="8" t="inlineStr">
        <is>
          <t>SM-A202</t>
        </is>
      </c>
      <c r="N348" s="7" t="n">
        <v>2019</v>
      </c>
      <c r="O348" s="94" t="n">
        <v>235</v>
      </c>
      <c r="P348" s="94" t="inlineStr">
        <is>
          <t>Yes</t>
        </is>
      </c>
    </row>
    <row r="349" ht="21.5" customHeight="1" s="125">
      <c r="A349" s="15" t="inlineStr">
        <is>
          <t>STO-000006</t>
        </is>
      </c>
      <c r="B349" s="15" t="inlineStr">
        <is>
          <t>2 TB</t>
        </is>
      </c>
      <c r="C349" s="15" t="inlineStr">
        <is>
          <t>2 TB</t>
        </is>
      </c>
      <c r="D349" s="15" t="n">
        <v>6</v>
      </c>
      <c r="E349" s="15" t="b">
        <v>1</v>
      </c>
      <c r="H349" s="9" t="inlineStr">
        <is>
          <t>MOD-000236</t>
        </is>
      </c>
      <c r="I349" s="7" t="inlineStr">
        <is>
          <t>MFG-002</t>
        </is>
      </c>
      <c r="J349" s="7" t="inlineStr">
        <is>
          <t>DF-024</t>
        </is>
      </c>
      <c r="K349" s="7" t="inlineStr">
        <is>
          <t>DT-001</t>
        </is>
      </c>
      <c r="L349" s="8" t="inlineStr">
        <is>
          <t>Galaxy A21</t>
        </is>
      </c>
      <c r="M349" s="8" t="inlineStr">
        <is>
          <t>SM-A215</t>
        </is>
      </c>
      <c r="N349" s="7" t="n">
        <v>2020</v>
      </c>
      <c r="O349" s="94" t="n">
        <v>236</v>
      </c>
      <c r="P349" s="94" t="inlineStr">
        <is>
          <t>Yes</t>
        </is>
      </c>
    </row>
    <row r="350" ht="21.5" customHeight="1" s="125">
      <c r="A350" s="15" t="n"/>
      <c r="B350" s="15" t="n"/>
      <c r="C350" s="15" t="n"/>
      <c r="D350" s="15" t="n"/>
      <c r="E350" s="15" t="n"/>
      <c r="H350" s="9" t="inlineStr">
        <is>
          <t>MOD-000237</t>
        </is>
      </c>
      <c r="I350" s="7" t="inlineStr">
        <is>
          <t>MFG-002</t>
        </is>
      </c>
      <c r="J350" s="7" t="inlineStr">
        <is>
          <t>DF-024</t>
        </is>
      </c>
      <c r="K350" s="7" t="inlineStr">
        <is>
          <t>DT-001</t>
        </is>
      </c>
      <c r="L350" s="8" t="inlineStr">
        <is>
          <t>Galaxy A21s</t>
        </is>
      </c>
      <c r="M350" s="8" t="inlineStr">
        <is>
          <t>SM-A217</t>
        </is>
      </c>
      <c r="N350" s="7" t="n">
        <v>2020</v>
      </c>
      <c r="O350" s="94" t="n">
        <v>237</v>
      </c>
      <c r="P350" s="94" t="inlineStr">
        <is>
          <t>Yes</t>
        </is>
      </c>
    </row>
    <row r="351" ht="27.5" customHeight="1" s="125">
      <c r="A351" s="10" t="inlineStr">
        <is>
          <t xml:space="preserve"> -------------------------------------------------------------------------------------------------------------------------------</t>
        </is>
      </c>
      <c r="B351" s="15" t="n"/>
      <c r="C351" s="15" t="n"/>
      <c r="D351" s="15" t="n"/>
      <c r="E351" s="15" t="n"/>
      <c r="H351" s="9" t="inlineStr">
        <is>
          <t>MOD-000238</t>
        </is>
      </c>
      <c r="I351" s="7" t="inlineStr">
        <is>
          <t>MFG-002</t>
        </is>
      </c>
      <c r="J351" s="7" t="inlineStr">
        <is>
          <t>DF-024</t>
        </is>
      </c>
      <c r="K351" s="7" t="inlineStr">
        <is>
          <t>DT-001</t>
        </is>
      </c>
      <c r="L351" s="8" t="inlineStr">
        <is>
          <t>Galaxy A22</t>
        </is>
      </c>
      <c r="M351" s="8" t="inlineStr">
        <is>
          <t>SM-A225</t>
        </is>
      </c>
      <c r="N351" s="7" t="n">
        <v>2021</v>
      </c>
      <c r="O351" s="94" t="n">
        <v>238</v>
      </c>
      <c r="P351" s="94" t="inlineStr">
        <is>
          <t>Yes</t>
        </is>
      </c>
    </row>
    <row r="352" ht="35" customHeight="1" s="125">
      <c r="A352" s="116" t="inlineStr">
        <is>
          <t>REPAIR LOOKUPS</t>
        </is>
      </c>
      <c r="H352" s="9" t="inlineStr">
        <is>
          <t>MOD-000239</t>
        </is>
      </c>
      <c r="I352" s="7" t="inlineStr">
        <is>
          <t>MFG-002</t>
        </is>
      </c>
      <c r="J352" s="7" t="inlineStr">
        <is>
          <t>DF-024</t>
        </is>
      </c>
      <c r="K352" s="7" t="inlineStr">
        <is>
          <t>DT-001</t>
        </is>
      </c>
      <c r="L352" s="8" t="inlineStr">
        <is>
          <t>Galaxy A22 5G</t>
        </is>
      </c>
      <c r="M352" s="8" t="inlineStr">
        <is>
          <t>SM-A226</t>
        </is>
      </c>
      <c r="N352" s="7" t="n">
        <v>2021</v>
      </c>
      <c r="O352" s="94" t="n">
        <v>239</v>
      </c>
      <c r="P352" s="94" t="inlineStr">
        <is>
          <t>Yes</t>
        </is>
      </c>
    </row>
    <row r="353" ht="27.5" customHeight="1" s="125">
      <c r="A353" s="10" t="inlineStr">
        <is>
          <t xml:space="preserve"> -------------------------------------------------------------------------------------------------------------------------------</t>
        </is>
      </c>
      <c r="D353" s="3" t="n"/>
      <c r="E353" s="3" t="n"/>
      <c r="H353" s="9" t="inlineStr">
        <is>
          <t>MOD-000240</t>
        </is>
      </c>
      <c r="I353" s="7" t="inlineStr">
        <is>
          <t>MFG-002</t>
        </is>
      </c>
      <c r="J353" s="7" t="inlineStr">
        <is>
          <t>DF-024</t>
        </is>
      </c>
      <c r="K353" s="7" t="inlineStr">
        <is>
          <t>DT-001</t>
        </is>
      </c>
      <c r="L353" s="8" t="inlineStr">
        <is>
          <t>Galaxy A23</t>
        </is>
      </c>
      <c r="M353" s="8" t="inlineStr">
        <is>
          <t>SM-A235</t>
        </is>
      </c>
      <c r="N353" s="7" t="n">
        <v>2022</v>
      </c>
      <c r="O353" s="94" t="n">
        <v>240</v>
      </c>
      <c r="P353" s="94" t="inlineStr">
        <is>
          <t>Yes</t>
        </is>
      </c>
    </row>
    <row r="354" ht="27.5" customHeight="1" s="125">
      <c r="A354" s="10" t="n"/>
      <c r="D354" s="3" t="n"/>
      <c r="E354" s="3" t="n"/>
      <c r="H354" s="9" t="inlineStr">
        <is>
          <t>MOD-000241</t>
        </is>
      </c>
      <c r="I354" s="7" t="inlineStr">
        <is>
          <t>MFG-002</t>
        </is>
      </c>
      <c r="J354" s="7" t="inlineStr">
        <is>
          <t>DF-024</t>
        </is>
      </c>
      <c r="K354" s="7" t="inlineStr">
        <is>
          <t>DT-001</t>
        </is>
      </c>
      <c r="L354" s="8" t="inlineStr">
        <is>
          <t>Galaxy A23 5G</t>
        </is>
      </c>
      <c r="M354" s="8" t="inlineStr">
        <is>
          <t>SM-A236</t>
        </is>
      </c>
      <c r="N354" s="7" t="n">
        <v>2022</v>
      </c>
      <c r="O354" s="94" t="n">
        <v>241</v>
      </c>
      <c r="P354" s="94" t="inlineStr">
        <is>
          <t>Yes</t>
        </is>
      </c>
    </row>
    <row r="355" ht="21.5" customHeight="1" s="125">
      <c r="A355" s="3" t="inlineStr">
        <is>
          <t>tblRepairTypes</t>
        </is>
      </c>
      <c r="D355" s="3" t="n"/>
      <c r="E355" s="3" t="n"/>
      <c r="H355" s="9" t="inlineStr">
        <is>
          <t>MOD-000242</t>
        </is>
      </c>
      <c r="I355" s="7" t="inlineStr">
        <is>
          <t>MFG-002</t>
        </is>
      </c>
      <c r="J355" s="7" t="inlineStr">
        <is>
          <t>DF-024</t>
        </is>
      </c>
      <c r="K355" s="7" t="inlineStr">
        <is>
          <t>DT-001</t>
        </is>
      </c>
      <c r="L355" s="8" t="inlineStr">
        <is>
          <t>Galaxy A24</t>
        </is>
      </c>
      <c r="M355" s="8" t="inlineStr">
        <is>
          <t>SM-A245</t>
        </is>
      </c>
      <c r="N355" s="7" t="n">
        <v>2023</v>
      </c>
      <c r="O355" s="94" t="n">
        <v>242</v>
      </c>
      <c r="P355" s="94" t="inlineStr">
        <is>
          <t>Yes</t>
        </is>
      </c>
    </row>
    <row r="356" ht="21.5" customHeight="1" s="125">
      <c r="A356" s="6" t="inlineStr">
        <is>
          <t>ID</t>
        </is>
      </c>
      <c r="B356" s="6" t="inlineStr">
        <is>
          <t>Name</t>
        </is>
      </c>
      <c r="C356" s="6" t="inlineStr">
        <is>
          <t>Description</t>
        </is>
      </c>
      <c r="D356" s="6" t="inlineStr">
        <is>
          <t>DisplayOrder</t>
        </is>
      </c>
      <c r="E356" s="6" t="inlineStr">
        <is>
          <t>Active</t>
        </is>
      </c>
      <c r="H356" s="9" t="inlineStr">
        <is>
          <t>MOD-000243</t>
        </is>
      </c>
      <c r="I356" s="7" t="inlineStr">
        <is>
          <t>MFG-002</t>
        </is>
      </c>
      <c r="J356" s="7" t="inlineStr">
        <is>
          <t>DF-024</t>
        </is>
      </c>
      <c r="K356" s="7" t="inlineStr">
        <is>
          <t>DT-001</t>
        </is>
      </c>
      <c r="L356" s="8" t="inlineStr">
        <is>
          <t>Galaxy A25 5G</t>
        </is>
      </c>
      <c r="M356" s="8" t="inlineStr">
        <is>
          <t>SM-A256</t>
        </is>
      </c>
      <c r="N356" s="7" t="n">
        <v>2024</v>
      </c>
      <c r="O356" s="94" t="n">
        <v>243</v>
      </c>
      <c r="P356" s="94" t="inlineStr">
        <is>
          <t>Yes</t>
        </is>
      </c>
    </row>
    <row r="357" ht="21.5" customHeight="1" s="125">
      <c r="A357" s="94" t="inlineStr">
        <is>
          <t>RTP-000001</t>
        </is>
      </c>
      <c r="B357" s="94" t="inlineStr">
        <is>
          <t>Screen Replacement</t>
        </is>
      </c>
      <c r="C357" s="94" t="inlineStr">
        <is>
          <t>Screen Replacement</t>
        </is>
      </c>
      <c r="D357" s="94" t="n">
        <v>1</v>
      </c>
      <c r="E357" s="94" t="b">
        <v>1</v>
      </c>
      <c r="H357" s="9" t="inlineStr">
        <is>
          <t>MOD-000244</t>
        </is>
      </c>
      <c r="I357" s="7" t="inlineStr">
        <is>
          <t>MFG-002</t>
        </is>
      </c>
      <c r="J357" s="7" t="inlineStr">
        <is>
          <t>DF-024</t>
        </is>
      </c>
      <c r="K357" s="7" t="inlineStr">
        <is>
          <t>DT-001</t>
        </is>
      </c>
      <c r="L357" s="8" t="inlineStr">
        <is>
          <t>Galaxy A26 5G</t>
        </is>
      </c>
      <c r="M357" s="8" t="inlineStr">
        <is>
          <t>SM-A266</t>
        </is>
      </c>
      <c r="N357" s="7" t="n">
        <v>2025</v>
      </c>
      <c r="O357" s="94" t="n">
        <v>244</v>
      </c>
      <c r="P357" s="94" t="inlineStr">
        <is>
          <t>Yes</t>
        </is>
      </c>
    </row>
    <row r="358" ht="21.5" customHeight="1" s="125">
      <c r="A358" s="94" t="inlineStr">
        <is>
          <t>RTP-000002</t>
        </is>
      </c>
      <c r="B358" s="94" t="inlineStr">
        <is>
          <t>Battery Replacement</t>
        </is>
      </c>
      <c r="C358" s="94" t="inlineStr">
        <is>
          <t>Battery Replacement</t>
        </is>
      </c>
      <c r="D358" s="94" t="n">
        <v>2</v>
      </c>
      <c r="E358" s="94" t="b">
        <v>1</v>
      </c>
      <c r="H358" s="9" t="inlineStr">
        <is>
          <t>MOD-000245</t>
        </is>
      </c>
      <c r="I358" s="7" t="inlineStr">
        <is>
          <t>MFG-002</t>
        </is>
      </c>
      <c r="J358" s="7" t="inlineStr">
        <is>
          <t>DF-024</t>
        </is>
      </c>
      <c r="K358" s="7" t="inlineStr">
        <is>
          <t>DT-001</t>
        </is>
      </c>
      <c r="L358" s="8" t="inlineStr">
        <is>
          <t>Galaxy A30</t>
        </is>
      </c>
      <c r="M358" s="8" t="inlineStr">
        <is>
          <t>SM-A305</t>
        </is>
      </c>
      <c r="N358" s="7" t="n">
        <v>2019</v>
      </c>
      <c r="O358" s="94" t="n">
        <v>245</v>
      </c>
      <c r="P358" s="94" t="inlineStr">
        <is>
          <t>Yes</t>
        </is>
      </c>
    </row>
    <row r="359" ht="21.5" customHeight="1" s="125">
      <c r="A359" s="94" t="inlineStr">
        <is>
          <t>RTP-000003</t>
        </is>
      </c>
      <c r="B359" s="94" t="inlineStr">
        <is>
          <t>Charging Port</t>
        </is>
      </c>
      <c r="C359" s="94" t="inlineStr">
        <is>
          <t>Charging Port</t>
        </is>
      </c>
      <c r="D359" s="94" t="n">
        <v>3</v>
      </c>
      <c r="E359" s="94" t="b">
        <v>1</v>
      </c>
      <c r="H359" s="9" t="inlineStr">
        <is>
          <t>MOD-000246</t>
        </is>
      </c>
      <c r="I359" s="7" t="inlineStr">
        <is>
          <t>MFG-002</t>
        </is>
      </c>
      <c r="J359" s="7" t="inlineStr">
        <is>
          <t>DF-024</t>
        </is>
      </c>
      <c r="K359" s="7" t="inlineStr">
        <is>
          <t>DT-001</t>
        </is>
      </c>
      <c r="L359" s="8" t="inlineStr">
        <is>
          <t>Galaxy A30s</t>
        </is>
      </c>
      <c r="M359" s="8" t="inlineStr">
        <is>
          <t>SM-A307</t>
        </is>
      </c>
      <c r="N359" s="7" t="n">
        <v>2019</v>
      </c>
      <c r="O359" s="94" t="n">
        <v>246</v>
      </c>
      <c r="P359" s="94" t="inlineStr">
        <is>
          <t>Yes</t>
        </is>
      </c>
    </row>
    <row r="360" ht="21.5" customHeight="1" s="125">
      <c r="A360" s="94" t="inlineStr">
        <is>
          <t>RTP-000004</t>
        </is>
      </c>
      <c r="B360" s="94" t="inlineStr">
        <is>
          <t>Rear Glass</t>
        </is>
      </c>
      <c r="C360" s="94" t="inlineStr">
        <is>
          <t>Rear Glass</t>
        </is>
      </c>
      <c r="D360" s="94" t="n">
        <v>4</v>
      </c>
      <c r="E360" s="94" t="b">
        <v>1</v>
      </c>
      <c r="H360" s="9" t="inlineStr">
        <is>
          <t>MOD-000247</t>
        </is>
      </c>
      <c r="I360" s="7" t="inlineStr">
        <is>
          <t>MFG-002</t>
        </is>
      </c>
      <c r="J360" s="7" t="inlineStr">
        <is>
          <t>DF-024</t>
        </is>
      </c>
      <c r="K360" s="7" t="inlineStr">
        <is>
          <t>DT-001</t>
        </is>
      </c>
      <c r="L360" s="8" t="inlineStr">
        <is>
          <t>Galaxy A31</t>
        </is>
      </c>
      <c r="M360" s="8" t="inlineStr">
        <is>
          <t>SM-A315</t>
        </is>
      </c>
      <c r="N360" s="7" t="n">
        <v>2020</v>
      </c>
      <c r="O360" s="94" t="n">
        <v>247</v>
      </c>
      <c r="P360" s="94" t="inlineStr">
        <is>
          <t>Yes</t>
        </is>
      </c>
    </row>
    <row r="361" ht="21.5" customHeight="1" s="125">
      <c r="A361" s="94" t="inlineStr">
        <is>
          <t>RTP-000005</t>
        </is>
      </c>
      <c r="B361" s="94" t="inlineStr">
        <is>
          <t>Rear Housing</t>
        </is>
      </c>
      <c r="C361" s="94" t="inlineStr">
        <is>
          <t>Rear Housing</t>
        </is>
      </c>
      <c r="D361" s="94" t="n">
        <v>5</v>
      </c>
      <c r="E361" s="94" t="b">
        <v>1</v>
      </c>
      <c r="H361" s="9" t="inlineStr">
        <is>
          <t>MOD-000248</t>
        </is>
      </c>
      <c r="I361" s="7" t="inlineStr">
        <is>
          <t>MFG-002</t>
        </is>
      </c>
      <c r="J361" s="7" t="inlineStr">
        <is>
          <t>DF-024</t>
        </is>
      </c>
      <c r="K361" s="7" t="inlineStr">
        <is>
          <t>DT-001</t>
        </is>
      </c>
      <c r="L361" s="8" t="inlineStr">
        <is>
          <t>Galaxy A32</t>
        </is>
      </c>
      <c r="M361" s="8" t="inlineStr">
        <is>
          <t>SM-A325</t>
        </is>
      </c>
      <c r="N361" s="7" t="n">
        <v>2021</v>
      </c>
      <c r="O361" s="94" t="n">
        <v>248</v>
      </c>
      <c r="P361" s="94" t="inlineStr">
        <is>
          <t>Yes</t>
        </is>
      </c>
    </row>
    <row r="362" ht="21.5" customHeight="1" s="125">
      <c r="A362" s="94" t="inlineStr">
        <is>
          <t>RTP-000006</t>
        </is>
      </c>
      <c r="B362" s="94" t="inlineStr">
        <is>
          <t>Front Camera</t>
        </is>
      </c>
      <c r="C362" s="94" t="inlineStr">
        <is>
          <t>Front Camera</t>
        </is>
      </c>
      <c r="D362" s="94" t="n">
        <v>6</v>
      </c>
      <c r="E362" s="94" t="b">
        <v>1</v>
      </c>
      <c r="H362" s="9" t="inlineStr">
        <is>
          <t>MOD-000249</t>
        </is>
      </c>
      <c r="I362" s="7" t="inlineStr">
        <is>
          <t>MFG-002</t>
        </is>
      </c>
      <c r="J362" s="7" t="inlineStr">
        <is>
          <t>DF-024</t>
        </is>
      </c>
      <c r="K362" s="7" t="inlineStr">
        <is>
          <t>DT-001</t>
        </is>
      </c>
      <c r="L362" s="8" t="inlineStr">
        <is>
          <t>Galaxy A32 5G</t>
        </is>
      </c>
      <c r="M362" s="8" t="inlineStr">
        <is>
          <t>SM-A326</t>
        </is>
      </c>
      <c r="N362" s="7" t="n">
        <v>2021</v>
      </c>
      <c r="O362" s="94" t="n">
        <v>249</v>
      </c>
      <c r="P362" s="94" t="inlineStr">
        <is>
          <t>Yes</t>
        </is>
      </c>
    </row>
    <row r="363" ht="21.5" customHeight="1" s="125">
      <c r="A363" s="94" t="inlineStr">
        <is>
          <t>RTP-000007</t>
        </is>
      </c>
      <c r="B363" s="94" t="inlineStr">
        <is>
          <t>Rear Camera</t>
        </is>
      </c>
      <c r="C363" s="94" t="inlineStr">
        <is>
          <t>Rear Camera</t>
        </is>
      </c>
      <c r="D363" s="94" t="n">
        <v>7</v>
      </c>
      <c r="E363" s="94" t="b">
        <v>1</v>
      </c>
      <c r="H363" s="9" t="inlineStr">
        <is>
          <t>MOD-000250</t>
        </is>
      </c>
      <c r="I363" s="7" t="inlineStr">
        <is>
          <t>MFG-002</t>
        </is>
      </c>
      <c r="J363" s="7" t="inlineStr">
        <is>
          <t>DF-024</t>
        </is>
      </c>
      <c r="K363" s="7" t="inlineStr">
        <is>
          <t>DT-001</t>
        </is>
      </c>
      <c r="L363" s="8" t="inlineStr">
        <is>
          <t>Galaxy A33 5G</t>
        </is>
      </c>
      <c r="M363" s="8" t="inlineStr">
        <is>
          <t>SM-A336</t>
        </is>
      </c>
      <c r="N363" s="7" t="n">
        <v>2022</v>
      </c>
      <c r="O363" s="94" t="n">
        <v>250</v>
      </c>
      <c r="P363" s="94" t="inlineStr">
        <is>
          <t>Yes</t>
        </is>
      </c>
    </row>
    <row r="364" ht="21.5" customHeight="1" s="125">
      <c r="A364" s="94" t="inlineStr">
        <is>
          <t>RTP-000008</t>
        </is>
      </c>
      <c r="B364" s="94" t="inlineStr">
        <is>
          <t>Speaker</t>
        </is>
      </c>
      <c r="C364" s="94" t="inlineStr">
        <is>
          <t>Speaker</t>
        </is>
      </c>
      <c r="D364" s="94" t="n">
        <v>8</v>
      </c>
      <c r="E364" s="94" t="b">
        <v>1</v>
      </c>
      <c r="H364" s="9" t="inlineStr">
        <is>
          <t>MOD-000251</t>
        </is>
      </c>
      <c r="I364" s="7" t="inlineStr">
        <is>
          <t>MFG-002</t>
        </is>
      </c>
      <c r="J364" s="7" t="inlineStr">
        <is>
          <t>DF-024</t>
        </is>
      </c>
      <c r="K364" s="7" t="inlineStr">
        <is>
          <t>DT-001</t>
        </is>
      </c>
      <c r="L364" s="8" t="inlineStr">
        <is>
          <t>Galaxy A34 5G</t>
        </is>
      </c>
      <c r="M364" s="8" t="inlineStr">
        <is>
          <t>SM-A346</t>
        </is>
      </c>
      <c r="N364" s="7" t="n">
        <v>2023</v>
      </c>
      <c r="O364" s="94" t="n">
        <v>251</v>
      </c>
      <c r="P364" s="94" t="inlineStr">
        <is>
          <t>Yes</t>
        </is>
      </c>
    </row>
    <row r="365" ht="21.5" customHeight="1" s="125">
      <c r="A365" s="94" t="inlineStr">
        <is>
          <t>RTP-000009</t>
        </is>
      </c>
      <c r="B365" s="94" t="inlineStr">
        <is>
          <t>Earpiece</t>
        </is>
      </c>
      <c r="C365" s="94" t="inlineStr">
        <is>
          <t>Earpiece</t>
        </is>
      </c>
      <c r="D365" s="94" t="n">
        <v>9</v>
      </c>
      <c r="E365" s="94" t="b">
        <v>1</v>
      </c>
      <c r="H365" s="9" t="inlineStr">
        <is>
          <t>MOD-000252</t>
        </is>
      </c>
      <c r="I365" s="7" t="inlineStr">
        <is>
          <t>MFG-002</t>
        </is>
      </c>
      <c r="J365" s="7" t="inlineStr">
        <is>
          <t>DF-024</t>
        </is>
      </c>
      <c r="K365" s="7" t="inlineStr">
        <is>
          <t>DT-001</t>
        </is>
      </c>
      <c r="L365" s="8" t="inlineStr">
        <is>
          <t>Galaxy A35 5G</t>
        </is>
      </c>
      <c r="M365" s="8" t="inlineStr">
        <is>
          <t>SM-A356</t>
        </is>
      </c>
      <c r="N365" s="7" t="n">
        <v>2024</v>
      </c>
      <c r="O365" s="94" t="n">
        <v>252</v>
      </c>
      <c r="P365" s="94" t="inlineStr">
        <is>
          <t>Yes</t>
        </is>
      </c>
    </row>
    <row r="366" ht="21.5" customHeight="1" s="125">
      <c r="A366" s="94" t="inlineStr">
        <is>
          <t>RTP-000010</t>
        </is>
      </c>
      <c r="B366" s="94" t="inlineStr">
        <is>
          <t>Microphone</t>
        </is>
      </c>
      <c r="C366" s="94" t="inlineStr">
        <is>
          <t>Microphone</t>
        </is>
      </c>
      <c r="D366" s="94" t="n">
        <v>10</v>
      </c>
      <c r="E366" s="94" t="b">
        <v>1</v>
      </c>
      <c r="H366" s="9" t="inlineStr">
        <is>
          <t>MOD-000253</t>
        </is>
      </c>
      <c r="I366" s="7" t="inlineStr">
        <is>
          <t>MFG-002</t>
        </is>
      </c>
      <c r="J366" s="7" t="inlineStr">
        <is>
          <t>DF-024</t>
        </is>
      </c>
      <c r="K366" s="7" t="inlineStr">
        <is>
          <t>DT-001</t>
        </is>
      </c>
      <c r="L366" s="8" t="inlineStr">
        <is>
          <t>Galaxy A36 5G</t>
        </is>
      </c>
      <c r="M366" s="8" t="inlineStr">
        <is>
          <t>SM-A366</t>
        </is>
      </c>
      <c r="N366" s="7" t="n">
        <v>2025</v>
      </c>
      <c r="O366" s="94" t="n">
        <v>253</v>
      </c>
      <c r="P366" s="94" t="inlineStr">
        <is>
          <t>Yes</t>
        </is>
      </c>
    </row>
    <row r="367" ht="21.5" customHeight="1" s="125">
      <c r="A367" s="94" t="inlineStr">
        <is>
          <t>RTP-000011</t>
        </is>
      </c>
      <c r="B367" s="94" t="inlineStr">
        <is>
          <t>Power Button</t>
        </is>
      </c>
      <c r="C367" s="94" t="inlineStr">
        <is>
          <t>Power Button</t>
        </is>
      </c>
      <c r="D367" s="94" t="n">
        <v>11</v>
      </c>
      <c r="E367" s="94" t="b">
        <v>1</v>
      </c>
      <c r="H367" s="9" t="inlineStr">
        <is>
          <t>MOD-000254</t>
        </is>
      </c>
      <c r="I367" s="7" t="inlineStr">
        <is>
          <t>MFG-002</t>
        </is>
      </c>
      <c r="J367" s="7" t="inlineStr">
        <is>
          <t>DF-024</t>
        </is>
      </c>
      <c r="K367" s="7" t="inlineStr">
        <is>
          <t>DT-001</t>
        </is>
      </c>
      <c r="L367" s="8" t="inlineStr">
        <is>
          <t>Galaxy A50</t>
        </is>
      </c>
      <c r="M367" s="8" t="inlineStr">
        <is>
          <t>SM-A505</t>
        </is>
      </c>
      <c r="N367" s="7" t="n">
        <v>2019</v>
      </c>
      <c r="O367" s="94" t="n">
        <v>254</v>
      </c>
      <c r="P367" s="94" t="inlineStr">
        <is>
          <t>Yes</t>
        </is>
      </c>
    </row>
    <row r="368" ht="21.5" customHeight="1" s="125">
      <c r="A368" s="94" t="inlineStr">
        <is>
          <t>RTP-000012</t>
        </is>
      </c>
      <c r="B368" s="94" t="inlineStr">
        <is>
          <t>Volume Button</t>
        </is>
      </c>
      <c r="C368" s="94" t="inlineStr">
        <is>
          <t>Volume Button</t>
        </is>
      </c>
      <c r="D368" s="94" t="n">
        <v>12</v>
      </c>
      <c r="E368" s="94" t="b">
        <v>1</v>
      </c>
      <c r="H368" s="9" t="inlineStr">
        <is>
          <t>MOD-000255</t>
        </is>
      </c>
      <c r="I368" s="7" t="inlineStr">
        <is>
          <t>MFG-002</t>
        </is>
      </c>
      <c r="J368" s="7" t="inlineStr">
        <is>
          <t>DF-024</t>
        </is>
      </c>
      <c r="K368" s="7" t="inlineStr">
        <is>
          <t>DT-001</t>
        </is>
      </c>
      <c r="L368" s="8" t="inlineStr">
        <is>
          <t>Galaxy A50s</t>
        </is>
      </c>
      <c r="M368" s="8" t="inlineStr">
        <is>
          <t>SM-A507</t>
        </is>
      </c>
      <c r="N368" s="7" t="n">
        <v>2019</v>
      </c>
      <c r="O368" s="94" t="n">
        <v>255</v>
      </c>
      <c r="P368" s="94" t="inlineStr">
        <is>
          <t>Yes</t>
        </is>
      </c>
    </row>
    <row r="369" ht="21.5" customHeight="1" s="125">
      <c r="A369" s="94" t="inlineStr">
        <is>
          <t>RTP-000013</t>
        </is>
      </c>
      <c r="B369" s="94" t="inlineStr">
        <is>
          <t>Mute Switch</t>
        </is>
      </c>
      <c r="C369" s="94" t="inlineStr">
        <is>
          <t>Mute Switch</t>
        </is>
      </c>
      <c r="D369" s="94" t="n">
        <v>13</v>
      </c>
      <c r="E369" s="94" t="b">
        <v>1</v>
      </c>
      <c r="H369" s="9" t="inlineStr">
        <is>
          <t>MOD-000256</t>
        </is>
      </c>
      <c r="I369" s="7" t="inlineStr">
        <is>
          <t>MFG-002</t>
        </is>
      </c>
      <c r="J369" s="7" t="inlineStr">
        <is>
          <t>DF-024</t>
        </is>
      </c>
      <c r="K369" s="7" t="inlineStr">
        <is>
          <t>DT-001</t>
        </is>
      </c>
      <c r="L369" s="8" t="inlineStr">
        <is>
          <t>Galaxy A51</t>
        </is>
      </c>
      <c r="M369" s="8" t="inlineStr">
        <is>
          <t>SM-A515</t>
        </is>
      </c>
      <c r="N369" s="7" t="n">
        <v>2020</v>
      </c>
      <c r="O369" s="94" t="n">
        <v>256</v>
      </c>
      <c r="P369" s="94" t="inlineStr">
        <is>
          <t>Yes</t>
        </is>
      </c>
    </row>
    <row r="370" ht="21.5" customHeight="1" s="125">
      <c r="A370" s="94" t="inlineStr">
        <is>
          <t>RTP-000014</t>
        </is>
      </c>
      <c r="B370" s="94" t="inlineStr">
        <is>
          <t>Fingerprint Sensor</t>
        </is>
      </c>
      <c r="C370" s="94" t="inlineStr">
        <is>
          <t>Fingerprint Sensor</t>
        </is>
      </c>
      <c r="D370" s="94" t="n">
        <v>14</v>
      </c>
      <c r="E370" s="94" t="b">
        <v>1</v>
      </c>
      <c r="H370" s="9" t="inlineStr">
        <is>
          <t>MOD-000257</t>
        </is>
      </c>
      <c r="I370" s="7" t="inlineStr">
        <is>
          <t>MFG-002</t>
        </is>
      </c>
      <c r="J370" s="7" t="inlineStr">
        <is>
          <t>DF-024</t>
        </is>
      </c>
      <c r="K370" s="7" t="inlineStr">
        <is>
          <t>DT-001</t>
        </is>
      </c>
      <c r="L370" s="8" t="inlineStr">
        <is>
          <t>Galaxy A51 5G</t>
        </is>
      </c>
      <c r="M370" s="8" t="inlineStr">
        <is>
          <t>SM-A516</t>
        </is>
      </c>
      <c r="N370" s="7" t="n">
        <v>2020</v>
      </c>
      <c r="O370" s="94" t="n">
        <v>257</v>
      </c>
      <c r="P370" s="94" t="inlineStr">
        <is>
          <t>Yes</t>
        </is>
      </c>
    </row>
    <row r="371" ht="21.5" customHeight="1" s="125">
      <c r="A371" s="94" t="inlineStr">
        <is>
          <t>RTP-000015</t>
        </is>
      </c>
      <c r="B371" s="94" t="inlineStr">
        <is>
          <t>Face ID</t>
        </is>
      </c>
      <c r="C371" s="94" t="inlineStr">
        <is>
          <t>Face ID</t>
        </is>
      </c>
      <c r="D371" s="94" t="n">
        <v>15</v>
      </c>
      <c r="E371" s="94" t="b">
        <v>1</v>
      </c>
      <c r="H371" s="9" t="inlineStr">
        <is>
          <t>MOD-000258</t>
        </is>
      </c>
      <c r="I371" s="7" t="inlineStr">
        <is>
          <t>MFG-002</t>
        </is>
      </c>
      <c r="J371" s="7" t="inlineStr">
        <is>
          <t>DF-024</t>
        </is>
      </c>
      <c r="K371" s="7" t="inlineStr">
        <is>
          <t>DT-001</t>
        </is>
      </c>
      <c r="L371" s="8" t="inlineStr">
        <is>
          <t>Galaxy A52</t>
        </is>
      </c>
      <c r="M371" s="8" t="inlineStr">
        <is>
          <t>SM-A525</t>
        </is>
      </c>
      <c r="N371" s="7" t="n">
        <v>2021</v>
      </c>
      <c r="O371" s="94" t="n">
        <v>258</v>
      </c>
      <c r="P371" s="94" t="inlineStr">
        <is>
          <t>Yes</t>
        </is>
      </c>
    </row>
    <row r="372" ht="21.5" customHeight="1" s="125">
      <c r="A372" s="94" t="inlineStr">
        <is>
          <t>RTP-000016</t>
        </is>
      </c>
      <c r="B372" s="94" t="inlineStr">
        <is>
          <t>Home Button</t>
        </is>
      </c>
      <c r="C372" s="94" t="inlineStr">
        <is>
          <t>Home Button</t>
        </is>
      </c>
      <c r="D372" s="94" t="n">
        <v>16</v>
      </c>
      <c r="E372" s="94" t="b">
        <v>1</v>
      </c>
      <c r="H372" s="9" t="inlineStr">
        <is>
          <t>MOD-000259</t>
        </is>
      </c>
      <c r="I372" s="7" t="inlineStr">
        <is>
          <t>MFG-002</t>
        </is>
      </c>
      <c r="J372" s="7" t="inlineStr">
        <is>
          <t>DF-024</t>
        </is>
      </c>
      <c r="K372" s="7" t="inlineStr">
        <is>
          <t>DT-001</t>
        </is>
      </c>
      <c r="L372" s="8" t="inlineStr">
        <is>
          <t>Galaxy A52 5G</t>
        </is>
      </c>
      <c r="M372" s="8" t="inlineStr">
        <is>
          <t>SM-A526</t>
        </is>
      </c>
      <c r="N372" s="7" t="n">
        <v>2021</v>
      </c>
      <c r="O372" s="94" t="n">
        <v>259</v>
      </c>
      <c r="P372" s="94" t="inlineStr">
        <is>
          <t>Yes</t>
        </is>
      </c>
    </row>
    <row r="373" ht="21.5" customHeight="1" s="125">
      <c r="A373" s="94" t="inlineStr">
        <is>
          <t>RTP-000017</t>
        </is>
      </c>
      <c r="B373" s="94" t="inlineStr">
        <is>
          <t>OLED Repair</t>
        </is>
      </c>
      <c r="C373" s="94" t="inlineStr">
        <is>
          <t>OLED Repair</t>
        </is>
      </c>
      <c r="D373" s="94" t="n">
        <v>17</v>
      </c>
      <c r="E373" s="94" t="b">
        <v>1</v>
      </c>
      <c r="H373" s="9" t="inlineStr">
        <is>
          <t>MOD-000260</t>
        </is>
      </c>
      <c r="I373" s="7" t="inlineStr">
        <is>
          <t>MFG-002</t>
        </is>
      </c>
      <c r="J373" s="7" t="inlineStr">
        <is>
          <t>DF-024</t>
        </is>
      </c>
      <c r="K373" s="7" t="inlineStr">
        <is>
          <t>DT-001</t>
        </is>
      </c>
      <c r="L373" s="8" t="inlineStr">
        <is>
          <t>Galaxy A52s 5G</t>
        </is>
      </c>
      <c r="M373" s="8" t="inlineStr">
        <is>
          <t>SM-A528</t>
        </is>
      </c>
      <c r="N373" s="7" t="n">
        <v>2021</v>
      </c>
      <c r="O373" s="94" t="n">
        <v>260</v>
      </c>
      <c r="P373" s="94" t="inlineStr">
        <is>
          <t>Yes</t>
        </is>
      </c>
    </row>
    <row r="374" ht="21.5" customHeight="1" s="125">
      <c r="A374" s="94" t="inlineStr">
        <is>
          <t>RTP-000018</t>
        </is>
      </c>
      <c r="B374" s="94" t="inlineStr">
        <is>
          <t>LCD Repair</t>
        </is>
      </c>
      <c r="C374" s="94" t="inlineStr">
        <is>
          <t>LCD Repair</t>
        </is>
      </c>
      <c r="D374" s="94" t="n">
        <v>18</v>
      </c>
      <c r="E374" s="94" t="b">
        <v>1</v>
      </c>
      <c r="H374" s="9" t="inlineStr">
        <is>
          <t>MOD-000261</t>
        </is>
      </c>
      <c r="I374" s="7" t="inlineStr">
        <is>
          <t>MFG-002</t>
        </is>
      </c>
      <c r="J374" s="7" t="inlineStr">
        <is>
          <t>DF-024</t>
        </is>
      </c>
      <c r="K374" s="7" t="inlineStr">
        <is>
          <t>DT-001</t>
        </is>
      </c>
      <c r="L374" s="8" t="inlineStr">
        <is>
          <t>Galaxy A53 5G</t>
        </is>
      </c>
      <c r="M374" s="8" t="inlineStr">
        <is>
          <t>SM-A536</t>
        </is>
      </c>
      <c r="N374" s="7" t="n">
        <v>2022</v>
      </c>
      <c r="O374" s="94" t="n">
        <v>261</v>
      </c>
      <c r="P374" s="94" t="inlineStr">
        <is>
          <t>Yes</t>
        </is>
      </c>
    </row>
    <row r="375" ht="21.5" customHeight="1" s="125">
      <c r="A375" s="94" t="inlineStr">
        <is>
          <t>RTP-000019</t>
        </is>
      </c>
      <c r="B375" s="94" t="inlineStr">
        <is>
          <t>Digitizer</t>
        </is>
      </c>
      <c r="C375" s="94" t="inlineStr">
        <is>
          <t>Digitizer</t>
        </is>
      </c>
      <c r="D375" s="94" t="n">
        <v>19</v>
      </c>
      <c r="E375" s="94" t="b">
        <v>1</v>
      </c>
      <c r="H375" s="9" t="inlineStr">
        <is>
          <t>MOD-000262</t>
        </is>
      </c>
      <c r="I375" s="7" t="inlineStr">
        <is>
          <t>MFG-002</t>
        </is>
      </c>
      <c r="J375" s="7" t="inlineStr">
        <is>
          <t>DF-024</t>
        </is>
      </c>
      <c r="K375" s="7" t="inlineStr">
        <is>
          <t>DT-001</t>
        </is>
      </c>
      <c r="L375" s="8" t="inlineStr">
        <is>
          <t>Galaxy A54 5G</t>
        </is>
      </c>
      <c r="M375" s="8" t="inlineStr">
        <is>
          <t>SM-A546</t>
        </is>
      </c>
      <c r="N375" s="7" t="n">
        <v>2023</v>
      </c>
      <c r="O375" s="94" t="n">
        <v>262</v>
      </c>
      <c r="P375" s="94" t="inlineStr">
        <is>
          <t>Yes</t>
        </is>
      </c>
    </row>
    <row r="376" ht="21.5" customHeight="1" s="125">
      <c r="A376" s="94" t="inlineStr">
        <is>
          <t>RTP-000020</t>
        </is>
      </c>
      <c r="B376" s="94" t="inlineStr">
        <is>
          <t>Backlight</t>
        </is>
      </c>
      <c r="C376" s="94" t="inlineStr">
        <is>
          <t>Backlight</t>
        </is>
      </c>
      <c r="D376" s="94" t="n">
        <v>20</v>
      </c>
      <c r="E376" s="94" t="b">
        <v>1</v>
      </c>
      <c r="H376" s="9" t="inlineStr">
        <is>
          <t>MOD-000263</t>
        </is>
      </c>
      <c r="I376" s="7" t="inlineStr">
        <is>
          <t>MFG-002</t>
        </is>
      </c>
      <c r="J376" s="7" t="inlineStr">
        <is>
          <t>DF-024</t>
        </is>
      </c>
      <c r="K376" s="7" t="inlineStr">
        <is>
          <t>DT-001</t>
        </is>
      </c>
      <c r="L376" s="8" t="inlineStr">
        <is>
          <t>Galaxy A55 5G</t>
        </is>
      </c>
      <c r="M376" s="8" t="inlineStr">
        <is>
          <t>SM-A556</t>
        </is>
      </c>
      <c r="N376" s="7" t="n">
        <v>2024</v>
      </c>
      <c r="O376" s="94" t="n">
        <v>263</v>
      </c>
      <c r="P376" s="94" t="inlineStr">
        <is>
          <t>Yes</t>
        </is>
      </c>
    </row>
    <row r="377" ht="21.5" customHeight="1" s="125">
      <c r="A377" s="94" t="inlineStr">
        <is>
          <t>RTP-000021</t>
        </is>
      </c>
      <c r="B377" s="94" t="inlineStr">
        <is>
          <t>Motherboard</t>
        </is>
      </c>
      <c r="C377" s="94" t="inlineStr">
        <is>
          <t>Motherboard</t>
        </is>
      </c>
      <c r="D377" s="94" t="n">
        <v>21</v>
      </c>
      <c r="E377" s="94" t="b">
        <v>1</v>
      </c>
      <c r="H377" s="9" t="inlineStr">
        <is>
          <t>MOD-000264</t>
        </is>
      </c>
      <c r="I377" s="7" t="inlineStr">
        <is>
          <t>MFG-002</t>
        </is>
      </c>
      <c r="J377" s="7" t="inlineStr">
        <is>
          <t>DF-024</t>
        </is>
      </c>
      <c r="K377" s="7" t="inlineStr">
        <is>
          <t>DT-001</t>
        </is>
      </c>
      <c r="L377" s="8" t="inlineStr">
        <is>
          <t>Galaxy A56 5G</t>
        </is>
      </c>
      <c r="M377" s="8" t="inlineStr">
        <is>
          <t>SM-A566</t>
        </is>
      </c>
      <c r="N377" s="7" t="n">
        <v>2025</v>
      </c>
      <c r="O377" s="94" t="n">
        <v>264</v>
      </c>
      <c r="P377" s="94" t="inlineStr">
        <is>
          <t>Yes</t>
        </is>
      </c>
    </row>
    <row r="378" ht="21.5" customHeight="1" s="125">
      <c r="A378" s="94" t="inlineStr">
        <is>
          <t>RTP-000022</t>
        </is>
      </c>
      <c r="B378" s="94" t="inlineStr">
        <is>
          <t>PMIC</t>
        </is>
      </c>
      <c r="C378" s="94" t="inlineStr">
        <is>
          <t>PMIC</t>
        </is>
      </c>
      <c r="D378" s="94" t="n">
        <v>22</v>
      </c>
      <c r="E378" s="94" t="b">
        <v>1</v>
      </c>
      <c r="H378" s="9" t="inlineStr">
        <is>
          <t>MOD-000265</t>
        </is>
      </c>
      <c r="I378" s="7" t="inlineStr">
        <is>
          <t>MFG-002</t>
        </is>
      </c>
      <c r="J378" s="7" t="inlineStr">
        <is>
          <t>DF-024</t>
        </is>
      </c>
      <c r="K378" s="7" t="inlineStr">
        <is>
          <t>DT-001</t>
        </is>
      </c>
      <c r="L378" s="8" t="inlineStr">
        <is>
          <t>Galaxy A70</t>
        </is>
      </c>
      <c r="M378" s="8" t="inlineStr">
        <is>
          <t>SM-A705</t>
        </is>
      </c>
      <c r="N378" s="7" t="n">
        <v>2019</v>
      </c>
      <c r="O378" s="94" t="n">
        <v>265</v>
      </c>
      <c r="P378" s="94" t="inlineStr">
        <is>
          <t>Yes</t>
        </is>
      </c>
    </row>
    <row r="379" ht="21.5" customHeight="1" s="125">
      <c r="A379" s="94" t="inlineStr">
        <is>
          <t>RTP-000023</t>
        </is>
      </c>
      <c r="B379" s="94" t="inlineStr">
        <is>
          <t>Charging IC</t>
        </is>
      </c>
      <c r="C379" s="94" t="inlineStr">
        <is>
          <t>Charging IC</t>
        </is>
      </c>
      <c r="D379" s="94" t="n">
        <v>23</v>
      </c>
      <c r="E379" s="94" t="b">
        <v>1</v>
      </c>
      <c r="H379" s="9" t="inlineStr">
        <is>
          <t>MOD-000266</t>
        </is>
      </c>
      <c r="I379" s="7" t="inlineStr">
        <is>
          <t>MFG-002</t>
        </is>
      </c>
      <c r="J379" s="7" t="inlineStr">
        <is>
          <t>DF-024</t>
        </is>
      </c>
      <c r="K379" s="7" t="inlineStr">
        <is>
          <t>DT-001</t>
        </is>
      </c>
      <c r="L379" s="8" t="inlineStr">
        <is>
          <t>Galaxy A70s</t>
        </is>
      </c>
      <c r="M379" s="8" t="inlineStr">
        <is>
          <t>SM-A707</t>
        </is>
      </c>
      <c r="N379" s="7" t="n">
        <v>2019</v>
      </c>
      <c r="O379" s="94" t="n">
        <v>266</v>
      </c>
      <c r="P379" s="94" t="inlineStr">
        <is>
          <t>Yes</t>
        </is>
      </c>
    </row>
    <row r="380" ht="21.5" customHeight="1" s="125">
      <c r="A380" s="94" t="inlineStr">
        <is>
          <t>RTP-000024</t>
        </is>
      </c>
      <c r="B380" s="94" t="inlineStr">
        <is>
          <t>Tristar</t>
        </is>
      </c>
      <c r="C380" s="94" t="inlineStr">
        <is>
          <t>Tristar</t>
        </is>
      </c>
      <c r="D380" s="94" t="n">
        <v>24</v>
      </c>
      <c r="E380" s="94" t="b">
        <v>1</v>
      </c>
      <c r="H380" s="9" t="inlineStr">
        <is>
          <t>MOD-000267</t>
        </is>
      </c>
      <c r="I380" s="7" t="inlineStr">
        <is>
          <t>MFG-002</t>
        </is>
      </c>
      <c r="J380" s="7" t="inlineStr">
        <is>
          <t>DF-024</t>
        </is>
      </c>
      <c r="K380" s="7" t="inlineStr">
        <is>
          <t>DT-001</t>
        </is>
      </c>
      <c r="L380" s="8" t="inlineStr">
        <is>
          <t>Galaxy A71</t>
        </is>
      </c>
      <c r="M380" s="8" t="inlineStr">
        <is>
          <t>SM-A715</t>
        </is>
      </c>
      <c r="N380" s="7" t="n">
        <v>2020</v>
      </c>
      <c r="O380" s="94" t="n">
        <v>267</v>
      </c>
      <c r="P380" s="94" t="inlineStr">
        <is>
          <t>Yes</t>
        </is>
      </c>
    </row>
    <row r="381" ht="21.5" customHeight="1" s="125">
      <c r="A381" s="94" t="inlineStr">
        <is>
          <t>RTP-000025</t>
        </is>
      </c>
      <c r="B381" s="94" t="inlineStr">
        <is>
          <t>Audio IC</t>
        </is>
      </c>
      <c r="C381" s="94" t="inlineStr">
        <is>
          <t>Audio IC</t>
        </is>
      </c>
      <c r="D381" s="94" t="n">
        <v>25</v>
      </c>
      <c r="E381" s="94" t="b">
        <v>1</v>
      </c>
      <c r="H381" s="9" t="inlineStr">
        <is>
          <t>MOD-000268</t>
        </is>
      </c>
      <c r="I381" s="7" t="inlineStr">
        <is>
          <t>MFG-002</t>
        </is>
      </c>
      <c r="J381" s="7" t="inlineStr">
        <is>
          <t>DF-024</t>
        </is>
      </c>
      <c r="K381" s="7" t="inlineStr">
        <is>
          <t>DT-001</t>
        </is>
      </c>
      <c r="L381" s="8" t="inlineStr">
        <is>
          <t>Galaxy A71 5G</t>
        </is>
      </c>
      <c r="M381" s="8" t="inlineStr">
        <is>
          <t>SM-A716</t>
        </is>
      </c>
      <c r="N381" s="7" t="n">
        <v>2020</v>
      </c>
      <c r="O381" s="94" t="n">
        <v>268</v>
      </c>
      <c r="P381" s="94" t="inlineStr">
        <is>
          <t>Yes</t>
        </is>
      </c>
    </row>
    <row r="382" ht="21.5" customHeight="1" s="125">
      <c r="A382" s="94" t="inlineStr">
        <is>
          <t>RTP-000026</t>
        </is>
      </c>
      <c r="B382" s="94" t="inlineStr">
        <is>
          <t>USB Controller</t>
        </is>
      </c>
      <c r="C382" s="94" t="inlineStr">
        <is>
          <t>USB Controller</t>
        </is>
      </c>
      <c r="D382" s="94" t="n">
        <v>26</v>
      </c>
      <c r="E382" s="94" t="b">
        <v>1</v>
      </c>
      <c r="H382" s="9" t="inlineStr">
        <is>
          <t>MOD-000269</t>
        </is>
      </c>
      <c r="I382" s="7" t="inlineStr">
        <is>
          <t>MFG-002</t>
        </is>
      </c>
      <c r="J382" s="7" t="inlineStr">
        <is>
          <t>DF-024</t>
        </is>
      </c>
      <c r="K382" s="7" t="inlineStr">
        <is>
          <t>DT-001</t>
        </is>
      </c>
      <c r="L382" s="8" t="inlineStr">
        <is>
          <t>Galaxy A72</t>
        </is>
      </c>
      <c r="M382" s="8" t="inlineStr">
        <is>
          <t>SM-A725</t>
        </is>
      </c>
      <c r="N382" s="7" t="n">
        <v>2021</v>
      </c>
      <c r="O382" s="94" t="n">
        <v>269</v>
      </c>
      <c r="P382" s="94" t="inlineStr">
        <is>
          <t>Yes</t>
        </is>
      </c>
    </row>
    <row r="383" ht="21.5" customHeight="1" s="125">
      <c r="A383" s="94" t="inlineStr">
        <is>
          <t>RTP-000027</t>
        </is>
      </c>
      <c r="B383" s="94" t="inlineStr">
        <is>
          <t>Water Damage</t>
        </is>
      </c>
      <c r="C383" s="94" t="inlineStr">
        <is>
          <t>Water Damage</t>
        </is>
      </c>
      <c r="D383" s="94" t="n">
        <v>27</v>
      </c>
      <c r="E383" s="94" t="b">
        <v>1</v>
      </c>
      <c r="H383" s="9" t="inlineStr">
        <is>
          <t>MOD-000270</t>
        </is>
      </c>
      <c r="I383" s="7" t="inlineStr">
        <is>
          <t>MFG-002</t>
        </is>
      </c>
      <c r="J383" s="7" t="inlineStr">
        <is>
          <t>DF-024</t>
        </is>
      </c>
      <c r="K383" s="7" t="inlineStr">
        <is>
          <t>DT-001</t>
        </is>
      </c>
      <c r="L383" s="8" t="inlineStr">
        <is>
          <t>Galaxy A73 5G</t>
        </is>
      </c>
      <c r="M383" s="8" t="inlineStr">
        <is>
          <t>SM-A736</t>
        </is>
      </c>
      <c r="N383" s="7" t="n">
        <v>2022</v>
      </c>
      <c r="O383" s="94" t="n">
        <v>270</v>
      </c>
      <c r="P383" s="94" t="inlineStr">
        <is>
          <t>Yes</t>
        </is>
      </c>
    </row>
    <row r="384" ht="21.5" customHeight="1" s="125">
      <c r="A384" s="94" t="inlineStr">
        <is>
          <t>RTP-000028</t>
        </is>
      </c>
      <c r="B384" s="94" t="inlineStr">
        <is>
          <t>Liquid Cleaning</t>
        </is>
      </c>
      <c r="C384" s="94" t="inlineStr">
        <is>
          <t>Liquid Cleaning</t>
        </is>
      </c>
      <c r="D384" s="94" t="n">
        <v>28</v>
      </c>
      <c r="E384" s="94" t="b">
        <v>1</v>
      </c>
      <c r="H384" s="9" t="inlineStr">
        <is>
          <t>MOD-000271</t>
        </is>
      </c>
      <c r="I384" s="7" t="inlineStr">
        <is>
          <t>MFG-002</t>
        </is>
      </c>
      <c r="J384" s="7" t="inlineStr">
        <is>
          <t>DF-025</t>
        </is>
      </c>
      <c r="K384" s="7" t="inlineStr">
        <is>
          <t>DT-001</t>
        </is>
      </c>
      <c r="L384" s="8" t="inlineStr">
        <is>
          <t>Galaxy M10</t>
        </is>
      </c>
      <c r="M384" s="8" t="inlineStr">
        <is>
          <t>SM-M105</t>
        </is>
      </c>
      <c r="N384" s="7" t="n">
        <v>2019</v>
      </c>
      <c r="O384" s="94" t="n">
        <v>271</v>
      </c>
      <c r="P384" s="94" t="inlineStr">
        <is>
          <t>Yes</t>
        </is>
      </c>
    </row>
    <row r="385" ht="21.5" customHeight="1" s="125">
      <c r="A385" s="94" t="inlineStr">
        <is>
          <t>RTP-000029</t>
        </is>
      </c>
      <c r="B385" s="94" t="inlineStr">
        <is>
          <t>Data Recovery</t>
        </is>
      </c>
      <c r="C385" s="94" t="inlineStr">
        <is>
          <t>Data Recovery</t>
        </is>
      </c>
      <c r="D385" s="94" t="n">
        <v>29</v>
      </c>
      <c r="E385" s="94" t="b">
        <v>1</v>
      </c>
      <c r="H385" s="9" t="inlineStr">
        <is>
          <t>MOD-000272</t>
        </is>
      </c>
      <c r="I385" s="7" t="inlineStr">
        <is>
          <t>MFG-002</t>
        </is>
      </c>
      <c r="J385" s="7" t="inlineStr">
        <is>
          <t>DF-025</t>
        </is>
      </c>
      <c r="K385" s="7" t="inlineStr">
        <is>
          <t>DT-001</t>
        </is>
      </c>
      <c r="L385" s="8" t="inlineStr">
        <is>
          <t>Galaxy M11</t>
        </is>
      </c>
      <c r="M385" s="8" t="inlineStr">
        <is>
          <t>SM-M115</t>
        </is>
      </c>
      <c r="N385" s="7" t="n">
        <v>2020</v>
      </c>
      <c r="O385" s="94" t="n">
        <v>272</v>
      </c>
      <c r="P385" s="94" t="inlineStr">
        <is>
          <t>Yes</t>
        </is>
      </c>
    </row>
    <row r="386" ht="21.5" customHeight="1" s="125">
      <c r="A386" s="94" t="inlineStr">
        <is>
          <t>RTP-000030</t>
        </is>
      </c>
      <c r="B386" s="94" t="inlineStr">
        <is>
          <t>Software Repair</t>
        </is>
      </c>
      <c r="C386" s="94" t="inlineStr">
        <is>
          <t>Software Repair</t>
        </is>
      </c>
      <c r="D386" s="94" t="n">
        <v>30</v>
      </c>
      <c r="E386" s="94" t="b">
        <v>1</v>
      </c>
      <c r="H386" s="9" t="inlineStr">
        <is>
          <t>MOD-000273</t>
        </is>
      </c>
      <c r="I386" s="7" t="inlineStr">
        <is>
          <t>MFG-002</t>
        </is>
      </c>
      <c r="J386" s="7" t="inlineStr">
        <is>
          <t>DF-025</t>
        </is>
      </c>
      <c r="K386" s="7" t="inlineStr">
        <is>
          <t>DT-001</t>
        </is>
      </c>
      <c r="L386" s="8" t="inlineStr">
        <is>
          <t>Galaxy M12</t>
        </is>
      </c>
      <c r="M386" s="8" t="inlineStr">
        <is>
          <t>SM-M127</t>
        </is>
      </c>
      <c r="N386" s="7" t="n">
        <v>2021</v>
      </c>
      <c r="O386" s="94" t="n">
        <v>273</v>
      </c>
      <c r="P386" s="94" t="inlineStr">
        <is>
          <t>Yes</t>
        </is>
      </c>
    </row>
    <row r="387" ht="21.5" customHeight="1" s="125">
      <c r="A387" s="94" t="inlineStr">
        <is>
          <t>RTP-000031</t>
        </is>
      </c>
      <c r="B387" s="94" t="inlineStr">
        <is>
          <t>OS Restore</t>
        </is>
      </c>
      <c r="C387" s="94" t="inlineStr">
        <is>
          <t>OS Restore</t>
        </is>
      </c>
      <c r="D387" s="94" t="n">
        <v>31</v>
      </c>
      <c r="E387" s="94" t="b">
        <v>1</v>
      </c>
      <c r="H387" s="9" t="inlineStr">
        <is>
          <t>MOD-000274</t>
        </is>
      </c>
      <c r="I387" s="7" t="inlineStr">
        <is>
          <t>MFG-002</t>
        </is>
      </c>
      <c r="J387" s="7" t="inlineStr">
        <is>
          <t>DF-025</t>
        </is>
      </c>
      <c r="K387" s="7" t="inlineStr">
        <is>
          <t>DT-001</t>
        </is>
      </c>
      <c r="L387" s="8" t="inlineStr">
        <is>
          <t>Galaxy M13</t>
        </is>
      </c>
      <c r="M387" s="8" t="inlineStr">
        <is>
          <t>SM-M135</t>
        </is>
      </c>
      <c r="N387" s="7" t="n">
        <v>2022</v>
      </c>
      <c r="O387" s="94" t="n">
        <v>274</v>
      </c>
      <c r="P387" s="94" t="inlineStr">
        <is>
          <t>Yes</t>
        </is>
      </c>
    </row>
    <row r="388" ht="21.5" customHeight="1" s="125">
      <c r="A388" s="94" t="inlineStr">
        <is>
          <t>RTP-000032</t>
        </is>
      </c>
      <c r="B388" s="94" t="inlineStr">
        <is>
          <t>Virus Removal</t>
        </is>
      </c>
      <c r="C388" s="94" t="inlineStr">
        <is>
          <t>Virus Removal</t>
        </is>
      </c>
      <c r="D388" s="94" t="n">
        <v>32</v>
      </c>
      <c r="E388" s="94" t="b">
        <v>1</v>
      </c>
      <c r="H388" s="9" t="inlineStr">
        <is>
          <t>MOD-000275</t>
        </is>
      </c>
      <c r="I388" s="7" t="inlineStr">
        <is>
          <t>MFG-002</t>
        </is>
      </c>
      <c r="J388" s="7" t="inlineStr">
        <is>
          <t>DF-025</t>
        </is>
      </c>
      <c r="K388" s="7" t="inlineStr">
        <is>
          <t>DT-001</t>
        </is>
      </c>
      <c r="L388" s="8" t="inlineStr">
        <is>
          <t>Galaxy M14 5G</t>
        </is>
      </c>
      <c r="M388" s="8" t="inlineStr">
        <is>
          <t>SM-M146</t>
        </is>
      </c>
      <c r="N388" s="7" t="n">
        <v>2023</v>
      </c>
      <c r="O388" s="94" t="n">
        <v>275</v>
      </c>
      <c r="P388" s="94" t="inlineStr">
        <is>
          <t>Yes</t>
        </is>
      </c>
    </row>
    <row r="389" ht="21.5" customHeight="1" s="125">
      <c r="A389" s="94" t="inlineStr">
        <is>
          <t>RTP-000033</t>
        </is>
      </c>
      <c r="B389" s="94" t="inlineStr">
        <is>
          <t>Password Removal</t>
        </is>
      </c>
      <c r="C389" s="94" t="inlineStr">
        <is>
          <t>Password Removal</t>
        </is>
      </c>
      <c r="D389" s="94" t="n">
        <v>33</v>
      </c>
      <c r="E389" s="94" t="b">
        <v>1</v>
      </c>
      <c r="H389" s="9" t="inlineStr">
        <is>
          <t>MOD-000276</t>
        </is>
      </c>
      <c r="I389" s="7" t="inlineStr">
        <is>
          <t>MFG-002</t>
        </is>
      </c>
      <c r="J389" s="7" t="inlineStr">
        <is>
          <t>DF-025</t>
        </is>
      </c>
      <c r="K389" s="7" t="inlineStr">
        <is>
          <t>DT-001</t>
        </is>
      </c>
      <c r="L389" s="8" t="inlineStr">
        <is>
          <t>Galaxy M15 5G</t>
        </is>
      </c>
      <c r="M389" s="8" t="inlineStr">
        <is>
          <t>SM-M156</t>
        </is>
      </c>
      <c r="N389" s="7" t="n">
        <v>2024</v>
      </c>
      <c r="O389" s="94" t="n">
        <v>276</v>
      </c>
      <c r="P389" s="94" t="inlineStr">
        <is>
          <t>Yes</t>
        </is>
      </c>
    </row>
    <row r="390" ht="21.5" customHeight="1" s="125">
      <c r="A390" s="94" t="inlineStr">
        <is>
          <t>RTP-000034</t>
        </is>
      </c>
      <c r="B390" s="94" t="inlineStr">
        <is>
          <t>FRP Removal</t>
        </is>
      </c>
      <c r="C390" s="94" t="inlineStr">
        <is>
          <t>FRP Removal</t>
        </is>
      </c>
      <c r="D390" s="94" t="n">
        <v>34</v>
      </c>
      <c r="E390" s="94" t="b">
        <v>1</v>
      </c>
      <c r="H390" s="9" t="inlineStr">
        <is>
          <t>MOD-000277</t>
        </is>
      </c>
      <c r="I390" s="7" t="inlineStr">
        <is>
          <t>MFG-002</t>
        </is>
      </c>
      <c r="J390" s="7" t="inlineStr">
        <is>
          <t>DF-025</t>
        </is>
      </c>
      <c r="K390" s="7" t="inlineStr">
        <is>
          <t>DT-001</t>
        </is>
      </c>
      <c r="L390" s="8" t="inlineStr">
        <is>
          <t>Galaxy M16 5G</t>
        </is>
      </c>
      <c r="M390" s="8" t="inlineStr">
        <is>
          <t>SM-M166</t>
        </is>
      </c>
      <c r="N390" s="7" t="n">
        <v>2025</v>
      </c>
      <c r="O390" s="94" t="n">
        <v>277</v>
      </c>
      <c r="P390" s="94" t="inlineStr">
        <is>
          <t>Yes</t>
        </is>
      </c>
    </row>
    <row r="391" ht="21.5" customHeight="1" s="125">
      <c r="A391" s="94" t="inlineStr">
        <is>
          <t>RTP-000035</t>
        </is>
      </c>
      <c r="B391" s="94" t="inlineStr">
        <is>
          <t>Battery Calibration</t>
        </is>
      </c>
      <c r="C391" s="94" t="inlineStr">
        <is>
          <t>Battery Calibration</t>
        </is>
      </c>
      <c r="D391" s="94" t="n">
        <v>35</v>
      </c>
      <c r="E391" s="94" t="b">
        <v>1</v>
      </c>
      <c r="H391" s="9" t="inlineStr">
        <is>
          <t>MOD-000278</t>
        </is>
      </c>
      <c r="I391" s="7" t="inlineStr">
        <is>
          <t>MFG-002</t>
        </is>
      </c>
      <c r="J391" s="7" t="inlineStr">
        <is>
          <t>DF-025</t>
        </is>
      </c>
      <c r="K391" s="7" t="inlineStr">
        <is>
          <t>DT-001</t>
        </is>
      </c>
      <c r="L391" s="8" t="inlineStr">
        <is>
          <t>Galaxy M20</t>
        </is>
      </c>
      <c r="M391" s="8" t="inlineStr">
        <is>
          <t>SM-M205</t>
        </is>
      </c>
      <c r="N391" s="7" t="n">
        <v>2019</v>
      </c>
      <c r="O391" s="94" t="n">
        <v>278</v>
      </c>
      <c r="P391" s="94" t="inlineStr">
        <is>
          <t>Yes</t>
        </is>
      </c>
    </row>
    <row r="392" ht="21.5" customHeight="1" s="125">
      <c r="A392" s="94" t="inlineStr">
        <is>
          <t>RTP-000036</t>
        </is>
      </c>
      <c r="B392" s="94" t="inlineStr">
        <is>
          <t>Face ID Calibration</t>
        </is>
      </c>
      <c r="C392" s="94" t="inlineStr">
        <is>
          <t>Face ID Calibration</t>
        </is>
      </c>
      <c r="D392" s="94" t="n">
        <v>36</v>
      </c>
      <c r="E392" s="94" t="b">
        <v>1</v>
      </c>
      <c r="H392" s="9" t="inlineStr">
        <is>
          <t>MOD-000279</t>
        </is>
      </c>
      <c r="I392" s="7" t="inlineStr">
        <is>
          <t>MFG-002</t>
        </is>
      </c>
      <c r="J392" s="7" t="inlineStr">
        <is>
          <t>DF-025</t>
        </is>
      </c>
      <c r="K392" s="7" t="inlineStr">
        <is>
          <t>DT-001</t>
        </is>
      </c>
      <c r="L392" s="8" t="inlineStr">
        <is>
          <t>Galaxy M21</t>
        </is>
      </c>
      <c r="M392" s="8" t="inlineStr">
        <is>
          <t>SM-M215</t>
        </is>
      </c>
      <c r="N392" s="7" t="n">
        <v>2020</v>
      </c>
      <c r="O392" s="94" t="n">
        <v>279</v>
      </c>
      <c r="P392" s="94" t="inlineStr">
        <is>
          <t>Yes</t>
        </is>
      </c>
    </row>
    <row r="393" ht="21.5" customHeight="1" s="125">
      <c r="A393" s="94" t="inlineStr">
        <is>
          <t>RTP-000037</t>
        </is>
      </c>
      <c r="B393" s="94" t="inlineStr">
        <is>
          <t>Camera Calibration</t>
        </is>
      </c>
      <c r="C393" s="94" t="inlineStr">
        <is>
          <t>Camera Calibration</t>
        </is>
      </c>
      <c r="D393" s="94" t="n">
        <v>37</v>
      </c>
      <c r="E393" s="94" t="b">
        <v>1</v>
      </c>
      <c r="H393" s="9" t="inlineStr">
        <is>
          <t>MOD-000280</t>
        </is>
      </c>
      <c r="I393" s="7" t="inlineStr">
        <is>
          <t>MFG-002</t>
        </is>
      </c>
      <c r="J393" s="7" t="inlineStr">
        <is>
          <t>DF-025</t>
        </is>
      </c>
      <c r="K393" s="7" t="inlineStr">
        <is>
          <t>DT-001</t>
        </is>
      </c>
      <c r="L393" s="8" t="inlineStr">
        <is>
          <t>Galaxy M22</t>
        </is>
      </c>
      <c r="M393" s="8" t="inlineStr">
        <is>
          <t>SM-M225</t>
        </is>
      </c>
      <c r="N393" s="7" t="n">
        <v>2021</v>
      </c>
      <c r="O393" s="94" t="n">
        <v>280</v>
      </c>
      <c r="P393" s="94" t="inlineStr">
        <is>
          <t>Yes</t>
        </is>
      </c>
    </row>
    <row r="394" ht="21.5" customHeight="1" s="125">
      <c r="A394" s="94" t="inlineStr">
        <is>
          <t>RTP-000038</t>
        </is>
      </c>
      <c r="B394" s="94" t="inlineStr">
        <is>
          <t>Display Calibration</t>
        </is>
      </c>
      <c r="C394" s="94" t="inlineStr">
        <is>
          <t>Display Calibration</t>
        </is>
      </c>
      <c r="D394" s="94" t="n">
        <v>38</v>
      </c>
      <c r="E394" s="94" t="b">
        <v>1</v>
      </c>
      <c r="H394" s="9" t="inlineStr">
        <is>
          <t>MOD-000281</t>
        </is>
      </c>
      <c r="I394" s="7" t="inlineStr">
        <is>
          <t>MFG-002</t>
        </is>
      </c>
      <c r="J394" s="7" t="inlineStr">
        <is>
          <t>DF-025</t>
        </is>
      </c>
      <c r="K394" s="7" t="inlineStr">
        <is>
          <t>DT-001</t>
        </is>
      </c>
      <c r="L394" s="8" t="inlineStr">
        <is>
          <t>Galaxy M23 5G</t>
        </is>
      </c>
      <c r="M394" s="8" t="inlineStr">
        <is>
          <t>SM-M236</t>
        </is>
      </c>
      <c r="N394" s="7" t="n">
        <v>2022</v>
      </c>
      <c r="O394" s="94" t="n">
        <v>281</v>
      </c>
      <c r="P394" s="94" t="inlineStr">
        <is>
          <t>Yes</t>
        </is>
      </c>
    </row>
    <row r="395" ht="21.5" customHeight="1" s="125">
      <c r="A395" s="94" t="inlineStr">
        <is>
          <t>RTP-000039</t>
        </is>
      </c>
      <c r="B395" s="94" t="inlineStr">
        <is>
          <t>Diagnostics</t>
        </is>
      </c>
      <c r="C395" s="94" t="inlineStr">
        <is>
          <t>Diagnostics</t>
        </is>
      </c>
      <c r="D395" s="94" t="n">
        <v>39</v>
      </c>
      <c r="E395" s="94" t="b">
        <v>1</v>
      </c>
      <c r="H395" s="9" t="inlineStr">
        <is>
          <t>MOD-000282</t>
        </is>
      </c>
      <c r="I395" s="7" t="inlineStr">
        <is>
          <t>MFG-002</t>
        </is>
      </c>
      <c r="J395" s="7" t="inlineStr">
        <is>
          <t>DF-025</t>
        </is>
      </c>
      <c r="K395" s="7" t="inlineStr">
        <is>
          <t>DT-001</t>
        </is>
      </c>
      <c r="L395" s="8" t="inlineStr">
        <is>
          <t>Galaxy M24</t>
        </is>
      </c>
      <c r="M395" s="8" t="inlineStr">
        <is>
          <t>SM-M245</t>
        </is>
      </c>
      <c r="N395" s="7" t="n">
        <v>2023</v>
      </c>
      <c r="O395" s="94" t="n">
        <v>282</v>
      </c>
      <c r="P395" s="94" t="inlineStr">
        <is>
          <t>Yes</t>
        </is>
      </c>
    </row>
    <row r="396" ht="21.5" customHeight="1" s="125">
      <c r="A396" s="94" t="inlineStr">
        <is>
          <t>RTP-000040</t>
        </is>
      </c>
      <c r="B396" s="94" t="inlineStr">
        <is>
          <t>Cleaning</t>
        </is>
      </c>
      <c r="C396" s="94" t="inlineStr">
        <is>
          <t>Cleaning</t>
        </is>
      </c>
      <c r="D396" s="94" t="n">
        <v>40</v>
      </c>
      <c r="E396" s="94" t="b">
        <v>1</v>
      </c>
      <c r="H396" s="9" t="inlineStr">
        <is>
          <t>MOD-000283</t>
        </is>
      </c>
      <c r="I396" s="7" t="inlineStr">
        <is>
          <t>MFG-002</t>
        </is>
      </c>
      <c r="J396" s="7" t="inlineStr">
        <is>
          <t>DF-025</t>
        </is>
      </c>
      <c r="K396" s="7" t="inlineStr">
        <is>
          <t>DT-001</t>
        </is>
      </c>
      <c r="L396" s="8" t="inlineStr">
        <is>
          <t>Galaxy M25 5G</t>
        </is>
      </c>
      <c r="M396" s="8" t="inlineStr">
        <is>
          <t>SM-M256</t>
        </is>
      </c>
      <c r="N396" s="7" t="n">
        <v>2024</v>
      </c>
      <c r="O396" s="94" t="n">
        <v>283</v>
      </c>
      <c r="P396" s="94" t="inlineStr">
        <is>
          <t>Yes</t>
        </is>
      </c>
    </row>
    <row r="397" ht="21.5" customHeight="1" s="125">
      <c r="A397" s="94" t="inlineStr">
        <is>
          <t>RTP-000041</t>
        </is>
      </c>
      <c r="B397" s="94" t="inlineStr">
        <is>
          <t>Preventive Maintenance</t>
        </is>
      </c>
      <c r="C397" s="94" t="inlineStr">
        <is>
          <t>Preventive Maintenance</t>
        </is>
      </c>
      <c r="D397" s="94" t="n">
        <v>41</v>
      </c>
      <c r="E397" s="94" t="b">
        <v>1</v>
      </c>
      <c r="H397" s="9" t="inlineStr">
        <is>
          <t>MOD-000284</t>
        </is>
      </c>
      <c r="I397" s="7" t="inlineStr">
        <is>
          <t>MFG-002</t>
        </is>
      </c>
      <c r="J397" s="7" t="inlineStr">
        <is>
          <t>DF-026</t>
        </is>
      </c>
      <c r="K397" s="7" t="inlineStr">
        <is>
          <t>DT-001</t>
        </is>
      </c>
      <c r="L397" s="8" t="inlineStr">
        <is>
          <t>Galaxy J1</t>
        </is>
      </c>
      <c r="M397" s="8" t="inlineStr">
        <is>
          <t>SM-J100</t>
        </is>
      </c>
      <c r="N397" s="7" t="n">
        <v>2015</v>
      </c>
      <c r="O397" s="94" t="n">
        <v>284</v>
      </c>
      <c r="P397" s="94" t="inlineStr">
        <is>
          <t>Yes</t>
        </is>
      </c>
    </row>
    <row r="398" ht="21.5" customHeight="1" s="125">
      <c r="A398" s="94" t="inlineStr">
        <is>
          <t>RTP-000042</t>
        </is>
      </c>
      <c r="B398" s="94" t="inlineStr">
        <is>
          <t>Thermal Paste Replacement</t>
        </is>
      </c>
      <c r="C398" s="94" t="inlineStr">
        <is>
          <t>Thermal Paste Replacement</t>
        </is>
      </c>
      <c r="D398" s="94" t="n">
        <v>42</v>
      </c>
      <c r="E398" s="94" t="b">
        <v>1</v>
      </c>
      <c r="H398" s="9" t="inlineStr">
        <is>
          <t>MOD-000285</t>
        </is>
      </c>
      <c r="I398" s="7" t="inlineStr">
        <is>
          <t>MFG-002</t>
        </is>
      </c>
      <c r="J398" s="7" t="inlineStr">
        <is>
          <t>DF-026</t>
        </is>
      </c>
      <c r="K398" s="7" t="inlineStr">
        <is>
          <t>DT-001</t>
        </is>
      </c>
      <c r="L398" s="8" t="inlineStr">
        <is>
          <t>Galaxy J1 Ace</t>
        </is>
      </c>
      <c r="M398" s="8" t="inlineStr">
        <is>
          <t>SM-J110</t>
        </is>
      </c>
      <c r="N398" s="7" t="n">
        <v>2015</v>
      </c>
      <c r="O398" s="94" t="n">
        <v>285</v>
      </c>
      <c r="P398" s="94" t="inlineStr">
        <is>
          <t>Yes</t>
        </is>
      </c>
    </row>
    <row r="399" ht="21.5" customHeight="1" s="125">
      <c r="A399" s="94" t="inlineStr">
        <is>
          <t>RTP-000043</t>
        </is>
      </c>
      <c r="B399" s="94" t="inlineStr">
        <is>
          <t>Fan Replacement</t>
        </is>
      </c>
      <c r="C399" s="94" t="inlineStr">
        <is>
          <t>Fan Replacement</t>
        </is>
      </c>
      <c r="D399" s="94" t="n">
        <v>43</v>
      </c>
      <c r="E399" s="94" t="b">
        <v>1</v>
      </c>
      <c r="H399" s="9" t="inlineStr">
        <is>
          <t>MOD-000286</t>
        </is>
      </c>
      <c r="I399" s="7" t="inlineStr">
        <is>
          <t>MFG-002</t>
        </is>
      </c>
      <c r="J399" s="7" t="inlineStr">
        <is>
          <t>DF-026</t>
        </is>
      </c>
      <c r="K399" s="7" t="inlineStr">
        <is>
          <t>DT-001</t>
        </is>
      </c>
      <c r="L399" s="8" t="inlineStr">
        <is>
          <t>Galaxy J2</t>
        </is>
      </c>
      <c r="M399" s="8" t="inlineStr">
        <is>
          <t>SM-J200</t>
        </is>
      </c>
      <c r="N399" s="7" t="n">
        <v>2015</v>
      </c>
      <c r="O399" s="94" t="n">
        <v>286</v>
      </c>
      <c r="P399" s="94" t="inlineStr">
        <is>
          <t>Yes</t>
        </is>
      </c>
    </row>
    <row r="400" ht="21.5" customHeight="1" s="125">
      <c r="A400" s="94" t="inlineStr">
        <is>
          <t>RTP-000044</t>
        </is>
      </c>
      <c r="B400" s="94" t="inlineStr">
        <is>
          <t>Keyboard Replacement</t>
        </is>
      </c>
      <c r="C400" s="94" t="inlineStr">
        <is>
          <t>Keyboard Replacement</t>
        </is>
      </c>
      <c r="D400" s="94" t="n">
        <v>44</v>
      </c>
      <c r="E400" s="94" t="b">
        <v>1</v>
      </c>
      <c r="H400" s="9" t="inlineStr">
        <is>
          <t>MOD-000287</t>
        </is>
      </c>
      <c r="I400" s="7" t="inlineStr">
        <is>
          <t>MFG-002</t>
        </is>
      </c>
      <c r="J400" s="7" t="inlineStr">
        <is>
          <t>DF-026</t>
        </is>
      </c>
      <c r="K400" s="7" t="inlineStr">
        <is>
          <t>DT-001</t>
        </is>
      </c>
      <c r="L400" s="8" t="inlineStr">
        <is>
          <t>Galaxy J2 Prime</t>
        </is>
      </c>
      <c r="M400" s="8" t="inlineStr">
        <is>
          <t>SM-G532</t>
        </is>
      </c>
      <c r="N400" s="7" t="n">
        <v>2016</v>
      </c>
      <c r="O400" s="94" t="n">
        <v>287</v>
      </c>
      <c r="P400" s="94" t="inlineStr">
        <is>
          <t>Yes</t>
        </is>
      </c>
    </row>
    <row r="401" ht="21.5" customHeight="1" s="125">
      <c r="A401" s="94" t="inlineStr">
        <is>
          <t>RTP-000045</t>
        </is>
      </c>
      <c r="B401" s="94" t="inlineStr">
        <is>
          <t>Trackpad Replacement</t>
        </is>
      </c>
      <c r="C401" s="94" t="inlineStr">
        <is>
          <t>Trackpad Replacement</t>
        </is>
      </c>
      <c r="D401" s="94" t="n">
        <v>45</v>
      </c>
      <c r="E401" s="94" t="b">
        <v>1</v>
      </c>
      <c r="H401" s="9" t="inlineStr">
        <is>
          <t>MOD-000288</t>
        </is>
      </c>
      <c r="I401" s="7" t="inlineStr">
        <is>
          <t>MFG-002</t>
        </is>
      </c>
      <c r="J401" s="7" t="inlineStr">
        <is>
          <t>DF-026</t>
        </is>
      </c>
      <c r="K401" s="7" t="inlineStr">
        <is>
          <t>DT-001</t>
        </is>
      </c>
      <c r="L401" s="8" t="inlineStr">
        <is>
          <t>Galaxy J3</t>
        </is>
      </c>
      <c r="M401" s="8" t="inlineStr">
        <is>
          <t>SM-J320</t>
        </is>
      </c>
      <c r="N401" s="7" t="n">
        <v>2016</v>
      </c>
      <c r="O401" s="94" t="n">
        <v>288</v>
      </c>
      <c r="P401" s="94" t="inlineStr">
        <is>
          <t>Yes</t>
        </is>
      </c>
    </row>
    <row r="402" ht="21.5" customHeight="1" s="125">
      <c r="A402" s="94" t="inlineStr">
        <is>
          <t>RTP-000046</t>
        </is>
      </c>
      <c r="B402" s="94" t="inlineStr">
        <is>
          <t>SSD Upgrade</t>
        </is>
      </c>
      <c r="C402" s="94" t="inlineStr">
        <is>
          <t>SSD Upgrade</t>
        </is>
      </c>
      <c r="D402" s="94" t="n">
        <v>46</v>
      </c>
      <c r="E402" s="94" t="b">
        <v>1</v>
      </c>
      <c r="H402" s="9" t="inlineStr">
        <is>
          <t>MOD-000289</t>
        </is>
      </c>
      <c r="I402" s="7" t="inlineStr">
        <is>
          <t>MFG-002</t>
        </is>
      </c>
      <c r="J402" s="7" t="inlineStr">
        <is>
          <t>DF-026</t>
        </is>
      </c>
      <c r="K402" s="7" t="inlineStr">
        <is>
          <t>DT-001</t>
        </is>
      </c>
      <c r="L402" s="8" t="inlineStr">
        <is>
          <t>Galaxy J4</t>
        </is>
      </c>
      <c r="M402" s="8" t="inlineStr">
        <is>
          <t>SM-J400</t>
        </is>
      </c>
      <c r="N402" s="7" t="n">
        <v>2018</v>
      </c>
      <c r="O402" s="94" t="n">
        <v>289</v>
      </c>
      <c r="P402" s="94" t="inlineStr">
        <is>
          <t>Yes</t>
        </is>
      </c>
    </row>
    <row r="403" ht="21.5" customHeight="1" s="125">
      <c r="A403" s="94" t="inlineStr">
        <is>
          <t>RTP-000047</t>
        </is>
      </c>
      <c r="B403" s="94" t="inlineStr">
        <is>
          <t>RAM Upgrade</t>
        </is>
      </c>
      <c r="C403" s="94" t="inlineStr">
        <is>
          <t>RAM Upgrade</t>
        </is>
      </c>
      <c r="D403" s="94" t="n">
        <v>47</v>
      </c>
      <c r="E403" s="94" t="b">
        <v>1</v>
      </c>
      <c r="H403" s="9" t="inlineStr">
        <is>
          <t>MOD-000290</t>
        </is>
      </c>
      <c r="I403" s="7" t="inlineStr">
        <is>
          <t>MFG-002</t>
        </is>
      </c>
      <c r="J403" s="7" t="inlineStr">
        <is>
          <t>DF-026</t>
        </is>
      </c>
      <c r="K403" s="7" t="inlineStr">
        <is>
          <t>DT-001</t>
        </is>
      </c>
      <c r="L403" s="8" t="inlineStr">
        <is>
          <t>Galaxy J4+</t>
        </is>
      </c>
      <c r="M403" s="8" t="inlineStr">
        <is>
          <t>SM-J415</t>
        </is>
      </c>
      <c r="N403" s="7" t="n">
        <v>2018</v>
      </c>
      <c r="O403" s="94" t="n">
        <v>290</v>
      </c>
      <c r="P403" s="94" t="inlineStr">
        <is>
          <t>Yes</t>
        </is>
      </c>
    </row>
    <row r="404" ht="21.5" customHeight="1" s="125">
      <c r="A404" s="94" t="inlineStr">
        <is>
          <t>RTP-000048</t>
        </is>
      </c>
      <c r="B404" s="94" t="inlineStr">
        <is>
          <t>Screen Protector Installation</t>
        </is>
      </c>
      <c r="C404" s="94" t="inlineStr">
        <is>
          <t>Screen Protector Installation</t>
        </is>
      </c>
      <c r="D404" s="94" t="n">
        <v>48</v>
      </c>
      <c r="E404" s="94" t="b">
        <v>1</v>
      </c>
      <c r="H404" s="9" t="inlineStr">
        <is>
          <t>MOD-000291</t>
        </is>
      </c>
      <c r="I404" s="7" t="inlineStr">
        <is>
          <t>MFG-002</t>
        </is>
      </c>
      <c r="J404" s="7" t="inlineStr">
        <is>
          <t>DF-026</t>
        </is>
      </c>
      <c r="K404" s="7" t="inlineStr">
        <is>
          <t>DT-001</t>
        </is>
      </c>
      <c r="L404" s="8" t="inlineStr">
        <is>
          <t>Galaxy J5</t>
        </is>
      </c>
      <c r="M404" s="8" t="inlineStr">
        <is>
          <t>SM-J500</t>
        </is>
      </c>
      <c r="N404" s="7" t="n">
        <v>2015</v>
      </c>
      <c r="O404" s="94" t="n">
        <v>291</v>
      </c>
      <c r="P404" s="94" t="inlineStr">
        <is>
          <t>Yes</t>
        </is>
      </c>
    </row>
    <row r="405" ht="21.5" customHeight="1" s="125">
      <c r="A405" s="94" t="inlineStr">
        <is>
          <t>RTP-000049</t>
        </is>
      </c>
      <c r="B405" s="94" t="inlineStr">
        <is>
          <t>Accessory Installation</t>
        </is>
      </c>
      <c r="C405" s="94" t="inlineStr">
        <is>
          <t>Accessory Installation</t>
        </is>
      </c>
      <c r="D405" s="94" t="n">
        <v>49</v>
      </c>
      <c r="E405" s="94" t="b">
        <v>1</v>
      </c>
      <c r="H405" s="9" t="inlineStr">
        <is>
          <t>MOD-000292</t>
        </is>
      </c>
      <c r="I405" s="7" t="inlineStr">
        <is>
          <t>MFG-002</t>
        </is>
      </c>
      <c r="J405" s="7" t="inlineStr">
        <is>
          <t>DF-026</t>
        </is>
      </c>
      <c r="K405" s="7" t="inlineStr">
        <is>
          <t>DT-001</t>
        </is>
      </c>
      <c r="L405" s="8" t="inlineStr">
        <is>
          <t>Galaxy J6</t>
        </is>
      </c>
      <c r="M405" s="8" t="inlineStr">
        <is>
          <t>SM-J600</t>
        </is>
      </c>
      <c r="N405" s="7" t="n">
        <v>2018</v>
      </c>
      <c r="O405" s="94" t="n">
        <v>292</v>
      </c>
      <c r="P405" s="94" t="inlineStr">
        <is>
          <t>Yes</t>
        </is>
      </c>
    </row>
    <row r="406" ht="21.5" customHeight="1" s="125">
      <c r="A406" s="94" t="inlineStr">
        <is>
          <t>RTP-000050</t>
        </is>
      </c>
      <c r="B406" s="94" t="inlineStr">
        <is>
          <t>Custom Build</t>
        </is>
      </c>
      <c r="C406" s="94" t="inlineStr">
        <is>
          <t>Custom Build</t>
        </is>
      </c>
      <c r="D406" s="94" t="n">
        <v>50</v>
      </c>
      <c r="E406" s="94" t="b">
        <v>1</v>
      </c>
      <c r="H406" s="9" t="inlineStr">
        <is>
          <t>MOD-000293</t>
        </is>
      </c>
      <c r="I406" s="7" t="inlineStr">
        <is>
          <t>MFG-002</t>
        </is>
      </c>
      <c r="J406" s="7" t="inlineStr">
        <is>
          <t>DF-026</t>
        </is>
      </c>
      <c r="K406" s="7" t="inlineStr">
        <is>
          <t>DT-001</t>
        </is>
      </c>
      <c r="L406" s="8" t="inlineStr">
        <is>
          <t>Galaxy J7</t>
        </is>
      </c>
      <c r="M406" s="8" t="inlineStr">
        <is>
          <t>SM-J700</t>
        </is>
      </c>
      <c r="N406" s="7" t="n">
        <v>2015</v>
      </c>
      <c r="O406" s="94" t="n">
        <v>293</v>
      </c>
      <c r="P406" s="94" t="inlineStr">
        <is>
          <t>Yes</t>
        </is>
      </c>
    </row>
    <row r="407" ht="21.5" customHeight="1" s="125">
      <c r="D407" s="3" t="n"/>
      <c r="E407" s="3" t="n"/>
      <c r="H407" s="9" t="inlineStr">
        <is>
          <t>MOD-000294</t>
        </is>
      </c>
      <c r="I407" s="7" t="inlineStr">
        <is>
          <t>MFG-002</t>
        </is>
      </c>
      <c r="J407" s="7" t="inlineStr">
        <is>
          <t>DF-026</t>
        </is>
      </c>
      <c r="K407" s="7" t="inlineStr">
        <is>
          <t>DT-001</t>
        </is>
      </c>
      <c r="L407" s="8" t="inlineStr">
        <is>
          <t>Galaxy J7 Prime</t>
        </is>
      </c>
      <c r="M407" s="8" t="inlineStr">
        <is>
          <t>SM-G610</t>
        </is>
      </c>
      <c r="N407" s="7" t="n">
        <v>2016</v>
      </c>
      <c r="O407" s="94" t="n">
        <v>294</v>
      </c>
      <c r="P407" s="94" t="inlineStr">
        <is>
          <t>Yes</t>
        </is>
      </c>
    </row>
    <row r="408" ht="21.5" customHeight="1" s="125">
      <c r="A408" s="3" t="inlineStr">
        <is>
          <t>tblRepairCategories</t>
        </is>
      </c>
      <c r="D408" s="3" t="n"/>
      <c r="E408" s="3" t="n"/>
      <c r="H408" s="9" t="inlineStr">
        <is>
          <t>MOD-000295</t>
        </is>
      </c>
      <c r="I408" s="7" t="inlineStr">
        <is>
          <t>MFG-002</t>
        </is>
      </c>
      <c r="J408" s="7" t="inlineStr">
        <is>
          <t>DF-026</t>
        </is>
      </c>
      <c r="K408" s="7" t="inlineStr">
        <is>
          <t>DT-001</t>
        </is>
      </c>
      <c r="L408" s="8" t="inlineStr">
        <is>
          <t>Galaxy J8</t>
        </is>
      </c>
      <c r="M408" s="8" t="inlineStr">
        <is>
          <t>SM-J810</t>
        </is>
      </c>
      <c r="N408" s="7" t="n">
        <v>2018</v>
      </c>
      <c r="O408" s="94" t="n">
        <v>295</v>
      </c>
      <c r="P408" s="94" t="inlineStr">
        <is>
          <t>Yes</t>
        </is>
      </c>
    </row>
    <row r="409" ht="21.5" customHeight="1" s="125">
      <c r="A409" s="6" t="inlineStr">
        <is>
          <t>ID</t>
        </is>
      </c>
      <c r="B409" s="6" t="inlineStr">
        <is>
          <t>Name</t>
        </is>
      </c>
      <c r="C409" s="6" t="inlineStr">
        <is>
          <t>Description</t>
        </is>
      </c>
      <c r="D409" s="6" t="inlineStr">
        <is>
          <t>DisplayOrder</t>
        </is>
      </c>
      <c r="E409" s="6" t="inlineStr">
        <is>
          <t>Active</t>
        </is>
      </c>
      <c r="H409" s="9" t="inlineStr">
        <is>
          <t>MOD-000296</t>
        </is>
      </c>
      <c r="I409" s="7" t="inlineStr">
        <is>
          <t>MFG-002</t>
        </is>
      </c>
      <c r="J409" s="7" t="inlineStr">
        <is>
          <t>DF-027</t>
        </is>
      </c>
      <c r="K409" s="7" t="inlineStr">
        <is>
          <t>DT-001</t>
        </is>
      </c>
      <c r="L409" s="8" t="inlineStr">
        <is>
          <t>Galaxy XCover</t>
        </is>
      </c>
      <c r="M409" s="8" t="inlineStr">
        <is>
          <t>GT-S5690</t>
        </is>
      </c>
      <c r="N409" s="7" t="n">
        <v>2011</v>
      </c>
      <c r="O409" s="94" t="n">
        <v>296</v>
      </c>
      <c r="P409" s="94" t="inlineStr">
        <is>
          <t>Yes</t>
        </is>
      </c>
    </row>
    <row r="410" ht="21.5" customHeight="1" s="125">
      <c r="A410" s="16" t="inlineStr">
        <is>
          <t>RCT-000001</t>
        </is>
      </c>
      <c r="B410" s="94" t="inlineStr">
        <is>
          <t>Hardware</t>
        </is>
      </c>
      <c r="C410" s="94" t="inlineStr">
        <is>
          <t>Hardware</t>
        </is>
      </c>
      <c r="D410" s="3" t="n">
        <v>1</v>
      </c>
      <c r="E410" s="3" t="b">
        <v>1</v>
      </c>
      <c r="H410" s="9" t="inlineStr">
        <is>
          <t>MOD-000297</t>
        </is>
      </c>
      <c r="I410" s="7" t="inlineStr">
        <is>
          <t>MFG-002</t>
        </is>
      </c>
      <c r="J410" s="7" t="inlineStr">
        <is>
          <t>DF-027</t>
        </is>
      </c>
      <c r="K410" s="7" t="inlineStr">
        <is>
          <t>DT-001</t>
        </is>
      </c>
      <c r="L410" s="8" t="inlineStr">
        <is>
          <t>Galaxy XCover 2</t>
        </is>
      </c>
      <c r="M410" s="8" t="inlineStr">
        <is>
          <t>GT-S7710</t>
        </is>
      </c>
      <c r="N410" s="7" t="n">
        <v>2013</v>
      </c>
      <c r="O410" s="94" t="n">
        <v>297</v>
      </c>
      <c r="P410" s="94" t="inlineStr">
        <is>
          <t>Yes</t>
        </is>
      </c>
    </row>
    <row r="411" ht="21.5" customHeight="1" s="125">
      <c r="A411" s="16" t="inlineStr">
        <is>
          <t>RCT-000002</t>
        </is>
      </c>
      <c r="B411" s="94" t="inlineStr">
        <is>
          <t>Software</t>
        </is>
      </c>
      <c r="C411" s="94" t="inlineStr">
        <is>
          <t>Software</t>
        </is>
      </c>
      <c r="D411" s="3" t="n">
        <v>2</v>
      </c>
      <c r="E411" s="3" t="b">
        <v>1</v>
      </c>
      <c r="H411" s="9" t="inlineStr">
        <is>
          <t>MOD-000298</t>
        </is>
      </c>
      <c r="I411" s="7" t="inlineStr">
        <is>
          <t>MFG-002</t>
        </is>
      </c>
      <c r="J411" s="7" t="inlineStr">
        <is>
          <t>DF-027</t>
        </is>
      </c>
      <c r="K411" s="7" t="inlineStr">
        <is>
          <t>DT-001</t>
        </is>
      </c>
      <c r="L411" s="8" t="inlineStr">
        <is>
          <t>Galaxy XCover 3</t>
        </is>
      </c>
      <c r="M411" s="8" t="inlineStr">
        <is>
          <t>SM-G388</t>
        </is>
      </c>
      <c r="N411" s="7" t="n">
        <v>2015</v>
      </c>
      <c r="O411" s="94" t="n">
        <v>298</v>
      </c>
      <c r="P411" s="94" t="inlineStr">
        <is>
          <t>Yes</t>
        </is>
      </c>
    </row>
    <row r="412" ht="21.5" customHeight="1" s="125">
      <c r="A412" s="16" t="inlineStr">
        <is>
          <t>RCT-000003</t>
        </is>
      </c>
      <c r="B412" s="94" t="inlineStr">
        <is>
          <t>Micro-Soldering</t>
        </is>
      </c>
      <c r="C412" s="94" t="inlineStr">
        <is>
          <t>Micro-Soldering</t>
        </is>
      </c>
      <c r="D412" s="3" t="n">
        <v>3</v>
      </c>
      <c r="E412" s="3" t="b">
        <v>1</v>
      </c>
      <c r="H412" s="9" t="inlineStr">
        <is>
          <t>MOD-000299</t>
        </is>
      </c>
      <c r="I412" s="7" t="inlineStr">
        <is>
          <t>MFG-002</t>
        </is>
      </c>
      <c r="J412" s="7" t="inlineStr">
        <is>
          <t>DF-027</t>
        </is>
      </c>
      <c r="K412" s="7" t="inlineStr">
        <is>
          <t>DT-001</t>
        </is>
      </c>
      <c r="L412" s="8" t="inlineStr">
        <is>
          <t>Galaxy XCover 4</t>
        </is>
      </c>
      <c r="M412" s="8" t="inlineStr">
        <is>
          <t>SM-G390</t>
        </is>
      </c>
      <c r="N412" s="7" t="n">
        <v>2017</v>
      </c>
      <c r="O412" s="94" t="n">
        <v>299</v>
      </c>
      <c r="P412" s="94" t="inlineStr">
        <is>
          <t>Yes</t>
        </is>
      </c>
    </row>
    <row r="413" ht="21.5" customHeight="1" s="125">
      <c r="A413" s="16" t="inlineStr">
        <is>
          <t>RCT-000004</t>
        </is>
      </c>
      <c r="B413" s="94" t="inlineStr">
        <is>
          <t>Cosmetic</t>
        </is>
      </c>
      <c r="C413" s="94" t="inlineStr">
        <is>
          <t>Cosmetic</t>
        </is>
      </c>
      <c r="D413" s="3" t="n">
        <v>4</v>
      </c>
      <c r="E413" s="3" t="b">
        <v>1</v>
      </c>
      <c r="H413" s="9" t="inlineStr">
        <is>
          <t>MOD-000300</t>
        </is>
      </c>
      <c r="I413" s="7" t="inlineStr">
        <is>
          <t>MFG-002</t>
        </is>
      </c>
      <c r="J413" s="7" t="inlineStr">
        <is>
          <t>DF-027</t>
        </is>
      </c>
      <c r="K413" s="7" t="inlineStr">
        <is>
          <t>DT-001</t>
        </is>
      </c>
      <c r="L413" s="8" t="inlineStr">
        <is>
          <t>Galaxy XCover 4s</t>
        </is>
      </c>
      <c r="M413" s="8" t="inlineStr">
        <is>
          <t>SM-G398</t>
        </is>
      </c>
      <c r="N413" s="7" t="n">
        <v>2019</v>
      </c>
      <c r="O413" s="94" t="n">
        <v>300</v>
      </c>
      <c r="P413" s="94" t="inlineStr">
        <is>
          <t>Yes</t>
        </is>
      </c>
    </row>
    <row r="414" ht="21.5" customHeight="1" s="125">
      <c r="A414" s="16" t="inlineStr">
        <is>
          <t>RCT-000005</t>
        </is>
      </c>
      <c r="B414" s="94" t="inlineStr">
        <is>
          <t>Diagnostics</t>
        </is>
      </c>
      <c r="C414" s="94" t="inlineStr">
        <is>
          <t>Diagnostics</t>
        </is>
      </c>
      <c r="D414" s="3" t="n">
        <v>5</v>
      </c>
      <c r="E414" s="3" t="b">
        <v>1</v>
      </c>
      <c r="H414" s="9" t="inlineStr">
        <is>
          <t>MOD-000301</t>
        </is>
      </c>
      <c r="I414" s="7" t="inlineStr">
        <is>
          <t>MFG-002</t>
        </is>
      </c>
      <c r="J414" s="7" t="inlineStr">
        <is>
          <t>DF-027</t>
        </is>
      </c>
      <c r="K414" s="7" t="inlineStr">
        <is>
          <t>DT-001</t>
        </is>
      </c>
      <c r="L414" s="8" t="inlineStr">
        <is>
          <t>Galaxy XCover FieldPro</t>
        </is>
      </c>
      <c r="M414" s="8" t="inlineStr">
        <is>
          <t>SM-G889</t>
        </is>
      </c>
      <c r="N414" s="7" t="n">
        <v>2020</v>
      </c>
      <c r="O414" s="94" t="n">
        <v>301</v>
      </c>
      <c r="P414" s="94" t="inlineStr">
        <is>
          <t>Yes</t>
        </is>
      </c>
    </row>
    <row r="415" ht="21.5" customHeight="1" s="125">
      <c r="A415" s="16" t="inlineStr">
        <is>
          <t>RCT-000006</t>
        </is>
      </c>
      <c r="B415" s="94" t="inlineStr">
        <is>
          <t>Preventive Maintenance</t>
        </is>
      </c>
      <c r="C415" s="94" t="inlineStr">
        <is>
          <t>Preventive Maintenance</t>
        </is>
      </c>
      <c r="D415" s="3" t="n">
        <v>6</v>
      </c>
      <c r="E415" s="3" t="b">
        <v>1</v>
      </c>
      <c r="H415" s="9" t="inlineStr">
        <is>
          <t>MOD-000302</t>
        </is>
      </c>
      <c r="I415" s="7" t="inlineStr">
        <is>
          <t>MFG-002</t>
        </is>
      </c>
      <c r="J415" s="7" t="inlineStr">
        <is>
          <t>DF-027</t>
        </is>
      </c>
      <c r="K415" s="7" t="inlineStr">
        <is>
          <t>DT-001</t>
        </is>
      </c>
      <c r="L415" s="8" t="inlineStr">
        <is>
          <t>Galaxy XCover Pro</t>
        </is>
      </c>
      <c r="M415" s="8" t="inlineStr">
        <is>
          <t>SM-G715</t>
        </is>
      </c>
      <c r="N415" s="7" t="n">
        <v>2020</v>
      </c>
      <c r="O415" s="94" t="n">
        <v>302</v>
      </c>
      <c r="P415" s="94" t="inlineStr">
        <is>
          <t>Yes</t>
        </is>
      </c>
    </row>
    <row r="416" ht="21.5" customHeight="1" s="125">
      <c r="A416" s="16" t="inlineStr">
        <is>
          <t>RCT-000007</t>
        </is>
      </c>
      <c r="B416" s="94" t="inlineStr">
        <is>
          <t>Upgrade</t>
        </is>
      </c>
      <c r="C416" s="94" t="inlineStr">
        <is>
          <t>Upgrade</t>
        </is>
      </c>
      <c r="D416" s="3" t="n">
        <v>7</v>
      </c>
      <c r="E416" s="3" t="b">
        <v>1</v>
      </c>
      <c r="H416" s="9" t="inlineStr">
        <is>
          <t>MOD-000303</t>
        </is>
      </c>
      <c r="I416" s="7" t="inlineStr">
        <is>
          <t>MFG-002</t>
        </is>
      </c>
      <c r="J416" s="7" t="inlineStr">
        <is>
          <t>DF-027</t>
        </is>
      </c>
      <c r="K416" s="7" t="inlineStr">
        <is>
          <t>DT-001</t>
        </is>
      </c>
      <c r="L416" s="8" t="inlineStr">
        <is>
          <t>Galaxy XCover5</t>
        </is>
      </c>
      <c r="M416" s="8" t="inlineStr">
        <is>
          <t>SM-G525</t>
        </is>
      </c>
      <c r="N416" s="7" t="n">
        <v>2021</v>
      </c>
      <c r="O416" s="94" t="n">
        <v>303</v>
      </c>
      <c r="P416" s="94" t="inlineStr">
        <is>
          <t>Yes</t>
        </is>
      </c>
    </row>
    <row r="417" ht="21.5" customHeight="1" s="125">
      <c r="A417" s="16" t="inlineStr">
        <is>
          <t>RCT-000008</t>
        </is>
      </c>
      <c r="B417" s="94" t="inlineStr">
        <is>
          <t>Accessory Installation</t>
        </is>
      </c>
      <c r="C417" s="94" t="inlineStr">
        <is>
          <t>Accessory Installation</t>
        </is>
      </c>
      <c r="D417" s="3" t="n">
        <v>8</v>
      </c>
      <c r="E417" s="3" t="b">
        <v>1</v>
      </c>
      <c r="H417" s="9" t="inlineStr">
        <is>
          <t>MOD-000304</t>
        </is>
      </c>
      <c r="I417" s="7" t="inlineStr">
        <is>
          <t>MFG-002</t>
        </is>
      </c>
      <c r="J417" s="7" t="inlineStr">
        <is>
          <t>DF-027</t>
        </is>
      </c>
      <c r="K417" s="7" t="inlineStr">
        <is>
          <t>DT-001</t>
        </is>
      </c>
      <c r="L417" s="8" t="inlineStr">
        <is>
          <t>Galaxy XCover6 Pro</t>
        </is>
      </c>
      <c r="M417" s="8" t="inlineStr">
        <is>
          <t>SM-G736</t>
        </is>
      </c>
      <c r="N417" s="7" t="n">
        <v>2022</v>
      </c>
      <c r="O417" s="94" t="n">
        <v>304</v>
      </c>
      <c r="P417" s="94" t="inlineStr">
        <is>
          <t>Yes</t>
        </is>
      </c>
    </row>
    <row r="418" ht="21.5" customHeight="1" s="125">
      <c r="A418" s="16" t="inlineStr">
        <is>
          <t>RCT-000009</t>
        </is>
      </c>
      <c r="B418" s="94" t="inlineStr">
        <is>
          <t>Recovery</t>
        </is>
      </c>
      <c r="C418" s="94" t="inlineStr">
        <is>
          <t>Recovery</t>
        </is>
      </c>
      <c r="D418" s="3" t="n">
        <v>9</v>
      </c>
      <c r="E418" s="3" t="b">
        <v>1</v>
      </c>
      <c r="H418" s="9" t="inlineStr">
        <is>
          <t>MOD-000305</t>
        </is>
      </c>
      <c r="I418" s="7" t="inlineStr">
        <is>
          <t>MFG-002</t>
        </is>
      </c>
      <c r="J418" s="7" t="inlineStr">
        <is>
          <t>DF-027</t>
        </is>
      </c>
      <c r="K418" s="7" t="inlineStr">
        <is>
          <t>DT-001</t>
        </is>
      </c>
      <c r="L418" s="8" t="inlineStr">
        <is>
          <t>Galaxy XCover7</t>
        </is>
      </c>
      <c r="M418" s="8" t="inlineStr">
        <is>
          <t>SM-G556</t>
        </is>
      </c>
      <c r="N418" s="7" t="n">
        <v>2024</v>
      </c>
      <c r="O418" s="94" t="n">
        <v>305</v>
      </c>
      <c r="P418" s="94" t="inlineStr">
        <is>
          <t>Yes</t>
        </is>
      </c>
    </row>
    <row r="419" ht="21.5" customHeight="1" s="125">
      <c r="A419" s="16" t="inlineStr">
        <is>
          <t>RCT-000010</t>
        </is>
      </c>
      <c r="B419" s="94" t="inlineStr">
        <is>
          <t>Cleaning</t>
        </is>
      </c>
      <c r="C419" s="94" t="inlineStr">
        <is>
          <t>Cleaning</t>
        </is>
      </c>
      <c r="D419" s="3" t="n">
        <v>10</v>
      </c>
      <c r="E419" s="3" t="b">
        <v>1</v>
      </c>
      <c r="H419" s="9" t="inlineStr">
        <is>
          <t>MOD-000306</t>
        </is>
      </c>
      <c r="I419" s="7" t="inlineStr">
        <is>
          <t>MFG-002</t>
        </is>
      </c>
      <c r="J419" s="7" t="inlineStr">
        <is>
          <t>DF-028</t>
        </is>
      </c>
      <c r="K419" s="7" t="inlineStr">
        <is>
          <t>DT-002</t>
        </is>
      </c>
      <c r="L419" s="8" t="inlineStr">
        <is>
          <t>Galaxy Tab</t>
        </is>
      </c>
      <c r="M419" s="8" t="inlineStr">
        <is>
          <t>GT-P1000</t>
        </is>
      </c>
      <c r="N419" s="7" t="n">
        <v>2010</v>
      </c>
      <c r="O419" s="94" t="n">
        <v>306</v>
      </c>
      <c r="P419" s="94" t="inlineStr">
        <is>
          <t>Yes</t>
        </is>
      </c>
    </row>
    <row r="420" ht="21.5" customHeight="1" s="125">
      <c r="A420" s="16" t="inlineStr">
        <is>
          <t>RCT-000011</t>
        </is>
      </c>
      <c r="B420" s="94" t="inlineStr">
        <is>
          <t>Calibration</t>
        </is>
      </c>
      <c r="C420" s="94" t="inlineStr">
        <is>
          <t>Calibration</t>
        </is>
      </c>
      <c r="D420" s="3" t="n">
        <v>11</v>
      </c>
      <c r="E420" s="3" t="b">
        <v>1</v>
      </c>
      <c r="H420" s="9" t="inlineStr">
        <is>
          <t>MOD-000307</t>
        </is>
      </c>
      <c r="I420" s="7" t="inlineStr">
        <is>
          <t>MFG-002</t>
        </is>
      </c>
      <c r="J420" s="7" t="inlineStr">
        <is>
          <t>DF-028</t>
        </is>
      </c>
      <c r="K420" s="7" t="inlineStr">
        <is>
          <t>DT-002</t>
        </is>
      </c>
      <c r="L420" s="8" t="inlineStr">
        <is>
          <t>Galaxy Tab 2 7.0</t>
        </is>
      </c>
      <c r="M420" s="8" t="inlineStr">
        <is>
          <t>GT-P3113</t>
        </is>
      </c>
      <c r="N420" s="7" t="n">
        <v>2012</v>
      </c>
      <c r="O420" s="94" t="n">
        <v>307</v>
      </c>
      <c r="P420" s="94" t="inlineStr">
        <is>
          <t>Yes</t>
        </is>
      </c>
    </row>
    <row r="421" ht="21.5" customHeight="1" s="125">
      <c r="A421" s="16" t="inlineStr">
        <is>
          <t>RCT-000012</t>
        </is>
      </c>
      <c r="B421" s="94" t="inlineStr">
        <is>
          <t>Warranty</t>
        </is>
      </c>
      <c r="C421" s="94" t="inlineStr">
        <is>
          <t>Warranty</t>
        </is>
      </c>
      <c r="D421" s="3" t="n">
        <v>12</v>
      </c>
      <c r="E421" s="3" t="b">
        <v>1</v>
      </c>
      <c r="H421" s="9" t="inlineStr">
        <is>
          <t>MOD-000308</t>
        </is>
      </c>
      <c r="I421" s="7" t="inlineStr">
        <is>
          <t>MFG-002</t>
        </is>
      </c>
      <c r="J421" s="7" t="inlineStr">
        <is>
          <t>DF-028</t>
        </is>
      </c>
      <c r="K421" s="7" t="inlineStr">
        <is>
          <t>DT-002</t>
        </is>
      </c>
      <c r="L421" s="8" t="inlineStr">
        <is>
          <t>Galaxy Tab 2 10.1</t>
        </is>
      </c>
      <c r="M421" s="8" t="inlineStr">
        <is>
          <t>GT-P5113</t>
        </is>
      </c>
      <c r="N421" s="7" t="n">
        <v>2012</v>
      </c>
      <c r="O421" s="94" t="n">
        <v>308</v>
      </c>
      <c r="P421" s="94" t="inlineStr">
        <is>
          <t>Yes</t>
        </is>
      </c>
    </row>
    <row r="422" ht="21.5" customHeight="1" s="125">
      <c r="A422" s="16" t="n"/>
      <c r="B422" s="94" t="n"/>
      <c r="C422" s="94" t="n"/>
      <c r="D422" s="3" t="n"/>
      <c r="E422" s="3" t="n"/>
      <c r="H422" s="9" t="inlineStr">
        <is>
          <t>MOD-000309</t>
        </is>
      </c>
      <c r="I422" s="7" t="inlineStr">
        <is>
          <t>MFG-002</t>
        </is>
      </c>
      <c r="J422" s="7" t="inlineStr">
        <is>
          <t>DF-028</t>
        </is>
      </c>
      <c r="K422" s="7" t="inlineStr">
        <is>
          <t>DT-002</t>
        </is>
      </c>
      <c r="L422" s="8" t="inlineStr">
        <is>
          <t>Galaxy Tab 3 7.0</t>
        </is>
      </c>
      <c r="M422" s="8" t="inlineStr">
        <is>
          <t>SM-T210</t>
        </is>
      </c>
      <c r="N422" s="7" t="n">
        <v>2013</v>
      </c>
      <c r="O422" s="94" t="n">
        <v>309</v>
      </c>
      <c r="P422" s="94" t="inlineStr">
        <is>
          <t>Yes</t>
        </is>
      </c>
    </row>
    <row r="423" ht="21.5" customHeight="1" s="125">
      <c r="A423" s="3" t="inlineStr">
        <is>
          <t>tblRepairPriorities</t>
        </is>
      </c>
      <c r="D423" s="3" t="n"/>
      <c r="E423" s="3" t="n"/>
      <c r="H423" s="9" t="inlineStr">
        <is>
          <t>MOD-000310</t>
        </is>
      </c>
      <c r="I423" s="7" t="inlineStr">
        <is>
          <t>MFG-002</t>
        </is>
      </c>
      <c r="J423" s="7" t="inlineStr">
        <is>
          <t>DF-028</t>
        </is>
      </c>
      <c r="K423" s="7" t="inlineStr">
        <is>
          <t>DT-002</t>
        </is>
      </c>
      <c r="L423" s="8" t="inlineStr">
        <is>
          <t>Galaxy Tab 3 8.0</t>
        </is>
      </c>
      <c r="M423" s="8" t="inlineStr">
        <is>
          <t>SM-T310</t>
        </is>
      </c>
      <c r="N423" s="7" t="n">
        <v>2013</v>
      </c>
      <c r="O423" s="94" t="n">
        <v>310</v>
      </c>
      <c r="P423" s="94" t="inlineStr">
        <is>
          <t>Yes</t>
        </is>
      </c>
    </row>
    <row r="424" ht="21.5" customHeight="1" s="125">
      <c r="A424" s="6" t="inlineStr">
        <is>
          <t>ID</t>
        </is>
      </c>
      <c r="B424" s="6" t="inlineStr">
        <is>
          <t>Name</t>
        </is>
      </c>
      <c r="C424" s="6" t="inlineStr">
        <is>
          <t>Description</t>
        </is>
      </c>
      <c r="D424" s="6" t="inlineStr">
        <is>
          <t>DisplayOrder</t>
        </is>
      </c>
      <c r="E424" s="6" t="inlineStr">
        <is>
          <t>Active</t>
        </is>
      </c>
      <c r="H424" s="9" t="inlineStr">
        <is>
          <t>MOD-000311</t>
        </is>
      </c>
      <c r="I424" s="7" t="inlineStr">
        <is>
          <t>MFG-002</t>
        </is>
      </c>
      <c r="J424" s="7" t="inlineStr">
        <is>
          <t>DF-028</t>
        </is>
      </c>
      <c r="K424" s="7" t="inlineStr">
        <is>
          <t>DT-002</t>
        </is>
      </c>
      <c r="L424" s="8" t="inlineStr">
        <is>
          <t>Galaxy Tab 3 10.1</t>
        </is>
      </c>
      <c r="M424" s="8" t="inlineStr">
        <is>
          <t>SM-T510</t>
        </is>
      </c>
      <c r="N424" s="7" t="n">
        <v>2013</v>
      </c>
      <c r="O424" s="94" t="n">
        <v>311</v>
      </c>
      <c r="P424" s="94" t="inlineStr">
        <is>
          <t>Yes</t>
        </is>
      </c>
    </row>
    <row r="425" ht="21.5" customHeight="1" s="125">
      <c r="A425" s="94" t="inlineStr">
        <is>
          <t>RPY-000001</t>
        </is>
      </c>
      <c r="B425" s="94" t="inlineStr">
        <is>
          <t>Low</t>
        </is>
      </c>
      <c r="C425" s="94" t="inlineStr">
        <is>
          <t>Low</t>
        </is>
      </c>
      <c r="D425" s="94" t="n">
        <v>1</v>
      </c>
      <c r="E425" s="94" t="b">
        <v>1</v>
      </c>
      <c r="H425" s="9" t="inlineStr">
        <is>
          <t>MOD-000312</t>
        </is>
      </c>
      <c r="I425" s="7" t="inlineStr">
        <is>
          <t>MFG-002</t>
        </is>
      </c>
      <c r="J425" s="7" t="inlineStr">
        <is>
          <t>DF-028</t>
        </is>
      </c>
      <c r="K425" s="7" t="inlineStr">
        <is>
          <t>DT-002</t>
        </is>
      </c>
      <c r="L425" s="8" t="inlineStr">
        <is>
          <t>Galaxy Tab 4 7.0</t>
        </is>
      </c>
      <c r="M425" s="8" t="inlineStr">
        <is>
          <t>SM-T230</t>
        </is>
      </c>
      <c r="N425" s="7" t="n">
        <v>2014</v>
      </c>
      <c r="O425" s="94" t="n">
        <v>312</v>
      </c>
      <c r="P425" s="94" t="inlineStr">
        <is>
          <t>Yes</t>
        </is>
      </c>
    </row>
    <row r="426" ht="21.5" customHeight="1" s="125">
      <c r="A426" s="94" t="inlineStr">
        <is>
          <t>RPY-000002</t>
        </is>
      </c>
      <c r="B426" s="94" t="inlineStr">
        <is>
          <t>Normal</t>
        </is>
      </c>
      <c r="C426" s="94" t="inlineStr">
        <is>
          <t>Normal</t>
        </is>
      </c>
      <c r="D426" s="94" t="n">
        <v>2</v>
      </c>
      <c r="E426" s="94" t="b">
        <v>1</v>
      </c>
      <c r="H426" s="9" t="inlineStr">
        <is>
          <t>MOD-000313</t>
        </is>
      </c>
      <c r="I426" s="7" t="inlineStr">
        <is>
          <t>MFG-002</t>
        </is>
      </c>
      <c r="J426" s="7" t="inlineStr">
        <is>
          <t>DF-028</t>
        </is>
      </c>
      <c r="K426" s="7" t="inlineStr">
        <is>
          <t>DT-002</t>
        </is>
      </c>
      <c r="L426" s="8" t="inlineStr">
        <is>
          <t>Galaxy Tab 4 8.0</t>
        </is>
      </c>
      <c r="M426" s="8" t="inlineStr">
        <is>
          <t>SM-T330</t>
        </is>
      </c>
      <c r="N426" s="7" t="n">
        <v>2014</v>
      </c>
      <c r="O426" s="94" t="n">
        <v>313</v>
      </c>
      <c r="P426" s="94" t="inlineStr">
        <is>
          <t>Yes</t>
        </is>
      </c>
    </row>
    <row r="427" ht="21.5" customHeight="1" s="125">
      <c r="A427" s="94" t="inlineStr">
        <is>
          <t>RPY-000003</t>
        </is>
      </c>
      <c r="B427" s="94" t="inlineStr">
        <is>
          <t>High</t>
        </is>
      </c>
      <c r="C427" s="94" t="inlineStr">
        <is>
          <t>High</t>
        </is>
      </c>
      <c r="D427" s="94" t="n">
        <v>3</v>
      </c>
      <c r="E427" s="94" t="b">
        <v>1</v>
      </c>
      <c r="H427" s="9" t="inlineStr">
        <is>
          <t>MOD-000314</t>
        </is>
      </c>
      <c r="I427" s="7" t="inlineStr">
        <is>
          <t>MFG-002</t>
        </is>
      </c>
      <c r="J427" s="7" t="inlineStr">
        <is>
          <t>DF-028</t>
        </is>
      </c>
      <c r="K427" s="7" t="inlineStr">
        <is>
          <t>DT-002</t>
        </is>
      </c>
      <c r="L427" s="8" t="inlineStr">
        <is>
          <t>Galaxy Tab 4 10.1</t>
        </is>
      </c>
      <c r="M427" s="8" t="inlineStr">
        <is>
          <t>SM-T530</t>
        </is>
      </c>
      <c r="N427" s="7" t="n">
        <v>2014</v>
      </c>
      <c r="O427" s="94" t="n">
        <v>314</v>
      </c>
      <c r="P427" s="94" t="inlineStr">
        <is>
          <t>Yes</t>
        </is>
      </c>
    </row>
    <row r="428" ht="21.5" customHeight="1" s="125">
      <c r="A428" s="94" t="inlineStr">
        <is>
          <t>RPY-000004</t>
        </is>
      </c>
      <c r="B428" s="94" t="inlineStr">
        <is>
          <t>Urgent</t>
        </is>
      </c>
      <c r="C428" s="94" t="inlineStr">
        <is>
          <t>Urgent</t>
        </is>
      </c>
      <c r="D428" s="94" t="n">
        <v>4</v>
      </c>
      <c r="E428" s="94" t="b">
        <v>1</v>
      </c>
      <c r="H428" s="9" t="inlineStr">
        <is>
          <t>MOD-000315</t>
        </is>
      </c>
      <c r="I428" s="7" t="inlineStr">
        <is>
          <t>MFG-002</t>
        </is>
      </c>
      <c r="J428" s="7" t="inlineStr">
        <is>
          <t>DF-028</t>
        </is>
      </c>
      <c r="K428" s="7" t="inlineStr">
        <is>
          <t>DT-002</t>
        </is>
      </c>
      <c r="L428" s="8" t="inlineStr">
        <is>
          <t>Galaxy Tab A 8.0</t>
        </is>
      </c>
      <c r="M428" s="8" t="inlineStr">
        <is>
          <t>SM-T350</t>
        </is>
      </c>
      <c r="N428" s="7" t="n">
        <v>2015</v>
      </c>
      <c r="O428" s="94" t="n">
        <v>315</v>
      </c>
      <c r="P428" s="94" t="inlineStr">
        <is>
          <t>Yes</t>
        </is>
      </c>
    </row>
    <row r="429" ht="21.5" customHeight="1" s="125">
      <c r="A429" s="94" t="inlineStr">
        <is>
          <t>RPY-000005</t>
        </is>
      </c>
      <c r="B429" s="94" t="inlineStr">
        <is>
          <t>Emergency</t>
        </is>
      </c>
      <c r="C429" s="94" t="inlineStr">
        <is>
          <t>Emergency</t>
        </is>
      </c>
      <c r="D429" s="94" t="n">
        <v>5</v>
      </c>
      <c r="E429" s="94" t="b">
        <v>1</v>
      </c>
      <c r="H429" s="9" t="inlineStr">
        <is>
          <t>MOD-000316</t>
        </is>
      </c>
      <c r="I429" s="7" t="inlineStr">
        <is>
          <t>MFG-002</t>
        </is>
      </c>
      <c r="J429" s="7" t="inlineStr">
        <is>
          <t>DF-028</t>
        </is>
      </c>
      <c r="K429" s="7" t="inlineStr">
        <is>
          <t>DT-002</t>
        </is>
      </c>
      <c r="L429" s="8" t="inlineStr">
        <is>
          <t>Galaxy Tab A 10.1</t>
        </is>
      </c>
      <c r="M429" s="8" t="inlineStr">
        <is>
          <t>SM-T580</t>
        </is>
      </c>
      <c r="N429" s="7" t="n">
        <v>2016</v>
      </c>
      <c r="O429" s="94" t="n">
        <v>316</v>
      </c>
      <c r="P429" s="94" t="inlineStr">
        <is>
          <t>Yes</t>
        </is>
      </c>
    </row>
    <row r="430" ht="21.5" customHeight="1" s="125">
      <c r="D430" s="3" t="n"/>
      <c r="E430" s="3" t="n"/>
      <c r="H430" s="9" t="inlineStr">
        <is>
          <t>MOD-000317</t>
        </is>
      </c>
      <c r="I430" s="7" t="inlineStr">
        <is>
          <t>MFG-002</t>
        </is>
      </c>
      <c r="J430" s="7" t="inlineStr">
        <is>
          <t>DF-028</t>
        </is>
      </c>
      <c r="K430" s="7" t="inlineStr">
        <is>
          <t>DT-002</t>
        </is>
      </c>
      <c r="L430" s="8" t="inlineStr">
        <is>
          <t>Galaxy Tab A 8.0 (2019)</t>
        </is>
      </c>
      <c r="M430" s="8" t="inlineStr">
        <is>
          <t>SM-T290</t>
        </is>
      </c>
      <c r="N430" s="7" t="n">
        <v>2019</v>
      </c>
      <c r="O430" s="94" t="n">
        <v>317</v>
      </c>
      <c r="P430" s="94" t="inlineStr">
        <is>
          <t>Yes</t>
        </is>
      </c>
    </row>
    <row r="431" ht="21.5" customHeight="1" s="125">
      <c r="A431" s="3" t="inlineStr">
        <is>
          <t>tblRepairStatus</t>
        </is>
      </c>
      <c r="D431" s="3" t="n"/>
      <c r="E431" s="3" t="n"/>
      <c r="H431" s="9" t="inlineStr">
        <is>
          <t>MOD-000318</t>
        </is>
      </c>
      <c r="I431" s="7" t="inlineStr">
        <is>
          <t>MFG-002</t>
        </is>
      </c>
      <c r="J431" s="7" t="inlineStr">
        <is>
          <t>DF-028</t>
        </is>
      </c>
      <c r="K431" s="7" t="inlineStr">
        <is>
          <t>DT-002</t>
        </is>
      </c>
      <c r="L431" s="8" t="inlineStr">
        <is>
          <t>Galaxy Tab A7</t>
        </is>
      </c>
      <c r="M431" s="8" t="inlineStr">
        <is>
          <t>SM-T500</t>
        </is>
      </c>
      <c r="N431" s="7" t="n">
        <v>2020</v>
      </c>
      <c r="O431" s="94" t="n">
        <v>318</v>
      </c>
      <c r="P431" s="94" t="inlineStr">
        <is>
          <t>Yes</t>
        </is>
      </c>
    </row>
    <row r="432" ht="21.5" customHeight="1" s="125">
      <c r="A432" s="6" t="inlineStr">
        <is>
          <t>ID</t>
        </is>
      </c>
      <c r="B432" s="6" t="inlineStr">
        <is>
          <t>Name</t>
        </is>
      </c>
      <c r="C432" s="6" t="inlineStr">
        <is>
          <t>Description</t>
        </is>
      </c>
      <c r="D432" s="6" t="inlineStr">
        <is>
          <t>DisplayOrder</t>
        </is>
      </c>
      <c r="E432" s="6" t="inlineStr">
        <is>
          <t>Active</t>
        </is>
      </c>
      <c r="H432" s="9" t="inlineStr">
        <is>
          <t>MOD-000319</t>
        </is>
      </c>
      <c r="I432" s="7" t="inlineStr">
        <is>
          <t>MFG-002</t>
        </is>
      </c>
      <c r="J432" s="7" t="inlineStr">
        <is>
          <t>DF-028</t>
        </is>
      </c>
      <c r="K432" s="7" t="inlineStr">
        <is>
          <t>DT-002</t>
        </is>
      </c>
      <c r="L432" s="8" t="inlineStr">
        <is>
          <t>Galaxy Tab A8</t>
        </is>
      </c>
      <c r="M432" s="8" t="inlineStr">
        <is>
          <t>SM-X200</t>
        </is>
      </c>
      <c r="N432" s="7" t="n">
        <v>2021</v>
      </c>
      <c r="O432" s="94" t="n">
        <v>319</v>
      </c>
      <c r="P432" s="94" t="inlineStr">
        <is>
          <t>Yes</t>
        </is>
      </c>
    </row>
    <row r="433" ht="21.5" customHeight="1" s="125">
      <c r="A433" s="32" t="inlineStr">
        <is>
          <t>RST-000001</t>
        </is>
      </c>
      <c r="B433" s="31" t="inlineStr">
        <is>
          <t>Received</t>
        </is>
      </c>
      <c r="C433" s="31" t="inlineStr">
        <is>
          <t>Received</t>
        </is>
      </c>
      <c r="D433" s="30" t="n">
        <v>1</v>
      </c>
      <c r="E433" s="29" t="b">
        <v>1</v>
      </c>
      <c r="H433" s="9" t="inlineStr">
        <is>
          <t>MOD-000320</t>
        </is>
      </c>
      <c r="I433" s="7" t="inlineStr">
        <is>
          <t>MFG-002</t>
        </is>
      </c>
      <c r="J433" s="7" t="inlineStr">
        <is>
          <t>DF-028</t>
        </is>
      </c>
      <c r="K433" s="7" t="inlineStr">
        <is>
          <t>DT-002</t>
        </is>
      </c>
      <c r="L433" s="8" t="inlineStr">
        <is>
          <t>Galaxy Tab S6 Lite</t>
        </is>
      </c>
      <c r="M433" s="8" t="inlineStr">
        <is>
          <t>SM-P610</t>
        </is>
      </c>
      <c r="N433" s="7" t="n">
        <v>2020</v>
      </c>
      <c r="O433" s="94" t="n">
        <v>320</v>
      </c>
      <c r="P433" s="94" t="inlineStr">
        <is>
          <t>Yes</t>
        </is>
      </c>
    </row>
    <row r="434" ht="21.5" customHeight="1" s="125">
      <c r="A434" s="24" t="inlineStr">
        <is>
          <t>RST-000002</t>
        </is>
      </c>
      <c r="B434" s="23" t="inlineStr">
        <is>
          <t>Checked In</t>
        </is>
      </c>
      <c r="C434" s="23" t="inlineStr">
        <is>
          <t>Checked In</t>
        </is>
      </c>
      <c r="D434" s="22" t="n">
        <v>2</v>
      </c>
      <c r="E434" s="21" t="b">
        <v>1</v>
      </c>
      <c r="H434" s="9" t="inlineStr">
        <is>
          <t>MOD-000321</t>
        </is>
      </c>
      <c r="I434" s="7" t="inlineStr">
        <is>
          <t>MFG-002</t>
        </is>
      </c>
      <c r="J434" s="7" t="inlineStr">
        <is>
          <t>DF-028</t>
        </is>
      </c>
      <c r="K434" s="7" t="inlineStr">
        <is>
          <t>DT-002</t>
        </is>
      </c>
      <c r="L434" s="8" t="inlineStr">
        <is>
          <t>Galaxy Tab S7</t>
        </is>
      </c>
      <c r="M434" s="8" t="inlineStr">
        <is>
          <t>SM-T870</t>
        </is>
      </c>
      <c r="N434" s="7" t="n">
        <v>2020</v>
      </c>
      <c r="O434" s="94" t="n">
        <v>321</v>
      </c>
      <c r="P434" s="94" t="inlineStr">
        <is>
          <t>Yes</t>
        </is>
      </c>
    </row>
    <row r="435" ht="21.5" customHeight="1" s="125">
      <c r="A435" s="28" t="inlineStr">
        <is>
          <t>RST-000003</t>
        </is>
      </c>
      <c r="B435" s="27" t="inlineStr">
        <is>
          <t>Awaiting Diagnosis</t>
        </is>
      </c>
      <c r="C435" s="27" t="inlineStr">
        <is>
          <t>Awaiting Diagnosis</t>
        </is>
      </c>
      <c r="D435" s="26" t="n">
        <v>3</v>
      </c>
      <c r="E435" s="25" t="b">
        <v>1</v>
      </c>
      <c r="H435" s="9" t="inlineStr">
        <is>
          <t>MOD-000322</t>
        </is>
      </c>
      <c r="I435" s="7" t="inlineStr">
        <is>
          <t>MFG-002</t>
        </is>
      </c>
      <c r="J435" s="7" t="inlineStr">
        <is>
          <t>DF-028</t>
        </is>
      </c>
      <c r="K435" s="7" t="inlineStr">
        <is>
          <t>DT-002</t>
        </is>
      </c>
      <c r="L435" s="8" t="inlineStr">
        <is>
          <t>Galaxy Tab S8</t>
        </is>
      </c>
      <c r="M435" s="8" t="inlineStr">
        <is>
          <t>SM-X700</t>
        </is>
      </c>
      <c r="N435" s="7" t="n">
        <v>2022</v>
      </c>
      <c r="O435" s="94" t="n">
        <v>322</v>
      </c>
      <c r="P435" s="94" t="inlineStr">
        <is>
          <t>Yes</t>
        </is>
      </c>
    </row>
    <row r="436" ht="21.5" customHeight="1" s="125">
      <c r="A436" s="24" t="inlineStr">
        <is>
          <t>RST-000004</t>
        </is>
      </c>
      <c r="B436" s="23" t="inlineStr">
        <is>
          <t>Diagnosing</t>
        </is>
      </c>
      <c r="C436" s="23" t="inlineStr">
        <is>
          <t>Diagnosing</t>
        </is>
      </c>
      <c r="D436" s="22" t="n">
        <v>4</v>
      </c>
      <c r="E436" s="21" t="b">
        <v>1</v>
      </c>
      <c r="H436" s="9" t="inlineStr">
        <is>
          <t>MOD-000323</t>
        </is>
      </c>
      <c r="I436" s="7" t="inlineStr">
        <is>
          <t>MFG-002</t>
        </is>
      </c>
      <c r="J436" s="7" t="inlineStr">
        <is>
          <t>DF-028</t>
        </is>
      </c>
      <c r="K436" s="7" t="inlineStr">
        <is>
          <t>DT-002</t>
        </is>
      </c>
      <c r="L436" s="8" t="inlineStr">
        <is>
          <t>Galaxy Tab S9</t>
        </is>
      </c>
      <c r="M436" s="8" t="inlineStr">
        <is>
          <t>SM-X710</t>
        </is>
      </c>
      <c r="N436" s="7" t="n">
        <v>2023</v>
      </c>
      <c r="O436" s="94" t="n">
        <v>323</v>
      </c>
      <c r="P436" s="94" t="inlineStr">
        <is>
          <t>Yes</t>
        </is>
      </c>
    </row>
    <row r="437" ht="21.5" customHeight="1" s="125">
      <c r="A437" s="28" t="inlineStr">
        <is>
          <t>RST-000005</t>
        </is>
      </c>
      <c r="B437" s="27" t="inlineStr">
        <is>
          <t>Waiting for Customer Approval</t>
        </is>
      </c>
      <c r="C437" s="27" t="inlineStr">
        <is>
          <t>Waiting for Customer Approval</t>
        </is>
      </c>
      <c r="D437" s="26" t="n">
        <v>5</v>
      </c>
      <c r="E437" s="25" t="b">
        <v>1</v>
      </c>
      <c r="H437" s="9" t="inlineStr">
        <is>
          <t>MOD-000324</t>
        </is>
      </c>
      <c r="I437" s="7" t="inlineStr">
        <is>
          <t>MFG-002</t>
        </is>
      </c>
      <c r="J437" s="7" t="inlineStr">
        <is>
          <t>DF-028</t>
        </is>
      </c>
      <c r="K437" s="7" t="inlineStr">
        <is>
          <t>DT-002</t>
        </is>
      </c>
      <c r="L437" s="8" t="inlineStr">
        <is>
          <t>Galaxy Tab S10+</t>
        </is>
      </c>
      <c r="M437" s="8" t="inlineStr">
        <is>
          <t>SM-X820</t>
        </is>
      </c>
      <c r="N437" s="7" t="n">
        <v>2024</v>
      </c>
      <c r="O437" s="94" t="n">
        <v>324</v>
      </c>
      <c r="P437" s="94" t="inlineStr">
        <is>
          <t>Yes</t>
        </is>
      </c>
    </row>
    <row r="438" ht="21.5" customHeight="1" s="125">
      <c r="A438" s="24" t="inlineStr">
        <is>
          <t>RST-000006</t>
        </is>
      </c>
      <c r="B438" s="23" t="inlineStr">
        <is>
          <t>Approved</t>
        </is>
      </c>
      <c r="C438" s="23" t="inlineStr">
        <is>
          <t>Approved</t>
        </is>
      </c>
      <c r="D438" s="22" t="n">
        <v>6</v>
      </c>
      <c r="E438" s="21" t="b">
        <v>1</v>
      </c>
      <c r="H438" s="9" t="inlineStr">
        <is>
          <t>MOD-000325</t>
        </is>
      </c>
      <c r="I438" s="7" t="inlineStr">
        <is>
          <t>MFG-002</t>
        </is>
      </c>
      <c r="J438" s="7" t="inlineStr">
        <is>
          <t>DF-028</t>
        </is>
      </c>
      <c r="K438" s="7" t="inlineStr">
        <is>
          <t>DT-002</t>
        </is>
      </c>
      <c r="L438" s="8" t="inlineStr">
        <is>
          <t>Galaxy Tab Active5</t>
        </is>
      </c>
      <c r="M438" s="8" t="inlineStr">
        <is>
          <t>SM-X300</t>
        </is>
      </c>
      <c r="N438" s="7" t="n">
        <v>2024</v>
      </c>
      <c r="O438" s="94" t="n">
        <v>325</v>
      </c>
      <c r="P438" s="94" t="inlineStr">
        <is>
          <t>Yes</t>
        </is>
      </c>
    </row>
    <row r="439" ht="21.5" customHeight="1" s="125">
      <c r="A439" s="28" t="inlineStr">
        <is>
          <t>RST-000007</t>
        </is>
      </c>
      <c r="B439" s="27" t="inlineStr">
        <is>
          <t>Waiting on Parts</t>
        </is>
      </c>
      <c r="C439" s="27" t="inlineStr">
        <is>
          <t>Waiting on Parts</t>
        </is>
      </c>
      <c r="D439" s="26" t="n">
        <v>7</v>
      </c>
      <c r="E439" s="25" t="b">
        <v>1</v>
      </c>
      <c r="H439" s="9" t="inlineStr">
        <is>
          <t>MOD-000326</t>
        </is>
      </c>
      <c r="I439" s="7" t="inlineStr">
        <is>
          <t>MFG-002</t>
        </is>
      </c>
      <c r="J439" s="7" t="inlineStr">
        <is>
          <t>DF-029</t>
        </is>
      </c>
      <c r="K439" s="7" t="inlineStr">
        <is>
          <t>DT-003</t>
        </is>
      </c>
      <c r="L439" s="8" t="inlineStr">
        <is>
          <t>Galaxy Book</t>
        </is>
      </c>
      <c r="M439" s="8" t="inlineStr">
        <is>
          <t>NP750XDA</t>
        </is>
      </c>
      <c r="N439" s="7" t="n">
        <v>2021</v>
      </c>
      <c r="O439" s="94" t="n">
        <v>326</v>
      </c>
      <c r="P439" s="94" t="inlineStr">
        <is>
          <t>Yes</t>
        </is>
      </c>
    </row>
    <row r="440" ht="21.5" customHeight="1" s="125">
      <c r="A440" s="24" t="inlineStr">
        <is>
          <t>RST-000008</t>
        </is>
      </c>
      <c r="B440" s="23" t="inlineStr">
        <is>
          <t>Parts Ordered</t>
        </is>
      </c>
      <c r="C440" s="23" t="inlineStr">
        <is>
          <t>Parts Ordered</t>
        </is>
      </c>
      <c r="D440" s="22" t="n">
        <v>8</v>
      </c>
      <c r="E440" s="21" t="b">
        <v>1</v>
      </c>
      <c r="H440" s="9" t="inlineStr">
        <is>
          <t>MOD-000327</t>
        </is>
      </c>
      <c r="I440" s="7" t="inlineStr">
        <is>
          <t>MFG-002</t>
        </is>
      </c>
      <c r="J440" s="7" t="inlineStr">
        <is>
          <t>DF-029</t>
        </is>
      </c>
      <c r="K440" s="7" t="inlineStr">
        <is>
          <t>DT-003</t>
        </is>
      </c>
      <c r="L440" s="8" t="inlineStr">
        <is>
          <t>Galaxy Book Pro</t>
        </is>
      </c>
      <c r="M440" s="8" t="inlineStr">
        <is>
          <t>NP950XDB</t>
        </is>
      </c>
      <c r="N440" s="7" t="n">
        <v>2021</v>
      </c>
      <c r="O440" s="94" t="n">
        <v>327</v>
      </c>
      <c r="P440" s="94" t="inlineStr">
        <is>
          <t>Yes</t>
        </is>
      </c>
    </row>
    <row r="441" ht="21.5" customHeight="1" s="125">
      <c r="A441" s="28" t="inlineStr">
        <is>
          <t>RST-000009</t>
        </is>
      </c>
      <c r="B441" s="27" t="inlineStr">
        <is>
          <t>Parts Received</t>
        </is>
      </c>
      <c r="C441" s="27" t="inlineStr">
        <is>
          <t>Parts Received</t>
        </is>
      </c>
      <c r="D441" s="26" t="n">
        <v>9</v>
      </c>
      <c r="E441" s="25" t="b">
        <v>1</v>
      </c>
      <c r="H441" s="9" t="inlineStr">
        <is>
          <t>MOD-000328</t>
        </is>
      </c>
      <c r="I441" s="7" t="inlineStr">
        <is>
          <t>MFG-002</t>
        </is>
      </c>
      <c r="J441" s="7" t="inlineStr">
        <is>
          <t>DF-029</t>
        </is>
      </c>
      <c r="K441" s="7" t="inlineStr">
        <is>
          <t>DT-003</t>
        </is>
      </c>
      <c r="L441" s="8" t="inlineStr">
        <is>
          <t>Galaxy Book Pro 360</t>
        </is>
      </c>
      <c r="M441" s="8" t="inlineStr">
        <is>
          <t>NP950QDB</t>
        </is>
      </c>
      <c r="N441" s="7" t="n">
        <v>2021</v>
      </c>
      <c r="O441" s="94" t="n">
        <v>328</v>
      </c>
      <c r="P441" s="94" t="inlineStr">
        <is>
          <t>Yes</t>
        </is>
      </c>
    </row>
    <row r="442" ht="21.5" customHeight="1" s="125">
      <c r="A442" s="24" t="inlineStr">
        <is>
          <t>RST-000010</t>
        </is>
      </c>
      <c r="B442" s="23" t="inlineStr">
        <is>
          <t>Repair In Progress</t>
        </is>
      </c>
      <c r="C442" s="23" t="inlineStr">
        <is>
          <t>Repair In Progress</t>
        </is>
      </c>
      <c r="D442" s="22" t="n">
        <v>10</v>
      </c>
      <c r="E442" s="21" t="b">
        <v>1</v>
      </c>
      <c r="H442" s="9" t="inlineStr">
        <is>
          <t>MOD-000329</t>
        </is>
      </c>
      <c r="I442" s="7" t="inlineStr">
        <is>
          <t>MFG-002</t>
        </is>
      </c>
      <c r="J442" s="7" t="inlineStr">
        <is>
          <t>DF-029</t>
        </is>
      </c>
      <c r="K442" s="7" t="inlineStr">
        <is>
          <t>DT-003</t>
        </is>
      </c>
      <c r="L442" s="8" t="inlineStr">
        <is>
          <t>Galaxy Book2</t>
        </is>
      </c>
      <c r="M442" s="8" t="inlineStr">
        <is>
          <t>NP750XED</t>
        </is>
      </c>
      <c r="N442" s="7" t="n">
        <v>2022</v>
      </c>
      <c r="O442" s="94" t="n">
        <v>329</v>
      </c>
      <c r="P442" s="94" t="inlineStr">
        <is>
          <t>Yes</t>
        </is>
      </c>
    </row>
    <row r="443" ht="21.5" customHeight="1" s="125">
      <c r="A443" s="28" t="inlineStr">
        <is>
          <t>RST-000011</t>
        </is>
      </c>
      <c r="B443" s="27" t="inlineStr">
        <is>
          <t>Testing</t>
        </is>
      </c>
      <c r="C443" s="27" t="inlineStr">
        <is>
          <t>Testing</t>
        </is>
      </c>
      <c r="D443" s="26" t="n">
        <v>11</v>
      </c>
      <c r="E443" s="25" t="b">
        <v>1</v>
      </c>
      <c r="H443" s="9" t="inlineStr">
        <is>
          <t>MOD-000330</t>
        </is>
      </c>
      <c r="I443" s="7" t="inlineStr">
        <is>
          <t>MFG-002</t>
        </is>
      </c>
      <c r="J443" s="7" t="inlineStr">
        <is>
          <t>DF-029</t>
        </is>
      </c>
      <c r="K443" s="7" t="inlineStr">
        <is>
          <t>DT-003</t>
        </is>
      </c>
      <c r="L443" s="8" t="inlineStr">
        <is>
          <t>Galaxy Book2 Pro</t>
        </is>
      </c>
      <c r="M443" s="8" t="inlineStr">
        <is>
          <t>NP950XEE</t>
        </is>
      </c>
      <c r="N443" s="7" t="n">
        <v>2022</v>
      </c>
      <c r="O443" s="94" t="n">
        <v>330</v>
      </c>
      <c r="P443" s="94" t="inlineStr">
        <is>
          <t>Yes</t>
        </is>
      </c>
    </row>
    <row r="444" ht="21.5" customHeight="1" s="125">
      <c r="A444" s="24" t="inlineStr">
        <is>
          <t>RST-000012</t>
        </is>
      </c>
      <c r="B444" s="23" t="inlineStr">
        <is>
          <t>Quality Control</t>
        </is>
      </c>
      <c r="C444" s="23" t="inlineStr">
        <is>
          <t>Quality Control</t>
        </is>
      </c>
      <c r="D444" s="22" t="n">
        <v>12</v>
      </c>
      <c r="E444" s="21" t="b">
        <v>1</v>
      </c>
      <c r="H444" s="9" t="inlineStr">
        <is>
          <t>MOD-000331</t>
        </is>
      </c>
      <c r="I444" s="7" t="inlineStr">
        <is>
          <t>MFG-002</t>
        </is>
      </c>
      <c r="J444" s="7" t="inlineStr">
        <is>
          <t>DF-029</t>
        </is>
      </c>
      <c r="K444" s="7" t="inlineStr">
        <is>
          <t>DT-003</t>
        </is>
      </c>
      <c r="L444" s="8" t="inlineStr">
        <is>
          <t>Galaxy Book3</t>
        </is>
      </c>
      <c r="M444" s="8" t="inlineStr">
        <is>
          <t>NP750XFG</t>
        </is>
      </c>
      <c r="N444" s="7" t="n">
        <v>2023</v>
      </c>
      <c r="O444" s="94" t="n">
        <v>331</v>
      </c>
      <c r="P444" s="94" t="inlineStr">
        <is>
          <t>Yes</t>
        </is>
      </c>
    </row>
    <row r="445" ht="21.5" customHeight="1" s="125">
      <c r="A445" s="28" t="inlineStr">
        <is>
          <t>RST-000013</t>
        </is>
      </c>
      <c r="B445" s="27" t="inlineStr">
        <is>
          <t>Completed</t>
        </is>
      </c>
      <c r="C445" s="27" t="inlineStr">
        <is>
          <t>Completed</t>
        </is>
      </c>
      <c r="D445" s="26" t="n">
        <v>13</v>
      </c>
      <c r="E445" s="25" t="b">
        <v>1</v>
      </c>
      <c r="H445" s="9" t="inlineStr">
        <is>
          <t>MOD-000332</t>
        </is>
      </c>
      <c r="I445" s="7" t="inlineStr">
        <is>
          <t>MFG-002</t>
        </is>
      </c>
      <c r="J445" s="7" t="inlineStr">
        <is>
          <t>DF-029</t>
        </is>
      </c>
      <c r="K445" s="7" t="inlineStr">
        <is>
          <t>DT-003</t>
        </is>
      </c>
      <c r="L445" s="8" t="inlineStr">
        <is>
          <t>Galaxy Book3 Pro</t>
        </is>
      </c>
      <c r="M445" s="8" t="inlineStr">
        <is>
          <t>NP960XFG</t>
        </is>
      </c>
      <c r="N445" s="7" t="n">
        <v>2023</v>
      </c>
      <c r="O445" s="94" t="n">
        <v>332</v>
      </c>
      <c r="P445" s="94" t="inlineStr">
        <is>
          <t>Yes</t>
        </is>
      </c>
    </row>
    <row r="446" ht="21.5" customHeight="1" s="125">
      <c r="A446" s="24" t="inlineStr">
        <is>
          <t>RST-000014</t>
        </is>
      </c>
      <c r="B446" s="23" t="inlineStr">
        <is>
          <t>Ready for Pickup</t>
        </is>
      </c>
      <c r="C446" s="23" t="inlineStr">
        <is>
          <t>Ready for Pickup</t>
        </is>
      </c>
      <c r="D446" s="22" t="n">
        <v>14</v>
      </c>
      <c r="E446" s="21" t="b">
        <v>1</v>
      </c>
      <c r="H446" s="9" t="inlineStr">
        <is>
          <t>MOD-000333</t>
        </is>
      </c>
      <c r="I446" s="7" t="inlineStr">
        <is>
          <t>MFG-002</t>
        </is>
      </c>
      <c r="J446" s="7" t="inlineStr">
        <is>
          <t>DF-029</t>
        </is>
      </c>
      <c r="K446" s="7" t="inlineStr">
        <is>
          <t>DT-003</t>
        </is>
      </c>
      <c r="L446" s="8" t="inlineStr">
        <is>
          <t>Galaxy Book4</t>
        </is>
      </c>
      <c r="M446" s="8" t="inlineStr">
        <is>
          <t>NP750XGK</t>
        </is>
      </c>
      <c r="N446" s="7" t="n">
        <v>2024</v>
      </c>
      <c r="O446" s="94" t="n">
        <v>333</v>
      </c>
      <c r="P446" s="94" t="inlineStr">
        <is>
          <t>Yes</t>
        </is>
      </c>
    </row>
    <row r="447" ht="21.5" customHeight="1" s="125">
      <c r="A447" s="28" t="inlineStr">
        <is>
          <t>RST-000015</t>
        </is>
      </c>
      <c r="B447" s="27" t="inlineStr">
        <is>
          <t>Picked Up</t>
        </is>
      </c>
      <c r="C447" s="27" t="inlineStr">
        <is>
          <t>Picked Up</t>
        </is>
      </c>
      <c r="D447" s="26" t="n">
        <v>15</v>
      </c>
      <c r="E447" s="25" t="b">
        <v>1</v>
      </c>
      <c r="H447" s="9" t="inlineStr">
        <is>
          <t>MOD-000334</t>
        </is>
      </c>
      <c r="I447" s="7" t="inlineStr">
        <is>
          <t>MFG-002</t>
        </is>
      </c>
      <c r="J447" s="7" t="inlineStr">
        <is>
          <t>DF-029</t>
        </is>
      </c>
      <c r="K447" s="7" t="inlineStr">
        <is>
          <t>DT-003</t>
        </is>
      </c>
      <c r="L447" s="8" t="inlineStr">
        <is>
          <t>Galaxy Book4 Pro</t>
        </is>
      </c>
      <c r="M447" s="8" t="inlineStr">
        <is>
          <t>NP960XGK</t>
        </is>
      </c>
      <c r="N447" s="7" t="n">
        <v>2024</v>
      </c>
      <c r="O447" s="94" t="n">
        <v>334</v>
      </c>
      <c r="P447" s="94" t="inlineStr">
        <is>
          <t>Yes</t>
        </is>
      </c>
    </row>
    <row r="448" ht="21.5" customHeight="1" s="125">
      <c r="A448" s="24" t="inlineStr">
        <is>
          <t>RST-000016</t>
        </is>
      </c>
      <c r="B448" s="23" t="inlineStr">
        <is>
          <t>Shipped</t>
        </is>
      </c>
      <c r="C448" s="23" t="inlineStr">
        <is>
          <t>Shipped</t>
        </is>
      </c>
      <c r="D448" s="22" t="n">
        <v>16</v>
      </c>
      <c r="E448" s="21" t="b">
        <v>1</v>
      </c>
      <c r="H448" s="9" t="inlineStr">
        <is>
          <t>MOD-000335</t>
        </is>
      </c>
      <c r="I448" s="7" t="inlineStr">
        <is>
          <t>MFG-002</t>
        </is>
      </c>
      <c r="J448" s="7" t="inlineStr">
        <is>
          <t>DF-029</t>
        </is>
      </c>
      <c r="K448" s="7" t="inlineStr">
        <is>
          <t>DT-003</t>
        </is>
      </c>
      <c r="L448" s="8" t="inlineStr">
        <is>
          <t>Galaxy Book5 Pro</t>
        </is>
      </c>
      <c r="M448" s="8" t="inlineStr">
        <is>
          <t>NP960XHA</t>
        </is>
      </c>
      <c r="N448" s="7" t="n">
        <v>2025</v>
      </c>
      <c r="O448" s="94" t="n">
        <v>335</v>
      </c>
      <c r="P448" s="94" t="inlineStr">
        <is>
          <t>Yes</t>
        </is>
      </c>
    </row>
    <row r="449" ht="21.5" customHeight="1" s="125">
      <c r="A449" s="28" t="inlineStr">
        <is>
          <t>RST-000017</t>
        </is>
      </c>
      <c r="B449" s="27" t="inlineStr">
        <is>
          <t>Cancelled</t>
        </is>
      </c>
      <c r="C449" s="27" t="inlineStr">
        <is>
          <t>Cancelled</t>
        </is>
      </c>
      <c r="D449" s="26" t="n">
        <v>17</v>
      </c>
      <c r="E449" s="25" t="b">
        <v>1</v>
      </c>
      <c r="H449" s="9" t="inlineStr">
        <is>
          <t>MOD-000336</t>
        </is>
      </c>
      <c r="I449" s="7" t="inlineStr">
        <is>
          <t>MFG-002</t>
        </is>
      </c>
      <c r="J449" s="7" t="inlineStr">
        <is>
          <t>DF-030</t>
        </is>
      </c>
      <c r="K449" s="7" t="inlineStr">
        <is>
          <t>DT-004</t>
        </is>
      </c>
      <c r="L449" s="8" t="inlineStr">
        <is>
          <t>Galaxy Gear</t>
        </is>
      </c>
      <c r="M449" s="8" t="inlineStr">
        <is>
          <t>SM-V700</t>
        </is>
      </c>
      <c r="N449" s="7" t="n">
        <v>2013</v>
      </c>
      <c r="O449" s="94" t="n">
        <v>336</v>
      </c>
      <c r="P449" s="94" t="inlineStr">
        <is>
          <t>Yes</t>
        </is>
      </c>
    </row>
    <row r="450" ht="21.5" customHeight="1" s="125">
      <c r="A450" s="24" t="inlineStr">
        <is>
          <t>RST-000018</t>
        </is>
      </c>
      <c r="B450" s="23" t="inlineStr">
        <is>
          <t>Returned Unrepaired</t>
        </is>
      </c>
      <c r="C450" s="23" t="inlineStr">
        <is>
          <t>Returned Unrepaired</t>
        </is>
      </c>
      <c r="D450" s="22" t="n">
        <v>18</v>
      </c>
      <c r="E450" s="21" t="b">
        <v>1</v>
      </c>
      <c r="H450" s="9" t="inlineStr">
        <is>
          <t>MOD-000337</t>
        </is>
      </c>
      <c r="I450" s="7" t="inlineStr">
        <is>
          <t>MFG-002</t>
        </is>
      </c>
      <c r="J450" s="7" t="inlineStr">
        <is>
          <t>DF-030</t>
        </is>
      </c>
      <c r="K450" s="7" t="inlineStr">
        <is>
          <t>DT-004</t>
        </is>
      </c>
      <c r="L450" s="8" t="inlineStr">
        <is>
          <t>Gear S2</t>
        </is>
      </c>
      <c r="M450" s="8" t="inlineStr">
        <is>
          <t>SM-R720</t>
        </is>
      </c>
      <c r="N450" s="7" t="n">
        <v>2015</v>
      </c>
      <c r="O450" s="94" t="n">
        <v>337</v>
      </c>
      <c r="P450" s="94" t="inlineStr">
        <is>
          <t>Yes</t>
        </is>
      </c>
    </row>
    <row r="451" ht="21.5" customHeight="1" s="125">
      <c r="A451" s="28" t="inlineStr">
        <is>
          <t>RST-000019</t>
        </is>
      </c>
      <c r="B451" s="27" t="inlineStr">
        <is>
          <t>Warranty Repair</t>
        </is>
      </c>
      <c r="C451" s="27" t="inlineStr">
        <is>
          <t>Warranty Repair</t>
        </is>
      </c>
      <c r="D451" s="26" t="n">
        <v>19</v>
      </c>
      <c r="E451" s="25" t="b">
        <v>1</v>
      </c>
      <c r="H451" s="9" t="inlineStr">
        <is>
          <t>MOD-000338</t>
        </is>
      </c>
      <c r="I451" s="7" t="inlineStr">
        <is>
          <t>MFG-002</t>
        </is>
      </c>
      <c r="J451" s="7" t="inlineStr">
        <is>
          <t>DF-030</t>
        </is>
      </c>
      <c r="K451" s="7" t="inlineStr">
        <is>
          <t>DT-004</t>
        </is>
      </c>
      <c r="L451" s="8" t="inlineStr">
        <is>
          <t>Gear S3 Frontier</t>
        </is>
      </c>
      <c r="M451" s="8" t="inlineStr">
        <is>
          <t>SM-R760</t>
        </is>
      </c>
      <c r="N451" s="7" t="n">
        <v>2016</v>
      </c>
      <c r="O451" s="94" t="n">
        <v>338</v>
      </c>
      <c r="P451" s="94" t="inlineStr">
        <is>
          <t>Yes</t>
        </is>
      </c>
    </row>
    <row r="452" ht="21.5" customHeight="1" s="125">
      <c r="A452" s="24" t="inlineStr">
        <is>
          <t>RST-000020</t>
        </is>
      </c>
      <c r="B452" s="23" t="inlineStr">
        <is>
          <t>Closed</t>
        </is>
      </c>
      <c r="C452" s="23" t="inlineStr">
        <is>
          <t>Closed</t>
        </is>
      </c>
      <c r="D452" s="22" t="n">
        <v>20</v>
      </c>
      <c r="E452" s="21" t="b">
        <v>1</v>
      </c>
      <c r="H452" s="9" t="inlineStr">
        <is>
          <t>MOD-000339</t>
        </is>
      </c>
      <c r="I452" s="7" t="inlineStr">
        <is>
          <t>MFG-002</t>
        </is>
      </c>
      <c r="J452" s="7" t="inlineStr">
        <is>
          <t>DF-030</t>
        </is>
      </c>
      <c r="K452" s="7" t="inlineStr">
        <is>
          <t>DT-004</t>
        </is>
      </c>
      <c r="L452" s="8" t="inlineStr">
        <is>
          <t>Galaxy Watch</t>
        </is>
      </c>
      <c r="M452" s="8" t="inlineStr">
        <is>
          <t>SM-R800</t>
        </is>
      </c>
      <c r="N452" s="7" t="n">
        <v>2018</v>
      </c>
      <c r="O452" s="94" t="n">
        <v>339</v>
      </c>
      <c r="P452" s="94" t="inlineStr">
        <is>
          <t>Yes</t>
        </is>
      </c>
    </row>
    <row r="453" ht="21.5" customHeight="1" s="125">
      <c r="D453" s="3" t="n"/>
      <c r="E453" s="3" t="n"/>
      <c r="H453" s="9" t="inlineStr">
        <is>
          <t>MOD-000340</t>
        </is>
      </c>
      <c r="I453" s="7" t="inlineStr">
        <is>
          <t>MFG-002</t>
        </is>
      </c>
      <c r="J453" s="7" t="inlineStr">
        <is>
          <t>DF-030</t>
        </is>
      </c>
      <c r="K453" s="7" t="inlineStr">
        <is>
          <t>DT-004</t>
        </is>
      </c>
      <c r="L453" s="8" t="inlineStr">
        <is>
          <t>Galaxy Watch Active</t>
        </is>
      </c>
      <c r="M453" s="8" t="inlineStr">
        <is>
          <t>SM-R500</t>
        </is>
      </c>
      <c r="N453" s="7" t="n">
        <v>2019</v>
      </c>
      <c r="O453" s="94" t="n">
        <v>340</v>
      </c>
      <c r="P453" s="94" t="inlineStr">
        <is>
          <t>Yes</t>
        </is>
      </c>
    </row>
    <row r="454" ht="21.5" customHeight="1" s="125">
      <c r="A454" s="3" t="inlineStr">
        <is>
          <t>tblRepairOutcomes</t>
        </is>
      </c>
      <c r="D454" s="3" t="n"/>
      <c r="E454" s="3" t="n"/>
      <c r="H454" s="9" t="inlineStr">
        <is>
          <t>MOD-000341</t>
        </is>
      </c>
      <c r="I454" s="7" t="inlineStr">
        <is>
          <t>MFG-002</t>
        </is>
      </c>
      <c r="J454" s="7" t="inlineStr">
        <is>
          <t>DF-030</t>
        </is>
      </c>
      <c r="K454" s="7" t="inlineStr">
        <is>
          <t>DT-004</t>
        </is>
      </c>
      <c r="L454" s="8" t="inlineStr">
        <is>
          <t>Galaxy Watch3</t>
        </is>
      </c>
      <c r="M454" s="8" t="inlineStr">
        <is>
          <t>SM-R840</t>
        </is>
      </c>
      <c r="N454" s="7" t="n">
        <v>2020</v>
      </c>
      <c r="O454" s="94" t="n">
        <v>341</v>
      </c>
      <c r="P454" s="94" t="inlineStr">
        <is>
          <t>Yes</t>
        </is>
      </c>
    </row>
    <row r="455" ht="21.5" customHeight="1" s="125">
      <c r="A455" s="6" t="inlineStr">
        <is>
          <t>ID</t>
        </is>
      </c>
      <c r="B455" s="6" t="inlineStr">
        <is>
          <t>Name</t>
        </is>
      </c>
      <c r="C455" s="6" t="inlineStr">
        <is>
          <t>Description</t>
        </is>
      </c>
      <c r="D455" s="6" t="inlineStr">
        <is>
          <t>DisplayOrder</t>
        </is>
      </c>
      <c r="E455" s="6" t="inlineStr">
        <is>
          <t>Active</t>
        </is>
      </c>
      <c r="H455" s="9" t="inlineStr">
        <is>
          <t>MOD-000342</t>
        </is>
      </c>
      <c r="I455" s="7" t="inlineStr">
        <is>
          <t>MFG-002</t>
        </is>
      </c>
      <c r="J455" s="7" t="inlineStr">
        <is>
          <t>DF-030</t>
        </is>
      </c>
      <c r="K455" s="7" t="inlineStr">
        <is>
          <t>DT-004</t>
        </is>
      </c>
      <c r="L455" s="8" t="inlineStr">
        <is>
          <t>Galaxy Watch4</t>
        </is>
      </c>
      <c r="M455" s="8" t="inlineStr">
        <is>
          <t>SM-R870</t>
        </is>
      </c>
      <c r="N455" s="7" t="n">
        <v>2021</v>
      </c>
      <c r="O455" s="94" t="n">
        <v>342</v>
      </c>
      <c r="P455" s="94" t="inlineStr">
        <is>
          <t>Yes</t>
        </is>
      </c>
    </row>
    <row r="456" ht="21.5" customHeight="1" s="125">
      <c r="A456" s="94" t="inlineStr">
        <is>
          <t>ROT-000001</t>
        </is>
      </c>
      <c r="B456" s="94" t="inlineStr">
        <is>
          <t>Completed</t>
        </is>
      </c>
      <c r="C456" s="94" t="n"/>
      <c r="D456" s="94" t="n">
        <v>1</v>
      </c>
      <c r="E456" s="94" t="b">
        <v>1</v>
      </c>
      <c r="H456" s="9" t="inlineStr">
        <is>
          <t>MOD-000343</t>
        </is>
      </c>
      <c r="I456" s="7" t="inlineStr">
        <is>
          <t>MFG-002</t>
        </is>
      </c>
      <c r="J456" s="7" t="inlineStr">
        <is>
          <t>DF-030</t>
        </is>
      </c>
      <c r="K456" s="7" t="inlineStr">
        <is>
          <t>DT-004</t>
        </is>
      </c>
      <c r="L456" s="8" t="inlineStr">
        <is>
          <t>Galaxy Watch5</t>
        </is>
      </c>
      <c r="M456" s="8" t="inlineStr">
        <is>
          <t>SM-R910</t>
        </is>
      </c>
      <c r="N456" s="7" t="n">
        <v>2022</v>
      </c>
      <c r="O456" s="94" t="n">
        <v>343</v>
      </c>
      <c r="P456" s="94" t="inlineStr">
        <is>
          <t>Yes</t>
        </is>
      </c>
    </row>
    <row r="457" ht="21.5" customHeight="1" s="125">
      <c r="A457" s="94" t="inlineStr">
        <is>
          <t>ROT-000002</t>
        </is>
      </c>
      <c r="B457" s="94" t="inlineStr">
        <is>
          <t>Completed with Notes</t>
        </is>
      </c>
      <c r="C457" s="94" t="n"/>
      <c r="D457" s="94" t="n">
        <v>2</v>
      </c>
      <c r="E457" s="94" t="b">
        <v>1</v>
      </c>
      <c r="H457" s="9" t="inlineStr">
        <is>
          <t>MOD-000344</t>
        </is>
      </c>
      <c r="I457" s="7" t="inlineStr">
        <is>
          <t>MFG-002</t>
        </is>
      </c>
      <c r="J457" s="7" t="inlineStr">
        <is>
          <t>DF-030</t>
        </is>
      </c>
      <c r="K457" s="7" t="inlineStr">
        <is>
          <t>DT-004</t>
        </is>
      </c>
      <c r="L457" s="8" t="inlineStr">
        <is>
          <t>Galaxy Watch6</t>
        </is>
      </c>
      <c r="M457" s="8" t="inlineStr">
        <is>
          <t>SM-R940</t>
        </is>
      </c>
      <c r="N457" s="7" t="n">
        <v>2023</v>
      </c>
      <c r="O457" s="94" t="n">
        <v>344</v>
      </c>
      <c r="P457" s="94" t="inlineStr">
        <is>
          <t>Yes</t>
        </is>
      </c>
    </row>
    <row r="458" ht="21.5" customHeight="1" s="125">
      <c r="A458" s="94" t="inlineStr">
        <is>
          <t>ROT-000003</t>
        </is>
      </c>
      <c r="B458" s="94" t="inlineStr">
        <is>
          <t>Unrepairable</t>
        </is>
      </c>
      <c r="C458" s="94" t="n"/>
      <c r="D458" s="94" t="n">
        <v>3</v>
      </c>
      <c r="E458" s="94" t="b">
        <v>1</v>
      </c>
      <c r="H458" s="9" t="inlineStr">
        <is>
          <t>MOD-000345</t>
        </is>
      </c>
      <c r="I458" s="7" t="inlineStr">
        <is>
          <t>MFG-002</t>
        </is>
      </c>
      <c r="J458" s="7" t="inlineStr">
        <is>
          <t>DF-030</t>
        </is>
      </c>
      <c r="K458" s="7" t="inlineStr">
        <is>
          <t>DT-004</t>
        </is>
      </c>
      <c r="L458" s="8" t="inlineStr">
        <is>
          <t>Galaxy Watch Ultra</t>
        </is>
      </c>
      <c r="M458" s="8" t="inlineStr">
        <is>
          <t>SM-L705</t>
        </is>
      </c>
      <c r="N458" s="7" t="n">
        <v>2024</v>
      </c>
      <c r="O458" s="94" t="n">
        <v>345</v>
      </c>
      <c r="P458" s="94" t="inlineStr">
        <is>
          <t>Yes</t>
        </is>
      </c>
    </row>
    <row r="459" ht="21.5" customHeight="1" s="125">
      <c r="A459" s="94" t="inlineStr">
        <is>
          <t>ROT-000004</t>
        </is>
      </c>
      <c r="B459" s="94" t="inlineStr">
        <is>
          <t>Awaiting Parts</t>
        </is>
      </c>
      <c r="C459" s="94" t="n"/>
      <c r="D459" s="94" t="n">
        <v>4</v>
      </c>
      <c r="E459" s="94" t="b">
        <v>1</v>
      </c>
      <c r="H459" s="9" t="inlineStr">
        <is>
          <t>MOD-000346</t>
        </is>
      </c>
      <c r="I459" s="7" t="inlineStr">
        <is>
          <t>MFG-002</t>
        </is>
      </c>
      <c r="J459" s="7" t="inlineStr">
        <is>
          <t>DF-031</t>
        </is>
      </c>
      <c r="K459" s="7" t="inlineStr">
        <is>
          <t>DT-005</t>
        </is>
      </c>
      <c r="L459" s="8" t="inlineStr">
        <is>
          <t>Galaxy Buds</t>
        </is>
      </c>
      <c r="M459" s="8" t="inlineStr">
        <is>
          <t>SM-R170</t>
        </is>
      </c>
      <c r="N459" s="7" t="n">
        <v>2019</v>
      </c>
      <c r="O459" s="94" t="n">
        <v>346</v>
      </c>
      <c r="P459" s="94" t="inlineStr">
        <is>
          <t>Yes</t>
        </is>
      </c>
    </row>
    <row r="460" ht="21.5" customHeight="1" s="125">
      <c r="A460" s="94" t="inlineStr">
        <is>
          <t>ROT-000005</t>
        </is>
      </c>
      <c r="B460" s="94" t="inlineStr">
        <is>
          <t>Customer Declined</t>
        </is>
      </c>
      <c r="C460" s="94" t="n"/>
      <c r="D460" s="94" t="n">
        <v>5</v>
      </c>
      <c r="E460" s="94" t="b">
        <v>1</v>
      </c>
      <c r="H460" s="9" t="inlineStr">
        <is>
          <t>MOD-000347</t>
        </is>
      </c>
      <c r="I460" s="7" t="inlineStr">
        <is>
          <t>MFG-002</t>
        </is>
      </c>
      <c r="J460" s="7" t="inlineStr">
        <is>
          <t>DF-031</t>
        </is>
      </c>
      <c r="K460" s="7" t="inlineStr">
        <is>
          <t>DT-005</t>
        </is>
      </c>
      <c r="L460" s="8" t="inlineStr">
        <is>
          <t>Galaxy Buds+</t>
        </is>
      </c>
      <c r="M460" s="8" t="inlineStr">
        <is>
          <t>SM-R175</t>
        </is>
      </c>
      <c r="N460" s="7" t="n">
        <v>2020</v>
      </c>
      <c r="O460" s="94" t="n">
        <v>347</v>
      </c>
      <c r="P460" s="94" t="inlineStr">
        <is>
          <t>Yes</t>
        </is>
      </c>
    </row>
    <row r="461" ht="21.5" customHeight="1" s="125">
      <c r="A461" s="94" t="inlineStr">
        <is>
          <t>ROT-000006</t>
        </is>
      </c>
      <c r="B461" s="94" t="inlineStr">
        <is>
          <t>Returned Unrepaired</t>
        </is>
      </c>
      <c r="C461" s="94" t="n"/>
      <c r="D461" s="94" t="n">
        <v>6</v>
      </c>
      <c r="E461" s="94" t="b">
        <v>1</v>
      </c>
      <c r="H461" s="9" t="inlineStr">
        <is>
          <t>MOD-000348</t>
        </is>
      </c>
      <c r="I461" s="7" t="inlineStr">
        <is>
          <t>MFG-002</t>
        </is>
      </c>
      <c r="J461" s="7" t="inlineStr">
        <is>
          <t>DF-031</t>
        </is>
      </c>
      <c r="K461" s="7" t="inlineStr">
        <is>
          <t>DT-005</t>
        </is>
      </c>
      <c r="L461" s="8" t="inlineStr">
        <is>
          <t>Galaxy Buds Live</t>
        </is>
      </c>
      <c r="M461" s="8" t="inlineStr">
        <is>
          <t>SM-R180</t>
        </is>
      </c>
      <c r="N461" s="7" t="n">
        <v>2020</v>
      </c>
      <c r="O461" s="94" t="n">
        <v>348</v>
      </c>
      <c r="P461" s="94" t="inlineStr">
        <is>
          <t>Yes</t>
        </is>
      </c>
    </row>
    <row r="462" ht="21.5" customFormat="1" customHeight="1" s="20">
      <c r="A462" s="3" t="n"/>
      <c r="B462" s="3" t="n"/>
      <c r="C462" s="3" t="n"/>
      <c r="D462" s="3" t="n"/>
      <c r="E462" s="3" t="n"/>
      <c r="H462" s="9" t="inlineStr">
        <is>
          <t>MOD-000349</t>
        </is>
      </c>
      <c r="I462" s="7" t="inlineStr">
        <is>
          <t>MFG-002</t>
        </is>
      </c>
      <c r="J462" s="7" t="inlineStr">
        <is>
          <t>DF-031</t>
        </is>
      </c>
      <c r="K462" s="7" t="inlineStr">
        <is>
          <t>DT-005</t>
        </is>
      </c>
      <c r="L462" s="8" t="inlineStr">
        <is>
          <t>Galaxy Buds Pro</t>
        </is>
      </c>
      <c r="M462" s="8" t="inlineStr">
        <is>
          <t>SM-R190</t>
        </is>
      </c>
      <c r="N462" s="7" t="n">
        <v>2021</v>
      </c>
      <c r="O462" s="94" t="n">
        <v>349</v>
      </c>
      <c r="P462" s="94" t="inlineStr">
        <is>
          <t>Yes</t>
        </is>
      </c>
    </row>
    <row r="463" ht="21.5" customHeight="1" s="125">
      <c r="A463" s="3" t="inlineStr">
        <is>
          <t>tblRepairComplexities</t>
        </is>
      </c>
      <c r="D463" s="3" t="n"/>
      <c r="E463" s="3" t="n"/>
      <c r="H463" s="9" t="inlineStr">
        <is>
          <t>MOD-000350</t>
        </is>
      </c>
      <c r="I463" s="7" t="inlineStr">
        <is>
          <t>MFG-002</t>
        </is>
      </c>
      <c r="J463" s="7" t="inlineStr">
        <is>
          <t>DF-031</t>
        </is>
      </c>
      <c r="K463" s="7" t="inlineStr">
        <is>
          <t>DT-005</t>
        </is>
      </c>
      <c r="L463" s="8" t="inlineStr">
        <is>
          <t>Galaxy Buds2</t>
        </is>
      </c>
      <c r="M463" s="8" t="inlineStr">
        <is>
          <t>SM-R177</t>
        </is>
      </c>
      <c r="N463" s="7" t="n">
        <v>2021</v>
      </c>
      <c r="O463" s="94" t="n">
        <v>350</v>
      </c>
      <c r="P463" s="94" t="inlineStr">
        <is>
          <t>Yes</t>
        </is>
      </c>
    </row>
    <row r="464" ht="21.5" customHeight="1" s="125">
      <c r="A464" s="6" t="inlineStr">
        <is>
          <t>ID</t>
        </is>
      </c>
      <c r="B464" s="6" t="inlineStr">
        <is>
          <t>Name</t>
        </is>
      </c>
      <c r="C464" s="6" t="inlineStr">
        <is>
          <t>Description</t>
        </is>
      </c>
      <c r="D464" s="6" t="inlineStr">
        <is>
          <t>DisplayOrder</t>
        </is>
      </c>
      <c r="E464" s="6" t="inlineStr">
        <is>
          <t>Active</t>
        </is>
      </c>
      <c r="H464" s="9" t="inlineStr">
        <is>
          <t>MOD-000351</t>
        </is>
      </c>
      <c r="I464" s="7" t="inlineStr">
        <is>
          <t>MFG-002</t>
        </is>
      </c>
      <c r="J464" s="7" t="inlineStr">
        <is>
          <t>DF-031</t>
        </is>
      </c>
      <c r="K464" s="7" t="inlineStr">
        <is>
          <t>DT-005</t>
        </is>
      </c>
      <c r="L464" s="8" t="inlineStr">
        <is>
          <t>Galaxy Buds2 Pro</t>
        </is>
      </c>
      <c r="M464" s="8" t="inlineStr">
        <is>
          <t>SM-R510</t>
        </is>
      </c>
      <c r="N464" s="7" t="n">
        <v>2022</v>
      </c>
      <c r="O464" s="94" t="n">
        <v>351</v>
      </c>
      <c r="P464" s="94" t="inlineStr">
        <is>
          <t>Yes</t>
        </is>
      </c>
    </row>
    <row r="465" ht="21.5" customHeight="1" s="125">
      <c r="A465" s="94" t="inlineStr">
        <is>
          <t>RCM-000001</t>
        </is>
      </c>
      <c r="B465" s="94" t="inlineStr">
        <is>
          <t>Level 1</t>
        </is>
      </c>
      <c r="C465" s="94" t="inlineStr">
        <is>
          <t>Basic</t>
        </is>
      </c>
      <c r="D465" s="94" t="n">
        <v>1</v>
      </c>
      <c r="E465" s="94" t="b">
        <v>1</v>
      </c>
      <c r="H465" s="9" t="inlineStr">
        <is>
          <t>MOD-000352</t>
        </is>
      </c>
      <c r="I465" s="7" t="inlineStr">
        <is>
          <t>MFG-002</t>
        </is>
      </c>
      <c r="J465" s="7" t="inlineStr">
        <is>
          <t>DF-031</t>
        </is>
      </c>
      <c r="K465" s="7" t="inlineStr">
        <is>
          <t>DT-005</t>
        </is>
      </c>
      <c r="L465" s="8" t="inlineStr">
        <is>
          <t>Galaxy Buds FE</t>
        </is>
      </c>
      <c r="M465" s="8" t="inlineStr">
        <is>
          <t>SM-R400</t>
        </is>
      </c>
      <c r="N465" s="7" t="n">
        <v>2023</v>
      </c>
      <c r="O465" s="94" t="n">
        <v>352</v>
      </c>
      <c r="P465" s="94" t="inlineStr">
        <is>
          <t>Yes</t>
        </is>
      </c>
    </row>
    <row r="466" ht="21.5" customHeight="1" s="125">
      <c r="A466" s="94" t="inlineStr">
        <is>
          <t>RCM-000002</t>
        </is>
      </c>
      <c r="B466" s="94" t="inlineStr">
        <is>
          <t>Level 2</t>
        </is>
      </c>
      <c r="C466" s="94" t="inlineStr">
        <is>
          <t>Intermediate</t>
        </is>
      </c>
      <c r="D466" s="94" t="n">
        <v>2</v>
      </c>
      <c r="E466" s="94" t="b">
        <v>1</v>
      </c>
      <c r="H466" s="9" t="inlineStr">
        <is>
          <t>MOD-000353</t>
        </is>
      </c>
      <c r="I466" s="7" t="inlineStr">
        <is>
          <t>MFG-002</t>
        </is>
      </c>
      <c r="J466" s="7" t="inlineStr">
        <is>
          <t>DF-031</t>
        </is>
      </c>
      <c r="K466" s="7" t="inlineStr">
        <is>
          <t>DT-005</t>
        </is>
      </c>
      <c r="L466" s="8" t="inlineStr">
        <is>
          <t>Galaxy Buds3</t>
        </is>
      </c>
      <c r="M466" s="8" t="inlineStr">
        <is>
          <t>SM-R530</t>
        </is>
      </c>
      <c r="N466" s="7" t="n">
        <v>2024</v>
      </c>
      <c r="O466" s="94" t="n">
        <v>353</v>
      </c>
      <c r="P466" s="94" t="inlineStr">
        <is>
          <t>Yes</t>
        </is>
      </c>
    </row>
    <row r="467" ht="21.5" customHeight="1" s="125">
      <c r="A467" s="94" t="inlineStr">
        <is>
          <t>RCM-000003</t>
        </is>
      </c>
      <c r="B467" s="94" t="inlineStr">
        <is>
          <t>Level 3</t>
        </is>
      </c>
      <c r="C467" s="94" t="inlineStr">
        <is>
          <t>Advanced</t>
        </is>
      </c>
      <c r="D467" s="94" t="n">
        <v>3</v>
      </c>
      <c r="E467" s="94" t="b">
        <v>1</v>
      </c>
      <c r="H467" s="9" t="inlineStr">
        <is>
          <t>MOD-000354</t>
        </is>
      </c>
      <c r="I467" s="7" t="inlineStr">
        <is>
          <t>MFG-002</t>
        </is>
      </c>
      <c r="J467" s="7" t="inlineStr">
        <is>
          <t>DF-031</t>
        </is>
      </c>
      <c r="K467" s="7" t="inlineStr">
        <is>
          <t>DT-005</t>
        </is>
      </c>
      <c r="L467" s="8" t="inlineStr">
        <is>
          <t>Galaxy Buds3 Pro</t>
        </is>
      </c>
      <c r="M467" s="8" t="inlineStr">
        <is>
          <t>SM-R630</t>
        </is>
      </c>
      <c r="N467" s="7" t="n">
        <v>2024</v>
      </c>
      <c r="O467" s="94" t="n">
        <v>354</v>
      </c>
      <c r="P467" s="94" t="inlineStr">
        <is>
          <t>Yes</t>
        </is>
      </c>
    </row>
    <row r="468" ht="21.5" customHeight="1" s="125">
      <c r="A468" s="94" t="inlineStr">
        <is>
          <t>RCM-000004</t>
        </is>
      </c>
      <c r="B468" s="94" t="inlineStr">
        <is>
          <t>Level 4</t>
        </is>
      </c>
      <c r="C468" s="94" t="inlineStr">
        <is>
          <t>Micro-soldering</t>
        </is>
      </c>
      <c r="D468" s="94" t="n">
        <v>4</v>
      </c>
      <c r="E468" s="94" t="b">
        <v>0</v>
      </c>
      <c r="H468" s="9" t="inlineStr">
        <is>
          <t>MOD-000355</t>
        </is>
      </c>
      <c r="I468" s="18" t="inlineStr">
        <is>
          <t>MFG-003</t>
        </is>
      </c>
      <c r="J468" s="18" t="inlineStr">
        <is>
          <t>DF-032</t>
        </is>
      </c>
      <c r="K468" s="18" t="inlineStr">
        <is>
          <t>DT-001</t>
        </is>
      </c>
      <c r="L468" s="19" t="inlineStr">
        <is>
          <t>Pixel</t>
        </is>
      </c>
      <c r="M468" s="19" t="inlineStr">
        <is>
          <t>G-2PW4100</t>
        </is>
      </c>
      <c r="N468" s="18" t="n">
        <v>2016</v>
      </c>
      <c r="O468" s="94" t="n">
        <v>355</v>
      </c>
      <c r="P468" s="94" t="inlineStr">
        <is>
          <t>Yes</t>
        </is>
      </c>
    </row>
    <row r="469" ht="21.5" customHeight="1" s="125">
      <c r="A469" s="94" t="inlineStr">
        <is>
          <t>RCM-000005</t>
        </is>
      </c>
      <c r="B469" s="94" t="inlineStr">
        <is>
          <t>Level 5</t>
        </is>
      </c>
      <c r="C469" s="94" t="inlineStr">
        <is>
          <t>Board level expert</t>
        </is>
      </c>
      <c r="D469" s="94" t="n">
        <v>5</v>
      </c>
      <c r="E469" s="94" t="b">
        <v>0</v>
      </c>
      <c r="H469" s="9" t="inlineStr">
        <is>
          <t>MOD-000356</t>
        </is>
      </c>
      <c r="I469" s="18" t="inlineStr">
        <is>
          <t>MFG-003</t>
        </is>
      </c>
      <c r="J469" s="18" t="inlineStr">
        <is>
          <t>DF-032</t>
        </is>
      </c>
      <c r="K469" s="18" t="inlineStr">
        <is>
          <t>DT-001</t>
        </is>
      </c>
      <c r="L469" s="19" t="inlineStr">
        <is>
          <t>Pixel XL</t>
        </is>
      </c>
      <c r="M469" s="19" t="inlineStr">
        <is>
          <t>G-2PW2100</t>
        </is>
      </c>
      <c r="N469" s="18" t="n">
        <v>2016</v>
      </c>
      <c r="O469" s="94" t="n">
        <v>356</v>
      </c>
      <c r="P469" s="94" t="inlineStr">
        <is>
          <t>Yes</t>
        </is>
      </c>
    </row>
    <row r="470" ht="21.5" customHeight="1" s="125">
      <c r="D470" s="3" t="n"/>
      <c r="E470" s="3" t="n"/>
      <c r="H470" s="9" t="inlineStr">
        <is>
          <t>MOD-000357</t>
        </is>
      </c>
      <c r="I470" s="18" t="inlineStr">
        <is>
          <t>MFG-003</t>
        </is>
      </c>
      <c r="J470" s="18" t="inlineStr">
        <is>
          <t>DF-032</t>
        </is>
      </c>
      <c r="K470" s="18" t="inlineStr">
        <is>
          <t>DT-001</t>
        </is>
      </c>
      <c r="L470" s="19" t="inlineStr">
        <is>
          <t>Pixel 2</t>
        </is>
      </c>
      <c r="M470" s="19" t="inlineStr">
        <is>
          <t>G011A</t>
        </is>
      </c>
      <c r="N470" s="18" t="n">
        <v>2017</v>
      </c>
      <c r="O470" s="94" t="n">
        <v>357</v>
      </c>
      <c r="P470" s="94" t="inlineStr">
        <is>
          <t>Yes</t>
        </is>
      </c>
    </row>
    <row r="471" ht="21.5" customHeight="1" s="125">
      <c r="A471" s="3" t="inlineStr">
        <is>
          <t>tblDiagnosticResults</t>
        </is>
      </c>
      <c r="D471" s="3" t="n"/>
      <c r="E471" s="3" t="n"/>
      <c r="H471" s="9" t="inlineStr">
        <is>
          <t>MOD-000358</t>
        </is>
      </c>
      <c r="I471" s="18" t="inlineStr">
        <is>
          <t>MFG-003</t>
        </is>
      </c>
      <c r="J471" s="18" t="inlineStr">
        <is>
          <t>DF-032</t>
        </is>
      </c>
      <c r="K471" s="18" t="inlineStr">
        <is>
          <t>DT-001</t>
        </is>
      </c>
      <c r="L471" s="19" t="inlineStr">
        <is>
          <t>Pixel 2 XL</t>
        </is>
      </c>
      <c r="M471" s="19" t="inlineStr">
        <is>
          <t>G011C</t>
        </is>
      </c>
      <c r="N471" s="18" t="n">
        <v>2017</v>
      </c>
      <c r="O471" s="94" t="n">
        <v>358</v>
      </c>
      <c r="P471" s="94" t="inlineStr">
        <is>
          <t>Yes</t>
        </is>
      </c>
    </row>
    <row r="472" ht="21.5" customHeight="1" s="125">
      <c r="A472" s="6" t="inlineStr">
        <is>
          <t>ID</t>
        </is>
      </c>
      <c r="B472" s="6" t="inlineStr">
        <is>
          <t>Name</t>
        </is>
      </c>
      <c r="C472" s="6" t="inlineStr">
        <is>
          <t>Description</t>
        </is>
      </c>
      <c r="D472" s="6" t="inlineStr">
        <is>
          <t>DisplayOrder</t>
        </is>
      </c>
      <c r="E472" s="6" t="inlineStr">
        <is>
          <t>Active</t>
        </is>
      </c>
      <c r="H472" s="9" t="inlineStr">
        <is>
          <t>MOD-000359</t>
        </is>
      </c>
      <c r="I472" s="18" t="inlineStr">
        <is>
          <t>MFG-003</t>
        </is>
      </c>
      <c r="J472" s="18" t="inlineStr">
        <is>
          <t>DF-032</t>
        </is>
      </c>
      <c r="K472" s="18" t="inlineStr">
        <is>
          <t>DT-001</t>
        </is>
      </c>
      <c r="L472" s="19" t="inlineStr">
        <is>
          <t>Pixel 3</t>
        </is>
      </c>
      <c r="M472" s="19" t="inlineStr">
        <is>
          <t>G013A</t>
        </is>
      </c>
      <c r="N472" s="18" t="n">
        <v>2018</v>
      </c>
      <c r="O472" s="94" t="n">
        <v>359</v>
      </c>
      <c r="P472" s="94" t="inlineStr">
        <is>
          <t>Yes</t>
        </is>
      </c>
    </row>
    <row r="473" ht="21.5" customHeight="1" s="125">
      <c r="A473" s="94" t="inlineStr">
        <is>
          <t>DGN-000001</t>
        </is>
      </c>
      <c r="B473" s="94" t="inlineStr">
        <is>
          <t>No Fault Found</t>
        </is>
      </c>
      <c r="C473" s="94" t="n"/>
      <c r="D473" s="94" t="n">
        <v>1</v>
      </c>
      <c r="E473" s="94" t="b">
        <v>1</v>
      </c>
      <c r="H473" s="9" t="inlineStr">
        <is>
          <t>MOD-000360</t>
        </is>
      </c>
      <c r="I473" s="18" t="inlineStr">
        <is>
          <t>MFG-003</t>
        </is>
      </c>
      <c r="J473" s="18" t="inlineStr">
        <is>
          <t>DF-032</t>
        </is>
      </c>
      <c r="K473" s="18" t="inlineStr">
        <is>
          <t>DT-001</t>
        </is>
      </c>
      <c r="L473" s="19" t="inlineStr">
        <is>
          <t>Pixel 3 XL</t>
        </is>
      </c>
      <c r="M473" s="19" t="inlineStr">
        <is>
          <t>G013C</t>
        </is>
      </c>
      <c r="N473" s="18" t="n">
        <v>2018</v>
      </c>
      <c r="O473" s="94" t="n">
        <v>360</v>
      </c>
      <c r="P473" s="94" t="inlineStr">
        <is>
          <t>Yes</t>
        </is>
      </c>
    </row>
    <row r="474" ht="21.5" customHeight="1" s="125">
      <c r="A474" s="94" t="inlineStr">
        <is>
          <t>DGN-000002</t>
        </is>
      </c>
      <c r="B474" s="94" t="inlineStr">
        <is>
          <t>Screen Failure</t>
        </is>
      </c>
      <c r="C474" s="94" t="n"/>
      <c r="D474" s="94" t="n">
        <v>2</v>
      </c>
      <c r="E474" s="94" t="b">
        <v>1</v>
      </c>
      <c r="H474" s="9" t="inlineStr">
        <is>
          <t>MOD-000361</t>
        </is>
      </c>
      <c r="I474" s="18" t="inlineStr">
        <is>
          <t>MFG-003</t>
        </is>
      </c>
      <c r="J474" s="18" t="inlineStr">
        <is>
          <t>DF-032</t>
        </is>
      </c>
      <c r="K474" s="18" t="inlineStr">
        <is>
          <t>DT-001</t>
        </is>
      </c>
      <c r="L474" s="19" t="inlineStr">
        <is>
          <t>Pixel 3a</t>
        </is>
      </c>
      <c r="M474" s="19" t="inlineStr">
        <is>
          <t>G020A</t>
        </is>
      </c>
      <c r="N474" s="18" t="n">
        <v>2019</v>
      </c>
      <c r="O474" s="94" t="n">
        <v>361</v>
      </c>
      <c r="P474" s="94" t="inlineStr">
        <is>
          <t>Yes</t>
        </is>
      </c>
    </row>
    <row r="475" ht="21.5" customHeight="1" s="125">
      <c r="A475" s="94" t="inlineStr">
        <is>
          <t>DGN-000003</t>
        </is>
      </c>
      <c r="B475" s="94" t="inlineStr">
        <is>
          <t>Battery Failure</t>
        </is>
      </c>
      <c r="C475" s="94" t="n"/>
      <c r="D475" s="94" t="n">
        <v>3</v>
      </c>
      <c r="E475" s="94" t="b">
        <v>1</v>
      </c>
      <c r="H475" s="9" t="inlineStr">
        <is>
          <t>MOD-000362</t>
        </is>
      </c>
      <c r="I475" s="18" t="inlineStr">
        <is>
          <t>MFG-003</t>
        </is>
      </c>
      <c r="J475" s="18" t="inlineStr">
        <is>
          <t>DF-032</t>
        </is>
      </c>
      <c r="K475" s="18" t="inlineStr">
        <is>
          <t>DT-001</t>
        </is>
      </c>
      <c r="L475" s="19" t="inlineStr">
        <is>
          <t>Pixel 3a XL</t>
        </is>
      </c>
      <c r="M475" s="19" t="inlineStr">
        <is>
          <t>G020C</t>
        </is>
      </c>
      <c r="N475" s="18" t="n">
        <v>2019</v>
      </c>
      <c r="O475" s="94" t="n">
        <v>362</v>
      </c>
      <c r="P475" s="94" t="inlineStr">
        <is>
          <t>Yes</t>
        </is>
      </c>
    </row>
    <row r="476" ht="21.5" customHeight="1" s="125">
      <c r="A476" s="94" t="inlineStr">
        <is>
          <t>DGN-000004</t>
        </is>
      </c>
      <c r="B476" s="94" t="inlineStr">
        <is>
          <t>Charging Failure</t>
        </is>
      </c>
      <c r="C476" s="94" t="n"/>
      <c r="D476" s="94" t="n">
        <v>4</v>
      </c>
      <c r="E476" s="94" t="b">
        <v>1</v>
      </c>
      <c r="H476" s="9" t="inlineStr">
        <is>
          <t>MOD-000363</t>
        </is>
      </c>
      <c r="I476" s="18" t="inlineStr">
        <is>
          <t>MFG-003</t>
        </is>
      </c>
      <c r="J476" s="18" t="inlineStr">
        <is>
          <t>DF-032</t>
        </is>
      </c>
      <c r="K476" s="18" t="inlineStr">
        <is>
          <t>DT-001</t>
        </is>
      </c>
      <c r="L476" s="19" t="inlineStr">
        <is>
          <t>Pixel 4</t>
        </is>
      </c>
      <c r="M476" s="19" t="inlineStr">
        <is>
          <t>G020I</t>
        </is>
      </c>
      <c r="N476" s="18" t="n">
        <v>2019</v>
      </c>
      <c r="O476" s="94" t="n">
        <v>363</v>
      </c>
      <c r="P476" s="94" t="inlineStr">
        <is>
          <t>Yes</t>
        </is>
      </c>
    </row>
    <row r="477" ht="21.5" customHeight="1" s="125">
      <c r="A477" s="94" t="inlineStr">
        <is>
          <t>DGN-000005</t>
        </is>
      </c>
      <c r="B477" s="94" t="inlineStr">
        <is>
          <t>Liquid Damage</t>
        </is>
      </c>
      <c r="C477" s="94" t="n"/>
      <c r="D477" s="94" t="n">
        <v>5</v>
      </c>
      <c r="E477" s="94" t="b">
        <v>1</v>
      </c>
      <c r="H477" s="9" t="inlineStr">
        <is>
          <t>MOD-000364</t>
        </is>
      </c>
      <c r="I477" s="18" t="inlineStr">
        <is>
          <t>MFG-003</t>
        </is>
      </c>
      <c r="J477" s="18" t="inlineStr">
        <is>
          <t>DF-032</t>
        </is>
      </c>
      <c r="K477" s="18" t="inlineStr">
        <is>
          <t>DT-001</t>
        </is>
      </c>
      <c r="L477" s="19" t="inlineStr">
        <is>
          <t>Pixel 4 XL</t>
        </is>
      </c>
      <c r="M477" s="19" t="inlineStr">
        <is>
          <t>G020J</t>
        </is>
      </c>
      <c r="N477" s="18" t="n">
        <v>2019</v>
      </c>
      <c r="O477" s="94" t="n">
        <v>364</v>
      </c>
      <c r="P477" s="94" t="inlineStr">
        <is>
          <t>Yes</t>
        </is>
      </c>
    </row>
    <row r="478" ht="21.5" customHeight="1" s="125">
      <c r="A478" s="94" t="inlineStr">
        <is>
          <t>DGN-000006</t>
        </is>
      </c>
      <c r="B478" s="94" t="inlineStr">
        <is>
          <t>Board Failure</t>
        </is>
      </c>
      <c r="C478" s="94" t="n"/>
      <c r="D478" s="94" t="n">
        <v>6</v>
      </c>
      <c r="E478" s="94" t="b">
        <v>1</v>
      </c>
      <c r="H478" s="9" t="inlineStr">
        <is>
          <t>MOD-000365</t>
        </is>
      </c>
      <c r="I478" s="7" t="inlineStr">
        <is>
          <t>MFG-003</t>
        </is>
      </c>
      <c r="J478" s="7" t="inlineStr">
        <is>
          <t>DF-032</t>
        </is>
      </c>
      <c r="K478" s="7" t="inlineStr">
        <is>
          <t>DT-001</t>
        </is>
      </c>
      <c r="L478" s="8" t="inlineStr">
        <is>
          <t>Pixel 4a</t>
        </is>
      </c>
      <c r="M478" s="8" t="inlineStr">
        <is>
          <t>G025J</t>
        </is>
      </c>
      <c r="N478" s="7" t="n">
        <v>2020</v>
      </c>
      <c r="O478" s="94" t="n">
        <v>365</v>
      </c>
      <c r="P478" s="94" t="inlineStr">
        <is>
          <t>Yes</t>
        </is>
      </c>
    </row>
    <row r="479" ht="21.5" customHeight="1" s="125">
      <c r="A479" s="94" t="inlineStr">
        <is>
          <t>DGN-000007</t>
        </is>
      </c>
      <c r="B479" s="94" t="inlineStr">
        <is>
          <t>Software Issue</t>
        </is>
      </c>
      <c r="C479" s="94" t="n"/>
      <c r="D479" s="94" t="n">
        <v>7</v>
      </c>
      <c r="E479" s="94" t="b">
        <v>1</v>
      </c>
      <c r="H479" s="9" t="inlineStr">
        <is>
          <t>MOD-000366</t>
        </is>
      </c>
      <c r="I479" s="7" t="inlineStr">
        <is>
          <t>MFG-003</t>
        </is>
      </c>
      <c r="J479" s="7" t="inlineStr">
        <is>
          <t>DF-032</t>
        </is>
      </c>
      <c r="K479" s="7" t="inlineStr">
        <is>
          <t>DT-001</t>
        </is>
      </c>
      <c r="L479" s="8" t="inlineStr">
        <is>
          <t>Pixel 4a (5G)</t>
        </is>
      </c>
      <c r="M479" s="8" t="inlineStr">
        <is>
          <t>G025E</t>
        </is>
      </c>
      <c r="N479" s="7" t="n">
        <v>2020</v>
      </c>
      <c r="O479" s="94" t="n">
        <v>366</v>
      </c>
      <c r="P479" s="94" t="inlineStr">
        <is>
          <t>Yes</t>
        </is>
      </c>
    </row>
    <row r="480" ht="21.5" customHeight="1" s="125">
      <c r="A480" s="94" t="inlineStr">
        <is>
          <t>DGN-000008</t>
        </is>
      </c>
      <c r="B480" s="94" t="inlineStr">
        <is>
          <t>Multiple Failures</t>
        </is>
      </c>
      <c r="C480" s="94" t="n"/>
      <c r="D480" s="94" t="n">
        <v>8</v>
      </c>
      <c r="E480" s="94" t="b">
        <v>1</v>
      </c>
      <c r="H480" s="9" t="inlineStr">
        <is>
          <t>MOD-000367</t>
        </is>
      </c>
      <c r="I480" s="7" t="inlineStr">
        <is>
          <t>MFG-003</t>
        </is>
      </c>
      <c r="J480" s="7" t="inlineStr">
        <is>
          <t>DF-032</t>
        </is>
      </c>
      <c r="K480" s="7" t="inlineStr">
        <is>
          <t>DT-001</t>
        </is>
      </c>
      <c r="L480" s="8" t="inlineStr">
        <is>
          <t>Pixel 5</t>
        </is>
      </c>
      <c r="M480" s="8" t="inlineStr">
        <is>
          <t>GD1YQ</t>
        </is>
      </c>
      <c r="N480" s="7" t="n">
        <v>2020</v>
      </c>
      <c r="O480" s="94" t="n">
        <v>367</v>
      </c>
      <c r="P480" s="94" t="inlineStr">
        <is>
          <t>Yes</t>
        </is>
      </c>
    </row>
    <row r="481" ht="21.5" customHeight="1" s="125">
      <c r="A481" s="94" t="n"/>
      <c r="B481" s="94" t="n"/>
      <c r="C481" s="94" t="n"/>
      <c r="D481" s="94" t="n"/>
      <c r="E481" s="94" t="n"/>
      <c r="H481" s="9" t="inlineStr">
        <is>
          <t>MOD-000368</t>
        </is>
      </c>
      <c r="I481" s="7" t="inlineStr">
        <is>
          <t>MFG-003</t>
        </is>
      </c>
      <c r="J481" s="7" t="inlineStr">
        <is>
          <t>DF-032</t>
        </is>
      </c>
      <c r="K481" s="7" t="inlineStr">
        <is>
          <t>DT-001</t>
        </is>
      </c>
      <c r="L481" s="8" t="inlineStr">
        <is>
          <t>Pixel 5a</t>
        </is>
      </c>
      <c r="M481" s="8" t="inlineStr">
        <is>
          <t>G4S1M</t>
        </is>
      </c>
      <c r="N481" s="7" t="n">
        <v>2021</v>
      </c>
      <c r="O481" s="94" t="n">
        <v>368</v>
      </c>
      <c r="P481" s="94" t="inlineStr">
        <is>
          <t>Yes</t>
        </is>
      </c>
    </row>
    <row r="482" ht="27.5" customHeight="1" s="125">
      <c r="A482" s="10" t="inlineStr">
        <is>
          <t xml:space="preserve"> -------------------------------------------------------------------------------------------------------------------------------</t>
        </is>
      </c>
      <c r="B482" s="94" t="n"/>
      <c r="C482" s="94" t="n"/>
      <c r="D482" s="94" t="n"/>
      <c r="E482" s="94" t="n"/>
      <c r="H482" s="9" t="inlineStr">
        <is>
          <t>MOD-000369</t>
        </is>
      </c>
      <c r="I482" s="7" t="inlineStr">
        <is>
          <t>MFG-003</t>
        </is>
      </c>
      <c r="J482" s="7" t="inlineStr">
        <is>
          <t>DF-032</t>
        </is>
      </c>
      <c r="K482" s="7" t="inlineStr">
        <is>
          <t>DT-001</t>
        </is>
      </c>
      <c r="L482" s="8" t="inlineStr">
        <is>
          <t>Pixel 6</t>
        </is>
      </c>
      <c r="M482" s="8" t="inlineStr">
        <is>
          <t>GB7N6</t>
        </is>
      </c>
      <c r="N482" s="7" t="n">
        <v>2021</v>
      </c>
      <c r="O482" s="94" t="n">
        <v>369</v>
      </c>
      <c r="P482" s="94" t="inlineStr">
        <is>
          <t>Yes</t>
        </is>
      </c>
    </row>
    <row r="483" ht="35" customHeight="1" s="125">
      <c r="A483" s="116" t="inlineStr">
        <is>
          <t>PART LOOKUPS</t>
        </is>
      </c>
      <c r="H483" s="9" t="inlineStr">
        <is>
          <t>MOD-000370</t>
        </is>
      </c>
      <c r="I483" s="7" t="inlineStr">
        <is>
          <t>MFG-003</t>
        </is>
      </c>
      <c r="J483" s="7" t="inlineStr">
        <is>
          <t>DF-032</t>
        </is>
      </c>
      <c r="K483" s="7" t="inlineStr">
        <is>
          <t>DT-001</t>
        </is>
      </c>
      <c r="L483" s="8" t="inlineStr">
        <is>
          <t>Pixel 6 Pro</t>
        </is>
      </c>
      <c r="M483" s="8" t="inlineStr">
        <is>
          <t>GLU0G</t>
        </is>
      </c>
      <c r="N483" s="7" t="n">
        <v>2021</v>
      </c>
      <c r="O483" s="94" t="n">
        <v>370</v>
      </c>
      <c r="P483" s="94" t="inlineStr">
        <is>
          <t>Yes</t>
        </is>
      </c>
    </row>
    <row r="484" ht="27.5" customHeight="1" s="125">
      <c r="A484" s="10" t="inlineStr">
        <is>
          <t xml:space="preserve"> -------------------------------------------------------------------------------------------------------------------------------</t>
        </is>
      </c>
      <c r="B484" s="94" t="n"/>
      <c r="C484" s="94" t="n"/>
      <c r="D484" s="94" t="n"/>
      <c r="E484" s="94" t="n"/>
      <c r="H484" s="9" t="inlineStr">
        <is>
          <t>MOD-000371</t>
        </is>
      </c>
      <c r="I484" s="7" t="inlineStr">
        <is>
          <t>MFG-003</t>
        </is>
      </c>
      <c r="J484" s="7" t="inlineStr">
        <is>
          <t>DF-032</t>
        </is>
      </c>
      <c r="K484" s="7" t="inlineStr">
        <is>
          <t>DT-001</t>
        </is>
      </c>
      <c r="L484" s="8" t="inlineStr">
        <is>
          <t>Pixel 6a</t>
        </is>
      </c>
      <c r="M484" s="8" t="inlineStr">
        <is>
          <t>GX7AS</t>
        </is>
      </c>
      <c r="N484" s="7" t="n">
        <v>2022</v>
      </c>
      <c r="O484" s="94" t="n">
        <v>371</v>
      </c>
      <c r="P484" s="94" t="inlineStr">
        <is>
          <t>Yes</t>
        </is>
      </c>
    </row>
    <row r="485" ht="21.5" customHeight="1" s="125">
      <c r="D485" s="3" t="n"/>
      <c r="E485" s="3" t="n"/>
      <c r="H485" s="9" t="inlineStr">
        <is>
          <t>MOD-000372</t>
        </is>
      </c>
      <c r="I485" s="7" t="inlineStr">
        <is>
          <t>MFG-003</t>
        </is>
      </c>
      <c r="J485" s="7" t="inlineStr">
        <is>
          <t>DF-032</t>
        </is>
      </c>
      <c r="K485" s="7" t="inlineStr">
        <is>
          <t>DT-001</t>
        </is>
      </c>
      <c r="L485" s="8" t="inlineStr">
        <is>
          <t>Pixel 7</t>
        </is>
      </c>
      <c r="M485" s="8" t="inlineStr">
        <is>
          <t>GVU6C</t>
        </is>
      </c>
      <c r="N485" s="7" t="n">
        <v>2022</v>
      </c>
      <c r="O485" s="94" t="n">
        <v>372</v>
      </c>
      <c r="P485" s="94" t="inlineStr">
        <is>
          <t>Yes</t>
        </is>
      </c>
    </row>
    <row r="486" ht="21.5" customHeight="1" s="125">
      <c r="A486" s="3" t="inlineStr">
        <is>
          <t>tblPartCategories</t>
        </is>
      </c>
      <c r="D486" s="3" t="n"/>
      <c r="E486" s="3" t="n"/>
      <c r="H486" s="9" t="inlineStr">
        <is>
          <t>MOD-000373</t>
        </is>
      </c>
      <c r="I486" s="7" t="inlineStr">
        <is>
          <t>MFG-003</t>
        </is>
      </c>
      <c r="J486" s="7" t="inlineStr">
        <is>
          <t>DF-032</t>
        </is>
      </c>
      <c r="K486" s="7" t="inlineStr">
        <is>
          <t>DT-001</t>
        </is>
      </c>
      <c r="L486" s="8" t="inlineStr">
        <is>
          <t>Pixel 7 Pro</t>
        </is>
      </c>
      <c r="M486" s="8" t="inlineStr">
        <is>
          <t>GE2AE</t>
        </is>
      </c>
      <c r="N486" s="7" t="n">
        <v>2022</v>
      </c>
      <c r="O486" s="94" t="n">
        <v>373</v>
      </c>
      <c r="P486" s="94" t="inlineStr">
        <is>
          <t>Yes</t>
        </is>
      </c>
    </row>
    <row r="487" ht="21.5" customHeight="1" s="125">
      <c r="A487" s="6" t="inlineStr">
        <is>
          <t>ID</t>
        </is>
      </c>
      <c r="B487" s="6" t="inlineStr">
        <is>
          <t>Name</t>
        </is>
      </c>
      <c r="C487" s="6" t="inlineStr">
        <is>
          <t>Description</t>
        </is>
      </c>
      <c r="D487" s="6" t="inlineStr">
        <is>
          <t>DisplayOrder</t>
        </is>
      </c>
      <c r="E487" s="6" t="inlineStr">
        <is>
          <t>Active</t>
        </is>
      </c>
      <c r="H487" s="9" t="inlineStr">
        <is>
          <t>MOD-000374</t>
        </is>
      </c>
      <c r="I487" s="7" t="inlineStr">
        <is>
          <t>MFG-003</t>
        </is>
      </c>
      <c r="J487" s="7" t="inlineStr">
        <is>
          <t>DF-032</t>
        </is>
      </c>
      <c r="K487" s="7" t="inlineStr">
        <is>
          <t>DT-001</t>
        </is>
      </c>
      <c r="L487" s="8" t="inlineStr">
        <is>
          <t>Pixel 7a</t>
        </is>
      </c>
      <c r="M487" s="8" t="inlineStr">
        <is>
          <t>GWKK3</t>
        </is>
      </c>
      <c r="N487" s="7" t="n">
        <v>2023</v>
      </c>
      <c r="O487" s="94" t="n">
        <v>374</v>
      </c>
      <c r="P487" s="94" t="inlineStr">
        <is>
          <t>Yes</t>
        </is>
      </c>
    </row>
    <row r="488" ht="21.5" customHeight="1" s="125">
      <c r="A488" s="94" t="inlineStr">
        <is>
          <t>PCT-000001</t>
        </is>
      </c>
      <c r="B488" s="94" t="inlineStr">
        <is>
          <t>Display</t>
        </is>
      </c>
      <c r="C488" s="94" t="inlineStr">
        <is>
          <t>Screens and digitizers</t>
        </is>
      </c>
      <c r="D488" s="94" t="n">
        <v>1</v>
      </c>
      <c r="E488" s="94" t="b">
        <v>1</v>
      </c>
      <c r="H488" s="9" t="inlineStr">
        <is>
          <t>MOD-000375</t>
        </is>
      </c>
      <c r="I488" s="7" t="inlineStr">
        <is>
          <t>MFG-003</t>
        </is>
      </c>
      <c r="J488" s="7" t="inlineStr">
        <is>
          <t>DF-032</t>
        </is>
      </c>
      <c r="K488" s="7" t="inlineStr">
        <is>
          <t>DT-001</t>
        </is>
      </c>
      <c r="L488" s="8" t="inlineStr">
        <is>
          <t>Pixel Fold</t>
        </is>
      </c>
      <c r="M488" s="8" t="inlineStr">
        <is>
          <t>GC3VE</t>
        </is>
      </c>
      <c r="N488" s="7" t="n">
        <v>2023</v>
      </c>
      <c r="O488" s="94" t="n">
        <v>375</v>
      </c>
      <c r="P488" s="94" t="inlineStr">
        <is>
          <t>Yes</t>
        </is>
      </c>
    </row>
    <row r="489" ht="21.5" customHeight="1" s="125">
      <c r="A489" s="94" t="inlineStr">
        <is>
          <t>PCT-000002</t>
        </is>
      </c>
      <c r="B489" s="94" t="inlineStr">
        <is>
          <t>Battery</t>
        </is>
      </c>
      <c r="C489" s="94" t="inlineStr">
        <is>
          <t>Internal batteries</t>
        </is>
      </c>
      <c r="D489" s="94" t="n">
        <v>2</v>
      </c>
      <c r="E489" s="94" t="b">
        <v>1</v>
      </c>
      <c r="H489" s="9" t="inlineStr">
        <is>
          <t>MOD-000376</t>
        </is>
      </c>
      <c r="I489" s="7" t="inlineStr">
        <is>
          <t>MFG-003</t>
        </is>
      </c>
      <c r="J489" s="7" t="inlineStr">
        <is>
          <t>DF-033</t>
        </is>
      </c>
      <c r="K489" s="7" t="inlineStr">
        <is>
          <t>DT-002</t>
        </is>
      </c>
      <c r="L489" s="8" t="inlineStr">
        <is>
          <t>Pixel Tablet</t>
        </is>
      </c>
      <c r="M489" s="8" t="inlineStr">
        <is>
          <t>GTU8P</t>
        </is>
      </c>
      <c r="N489" s="7" t="n">
        <v>2023</v>
      </c>
      <c r="O489" s="94" t="n">
        <v>376</v>
      </c>
      <c r="P489" s="94" t="inlineStr">
        <is>
          <t>Yes</t>
        </is>
      </c>
    </row>
    <row r="490" ht="21.5" customHeight="1" s="125">
      <c r="A490" s="94" t="inlineStr">
        <is>
          <t>PCT-000003</t>
        </is>
      </c>
      <c r="B490" s="94" t="inlineStr">
        <is>
          <t>Charging</t>
        </is>
      </c>
      <c r="C490" s="94" t="inlineStr">
        <is>
          <t>Charging ports</t>
        </is>
      </c>
      <c r="D490" s="94" t="n">
        <v>3</v>
      </c>
      <c r="E490" s="94" t="b">
        <v>1</v>
      </c>
      <c r="H490" s="9" t="inlineStr">
        <is>
          <t>MOD-000377</t>
        </is>
      </c>
      <c r="I490" s="7" t="inlineStr">
        <is>
          <t>MFG-003</t>
        </is>
      </c>
      <c r="J490" s="7" t="inlineStr">
        <is>
          <t>DF-032</t>
        </is>
      </c>
      <c r="K490" s="7" t="inlineStr">
        <is>
          <t>DT-001</t>
        </is>
      </c>
      <c r="L490" s="8" t="inlineStr">
        <is>
          <t>Pixel 8</t>
        </is>
      </c>
      <c r="M490" s="8" t="inlineStr">
        <is>
          <t>GKWS6</t>
        </is>
      </c>
      <c r="N490" s="7" t="n">
        <v>2023</v>
      </c>
      <c r="O490" s="94" t="n">
        <v>377</v>
      </c>
      <c r="P490" s="94" t="inlineStr">
        <is>
          <t>Yes</t>
        </is>
      </c>
    </row>
    <row r="491" ht="21.5" customHeight="1" s="125">
      <c r="A491" s="94" t="inlineStr">
        <is>
          <t>PCT-000004</t>
        </is>
      </c>
      <c r="B491" s="94" t="inlineStr">
        <is>
          <t>Camera</t>
        </is>
      </c>
      <c r="C491" s="94" t="inlineStr">
        <is>
          <t>Front/rear cameras</t>
        </is>
      </c>
      <c r="D491" s="94" t="n">
        <v>4</v>
      </c>
      <c r="E491" s="94" t="b">
        <v>1</v>
      </c>
      <c r="H491" s="9" t="inlineStr">
        <is>
          <t>MOD-000378</t>
        </is>
      </c>
      <c r="I491" s="7" t="inlineStr">
        <is>
          <t>MFG-003</t>
        </is>
      </c>
      <c r="J491" s="7" t="inlineStr">
        <is>
          <t>DF-032</t>
        </is>
      </c>
      <c r="K491" s="7" t="inlineStr">
        <is>
          <t>DT-001</t>
        </is>
      </c>
      <c r="L491" s="8" t="inlineStr">
        <is>
          <t>Pixel 8 Pro</t>
        </is>
      </c>
      <c r="M491" s="8" t="inlineStr">
        <is>
          <t>GC3HQ</t>
        </is>
      </c>
      <c r="N491" s="7" t="n">
        <v>2023</v>
      </c>
      <c r="O491" s="94" t="n">
        <v>378</v>
      </c>
      <c r="P491" s="94" t="inlineStr">
        <is>
          <t>Yes</t>
        </is>
      </c>
    </row>
    <row r="492" ht="21.5" customHeight="1" s="125">
      <c r="A492" s="94" t="inlineStr">
        <is>
          <t>PCT-000005</t>
        </is>
      </c>
      <c r="B492" s="94" t="inlineStr">
        <is>
          <t>Housing</t>
        </is>
      </c>
      <c r="C492" s="94" t="inlineStr">
        <is>
          <t>Frames and housings</t>
        </is>
      </c>
      <c r="D492" s="94" t="n">
        <v>5</v>
      </c>
      <c r="E492" s="94" t="b">
        <v>1</v>
      </c>
      <c r="H492" s="9" t="inlineStr">
        <is>
          <t>MOD-000379</t>
        </is>
      </c>
      <c r="I492" s="7" t="inlineStr">
        <is>
          <t>MFG-003</t>
        </is>
      </c>
      <c r="J492" s="7" t="inlineStr">
        <is>
          <t>DF-032</t>
        </is>
      </c>
      <c r="K492" s="7" t="inlineStr">
        <is>
          <t>DT-001</t>
        </is>
      </c>
      <c r="L492" s="8" t="inlineStr">
        <is>
          <t>Pixel 8a</t>
        </is>
      </c>
      <c r="M492" s="8" t="inlineStr">
        <is>
          <t>G8HNN</t>
        </is>
      </c>
      <c r="N492" s="7" t="n">
        <v>2024</v>
      </c>
      <c r="O492" s="94" t="n">
        <v>379</v>
      </c>
      <c r="P492" s="94" t="inlineStr">
        <is>
          <t>Yes</t>
        </is>
      </c>
    </row>
    <row r="493" ht="21.5" customHeight="1" s="125">
      <c r="A493" s="94" t="inlineStr">
        <is>
          <t>PCT-000006</t>
        </is>
      </c>
      <c r="B493" s="94" t="inlineStr">
        <is>
          <t>Audio</t>
        </is>
      </c>
      <c r="C493" s="94" t="inlineStr">
        <is>
          <t>Speakers/microphones</t>
        </is>
      </c>
      <c r="D493" s="94" t="n">
        <v>6</v>
      </c>
      <c r="E493" s="94" t="b">
        <v>1</v>
      </c>
      <c r="H493" s="9" t="inlineStr">
        <is>
          <t>MOD-000380</t>
        </is>
      </c>
      <c r="I493" s="7" t="inlineStr">
        <is>
          <t>MFG-003</t>
        </is>
      </c>
      <c r="J493" s="7" t="inlineStr">
        <is>
          <t>DF-032</t>
        </is>
      </c>
      <c r="K493" s="7" t="inlineStr">
        <is>
          <t>DT-001</t>
        </is>
      </c>
      <c r="L493" s="8" t="inlineStr">
        <is>
          <t>Pixel 9</t>
        </is>
      </c>
      <c r="M493" s="8" t="inlineStr">
        <is>
          <t>GR83Y</t>
        </is>
      </c>
      <c r="N493" s="7" t="n">
        <v>2024</v>
      </c>
      <c r="O493" s="94" t="n">
        <v>380</v>
      </c>
      <c r="P493" s="94" t="inlineStr">
        <is>
          <t>Yes</t>
        </is>
      </c>
    </row>
    <row r="494" ht="21.5" customHeight="1" s="125">
      <c r="A494" s="94" t="inlineStr">
        <is>
          <t>PCT-000007</t>
        </is>
      </c>
      <c r="B494" s="94" t="inlineStr">
        <is>
          <t>Buttons</t>
        </is>
      </c>
      <c r="C494" s="94" t="inlineStr">
        <is>
          <t>Power/volume/home</t>
        </is>
      </c>
      <c r="D494" s="94" t="n">
        <v>7</v>
      </c>
      <c r="E494" s="94" t="b">
        <v>1</v>
      </c>
      <c r="H494" s="9" t="inlineStr">
        <is>
          <t>MOD-000381</t>
        </is>
      </c>
      <c r="I494" s="7" t="inlineStr">
        <is>
          <t>MFG-003</t>
        </is>
      </c>
      <c r="J494" s="7" t="inlineStr">
        <is>
          <t>DF-032</t>
        </is>
      </c>
      <c r="K494" s="7" t="inlineStr">
        <is>
          <t>DT-001</t>
        </is>
      </c>
      <c r="L494" s="8" t="inlineStr">
        <is>
          <t>Pixel 9 Pro</t>
        </is>
      </c>
      <c r="M494" s="8" t="inlineStr">
        <is>
          <t>GGX8B</t>
        </is>
      </c>
      <c r="N494" s="7" t="n">
        <v>2024</v>
      </c>
      <c r="O494" s="94" t="n">
        <v>381</v>
      </c>
      <c r="P494" s="94" t="inlineStr">
        <is>
          <t>Yes</t>
        </is>
      </c>
    </row>
    <row r="495" ht="21.5" customHeight="1" s="125">
      <c r="A495" s="94" t="inlineStr">
        <is>
          <t>PCT-000008</t>
        </is>
      </c>
      <c r="B495" s="94" t="inlineStr">
        <is>
          <t>Board</t>
        </is>
      </c>
      <c r="C495" s="94" t="inlineStr">
        <is>
          <t>Logic boards</t>
        </is>
      </c>
      <c r="D495" s="94" t="n">
        <v>8</v>
      </c>
      <c r="E495" s="94" t="b">
        <v>1</v>
      </c>
      <c r="H495" s="9" t="inlineStr">
        <is>
          <t>MOD-000382</t>
        </is>
      </c>
      <c r="I495" s="7" t="inlineStr">
        <is>
          <t>MFG-003</t>
        </is>
      </c>
      <c r="J495" s="7" t="inlineStr">
        <is>
          <t>DF-032</t>
        </is>
      </c>
      <c r="K495" s="7" t="inlineStr">
        <is>
          <t>DT-001</t>
        </is>
      </c>
      <c r="L495" s="8" t="inlineStr">
        <is>
          <t>Pixel 9 Pro XL</t>
        </is>
      </c>
      <c r="M495" s="8" t="inlineStr">
        <is>
          <t>GZC4K</t>
        </is>
      </c>
      <c r="N495" s="7" t="n">
        <v>2024</v>
      </c>
      <c r="O495" s="94" t="n">
        <v>382</v>
      </c>
      <c r="P495" s="94" t="inlineStr">
        <is>
          <t>Yes</t>
        </is>
      </c>
    </row>
    <row r="496" ht="21.5" customHeight="1" s="125">
      <c r="A496" s="94" t="inlineStr">
        <is>
          <t>PCT-000009</t>
        </is>
      </c>
      <c r="B496" s="94" t="inlineStr">
        <is>
          <t>Flex Cable</t>
        </is>
      </c>
      <c r="C496" s="94" t="inlineStr">
        <is>
          <t>Internal flex cables</t>
        </is>
      </c>
      <c r="D496" s="94" t="n">
        <v>9</v>
      </c>
      <c r="E496" s="94" t="b">
        <v>1</v>
      </c>
      <c r="H496" s="9" t="inlineStr">
        <is>
          <t>MOD-000383</t>
        </is>
      </c>
      <c r="I496" s="7" t="inlineStr">
        <is>
          <t>MFG-003</t>
        </is>
      </c>
      <c r="J496" s="7" t="inlineStr">
        <is>
          <t>DF-032</t>
        </is>
      </c>
      <c r="K496" s="7" t="inlineStr">
        <is>
          <t>DT-001</t>
        </is>
      </c>
      <c r="L496" s="8" t="inlineStr">
        <is>
          <t>Pixel 9 Pro Fold</t>
        </is>
      </c>
      <c r="M496" s="8" t="inlineStr">
        <is>
          <t>GGH2X</t>
        </is>
      </c>
      <c r="N496" s="7" t="n">
        <v>2024</v>
      </c>
      <c r="O496" s="94" t="n">
        <v>383</v>
      </c>
      <c r="P496" s="94" t="inlineStr">
        <is>
          <t>Yes</t>
        </is>
      </c>
    </row>
    <row r="497" ht="21.5" customHeight="1" s="125">
      <c r="A497" s="94" t="inlineStr">
        <is>
          <t>PCT-000010</t>
        </is>
      </c>
      <c r="B497" s="94" t="inlineStr">
        <is>
          <t>Accessory</t>
        </is>
      </c>
      <c r="C497" s="94" t="inlineStr">
        <is>
          <t>Accessories</t>
        </is>
      </c>
      <c r="D497" s="94" t="n">
        <v>10</v>
      </c>
      <c r="E497" s="94" t="b">
        <v>1</v>
      </c>
      <c r="H497" s="9" t="inlineStr">
        <is>
          <t>MOD-000384</t>
        </is>
      </c>
      <c r="I497" s="7" t="inlineStr">
        <is>
          <t>MFG-003</t>
        </is>
      </c>
      <c r="J497" s="7" t="inlineStr">
        <is>
          <t>DF-032</t>
        </is>
      </c>
      <c r="K497" s="7" t="inlineStr">
        <is>
          <t>DT-001</t>
        </is>
      </c>
      <c r="L497" s="8" t="inlineStr">
        <is>
          <t>Pixel 9a</t>
        </is>
      </c>
      <c r="M497" s="8" t="inlineStr">
        <is>
          <t>GXQ96</t>
        </is>
      </c>
      <c r="N497" s="7" t="n">
        <v>2025</v>
      </c>
      <c r="O497" s="94" t="n">
        <v>384</v>
      </c>
      <c r="P497" s="94" t="inlineStr">
        <is>
          <t>Yes</t>
        </is>
      </c>
    </row>
    <row r="498" ht="21.5" customHeight="1" s="125">
      <c r="A498" s="17" t="n"/>
      <c r="B498" s="17" t="n"/>
      <c r="C498" s="17" t="n"/>
      <c r="D498" s="17" t="n"/>
      <c r="H498" s="9" t="inlineStr">
        <is>
          <t>MOD-000385</t>
        </is>
      </c>
      <c r="I498" s="7" t="inlineStr">
        <is>
          <t>MFG-004</t>
        </is>
      </c>
      <c r="J498" s="7" t="inlineStr">
        <is>
          <t>DF-040</t>
        </is>
      </c>
      <c r="K498" s="7" t="inlineStr">
        <is>
          <t>DT-001</t>
        </is>
      </c>
      <c r="L498" s="8" t="inlineStr">
        <is>
          <t>Moto G</t>
        </is>
      </c>
      <c r="M498" s="8" t="inlineStr">
        <is>
          <t>XT1032</t>
        </is>
      </c>
      <c r="N498" s="7" t="n">
        <v>2013</v>
      </c>
      <c r="O498" s="94" t="n">
        <v>385</v>
      </c>
      <c r="P498" s="94" t="inlineStr">
        <is>
          <t>Yes</t>
        </is>
      </c>
    </row>
    <row r="499" ht="21.5" customHeight="1" s="125">
      <c r="A499" s="17" t="inlineStr">
        <is>
          <t>tblPartTypes</t>
        </is>
      </c>
      <c r="B499" s="17" t="n"/>
      <c r="C499" s="17" t="n"/>
      <c r="D499" s="17" t="n"/>
      <c r="H499" s="9" t="inlineStr">
        <is>
          <t>MOD-000386</t>
        </is>
      </c>
      <c r="I499" s="7" t="inlineStr">
        <is>
          <t>MFG-004</t>
        </is>
      </c>
      <c r="J499" s="7" t="inlineStr">
        <is>
          <t>DF-040</t>
        </is>
      </c>
      <c r="K499" s="7" t="inlineStr">
        <is>
          <t>DT-001</t>
        </is>
      </c>
      <c r="L499" s="8" t="inlineStr">
        <is>
          <t>Moto G (2nd Gen)</t>
        </is>
      </c>
      <c r="M499" s="8" t="inlineStr">
        <is>
          <t>XT1063</t>
        </is>
      </c>
      <c r="N499" s="7" t="n">
        <v>2014</v>
      </c>
      <c r="O499" s="94" t="n">
        <v>386</v>
      </c>
      <c r="P499" s="94" t="inlineStr">
        <is>
          <t>Yes</t>
        </is>
      </c>
    </row>
    <row r="500" ht="21.5" customHeight="1" s="125">
      <c r="A500" s="6" t="inlineStr">
        <is>
          <t>ID</t>
        </is>
      </c>
      <c r="B500" s="6" t="inlineStr">
        <is>
          <t>Name</t>
        </is>
      </c>
      <c r="C500" s="6" t="inlineStr">
        <is>
          <t>Description</t>
        </is>
      </c>
      <c r="D500" s="6" t="inlineStr">
        <is>
          <t>DisplayOrder</t>
        </is>
      </c>
      <c r="E500" s="6" t="inlineStr">
        <is>
          <t>Active</t>
        </is>
      </c>
      <c r="H500" s="9" t="inlineStr">
        <is>
          <t>MOD-000387</t>
        </is>
      </c>
      <c r="I500" s="7" t="inlineStr">
        <is>
          <t>MFG-004</t>
        </is>
      </c>
      <c r="J500" s="7" t="inlineStr">
        <is>
          <t>DF-040</t>
        </is>
      </c>
      <c r="K500" s="7" t="inlineStr">
        <is>
          <t>DT-001</t>
        </is>
      </c>
      <c r="L500" s="8" t="inlineStr">
        <is>
          <t>Moto G3</t>
        </is>
      </c>
      <c r="M500" s="8" t="inlineStr">
        <is>
          <t>XT1540</t>
        </is>
      </c>
      <c r="N500" s="7" t="n">
        <v>2015</v>
      </c>
      <c r="O500" s="94" t="n">
        <v>387</v>
      </c>
      <c r="P500" s="94" t="inlineStr">
        <is>
          <t>Yes</t>
        </is>
      </c>
    </row>
    <row r="501" ht="21.5" customHeight="1" s="125">
      <c r="A501" s="94" t="inlineStr">
        <is>
          <t>PTY-000001</t>
        </is>
      </c>
      <c r="B501" s="94" t="inlineStr">
        <is>
          <t>OEM</t>
        </is>
      </c>
      <c r="C501" s="94" t="inlineStr">
        <is>
          <t>Original manufacturer</t>
        </is>
      </c>
      <c r="D501" s="94" t="n">
        <v>1</v>
      </c>
      <c r="E501" s="94" t="b">
        <v>1</v>
      </c>
      <c r="H501" s="9" t="inlineStr">
        <is>
          <t>MOD-000388</t>
        </is>
      </c>
      <c r="I501" s="7" t="inlineStr">
        <is>
          <t>MFG-004</t>
        </is>
      </c>
      <c r="J501" s="7" t="inlineStr">
        <is>
          <t>DF-040</t>
        </is>
      </c>
      <c r="K501" s="7" t="inlineStr">
        <is>
          <t>DT-001</t>
        </is>
      </c>
      <c r="L501" s="8" t="inlineStr">
        <is>
          <t>Moto G4</t>
        </is>
      </c>
      <c r="M501" s="8" t="inlineStr">
        <is>
          <t>XT1625</t>
        </is>
      </c>
      <c r="N501" s="7" t="n">
        <v>2016</v>
      </c>
      <c r="O501" s="94" t="n">
        <v>388</v>
      </c>
      <c r="P501" s="94" t="inlineStr">
        <is>
          <t>Yes</t>
        </is>
      </c>
    </row>
    <row r="502" ht="21.5" customHeight="1" s="125">
      <c r="A502" s="94" t="inlineStr">
        <is>
          <t>PTY-000002</t>
        </is>
      </c>
      <c r="B502" s="94" t="inlineStr">
        <is>
          <t>OEM Pull</t>
        </is>
      </c>
      <c r="C502" s="94" t="inlineStr">
        <is>
          <t>Used OEM</t>
        </is>
      </c>
      <c r="D502" s="94" t="n">
        <v>2</v>
      </c>
      <c r="E502" s="94" t="b">
        <v>1</v>
      </c>
      <c r="H502" s="9" t="inlineStr">
        <is>
          <t>MOD-000389</t>
        </is>
      </c>
      <c r="I502" s="7" t="inlineStr">
        <is>
          <t>MFG-004</t>
        </is>
      </c>
      <c r="J502" s="7" t="inlineStr">
        <is>
          <t>DF-040</t>
        </is>
      </c>
      <c r="K502" s="7" t="inlineStr">
        <is>
          <t>DT-001</t>
        </is>
      </c>
      <c r="L502" s="8" t="inlineStr">
        <is>
          <t>Moto G5</t>
        </is>
      </c>
      <c r="M502" s="8" t="inlineStr">
        <is>
          <t>XT1670</t>
        </is>
      </c>
      <c r="N502" s="7" t="n">
        <v>2017</v>
      </c>
      <c r="O502" s="94" t="n">
        <v>389</v>
      </c>
      <c r="P502" s="94" t="inlineStr">
        <is>
          <t>Yes</t>
        </is>
      </c>
    </row>
    <row r="503" ht="21.5" customHeight="1" s="125">
      <c r="A503" s="94" t="inlineStr">
        <is>
          <t>PTY-000003</t>
        </is>
      </c>
      <c r="B503" s="94" t="inlineStr">
        <is>
          <t>Premium Aftermarket</t>
        </is>
      </c>
      <c r="C503" s="94" t="inlineStr">
        <is>
          <t>High quality</t>
        </is>
      </c>
      <c r="D503" s="94" t="n">
        <v>3</v>
      </c>
      <c r="E503" s="94" t="b">
        <v>1</v>
      </c>
      <c r="H503" s="9" t="inlineStr">
        <is>
          <t>MOD-000390</t>
        </is>
      </c>
      <c r="I503" s="7" t="inlineStr">
        <is>
          <t>MFG-004</t>
        </is>
      </c>
      <c r="J503" s="7" t="inlineStr">
        <is>
          <t>DF-040</t>
        </is>
      </c>
      <c r="K503" s="7" t="inlineStr">
        <is>
          <t>DT-001</t>
        </is>
      </c>
      <c r="L503" s="8" t="inlineStr">
        <is>
          <t>Moto G6</t>
        </is>
      </c>
      <c r="M503" s="8" t="inlineStr">
        <is>
          <t>XT1925</t>
        </is>
      </c>
      <c r="N503" s="7" t="n">
        <v>2018</v>
      </c>
      <c r="O503" s="94" t="n">
        <v>390</v>
      </c>
      <c r="P503" s="94" t="inlineStr">
        <is>
          <t>Yes</t>
        </is>
      </c>
    </row>
    <row r="504" ht="21.5" customHeight="1" s="125">
      <c r="A504" s="94" t="inlineStr">
        <is>
          <t>PTY-000004</t>
        </is>
      </c>
      <c r="B504" s="94" t="inlineStr">
        <is>
          <t>Aftermarket</t>
        </is>
      </c>
      <c r="C504" s="94" t="inlineStr">
        <is>
          <t>Standard</t>
        </is>
      </c>
      <c r="D504" s="94" t="n">
        <v>4</v>
      </c>
      <c r="E504" s="94" t="b">
        <v>1</v>
      </c>
      <c r="H504" s="9" t="inlineStr">
        <is>
          <t>MOD-000391</t>
        </is>
      </c>
      <c r="I504" s="7" t="inlineStr">
        <is>
          <t>MFG-004</t>
        </is>
      </c>
      <c r="J504" s="7" t="inlineStr">
        <is>
          <t>DF-040</t>
        </is>
      </c>
      <c r="K504" s="7" t="inlineStr">
        <is>
          <t>DT-001</t>
        </is>
      </c>
      <c r="L504" s="8" t="inlineStr">
        <is>
          <t>Moto G7</t>
        </is>
      </c>
      <c r="M504" s="8" t="inlineStr">
        <is>
          <t>XT1962</t>
        </is>
      </c>
      <c r="N504" s="7" t="n">
        <v>2019</v>
      </c>
      <c r="O504" s="94" t="n">
        <v>391</v>
      </c>
      <c r="P504" s="94" t="inlineStr">
        <is>
          <t>Yes</t>
        </is>
      </c>
    </row>
    <row r="505" ht="21.5" customHeight="1" s="125">
      <c r="A505" s="94" t="inlineStr">
        <is>
          <t>PTY-000005</t>
        </is>
      </c>
      <c r="B505" s="94" t="inlineStr">
        <is>
          <t>Refurbished</t>
        </is>
      </c>
      <c r="C505" s="94" t="inlineStr">
        <is>
          <t>Refurbished</t>
        </is>
      </c>
      <c r="D505" s="94" t="n">
        <v>5</v>
      </c>
      <c r="E505" s="94" t="b">
        <v>1</v>
      </c>
      <c r="H505" s="9" t="inlineStr">
        <is>
          <t>MOD-000392</t>
        </is>
      </c>
      <c r="I505" s="7" t="inlineStr">
        <is>
          <t>MFG-004</t>
        </is>
      </c>
      <c r="J505" s="7" t="inlineStr">
        <is>
          <t>DF-040</t>
        </is>
      </c>
      <c r="K505" s="7" t="inlineStr">
        <is>
          <t>DT-001</t>
        </is>
      </c>
      <c r="L505" s="8" t="inlineStr">
        <is>
          <t>Moto G Power</t>
        </is>
      </c>
      <c r="M505" s="8" t="inlineStr">
        <is>
          <t>XT2041</t>
        </is>
      </c>
      <c r="N505" s="7" t="n">
        <v>2020</v>
      </c>
      <c r="O505" s="94" t="n">
        <v>392</v>
      </c>
      <c r="P505" s="94" t="inlineStr">
        <is>
          <t>Yes</t>
        </is>
      </c>
    </row>
    <row r="506" ht="21.5" customHeight="1" s="125">
      <c r="A506" s="94" t="inlineStr">
        <is>
          <t>PTY-000006</t>
        </is>
      </c>
      <c r="B506" s="94" t="inlineStr">
        <is>
          <t>Used</t>
        </is>
      </c>
      <c r="C506" s="94" t="inlineStr">
        <is>
          <t>Used</t>
        </is>
      </c>
      <c r="D506" s="94" t="n">
        <v>6</v>
      </c>
      <c r="E506" s="94" t="b">
        <v>1</v>
      </c>
      <c r="H506" s="9" t="inlineStr">
        <is>
          <t>MOD-000393</t>
        </is>
      </c>
      <c r="I506" s="7" t="inlineStr">
        <is>
          <t>MFG-004</t>
        </is>
      </c>
      <c r="J506" s="7" t="inlineStr">
        <is>
          <t>DF-040</t>
        </is>
      </c>
      <c r="K506" s="7" t="inlineStr">
        <is>
          <t>DT-001</t>
        </is>
      </c>
      <c r="L506" s="8" t="inlineStr">
        <is>
          <t>Moto G Stylus</t>
        </is>
      </c>
      <c r="M506" s="8" t="inlineStr">
        <is>
          <t>XT2043</t>
        </is>
      </c>
      <c r="N506" s="7" t="n">
        <v>2020</v>
      </c>
      <c r="O506" s="94" t="n">
        <v>393</v>
      </c>
      <c r="P506" s="94" t="inlineStr">
        <is>
          <t>Yes</t>
        </is>
      </c>
    </row>
    <row r="507" ht="21.5" customHeight="1" s="125">
      <c r="A507" s="94" t="inlineStr">
        <is>
          <t>PTY-000007</t>
        </is>
      </c>
      <c r="B507" s="94" t="inlineStr">
        <is>
          <t>Remanufactured</t>
        </is>
      </c>
      <c r="C507" s="94" t="inlineStr">
        <is>
          <t>Remanufactured</t>
        </is>
      </c>
      <c r="D507" s="94" t="n">
        <v>7</v>
      </c>
      <c r="E507" s="94" t="b">
        <v>1</v>
      </c>
      <c r="H507" s="9" t="inlineStr">
        <is>
          <t>MOD-000394</t>
        </is>
      </c>
      <c r="I507" s="7" t="inlineStr">
        <is>
          <t>MFG-004</t>
        </is>
      </c>
      <c r="J507" s="7" t="inlineStr">
        <is>
          <t>DF-040</t>
        </is>
      </c>
      <c r="K507" s="7" t="inlineStr">
        <is>
          <t>DT-001</t>
        </is>
      </c>
      <c r="L507" s="8" t="inlineStr">
        <is>
          <t>Moto G 5G</t>
        </is>
      </c>
      <c r="M507" s="8" t="inlineStr">
        <is>
          <t>XT2113</t>
        </is>
      </c>
      <c r="N507" s="7" t="n">
        <v>2020</v>
      </c>
      <c r="O507" s="94" t="n">
        <v>394</v>
      </c>
      <c r="P507" s="94" t="inlineStr">
        <is>
          <t>Yes</t>
        </is>
      </c>
    </row>
    <row r="508" ht="21.5" customHeight="1" s="125">
      <c r="A508" s="17" t="n"/>
      <c r="B508" s="17" t="n"/>
      <c r="C508" s="17" t="n"/>
      <c r="D508" s="17" t="n"/>
      <c r="H508" s="9" t="inlineStr">
        <is>
          <t>MOD-000395</t>
        </is>
      </c>
      <c r="I508" s="7" t="inlineStr">
        <is>
          <t>MFG-004</t>
        </is>
      </c>
      <c r="J508" s="7" t="inlineStr">
        <is>
          <t>DF-040</t>
        </is>
      </c>
      <c r="K508" s="7" t="inlineStr">
        <is>
          <t>DT-001</t>
        </is>
      </c>
      <c r="L508" s="8" t="inlineStr">
        <is>
          <t>Moto G Power (2021)</t>
        </is>
      </c>
      <c r="M508" s="8" t="inlineStr">
        <is>
          <t>XT2117</t>
        </is>
      </c>
      <c r="N508" s="7" t="n">
        <v>2021</v>
      </c>
      <c r="O508" s="94" t="n">
        <v>395</v>
      </c>
      <c r="P508" s="94" t="inlineStr">
        <is>
          <t>Yes</t>
        </is>
      </c>
    </row>
    <row r="509" ht="21.5" customHeight="1" s="125">
      <c r="A509" s="3" t="inlineStr">
        <is>
          <t>tblPartConditions</t>
        </is>
      </c>
      <c r="H509" s="9" t="inlineStr">
        <is>
          <t>MOD-000396</t>
        </is>
      </c>
      <c r="I509" s="7" t="inlineStr">
        <is>
          <t>MFG-004</t>
        </is>
      </c>
      <c r="J509" s="7" t="inlineStr">
        <is>
          <t>DF-040</t>
        </is>
      </c>
      <c r="K509" s="7" t="inlineStr">
        <is>
          <t>DT-001</t>
        </is>
      </c>
      <c r="L509" s="8" t="inlineStr">
        <is>
          <t>Moto G Stylus 5G</t>
        </is>
      </c>
      <c r="M509" s="8" t="inlineStr">
        <is>
          <t>XT2131</t>
        </is>
      </c>
      <c r="N509" s="7" t="n">
        <v>2021</v>
      </c>
      <c r="O509" s="94" t="n">
        <v>396</v>
      </c>
      <c r="P509" s="94" t="inlineStr">
        <is>
          <t>Yes</t>
        </is>
      </c>
    </row>
    <row r="510" ht="21.5" customHeight="1" s="125">
      <c r="A510" s="6" t="inlineStr">
        <is>
          <t>ID</t>
        </is>
      </c>
      <c r="B510" s="6" t="inlineStr">
        <is>
          <t>Name</t>
        </is>
      </c>
      <c r="C510" s="6" t="inlineStr">
        <is>
          <t>Description</t>
        </is>
      </c>
      <c r="D510" s="6" t="inlineStr">
        <is>
          <t>DisplayOrder</t>
        </is>
      </c>
      <c r="E510" s="6" t="inlineStr">
        <is>
          <t>Active</t>
        </is>
      </c>
      <c r="H510" s="9" t="inlineStr">
        <is>
          <t>MOD-000397</t>
        </is>
      </c>
      <c r="I510" s="7" t="inlineStr">
        <is>
          <t>MFG-004</t>
        </is>
      </c>
      <c r="J510" s="7" t="inlineStr">
        <is>
          <t>DF-041</t>
        </is>
      </c>
      <c r="K510" s="7" t="inlineStr">
        <is>
          <t>DT-001</t>
        </is>
      </c>
      <c r="L510" s="8" t="inlineStr">
        <is>
          <t>Moto E7</t>
        </is>
      </c>
      <c r="M510" s="8" t="inlineStr">
        <is>
          <t>XT2095</t>
        </is>
      </c>
      <c r="N510" s="7" t="n">
        <v>2020</v>
      </c>
      <c r="O510" s="94" t="n">
        <v>397</v>
      </c>
      <c r="P510" s="94" t="inlineStr">
        <is>
          <t>Yes</t>
        </is>
      </c>
    </row>
    <row r="511" ht="21.5" customHeight="1" s="125">
      <c r="A511" s="94" t="inlineStr">
        <is>
          <t>PCN-000001</t>
        </is>
      </c>
      <c r="B511" s="94" t="inlineStr">
        <is>
          <t>New OEM</t>
        </is>
      </c>
      <c r="C511" s="94" t="inlineStr">
        <is>
          <t>OEM new</t>
        </is>
      </c>
      <c r="D511" s="94" t="n">
        <v>1</v>
      </c>
      <c r="E511" s="94" t="b">
        <v>1</v>
      </c>
      <c r="H511" s="9" t="inlineStr">
        <is>
          <t>MOD-000398</t>
        </is>
      </c>
      <c r="I511" s="7" t="inlineStr">
        <is>
          <t>MFG-004</t>
        </is>
      </c>
      <c r="J511" s="7" t="inlineStr">
        <is>
          <t>DF-041</t>
        </is>
      </c>
      <c r="K511" s="7" t="inlineStr">
        <is>
          <t>DT-001</t>
        </is>
      </c>
      <c r="L511" s="8" t="inlineStr">
        <is>
          <t>Moto E13</t>
        </is>
      </c>
      <c r="M511" s="8" t="inlineStr">
        <is>
          <t>XT2345</t>
        </is>
      </c>
      <c r="N511" s="7" t="n">
        <v>2023</v>
      </c>
      <c r="O511" s="94" t="n">
        <v>398</v>
      </c>
      <c r="P511" s="94" t="inlineStr">
        <is>
          <t>Yes</t>
        </is>
      </c>
    </row>
    <row r="512" ht="21.5" customHeight="1" s="125">
      <c r="A512" s="94" t="inlineStr">
        <is>
          <t>PCN-000002</t>
        </is>
      </c>
      <c r="B512" s="94" t="inlineStr">
        <is>
          <t>OEM Pull</t>
        </is>
      </c>
      <c r="C512" s="94" t="inlineStr">
        <is>
          <t>Pulled OEM</t>
        </is>
      </c>
      <c r="D512" s="94" t="n">
        <v>2</v>
      </c>
      <c r="E512" s="94" t="b">
        <v>1</v>
      </c>
      <c r="H512" s="9" t="inlineStr">
        <is>
          <t>MOD-000399</t>
        </is>
      </c>
      <c r="I512" s="7" t="inlineStr">
        <is>
          <t>MFG-004</t>
        </is>
      </c>
      <c r="J512" s="7" t="inlineStr">
        <is>
          <t>DF-042</t>
        </is>
      </c>
      <c r="K512" s="7" t="inlineStr">
        <is>
          <t>DT-001</t>
        </is>
      </c>
      <c r="L512" s="8" t="inlineStr">
        <is>
          <t>Motorola One 5G</t>
        </is>
      </c>
      <c r="M512" s="8" t="inlineStr">
        <is>
          <t>XT2075</t>
        </is>
      </c>
      <c r="N512" s="7" t="n">
        <v>2020</v>
      </c>
      <c r="O512" s="94" t="n">
        <v>399</v>
      </c>
      <c r="P512" s="94" t="inlineStr">
        <is>
          <t>Yes</t>
        </is>
      </c>
    </row>
    <row r="513" ht="21.5" customHeight="1" s="125">
      <c r="A513" s="94" t="inlineStr">
        <is>
          <t>PCN-000003</t>
        </is>
      </c>
      <c r="B513" s="94" t="inlineStr">
        <is>
          <t>Premium Aftermarket</t>
        </is>
      </c>
      <c r="C513" s="94" t="inlineStr">
        <is>
          <t>High quality</t>
        </is>
      </c>
      <c r="D513" s="94" t="n">
        <v>3</v>
      </c>
      <c r="E513" s="94" t="b">
        <v>1</v>
      </c>
      <c r="H513" s="9" t="inlineStr">
        <is>
          <t>MOD-000400</t>
        </is>
      </c>
      <c r="I513" s="7" t="inlineStr">
        <is>
          <t>MFG-004</t>
        </is>
      </c>
      <c r="J513" s="7" t="inlineStr">
        <is>
          <t>DF-043</t>
        </is>
      </c>
      <c r="K513" s="7" t="inlineStr">
        <is>
          <t>DT-001</t>
        </is>
      </c>
      <c r="L513" s="8" t="inlineStr">
        <is>
          <t>Motorola Edge</t>
        </is>
      </c>
      <c r="M513" s="8" t="inlineStr">
        <is>
          <t>XT2063</t>
        </is>
      </c>
      <c r="N513" s="7" t="n">
        <v>2020</v>
      </c>
      <c r="O513" s="94" t="n">
        <v>400</v>
      </c>
      <c r="P513" s="94" t="inlineStr">
        <is>
          <t>Yes</t>
        </is>
      </c>
    </row>
    <row r="514" ht="21.5" customHeight="1" s="125">
      <c r="A514" s="94" t="inlineStr">
        <is>
          <t>PCN-000004</t>
        </is>
      </c>
      <c r="B514" s="94" t="inlineStr">
        <is>
          <t>Aftermarket</t>
        </is>
      </c>
      <c r="C514" s="94" t="inlineStr">
        <is>
          <t>Standard aftermarket</t>
        </is>
      </c>
      <c r="D514" s="94" t="n">
        <v>4</v>
      </c>
      <c r="E514" s="94" t="b">
        <v>1</v>
      </c>
      <c r="H514" s="9" t="inlineStr">
        <is>
          <t>MOD-000401</t>
        </is>
      </c>
      <c r="I514" s="7" t="inlineStr">
        <is>
          <t>MFG-004</t>
        </is>
      </c>
      <c r="J514" s="7" t="inlineStr">
        <is>
          <t>DF-043</t>
        </is>
      </c>
      <c r="K514" s="7" t="inlineStr">
        <is>
          <t>DT-001</t>
        </is>
      </c>
      <c r="L514" s="8" t="inlineStr">
        <is>
          <t>Motorola Edge+</t>
        </is>
      </c>
      <c r="M514" s="8" t="inlineStr">
        <is>
          <t>XT2061</t>
        </is>
      </c>
      <c r="N514" s="7" t="n">
        <v>2020</v>
      </c>
      <c r="O514" s="94" t="n">
        <v>401</v>
      </c>
      <c r="P514" s="94" t="inlineStr">
        <is>
          <t>Yes</t>
        </is>
      </c>
    </row>
    <row r="515" ht="21.5" customHeight="1" s="125">
      <c r="A515" s="94" t="inlineStr">
        <is>
          <t>PCN-000005</t>
        </is>
      </c>
      <c r="B515" s="94" t="inlineStr">
        <is>
          <t>Refurbished</t>
        </is>
      </c>
      <c r="C515" s="94" t="inlineStr">
        <is>
          <t>Refurbished</t>
        </is>
      </c>
      <c r="D515" s="94" t="n">
        <v>5</v>
      </c>
      <c r="E515" s="94" t="b">
        <v>1</v>
      </c>
      <c r="H515" s="9" t="inlineStr">
        <is>
          <t>MOD-000402</t>
        </is>
      </c>
      <c r="I515" s="7" t="inlineStr">
        <is>
          <t>MFG-004</t>
        </is>
      </c>
      <c r="J515" s="7" t="inlineStr">
        <is>
          <t>DF-044</t>
        </is>
      </c>
      <c r="K515" s="7" t="inlineStr">
        <is>
          <t>DT-001</t>
        </is>
      </c>
      <c r="L515" s="8" t="inlineStr">
        <is>
          <t>Motorola Razr 5G</t>
        </is>
      </c>
      <c r="M515" s="8" t="inlineStr">
        <is>
          <t>XT2071</t>
        </is>
      </c>
      <c r="N515" s="7" t="n">
        <v>2020</v>
      </c>
      <c r="O515" s="94" t="n">
        <v>402</v>
      </c>
      <c r="P515" s="94" t="inlineStr">
        <is>
          <t>Yes</t>
        </is>
      </c>
    </row>
    <row r="516" ht="21.5" customHeight="1" s="125">
      <c r="A516" s="94" t="inlineStr">
        <is>
          <t>PCN-000006</t>
        </is>
      </c>
      <c r="B516" s="94" t="inlineStr">
        <is>
          <t>Used</t>
        </is>
      </c>
      <c r="C516" s="94" t="inlineStr">
        <is>
          <t>Used</t>
        </is>
      </c>
      <c r="D516" s="94" t="n">
        <v>6</v>
      </c>
      <c r="E516" s="94" t="b">
        <v>1</v>
      </c>
      <c r="H516" s="9" t="inlineStr">
        <is>
          <t>MOD-000403</t>
        </is>
      </c>
      <c r="I516" s="7" t="inlineStr">
        <is>
          <t>MFG-004</t>
        </is>
      </c>
      <c r="J516" s="7" t="inlineStr">
        <is>
          <t>DF-044</t>
        </is>
      </c>
      <c r="K516" s="7" t="inlineStr">
        <is>
          <t>DT-001</t>
        </is>
      </c>
      <c r="L516" s="8" t="inlineStr">
        <is>
          <t>Motorola Razr 2023</t>
        </is>
      </c>
      <c r="M516" s="8" t="inlineStr">
        <is>
          <t>XT2323</t>
        </is>
      </c>
      <c r="N516" s="7" t="n">
        <v>2023</v>
      </c>
      <c r="O516" s="94" t="n">
        <v>403</v>
      </c>
      <c r="P516" s="94" t="inlineStr">
        <is>
          <t>Yes</t>
        </is>
      </c>
    </row>
    <row r="517" ht="21.5" customHeight="1" s="125">
      <c r="A517" s="94" t="inlineStr">
        <is>
          <t>PCN-000007</t>
        </is>
      </c>
      <c r="B517" s="94" t="inlineStr">
        <is>
          <t>For Parts</t>
        </is>
      </c>
      <c r="C517" s="94" t="inlineStr">
        <is>
          <t>Parts only</t>
        </is>
      </c>
      <c r="D517" s="94" t="n">
        <v>7</v>
      </c>
      <c r="E517" s="94" t="b">
        <v>1</v>
      </c>
      <c r="H517" s="9" t="inlineStr">
        <is>
          <t>MOD-000404</t>
        </is>
      </c>
      <c r="I517" s="7" t="inlineStr">
        <is>
          <t>MFG-004</t>
        </is>
      </c>
      <c r="J517" s="7" t="inlineStr">
        <is>
          <t>DF-040</t>
        </is>
      </c>
      <c r="K517" s="7" t="inlineStr">
        <is>
          <t>DT-001</t>
        </is>
      </c>
      <c r="L517" s="8" t="inlineStr">
        <is>
          <t>Moto G54 5G</t>
        </is>
      </c>
      <c r="M517" s="8" t="inlineStr">
        <is>
          <t>XT2343</t>
        </is>
      </c>
      <c r="N517" s="7" t="n">
        <v>2023</v>
      </c>
      <c r="O517" s="94" t="n">
        <v>404</v>
      </c>
      <c r="P517" s="94" t="inlineStr">
        <is>
          <t>Yes</t>
        </is>
      </c>
    </row>
    <row r="518" ht="21.5" customHeight="1" s="125">
      <c r="H518" s="9" t="inlineStr">
        <is>
          <t>MOD-000405</t>
        </is>
      </c>
      <c r="I518" s="7" t="inlineStr">
        <is>
          <t>MFG-004</t>
        </is>
      </c>
      <c r="J518" s="7" t="inlineStr">
        <is>
          <t>DF-040</t>
        </is>
      </c>
      <c r="K518" s="7" t="inlineStr">
        <is>
          <t>DT-001</t>
        </is>
      </c>
      <c r="L518" s="8" t="inlineStr">
        <is>
          <t>Moto G84 5G</t>
        </is>
      </c>
      <c r="M518" s="8" t="inlineStr">
        <is>
          <t>XT2347</t>
        </is>
      </c>
      <c r="N518" s="7" t="n">
        <v>2023</v>
      </c>
      <c r="O518" s="94" t="n">
        <v>405</v>
      </c>
      <c r="P518" s="94" t="inlineStr">
        <is>
          <t>Yes</t>
        </is>
      </c>
    </row>
    <row r="519" ht="21.5" customHeight="1" s="125">
      <c r="A519" s="3" t="inlineStr">
        <is>
          <t>tblPartStatus</t>
        </is>
      </c>
      <c r="H519" s="9" t="inlineStr">
        <is>
          <t>MOD-000406</t>
        </is>
      </c>
      <c r="I519" s="7" t="inlineStr">
        <is>
          <t>MFG-004</t>
        </is>
      </c>
      <c r="J519" s="7" t="inlineStr">
        <is>
          <t>DF-040</t>
        </is>
      </c>
      <c r="K519" s="7" t="inlineStr">
        <is>
          <t>DT-001</t>
        </is>
      </c>
      <c r="L519" s="8" t="inlineStr">
        <is>
          <t>Moto G85 5G</t>
        </is>
      </c>
      <c r="M519" s="8" t="inlineStr">
        <is>
          <t>XT2427</t>
        </is>
      </c>
      <c r="N519" s="7" t="n">
        <v>2024</v>
      </c>
      <c r="O519" s="94" t="n">
        <v>406</v>
      </c>
      <c r="P519" s="94" t="inlineStr">
        <is>
          <t>Yes</t>
        </is>
      </c>
    </row>
    <row r="520" ht="21.5" customHeight="1" s="125">
      <c r="A520" s="6" t="inlineStr">
        <is>
          <t>ID</t>
        </is>
      </c>
      <c r="B520" s="6" t="inlineStr">
        <is>
          <t>Name</t>
        </is>
      </c>
      <c r="C520" s="6" t="inlineStr">
        <is>
          <t>Description</t>
        </is>
      </c>
      <c r="D520" s="6" t="inlineStr">
        <is>
          <t>DisplayOrder</t>
        </is>
      </c>
      <c r="E520" s="6" t="inlineStr">
        <is>
          <t>Active</t>
        </is>
      </c>
      <c r="H520" s="9" t="inlineStr">
        <is>
          <t>MOD-000407</t>
        </is>
      </c>
      <c r="I520" s="7" t="inlineStr">
        <is>
          <t>MFG-004</t>
        </is>
      </c>
      <c r="J520" s="7" t="inlineStr">
        <is>
          <t>DF-043</t>
        </is>
      </c>
      <c r="K520" s="7" t="inlineStr">
        <is>
          <t>DT-001</t>
        </is>
      </c>
      <c r="L520" s="8" t="inlineStr">
        <is>
          <t>Motorola Edge 40</t>
        </is>
      </c>
      <c r="M520" s="8" t="inlineStr">
        <is>
          <t>XT2303</t>
        </is>
      </c>
      <c r="N520" s="7" t="n">
        <v>2023</v>
      </c>
      <c r="O520" s="94" t="n">
        <v>407</v>
      </c>
      <c r="P520" s="94" t="inlineStr">
        <is>
          <t>Yes</t>
        </is>
      </c>
    </row>
    <row r="521" ht="21.5" customHeight="1" s="125">
      <c r="A521" s="94" t="inlineStr">
        <is>
          <t>PST-000001</t>
        </is>
      </c>
      <c r="B521" s="94" t="inlineStr">
        <is>
          <t>In Stock</t>
        </is>
      </c>
      <c r="C521" s="94" t="n"/>
      <c r="D521" s="94" t="n">
        <v>1</v>
      </c>
      <c r="E521" s="94" t="b">
        <v>1</v>
      </c>
      <c r="H521" s="9" t="inlineStr">
        <is>
          <t>MOD-000408</t>
        </is>
      </c>
      <c r="I521" s="7" t="inlineStr">
        <is>
          <t>MFG-004</t>
        </is>
      </c>
      <c r="J521" s="7" t="inlineStr">
        <is>
          <t>DF-043</t>
        </is>
      </c>
      <c r="K521" s="7" t="inlineStr">
        <is>
          <t>DT-001</t>
        </is>
      </c>
      <c r="L521" s="8" t="inlineStr">
        <is>
          <t>Motorola Edge 40 Pro</t>
        </is>
      </c>
      <c r="M521" s="8" t="inlineStr">
        <is>
          <t>XT2301</t>
        </is>
      </c>
      <c r="N521" s="7" t="n">
        <v>2023</v>
      </c>
      <c r="O521" s="94" t="n">
        <v>408</v>
      </c>
      <c r="P521" s="94" t="inlineStr">
        <is>
          <t>Yes</t>
        </is>
      </c>
    </row>
    <row r="522" ht="21.5" customHeight="1" s="125">
      <c r="A522" s="94" t="inlineStr">
        <is>
          <t>PST-000002</t>
        </is>
      </c>
      <c r="B522" s="94" t="inlineStr">
        <is>
          <t>Low Stock</t>
        </is>
      </c>
      <c r="C522" s="94" t="n"/>
      <c r="D522" s="94" t="n">
        <v>2</v>
      </c>
      <c r="E522" s="94" t="b">
        <v>1</v>
      </c>
      <c r="H522" s="9" t="inlineStr">
        <is>
          <t>MOD-000409</t>
        </is>
      </c>
      <c r="I522" s="7" t="inlineStr">
        <is>
          <t>MFG-004</t>
        </is>
      </c>
      <c r="J522" s="7" t="inlineStr">
        <is>
          <t>DF-043</t>
        </is>
      </c>
      <c r="K522" s="7" t="inlineStr">
        <is>
          <t>DT-001</t>
        </is>
      </c>
      <c r="L522" s="8" t="inlineStr">
        <is>
          <t>Motorola Edge 50 Pro</t>
        </is>
      </c>
      <c r="M522" s="8" t="inlineStr">
        <is>
          <t>XT2403</t>
        </is>
      </c>
      <c r="N522" s="7" t="n">
        <v>2024</v>
      </c>
      <c r="O522" s="94" t="n">
        <v>409</v>
      </c>
      <c r="P522" s="94" t="inlineStr">
        <is>
          <t>Yes</t>
        </is>
      </c>
    </row>
    <row r="523" ht="21.5" customHeight="1" s="125">
      <c r="A523" s="94" t="inlineStr">
        <is>
          <t>PST-000003</t>
        </is>
      </c>
      <c r="B523" s="94" t="inlineStr">
        <is>
          <t>Out of Stock</t>
        </is>
      </c>
      <c r="C523" s="94" t="n"/>
      <c r="D523" s="94" t="n">
        <v>3</v>
      </c>
      <c r="E523" s="94" t="b">
        <v>1</v>
      </c>
      <c r="H523" s="9" t="inlineStr">
        <is>
          <t>MOD-000410</t>
        </is>
      </c>
      <c r="I523" s="7" t="inlineStr">
        <is>
          <t>MFG-004</t>
        </is>
      </c>
      <c r="J523" s="7" t="inlineStr">
        <is>
          <t>DF-043</t>
        </is>
      </c>
      <c r="K523" s="7" t="inlineStr">
        <is>
          <t>DT-001</t>
        </is>
      </c>
      <c r="L523" s="8" t="inlineStr">
        <is>
          <t>Motorola Edge 50 Ultra</t>
        </is>
      </c>
      <c r="M523" s="8" t="inlineStr">
        <is>
          <t>XT2401</t>
        </is>
      </c>
      <c r="N523" s="7" t="n">
        <v>2024</v>
      </c>
      <c r="O523" s="94" t="n">
        <v>410</v>
      </c>
      <c r="P523" s="94" t="inlineStr">
        <is>
          <t>Yes</t>
        </is>
      </c>
    </row>
    <row r="524" ht="21.5" customHeight="1" s="125">
      <c r="A524" s="94" t="inlineStr">
        <is>
          <t>PST-000004</t>
        </is>
      </c>
      <c r="B524" s="94" t="inlineStr">
        <is>
          <t>Reserved</t>
        </is>
      </c>
      <c r="C524" s="94" t="n"/>
      <c r="D524" s="94" t="n">
        <v>4</v>
      </c>
      <c r="E524" s="94" t="b">
        <v>1</v>
      </c>
      <c r="H524" s="9" t="inlineStr">
        <is>
          <t>MOD-000411</t>
        </is>
      </c>
      <c r="I524" s="7" t="inlineStr">
        <is>
          <t>MFG-004</t>
        </is>
      </c>
      <c r="J524" s="7" t="inlineStr">
        <is>
          <t>DF-044</t>
        </is>
      </c>
      <c r="K524" s="7" t="inlineStr">
        <is>
          <t>DT-001</t>
        </is>
      </c>
      <c r="L524" s="8" t="inlineStr">
        <is>
          <t>Motorola Razr+ (2024)</t>
        </is>
      </c>
      <c r="M524" s="8" t="inlineStr">
        <is>
          <t>XT2451</t>
        </is>
      </c>
      <c r="N524" s="7" t="n">
        <v>2024</v>
      </c>
      <c r="O524" s="94" t="n">
        <v>411</v>
      </c>
      <c r="P524" s="94" t="inlineStr">
        <is>
          <t>Yes</t>
        </is>
      </c>
    </row>
    <row r="525" ht="21.5" customHeight="1" s="125">
      <c r="A525" s="94" t="inlineStr">
        <is>
          <t>PST-000005</t>
        </is>
      </c>
      <c r="B525" s="94" t="inlineStr">
        <is>
          <t>On Order</t>
        </is>
      </c>
      <c r="C525" s="94" t="n"/>
      <c r="D525" s="94" t="n">
        <v>5</v>
      </c>
      <c r="E525" s="94" t="b">
        <v>1</v>
      </c>
      <c r="H525" s="9" t="inlineStr">
        <is>
          <t>MOD-000412</t>
        </is>
      </c>
      <c r="I525" s="7" t="inlineStr">
        <is>
          <t>MFG-004</t>
        </is>
      </c>
      <c r="J525" s="7" t="inlineStr">
        <is>
          <t>DF-045</t>
        </is>
      </c>
      <c r="K525" s="7" t="inlineStr">
        <is>
          <t>DT-001</t>
        </is>
      </c>
      <c r="L525" s="8" t="inlineStr">
        <is>
          <t>ThinkPhone</t>
        </is>
      </c>
      <c r="M525" s="8" t="inlineStr">
        <is>
          <t>XT2309</t>
        </is>
      </c>
      <c r="N525" s="7" t="n">
        <v>2023</v>
      </c>
      <c r="O525" s="94" t="n">
        <v>412</v>
      </c>
      <c r="P525" s="94" t="inlineStr">
        <is>
          <t>Yes</t>
        </is>
      </c>
    </row>
    <row r="526" ht="21.5" customHeight="1" s="125">
      <c r="A526" s="94" t="inlineStr">
        <is>
          <t>PST-000006</t>
        </is>
      </c>
      <c r="B526" s="94" t="inlineStr">
        <is>
          <t>Discontinued</t>
        </is>
      </c>
      <c r="C526" s="94" t="n"/>
      <c r="D526" s="94" t="n">
        <v>6</v>
      </c>
      <c r="E526" s="94" t="b">
        <v>1</v>
      </c>
      <c r="H526" s="9" t="inlineStr">
        <is>
          <t>MOD-000413</t>
        </is>
      </c>
      <c r="I526" s="7" t="inlineStr">
        <is>
          <t>MFG-004</t>
        </is>
      </c>
      <c r="J526" s="7" t="inlineStr">
        <is>
          <t>DF-045</t>
        </is>
      </c>
      <c r="K526" s="7" t="inlineStr">
        <is>
          <t>DT-001</t>
        </is>
      </c>
      <c r="L526" s="8" t="inlineStr">
        <is>
          <t>ThinkPhone 25</t>
        </is>
      </c>
      <c r="M526" s="8" t="inlineStr">
        <is>
          <t>XT2445</t>
        </is>
      </c>
      <c r="N526" s="7" t="n">
        <v>2024</v>
      </c>
      <c r="O526" s="94" t="n">
        <v>413</v>
      </c>
      <c r="P526" s="94" t="inlineStr">
        <is>
          <t>Yes</t>
        </is>
      </c>
    </row>
    <row r="527" ht="21.5" customHeight="1" s="125">
      <c r="A527" s="94" t="inlineStr">
        <is>
          <t>PST-000007</t>
        </is>
      </c>
      <c r="B527" s="94" t="inlineStr">
        <is>
          <t>Defective</t>
        </is>
      </c>
      <c r="C527" s="94" t="n"/>
      <c r="D527" s="94" t="n">
        <v>7</v>
      </c>
      <c r="E527" s="94" t="b">
        <v>1</v>
      </c>
      <c r="H527" s="9" t="inlineStr">
        <is>
          <t>MOD-000414</t>
        </is>
      </c>
      <c r="I527" s="7" t="inlineStr">
        <is>
          <t>MFG-005</t>
        </is>
      </c>
      <c r="J527" s="7" t="inlineStr">
        <is>
          <t>DF-050</t>
        </is>
      </c>
      <c r="K527" s="7" t="inlineStr">
        <is>
          <t>DT-001</t>
        </is>
      </c>
      <c r="L527" s="8" t="inlineStr">
        <is>
          <t>LG G2</t>
        </is>
      </c>
      <c r="M527" s="8" t="inlineStr">
        <is>
          <t>D800</t>
        </is>
      </c>
      <c r="N527" s="7" t="n">
        <v>2013</v>
      </c>
      <c r="O527" s="94" t="n">
        <v>414</v>
      </c>
      <c r="P527" s="94" t="inlineStr">
        <is>
          <t>Yes</t>
        </is>
      </c>
    </row>
    <row r="528" ht="21.5" customHeight="1" s="125">
      <c r="H528" s="9" t="inlineStr">
        <is>
          <t>MOD-000415</t>
        </is>
      </c>
      <c r="I528" s="7" t="inlineStr">
        <is>
          <t>MFG-005</t>
        </is>
      </c>
      <c r="J528" s="7" t="inlineStr">
        <is>
          <t>DF-050</t>
        </is>
      </c>
      <c r="K528" s="7" t="inlineStr">
        <is>
          <t>DT-001</t>
        </is>
      </c>
      <c r="L528" s="8" t="inlineStr">
        <is>
          <t>LG G3</t>
        </is>
      </c>
      <c r="M528" s="8" t="inlineStr">
        <is>
          <t>D850</t>
        </is>
      </c>
      <c r="N528" s="7" t="n">
        <v>2014</v>
      </c>
      <c r="O528" s="94" t="n">
        <v>415</v>
      </c>
      <c r="P528" s="94" t="inlineStr">
        <is>
          <t>Yes</t>
        </is>
      </c>
    </row>
    <row r="529" ht="21.5" customHeight="1" s="125">
      <c r="A529" s="3" t="inlineStr">
        <is>
          <t>tblPartManufacturers</t>
        </is>
      </c>
      <c r="H529" s="9" t="inlineStr">
        <is>
          <t>MOD-000416</t>
        </is>
      </c>
      <c r="I529" s="7" t="inlineStr">
        <is>
          <t>MFG-005</t>
        </is>
      </c>
      <c r="J529" s="7" t="inlineStr">
        <is>
          <t>DF-050</t>
        </is>
      </c>
      <c r="K529" s="7" t="inlineStr">
        <is>
          <t>DT-001</t>
        </is>
      </c>
      <c r="L529" s="8" t="inlineStr">
        <is>
          <t>LG G4</t>
        </is>
      </c>
      <c r="M529" s="8" t="inlineStr">
        <is>
          <t>H815</t>
        </is>
      </c>
      <c r="N529" s="7" t="n">
        <v>2015</v>
      </c>
      <c r="O529" s="94" t="n">
        <v>416</v>
      </c>
      <c r="P529" s="94" t="inlineStr">
        <is>
          <t>Yes</t>
        </is>
      </c>
    </row>
    <row r="530" ht="21.5" customHeight="1" s="125">
      <c r="A530" s="6" t="inlineStr">
        <is>
          <t>ID</t>
        </is>
      </c>
      <c r="B530" s="6" t="inlineStr">
        <is>
          <t>Name</t>
        </is>
      </c>
      <c r="C530" s="6" t="inlineStr">
        <is>
          <t>Description</t>
        </is>
      </c>
      <c r="D530" s="6" t="inlineStr">
        <is>
          <t>DisplayOrder</t>
        </is>
      </c>
      <c r="E530" s="6" t="inlineStr">
        <is>
          <t>Active</t>
        </is>
      </c>
      <c r="H530" s="9" t="inlineStr">
        <is>
          <t>MOD-000417</t>
        </is>
      </c>
      <c r="I530" s="7" t="inlineStr">
        <is>
          <t>MFG-005</t>
        </is>
      </c>
      <c r="J530" s="7" t="inlineStr">
        <is>
          <t>DF-050</t>
        </is>
      </c>
      <c r="K530" s="7" t="inlineStr">
        <is>
          <t>DT-001</t>
        </is>
      </c>
      <c r="L530" s="8" t="inlineStr">
        <is>
          <t>LG G5</t>
        </is>
      </c>
      <c r="M530" s="8" t="inlineStr">
        <is>
          <t>H830</t>
        </is>
      </c>
      <c r="N530" s="7" t="n">
        <v>2016</v>
      </c>
      <c r="O530" s="94" t="n">
        <v>417</v>
      </c>
      <c r="P530" s="94" t="inlineStr">
        <is>
          <t>Yes</t>
        </is>
      </c>
    </row>
    <row r="531" ht="21.5" customHeight="1" s="125">
      <c r="A531" s="3" t="inlineStr">
        <is>
          <t>PMF-000001</t>
        </is>
      </c>
      <c r="B531" s="94" t="inlineStr">
        <is>
          <t>Apple</t>
        </is>
      </c>
      <c r="C531" s="94" t="inlineStr">
        <is>
          <t>Apple</t>
        </is>
      </c>
      <c r="D531" s="4" t="n">
        <v>1</v>
      </c>
      <c r="E531" s="4" t="b">
        <v>1</v>
      </c>
      <c r="H531" s="9" t="inlineStr">
        <is>
          <t>MOD-000418</t>
        </is>
      </c>
      <c r="I531" s="7" t="inlineStr">
        <is>
          <t>MFG-005</t>
        </is>
      </c>
      <c r="J531" s="7" t="inlineStr">
        <is>
          <t>DF-050</t>
        </is>
      </c>
      <c r="K531" s="7" t="inlineStr">
        <is>
          <t>DT-001</t>
        </is>
      </c>
      <c r="L531" s="8" t="inlineStr">
        <is>
          <t>LG G6</t>
        </is>
      </c>
      <c r="M531" s="8" t="inlineStr">
        <is>
          <t>H870</t>
        </is>
      </c>
      <c r="N531" s="7" t="n">
        <v>2017</v>
      </c>
      <c r="O531" s="94" t="n">
        <v>418</v>
      </c>
      <c r="P531" s="94" t="inlineStr">
        <is>
          <t>Yes</t>
        </is>
      </c>
    </row>
    <row r="532" ht="21.5" customHeight="1" s="125">
      <c r="A532" s="3" t="inlineStr">
        <is>
          <t>PMF-000002</t>
        </is>
      </c>
      <c r="B532" s="94" t="inlineStr">
        <is>
          <t>Samsung</t>
        </is>
      </c>
      <c r="C532" s="94" t="inlineStr">
        <is>
          <t>Samsung</t>
        </is>
      </c>
      <c r="D532" s="4" t="n">
        <v>2</v>
      </c>
      <c r="E532" s="4" t="b">
        <v>1</v>
      </c>
      <c r="H532" s="9" t="inlineStr">
        <is>
          <t>MOD-000419</t>
        </is>
      </c>
      <c r="I532" s="7" t="inlineStr">
        <is>
          <t>MFG-005</t>
        </is>
      </c>
      <c r="J532" s="7" t="inlineStr">
        <is>
          <t>DF-050</t>
        </is>
      </c>
      <c r="K532" s="7" t="inlineStr">
        <is>
          <t>DT-001</t>
        </is>
      </c>
      <c r="L532" s="8" t="inlineStr">
        <is>
          <t>LG G7 ThinQ</t>
        </is>
      </c>
      <c r="M532" s="8" t="inlineStr">
        <is>
          <t>LM-G710</t>
        </is>
      </c>
      <c r="N532" s="7" t="n">
        <v>2018</v>
      </c>
      <c r="O532" s="94" t="n">
        <v>419</v>
      </c>
      <c r="P532" s="94" t="inlineStr">
        <is>
          <t>Yes</t>
        </is>
      </c>
    </row>
    <row r="533" ht="21.5" customHeight="1" s="125">
      <c r="A533" s="3" t="inlineStr">
        <is>
          <t>PMF-000003</t>
        </is>
      </c>
      <c r="B533" s="94" t="inlineStr">
        <is>
          <t>Google</t>
        </is>
      </c>
      <c r="C533" s="94" t="inlineStr">
        <is>
          <t>Google</t>
        </is>
      </c>
      <c r="D533" s="4" t="n">
        <v>3</v>
      </c>
      <c r="E533" s="4" t="b">
        <v>1</v>
      </c>
      <c r="H533" s="9" t="inlineStr">
        <is>
          <t>MOD-000420</t>
        </is>
      </c>
      <c r="I533" s="7" t="inlineStr">
        <is>
          <t>MFG-005</t>
        </is>
      </c>
      <c r="J533" s="7" t="inlineStr">
        <is>
          <t>DF-050</t>
        </is>
      </c>
      <c r="K533" s="7" t="inlineStr">
        <is>
          <t>DT-001</t>
        </is>
      </c>
      <c r="L533" s="8" t="inlineStr">
        <is>
          <t>LG G8 ThinQ</t>
        </is>
      </c>
      <c r="M533" s="8" t="inlineStr">
        <is>
          <t>LM-G820</t>
        </is>
      </c>
      <c r="N533" s="7" t="n">
        <v>2019</v>
      </c>
      <c r="O533" s="94" t="n">
        <v>420</v>
      </c>
      <c r="P533" s="94" t="inlineStr">
        <is>
          <t>Yes</t>
        </is>
      </c>
    </row>
    <row r="534" ht="21.5" customHeight="1" s="125">
      <c r="A534" s="3" t="inlineStr">
        <is>
          <t>PMF-000004</t>
        </is>
      </c>
      <c r="B534" s="94" t="inlineStr">
        <is>
          <t>Motorola</t>
        </is>
      </c>
      <c r="C534" s="94" t="inlineStr">
        <is>
          <t>Motorola</t>
        </is>
      </c>
      <c r="D534" s="4" t="n">
        <v>4</v>
      </c>
      <c r="E534" s="4" t="b">
        <v>1</v>
      </c>
      <c r="H534" s="9" t="inlineStr">
        <is>
          <t>MOD-000421</t>
        </is>
      </c>
      <c r="I534" s="7" t="inlineStr">
        <is>
          <t>MFG-005</t>
        </is>
      </c>
      <c r="J534" s="7" t="inlineStr">
        <is>
          <t>DF-051</t>
        </is>
      </c>
      <c r="K534" s="7" t="inlineStr">
        <is>
          <t>DT-001</t>
        </is>
      </c>
      <c r="L534" s="8" t="inlineStr">
        <is>
          <t>LG V20</t>
        </is>
      </c>
      <c r="M534" s="8" t="inlineStr">
        <is>
          <t>H910</t>
        </is>
      </c>
      <c r="N534" s="7" t="n">
        <v>2016</v>
      </c>
      <c r="O534" s="94" t="n">
        <v>421</v>
      </c>
      <c r="P534" s="94" t="inlineStr">
        <is>
          <t>Yes</t>
        </is>
      </c>
    </row>
    <row r="535" ht="21.5" customHeight="1" s="125">
      <c r="A535" s="3" t="inlineStr">
        <is>
          <t>PMF-000005</t>
        </is>
      </c>
      <c r="B535" s="94" t="inlineStr">
        <is>
          <t>Sony</t>
        </is>
      </c>
      <c r="C535" s="94" t="inlineStr">
        <is>
          <t>Sony</t>
        </is>
      </c>
      <c r="D535" s="4" t="n">
        <v>5</v>
      </c>
      <c r="E535" s="4" t="b">
        <v>1</v>
      </c>
      <c r="H535" s="9" t="inlineStr">
        <is>
          <t>MOD-000422</t>
        </is>
      </c>
      <c r="I535" s="7" t="inlineStr">
        <is>
          <t>MFG-005</t>
        </is>
      </c>
      <c r="J535" s="7" t="inlineStr">
        <is>
          <t>DF-051</t>
        </is>
      </c>
      <c r="K535" s="7" t="inlineStr">
        <is>
          <t>DT-001</t>
        </is>
      </c>
      <c r="L535" s="8" t="inlineStr">
        <is>
          <t>LG V30</t>
        </is>
      </c>
      <c r="M535" s="8" t="inlineStr">
        <is>
          <t>H932</t>
        </is>
      </c>
      <c r="N535" s="7" t="n">
        <v>2017</v>
      </c>
      <c r="O535" s="94" t="n">
        <v>422</v>
      </c>
      <c r="P535" s="94" t="inlineStr">
        <is>
          <t>Yes</t>
        </is>
      </c>
    </row>
    <row r="536" ht="21.5" customHeight="1" s="125">
      <c r="A536" s="3" t="inlineStr">
        <is>
          <t>PMF-000006</t>
        </is>
      </c>
      <c r="B536" s="94" t="inlineStr">
        <is>
          <t>LG</t>
        </is>
      </c>
      <c r="C536" s="94" t="inlineStr">
        <is>
          <t>LG</t>
        </is>
      </c>
      <c r="D536" s="4" t="n">
        <v>6</v>
      </c>
      <c r="E536" s="4" t="b">
        <v>1</v>
      </c>
      <c r="H536" s="9" t="inlineStr">
        <is>
          <t>MOD-000423</t>
        </is>
      </c>
      <c r="I536" s="7" t="inlineStr">
        <is>
          <t>MFG-005</t>
        </is>
      </c>
      <c r="J536" s="7" t="inlineStr">
        <is>
          <t>DF-051</t>
        </is>
      </c>
      <c r="K536" s="7" t="inlineStr">
        <is>
          <t>DT-001</t>
        </is>
      </c>
      <c r="L536" s="8" t="inlineStr">
        <is>
          <t>LG V60 ThinQ 5G</t>
        </is>
      </c>
      <c r="M536" s="8" t="inlineStr">
        <is>
          <t>LM-V600</t>
        </is>
      </c>
      <c r="N536" s="7" t="n">
        <v>2020</v>
      </c>
      <c r="O536" s="94" t="n">
        <v>423</v>
      </c>
      <c r="P536" s="94" t="inlineStr">
        <is>
          <t>Yes</t>
        </is>
      </c>
    </row>
    <row r="537" ht="21.5" customHeight="1" s="125">
      <c r="A537" s="3" t="inlineStr">
        <is>
          <t>PMF-000007</t>
        </is>
      </c>
      <c r="B537" s="94" t="inlineStr">
        <is>
          <t>OnePlus</t>
        </is>
      </c>
      <c r="C537" s="94" t="inlineStr">
        <is>
          <t>OnePlus</t>
        </is>
      </c>
      <c r="D537" s="4" t="n">
        <v>7</v>
      </c>
      <c r="E537" s="4" t="b">
        <v>1</v>
      </c>
      <c r="H537" s="9" t="inlineStr">
        <is>
          <t>MOD-000424</t>
        </is>
      </c>
      <c r="I537" s="7" t="inlineStr">
        <is>
          <t>MFG-005</t>
        </is>
      </c>
      <c r="J537" s="7" t="inlineStr">
        <is>
          <t>DF-052</t>
        </is>
      </c>
      <c r="K537" s="7" t="inlineStr">
        <is>
          <t>DT-001</t>
        </is>
      </c>
      <c r="L537" s="8" t="inlineStr">
        <is>
          <t>LG Velvet</t>
        </is>
      </c>
      <c r="M537" s="8" t="inlineStr">
        <is>
          <t>LM-G900</t>
        </is>
      </c>
      <c r="N537" s="7" t="n">
        <v>2020</v>
      </c>
      <c r="O537" s="94" t="n">
        <v>424</v>
      </c>
      <c r="P537" s="94" t="inlineStr">
        <is>
          <t>Yes</t>
        </is>
      </c>
    </row>
    <row r="538" ht="21.5" customHeight="1" s="125">
      <c r="A538" s="3" t="inlineStr">
        <is>
          <t>PMF-000008</t>
        </is>
      </c>
      <c r="B538" s="94" t="inlineStr">
        <is>
          <t>Huawei</t>
        </is>
      </c>
      <c r="C538" s="94" t="inlineStr">
        <is>
          <t>Huawei</t>
        </is>
      </c>
      <c r="D538" s="4" t="n">
        <v>8</v>
      </c>
      <c r="E538" s="4" t="b">
        <v>1</v>
      </c>
      <c r="H538" s="9" t="inlineStr">
        <is>
          <t>MOD-000425</t>
        </is>
      </c>
      <c r="I538" s="7" t="inlineStr">
        <is>
          <t>MFG-005</t>
        </is>
      </c>
      <c r="J538" s="7" t="inlineStr">
        <is>
          <t>DF-053</t>
        </is>
      </c>
      <c r="K538" s="7" t="inlineStr">
        <is>
          <t>DT-001</t>
        </is>
      </c>
      <c r="L538" s="8" t="inlineStr">
        <is>
          <t>LG Wing</t>
        </is>
      </c>
      <c r="M538" s="8" t="inlineStr">
        <is>
          <t>LM-F100</t>
        </is>
      </c>
      <c r="N538" s="7" t="n">
        <v>2020</v>
      </c>
      <c r="O538" s="94" t="n">
        <v>425</v>
      </c>
      <c r="P538" s="94" t="inlineStr">
        <is>
          <t>Yes</t>
        </is>
      </c>
    </row>
    <row r="539" ht="21.5" customHeight="1" s="125">
      <c r="A539" s="3" t="inlineStr">
        <is>
          <t>PMF-000009</t>
        </is>
      </c>
      <c r="B539" s="94" t="inlineStr">
        <is>
          <t>Xiaomi</t>
        </is>
      </c>
      <c r="C539" s="94" t="inlineStr">
        <is>
          <t>Xiaomi</t>
        </is>
      </c>
      <c r="D539" s="4" t="n">
        <v>9</v>
      </c>
      <c r="E539" s="4" t="b">
        <v>1</v>
      </c>
      <c r="H539" s="9" t="inlineStr">
        <is>
          <t>MOD-000426</t>
        </is>
      </c>
      <c r="I539" s="7" t="inlineStr">
        <is>
          <t>MFG-005</t>
        </is>
      </c>
      <c r="J539" s="7" t="inlineStr">
        <is>
          <t>DF-054</t>
        </is>
      </c>
      <c r="K539" s="7" t="inlineStr">
        <is>
          <t>DT-001</t>
        </is>
      </c>
      <c r="L539" s="8" t="inlineStr">
        <is>
          <t>LG Stylo 5</t>
        </is>
      </c>
      <c r="M539" s="8" t="inlineStr">
        <is>
          <t>LM-Q720</t>
        </is>
      </c>
      <c r="N539" s="7" t="n">
        <v>2019</v>
      </c>
      <c r="O539" s="94" t="n">
        <v>426</v>
      </c>
      <c r="P539" s="94" t="inlineStr">
        <is>
          <t>Yes</t>
        </is>
      </c>
    </row>
    <row r="540" ht="21.5" customHeight="1" s="125">
      <c r="A540" s="3" t="inlineStr">
        <is>
          <t>PMF-000010</t>
        </is>
      </c>
      <c r="B540" s="94" t="inlineStr">
        <is>
          <t>ASUS</t>
        </is>
      </c>
      <c r="C540" s="94" t="inlineStr">
        <is>
          <t>ASUS</t>
        </is>
      </c>
      <c r="D540" s="4" t="n">
        <v>10</v>
      </c>
      <c r="E540" s="4" t="b">
        <v>1</v>
      </c>
      <c r="H540" s="9" t="inlineStr">
        <is>
          <t>MOD-000427</t>
        </is>
      </c>
      <c r="I540" s="7" t="inlineStr">
        <is>
          <t>MFG-005</t>
        </is>
      </c>
      <c r="J540" s="7" t="inlineStr">
        <is>
          <t>DF-054</t>
        </is>
      </c>
      <c r="K540" s="7" t="inlineStr">
        <is>
          <t>DT-001</t>
        </is>
      </c>
      <c r="L540" s="8" t="inlineStr">
        <is>
          <t>LG Stylo 6</t>
        </is>
      </c>
      <c r="M540" s="8" t="inlineStr">
        <is>
          <t>LM-Q730</t>
        </is>
      </c>
      <c r="N540" s="7" t="n">
        <v>2020</v>
      </c>
      <c r="O540" s="94" t="n">
        <v>427</v>
      </c>
      <c r="P540" s="94" t="inlineStr">
        <is>
          <t>Yes</t>
        </is>
      </c>
    </row>
    <row r="541" ht="21.5" customHeight="1" s="125">
      <c r="A541" s="3" t="inlineStr">
        <is>
          <t>PMF-000011</t>
        </is>
      </c>
      <c r="B541" s="94" t="inlineStr">
        <is>
          <t>Dell</t>
        </is>
      </c>
      <c r="C541" s="94" t="inlineStr">
        <is>
          <t>Dell</t>
        </is>
      </c>
      <c r="D541" s="4" t="n">
        <v>11</v>
      </c>
      <c r="E541" s="4" t="b">
        <v>1</v>
      </c>
      <c r="H541" s="9" t="inlineStr">
        <is>
          <t>MOD-000428</t>
        </is>
      </c>
      <c r="I541" s="7" t="inlineStr">
        <is>
          <t>MFG-005</t>
        </is>
      </c>
      <c r="J541" s="7" t="inlineStr">
        <is>
          <t>DF-054</t>
        </is>
      </c>
      <c r="K541" s="7" t="inlineStr">
        <is>
          <t>DT-001</t>
        </is>
      </c>
      <c r="L541" s="8" t="inlineStr">
        <is>
          <t>LG Stylo 7</t>
        </is>
      </c>
      <c r="M541" s="8" t="inlineStr">
        <is>
          <t>LM-Q740</t>
        </is>
      </c>
      <c r="N541" s="7" t="n">
        <v>2021</v>
      </c>
      <c r="O541" s="94" t="n">
        <v>428</v>
      </c>
      <c r="P541" s="94" t="inlineStr">
        <is>
          <t>Yes</t>
        </is>
      </c>
    </row>
    <row r="542" ht="21.5" customHeight="1" s="125">
      <c r="A542" s="3" t="inlineStr">
        <is>
          <t>PMF-000012</t>
        </is>
      </c>
      <c r="B542" s="94" t="inlineStr">
        <is>
          <t>HP</t>
        </is>
      </c>
      <c r="C542" s="94" t="inlineStr">
        <is>
          <t>HP</t>
        </is>
      </c>
      <c r="D542" s="4" t="n">
        <v>12</v>
      </c>
      <c r="E542" s="4" t="b">
        <v>1</v>
      </c>
      <c r="H542" s="9" t="inlineStr">
        <is>
          <t>MOD-000429</t>
        </is>
      </c>
      <c r="I542" s="7" t="inlineStr">
        <is>
          <t>MFG-005</t>
        </is>
      </c>
      <c r="J542" s="7" t="inlineStr">
        <is>
          <t>DF-055</t>
        </is>
      </c>
      <c r="K542" s="7" t="inlineStr">
        <is>
          <t>DT-001</t>
        </is>
      </c>
      <c r="L542" s="8" t="inlineStr">
        <is>
          <t>LG K51</t>
        </is>
      </c>
      <c r="M542" s="8" t="inlineStr">
        <is>
          <t>LM-K500</t>
        </is>
      </c>
      <c r="N542" s="7" t="n">
        <v>2020</v>
      </c>
      <c r="O542" s="94" t="n">
        <v>429</v>
      </c>
      <c r="P542" s="94" t="inlineStr">
        <is>
          <t>Yes</t>
        </is>
      </c>
    </row>
    <row r="543" ht="21.5" customHeight="1" s="125">
      <c r="A543" s="3" t="inlineStr">
        <is>
          <t>PMF-000013</t>
        </is>
      </c>
      <c r="B543" s="94" t="inlineStr">
        <is>
          <t>Lenovo</t>
        </is>
      </c>
      <c r="C543" s="94" t="inlineStr">
        <is>
          <t>Lenovo</t>
        </is>
      </c>
      <c r="D543" s="4" t="n">
        <v>13</v>
      </c>
      <c r="E543" s="4" t="b">
        <v>1</v>
      </c>
      <c r="H543" s="9" t="inlineStr">
        <is>
          <t>MOD-000430</t>
        </is>
      </c>
      <c r="I543" s="7" t="inlineStr">
        <is>
          <t>MFG-005</t>
        </is>
      </c>
      <c r="J543" s="7" t="inlineStr">
        <is>
          <t>DF-055</t>
        </is>
      </c>
      <c r="K543" s="7" t="inlineStr">
        <is>
          <t>DT-001</t>
        </is>
      </c>
      <c r="L543" s="8" t="inlineStr">
        <is>
          <t>LG K61</t>
        </is>
      </c>
      <c r="M543" s="8" t="inlineStr">
        <is>
          <t>LM-Q630</t>
        </is>
      </c>
      <c r="N543" s="7" t="n">
        <v>2020</v>
      </c>
      <c r="O543" s="94" t="n">
        <v>430</v>
      </c>
      <c r="P543" s="94" t="inlineStr">
        <is>
          <t>Yes</t>
        </is>
      </c>
    </row>
    <row r="544" ht="21.5" customHeight="1" s="125">
      <c r="A544" s="3" t="inlineStr">
        <is>
          <t>PMF-000014</t>
        </is>
      </c>
      <c r="B544" s="94" t="inlineStr">
        <is>
          <t>Intel</t>
        </is>
      </c>
      <c r="C544" s="94" t="inlineStr">
        <is>
          <t>Intel</t>
        </is>
      </c>
      <c r="D544" s="4" t="n">
        <v>14</v>
      </c>
      <c r="E544" s="4" t="b">
        <v>1</v>
      </c>
      <c r="H544" s="9" t="inlineStr">
        <is>
          <t>MOD-000431</t>
        </is>
      </c>
      <c r="I544" s="7" t="inlineStr">
        <is>
          <t>MFG-005</t>
        </is>
      </c>
      <c r="J544" s="7" t="inlineStr">
        <is>
          <t>DF-056</t>
        </is>
      </c>
      <c r="K544" s="7" t="inlineStr">
        <is>
          <t>DT-001</t>
        </is>
      </c>
      <c r="L544" s="8" t="inlineStr">
        <is>
          <t>LG Q60</t>
        </is>
      </c>
      <c r="M544" s="8" t="inlineStr">
        <is>
          <t>LM-X525</t>
        </is>
      </c>
      <c r="N544" s="7" t="n">
        <v>2019</v>
      </c>
      <c r="O544" s="94" t="n">
        <v>431</v>
      </c>
      <c r="P544" s="94" t="inlineStr">
        <is>
          <t>Yes</t>
        </is>
      </c>
    </row>
    <row r="545" ht="21.5" customHeight="1" s="125">
      <c r="A545" s="3" t="inlineStr">
        <is>
          <t>PMF-000015</t>
        </is>
      </c>
      <c r="B545" s="94" t="inlineStr">
        <is>
          <t>AMD</t>
        </is>
      </c>
      <c r="C545" s="94" t="inlineStr">
        <is>
          <t>AMD</t>
        </is>
      </c>
      <c r="D545" s="4" t="n">
        <v>15</v>
      </c>
      <c r="E545" s="4" t="b">
        <v>1</v>
      </c>
      <c r="H545" s="9" t="inlineStr">
        <is>
          <t>MOD-000432</t>
        </is>
      </c>
      <c r="I545" s="7" t="inlineStr">
        <is>
          <t>MFG-005</t>
        </is>
      </c>
      <c r="J545" s="7" t="inlineStr">
        <is>
          <t>DF-056</t>
        </is>
      </c>
      <c r="K545" s="7" t="inlineStr">
        <is>
          <t>DT-001</t>
        </is>
      </c>
      <c r="L545" s="8" t="inlineStr">
        <is>
          <t>LG Q92 5G</t>
        </is>
      </c>
      <c r="M545" s="8" t="inlineStr">
        <is>
          <t>LM-Q920</t>
        </is>
      </c>
      <c r="N545" s="7" t="n">
        <v>2020</v>
      </c>
      <c r="O545" s="94" t="n">
        <v>432</v>
      </c>
      <c r="P545" s="94" t="inlineStr">
        <is>
          <t>Yes</t>
        </is>
      </c>
    </row>
    <row r="546" ht="21.5" customHeight="1" s="125">
      <c r="A546" s="3" t="inlineStr">
        <is>
          <t>PMF-000016</t>
        </is>
      </c>
      <c r="B546" s="94" t="inlineStr">
        <is>
          <t>Qualcomm</t>
        </is>
      </c>
      <c r="C546" s="94" t="inlineStr">
        <is>
          <t>Qualcomm</t>
        </is>
      </c>
      <c r="D546" s="4" t="n">
        <v>16</v>
      </c>
      <c r="E546" s="4" t="b">
        <v>1</v>
      </c>
      <c r="H546" s="9" t="inlineStr">
        <is>
          <t>MOD-000433</t>
        </is>
      </c>
      <c r="I546" s="7" t="inlineStr">
        <is>
          <t>MFG-005</t>
        </is>
      </c>
      <c r="J546" s="7" t="inlineStr">
        <is>
          <t>DF-056</t>
        </is>
      </c>
      <c r="K546" s="7" t="inlineStr">
        <is>
          <t>DT-001</t>
        </is>
      </c>
      <c r="L546" s="8" t="inlineStr">
        <is>
          <t>LG K92 5G</t>
        </is>
      </c>
      <c r="M546" s="8" t="inlineStr">
        <is>
          <t>LM-K920</t>
        </is>
      </c>
      <c r="N546" s="7" t="n">
        <v>2020</v>
      </c>
      <c r="O546" s="94" t="n">
        <v>433</v>
      </c>
      <c r="P546" s="94" t="inlineStr">
        <is>
          <t>Yes</t>
        </is>
      </c>
    </row>
    <row r="547" ht="21.5" customHeight="1" s="125">
      <c r="A547" s="3" t="inlineStr">
        <is>
          <t>PMF-000017</t>
        </is>
      </c>
      <c r="B547" s="94" t="inlineStr">
        <is>
          <t>MediaTek</t>
        </is>
      </c>
      <c r="C547" s="94" t="inlineStr">
        <is>
          <t>MediaTek</t>
        </is>
      </c>
      <c r="D547" s="4" t="n">
        <v>17</v>
      </c>
      <c r="E547" s="4" t="b">
        <v>1</v>
      </c>
      <c r="H547" s="9" t="inlineStr">
        <is>
          <t>MOD-000434</t>
        </is>
      </c>
      <c r="I547" s="7" t="inlineStr">
        <is>
          <t>MFG-006</t>
        </is>
      </c>
      <c r="J547" s="7" t="inlineStr">
        <is>
          <t>DF-060</t>
        </is>
      </c>
      <c r="K547" s="7" t="inlineStr">
        <is>
          <t>DT-001</t>
        </is>
      </c>
      <c r="L547" s="8" t="inlineStr">
        <is>
          <t>Xperia Z3</t>
        </is>
      </c>
      <c r="M547" s="8" t="inlineStr">
        <is>
          <t>D6603</t>
        </is>
      </c>
      <c r="N547" s="7" t="n">
        <v>2014</v>
      </c>
      <c r="O547" s="94" t="n">
        <v>434</v>
      </c>
      <c r="P547" s="94" t="inlineStr">
        <is>
          <t>Yes</t>
        </is>
      </c>
    </row>
    <row r="548" ht="21.5" customHeight="1" s="125">
      <c r="A548" s="3" t="inlineStr">
        <is>
          <t>PMF-000018</t>
        </is>
      </c>
      <c r="B548" s="94" t="inlineStr">
        <is>
          <t>Texas Instruments</t>
        </is>
      </c>
      <c r="C548" s="94" t="inlineStr">
        <is>
          <t>Texas Instruments</t>
        </is>
      </c>
      <c r="D548" s="4" t="n">
        <v>18</v>
      </c>
      <c r="E548" s="4" t="b">
        <v>1</v>
      </c>
      <c r="H548" s="9" t="inlineStr">
        <is>
          <t>MOD-000435</t>
        </is>
      </c>
      <c r="I548" s="7" t="inlineStr">
        <is>
          <t>MFG-006</t>
        </is>
      </c>
      <c r="J548" s="7" t="inlineStr">
        <is>
          <t>DF-060</t>
        </is>
      </c>
      <c r="K548" s="7" t="inlineStr">
        <is>
          <t>DT-001</t>
        </is>
      </c>
      <c r="L548" s="8" t="inlineStr">
        <is>
          <t>Xperia Z5</t>
        </is>
      </c>
      <c r="M548" s="8" t="inlineStr">
        <is>
          <t>E6653</t>
        </is>
      </c>
      <c r="N548" s="7" t="n">
        <v>2015</v>
      </c>
      <c r="O548" s="94" t="n">
        <v>435</v>
      </c>
      <c r="P548" s="94" t="inlineStr">
        <is>
          <t>Yes</t>
        </is>
      </c>
    </row>
    <row r="549" ht="21.5" customHeight="1" s="125">
      <c r="A549" s="3" t="inlineStr">
        <is>
          <t>PMF-000019</t>
        </is>
      </c>
      <c r="B549" s="94" t="inlineStr">
        <is>
          <t>Foxconn</t>
        </is>
      </c>
      <c r="C549" s="94" t="inlineStr">
        <is>
          <t>Foxconn</t>
        </is>
      </c>
      <c r="D549" s="4" t="n">
        <v>19</v>
      </c>
      <c r="E549" s="4" t="b">
        <v>1</v>
      </c>
      <c r="H549" s="9" t="inlineStr">
        <is>
          <t>MOD-000436</t>
        </is>
      </c>
      <c r="I549" s="7" t="inlineStr">
        <is>
          <t>MFG-006</t>
        </is>
      </c>
      <c r="J549" s="7" t="inlineStr">
        <is>
          <t>DF-060</t>
        </is>
      </c>
      <c r="K549" s="7" t="inlineStr">
        <is>
          <t>DT-001</t>
        </is>
      </c>
      <c r="L549" s="8" t="inlineStr">
        <is>
          <t>Xperia XZ</t>
        </is>
      </c>
      <c r="M549" s="8" t="inlineStr">
        <is>
          <t>F8331</t>
        </is>
      </c>
      <c r="N549" s="7" t="n">
        <v>2016</v>
      </c>
      <c r="O549" s="94" t="n">
        <v>436</v>
      </c>
      <c r="P549" s="94" t="inlineStr">
        <is>
          <t>Yes</t>
        </is>
      </c>
    </row>
    <row r="550" ht="21.5" customHeight="1" s="125">
      <c r="A550" s="3" t="inlineStr">
        <is>
          <t>PMF-000020</t>
        </is>
      </c>
      <c r="B550" s="94" t="inlineStr">
        <is>
          <t>Corning</t>
        </is>
      </c>
      <c r="C550" s="94" t="inlineStr">
        <is>
          <t>Corning</t>
        </is>
      </c>
      <c r="D550" s="4" t="n">
        <v>20</v>
      </c>
      <c r="E550" s="4" t="b">
        <v>1</v>
      </c>
      <c r="H550" s="9" t="inlineStr">
        <is>
          <t>MOD-000437</t>
        </is>
      </c>
      <c r="I550" s="7" t="inlineStr">
        <is>
          <t>MFG-006</t>
        </is>
      </c>
      <c r="J550" s="7" t="inlineStr">
        <is>
          <t>DF-060</t>
        </is>
      </c>
      <c r="K550" s="7" t="inlineStr">
        <is>
          <t>DT-001</t>
        </is>
      </c>
      <c r="L550" s="8" t="inlineStr">
        <is>
          <t>Xperia XZ1</t>
        </is>
      </c>
      <c r="M550" s="8" t="inlineStr">
        <is>
          <t>G8341</t>
        </is>
      </c>
      <c r="N550" s="7" t="n">
        <v>2017</v>
      </c>
      <c r="O550" s="94" t="n">
        <v>437</v>
      </c>
      <c r="P550" s="94" t="inlineStr">
        <is>
          <t>Yes</t>
        </is>
      </c>
    </row>
    <row r="551" ht="21.5" customHeight="1" s="125">
      <c r="A551" s="3" t="inlineStr">
        <is>
          <t>PMF-000021</t>
        </is>
      </c>
      <c r="B551" s="94" t="inlineStr">
        <is>
          <t>BOE</t>
        </is>
      </c>
      <c r="C551" s="94" t="inlineStr">
        <is>
          <t>BOE</t>
        </is>
      </c>
      <c r="D551" s="4" t="n">
        <v>21</v>
      </c>
      <c r="E551" s="4" t="b">
        <v>1</v>
      </c>
      <c r="H551" s="9" t="inlineStr">
        <is>
          <t>MOD-000438</t>
        </is>
      </c>
      <c r="I551" s="7" t="inlineStr">
        <is>
          <t>MFG-006</t>
        </is>
      </c>
      <c r="J551" s="7" t="inlineStr">
        <is>
          <t>DF-060</t>
        </is>
      </c>
      <c r="K551" s="7" t="inlineStr">
        <is>
          <t>DT-001</t>
        </is>
      </c>
      <c r="L551" s="8" t="inlineStr">
        <is>
          <t>Xperia XZ2</t>
        </is>
      </c>
      <c r="M551" s="8" t="inlineStr">
        <is>
          <t>H8266</t>
        </is>
      </c>
      <c r="N551" s="7" t="n">
        <v>2018</v>
      </c>
      <c r="O551" s="94" t="n">
        <v>438</v>
      </c>
      <c r="P551" s="94" t="inlineStr">
        <is>
          <t>Yes</t>
        </is>
      </c>
    </row>
    <row r="552" ht="21.5" customHeight="1" s="125">
      <c r="A552" s="3" t="inlineStr">
        <is>
          <t>PMF-000022</t>
        </is>
      </c>
      <c r="B552" s="94" t="inlineStr">
        <is>
          <t>LG Display</t>
        </is>
      </c>
      <c r="C552" s="94" t="inlineStr">
        <is>
          <t>LG Display</t>
        </is>
      </c>
      <c r="D552" s="4" t="n">
        <v>22</v>
      </c>
      <c r="E552" s="4" t="b">
        <v>1</v>
      </c>
      <c r="H552" s="9" t="inlineStr">
        <is>
          <t>MOD-000439</t>
        </is>
      </c>
      <c r="I552" s="7" t="inlineStr">
        <is>
          <t>MFG-006</t>
        </is>
      </c>
      <c r="J552" s="7" t="inlineStr">
        <is>
          <t>DF-061</t>
        </is>
      </c>
      <c r="K552" s="7" t="inlineStr">
        <is>
          <t>DT-001</t>
        </is>
      </c>
      <c r="L552" s="8" t="inlineStr">
        <is>
          <t>Xperia 1</t>
        </is>
      </c>
      <c r="M552" s="8" t="inlineStr">
        <is>
          <t>J8110</t>
        </is>
      </c>
      <c r="N552" s="7" t="n">
        <v>2019</v>
      </c>
      <c r="O552" s="94" t="n">
        <v>439</v>
      </c>
      <c r="P552" s="94" t="inlineStr">
        <is>
          <t>Yes</t>
        </is>
      </c>
    </row>
    <row r="553" ht="21.5" customHeight="1" s="125">
      <c r="A553" s="3" t="inlineStr">
        <is>
          <t>PMF-000023</t>
        </is>
      </c>
      <c r="B553" s="94" t="inlineStr">
        <is>
          <t>Samsung Display</t>
        </is>
      </c>
      <c r="C553" s="94" t="inlineStr">
        <is>
          <t>Samsung Display</t>
        </is>
      </c>
      <c r="D553" s="4" t="n">
        <v>23</v>
      </c>
      <c r="E553" s="4" t="b">
        <v>1</v>
      </c>
      <c r="H553" s="9" t="inlineStr">
        <is>
          <t>MOD-000440</t>
        </is>
      </c>
      <c r="I553" s="7" t="inlineStr">
        <is>
          <t>MFG-006</t>
        </is>
      </c>
      <c r="J553" s="7" t="inlineStr">
        <is>
          <t>DF-061</t>
        </is>
      </c>
      <c r="K553" s="7" t="inlineStr">
        <is>
          <t>DT-001</t>
        </is>
      </c>
      <c r="L553" s="8" t="inlineStr">
        <is>
          <t>Xperia 1 II</t>
        </is>
      </c>
      <c r="M553" s="8" t="inlineStr">
        <is>
          <t>XQ-AT51</t>
        </is>
      </c>
      <c r="N553" s="7" t="n">
        <v>2020</v>
      </c>
      <c r="O553" s="94" t="n">
        <v>440</v>
      </c>
      <c r="P553" s="94" t="inlineStr">
        <is>
          <t>Yes</t>
        </is>
      </c>
    </row>
    <row r="554" ht="21.5" customHeight="1" s="125">
      <c r="H554" s="9" t="inlineStr">
        <is>
          <t>MOD-000441</t>
        </is>
      </c>
      <c r="I554" s="7" t="inlineStr">
        <is>
          <t>MFG-006</t>
        </is>
      </c>
      <c r="J554" s="7" t="inlineStr">
        <is>
          <t>DF-061</t>
        </is>
      </c>
      <c r="K554" s="7" t="inlineStr">
        <is>
          <t>DT-001</t>
        </is>
      </c>
      <c r="L554" s="8" t="inlineStr">
        <is>
          <t>Xperia 1 III</t>
        </is>
      </c>
      <c r="M554" s="8" t="inlineStr">
        <is>
          <t>XQ-BC52</t>
        </is>
      </c>
      <c r="N554" s="7" t="n">
        <v>2021</v>
      </c>
      <c r="O554" s="94" t="n">
        <v>441</v>
      </c>
      <c r="P554" s="94" t="inlineStr">
        <is>
          <t>Yes</t>
        </is>
      </c>
    </row>
    <row r="555" ht="21.5" customHeight="1" s="125">
      <c r="A555" s="3" t="inlineStr">
        <is>
          <t>tblPartSuppliers</t>
        </is>
      </c>
      <c r="H555" s="9" t="inlineStr">
        <is>
          <t>MOD-000442</t>
        </is>
      </c>
      <c r="I555" s="7" t="inlineStr">
        <is>
          <t>MFG-006</t>
        </is>
      </c>
      <c r="J555" s="7" t="inlineStr">
        <is>
          <t>DF-061</t>
        </is>
      </c>
      <c r="K555" s="7" t="inlineStr">
        <is>
          <t>DT-001</t>
        </is>
      </c>
      <c r="L555" s="8" t="inlineStr">
        <is>
          <t>Xperia 1 V</t>
        </is>
      </c>
      <c r="M555" s="8" t="inlineStr">
        <is>
          <t>XQ-DQ72</t>
        </is>
      </c>
      <c r="N555" s="7" t="n">
        <v>2023</v>
      </c>
      <c r="O555" s="94" t="n">
        <v>442</v>
      </c>
      <c r="P555" s="94" t="inlineStr">
        <is>
          <t>Yes</t>
        </is>
      </c>
    </row>
    <row r="556" ht="21.5" customHeight="1" s="125">
      <c r="A556" s="6" t="inlineStr">
        <is>
          <t>ID</t>
        </is>
      </c>
      <c r="B556" s="6" t="inlineStr">
        <is>
          <t>Name</t>
        </is>
      </c>
      <c r="C556" s="6" t="inlineStr">
        <is>
          <t>Description</t>
        </is>
      </c>
      <c r="D556" s="6" t="inlineStr">
        <is>
          <t>DisplayOrder</t>
        </is>
      </c>
      <c r="E556" s="6" t="inlineStr">
        <is>
          <t>Active</t>
        </is>
      </c>
      <c r="H556" s="9" t="inlineStr">
        <is>
          <t>MOD-000443</t>
        </is>
      </c>
      <c r="I556" s="7" t="inlineStr">
        <is>
          <t>MFG-006</t>
        </is>
      </c>
      <c r="J556" s="7" t="inlineStr">
        <is>
          <t>DF-062</t>
        </is>
      </c>
      <c r="K556" s="7" t="inlineStr">
        <is>
          <t>DT-001</t>
        </is>
      </c>
      <c r="L556" s="8" t="inlineStr">
        <is>
          <t>Xperia 5 V</t>
        </is>
      </c>
      <c r="M556" s="8" t="inlineStr">
        <is>
          <t>XQ-DE72</t>
        </is>
      </c>
      <c r="N556" s="7" t="n">
        <v>2023</v>
      </c>
      <c r="O556" s="94" t="n">
        <v>443</v>
      </c>
      <c r="P556" s="94" t="inlineStr">
        <is>
          <t>Yes</t>
        </is>
      </c>
    </row>
    <row r="557" ht="21.5" customHeight="1" s="125">
      <c r="A557" s="3" t="inlineStr">
        <is>
          <t>PSL-000001</t>
        </is>
      </c>
      <c r="D557" s="4" t="n">
        <v>1</v>
      </c>
      <c r="E557" s="4" t="b">
        <v>0</v>
      </c>
      <c r="H557" s="9" t="inlineStr">
        <is>
          <t>MOD-000444</t>
        </is>
      </c>
      <c r="I557" s="7" t="inlineStr">
        <is>
          <t>MFG-006</t>
        </is>
      </c>
      <c r="J557" s="7" t="inlineStr">
        <is>
          <t>DF-062</t>
        </is>
      </c>
      <c r="K557" s="7" t="inlineStr">
        <is>
          <t>DT-001</t>
        </is>
      </c>
      <c r="L557" s="8" t="inlineStr">
        <is>
          <t>Xperia 5</t>
        </is>
      </c>
      <c r="M557" s="8" t="inlineStr">
        <is>
          <t>J9210</t>
        </is>
      </c>
      <c r="N557" s="7" t="n">
        <v>2019</v>
      </c>
      <c r="O557" s="94" t="n">
        <v>444</v>
      </c>
      <c r="P557" s="94" t="inlineStr">
        <is>
          <t>Yes</t>
        </is>
      </c>
    </row>
    <row r="558" ht="21.5" customHeight="1" s="125">
      <c r="A558" s="3" t="inlineStr">
        <is>
          <t>PSL-000002</t>
        </is>
      </c>
      <c r="D558" s="4" t="n">
        <v>2</v>
      </c>
      <c r="E558" s="4" t="b">
        <v>0</v>
      </c>
      <c r="H558" s="9" t="inlineStr">
        <is>
          <t>MOD-000445</t>
        </is>
      </c>
      <c r="I558" s="7" t="inlineStr">
        <is>
          <t>MFG-006</t>
        </is>
      </c>
      <c r="J558" s="7" t="inlineStr">
        <is>
          <t>DF-062</t>
        </is>
      </c>
      <c r="K558" s="7" t="inlineStr">
        <is>
          <t>DT-001</t>
        </is>
      </c>
      <c r="L558" s="8" t="inlineStr">
        <is>
          <t>Xperia 5 II</t>
        </is>
      </c>
      <c r="M558" s="8" t="inlineStr">
        <is>
          <t>XQ-AS52</t>
        </is>
      </c>
      <c r="N558" s="7" t="n">
        <v>2020</v>
      </c>
      <c r="O558" s="94" t="n">
        <v>445</v>
      </c>
      <c r="P558" s="94" t="inlineStr">
        <is>
          <t>Yes</t>
        </is>
      </c>
    </row>
    <row r="559" ht="21.5" customHeight="1" s="125">
      <c r="A559" s="3" t="inlineStr">
        <is>
          <t>PSL-000003</t>
        </is>
      </c>
      <c r="D559" s="4" t="n">
        <v>3</v>
      </c>
      <c r="E559" s="4" t="b">
        <v>0</v>
      </c>
      <c r="H559" s="9" t="inlineStr">
        <is>
          <t>MOD-000446</t>
        </is>
      </c>
      <c r="I559" s="7" t="inlineStr">
        <is>
          <t>MFG-006</t>
        </is>
      </c>
      <c r="J559" s="7" t="inlineStr">
        <is>
          <t>DF-062</t>
        </is>
      </c>
      <c r="K559" s="7" t="inlineStr">
        <is>
          <t>DT-001</t>
        </is>
      </c>
      <c r="L559" s="8" t="inlineStr">
        <is>
          <t>Xperia 5 III</t>
        </is>
      </c>
      <c r="M559" s="8" t="inlineStr">
        <is>
          <t>XQ-BQ72</t>
        </is>
      </c>
      <c r="N559" s="7" t="n">
        <v>2021</v>
      </c>
      <c r="O559" s="94" t="n">
        <v>446</v>
      </c>
      <c r="P559" s="94" t="inlineStr">
        <is>
          <t>Yes</t>
        </is>
      </c>
    </row>
    <row r="560" ht="21.5" customHeight="1" s="125">
      <c r="A560" s="3" t="inlineStr">
        <is>
          <t>PSL-000004</t>
        </is>
      </c>
      <c r="D560" s="4" t="n">
        <v>4</v>
      </c>
      <c r="E560" s="4" t="b">
        <v>0</v>
      </c>
      <c r="H560" s="9" t="inlineStr">
        <is>
          <t>MOD-000447</t>
        </is>
      </c>
      <c r="I560" s="7" t="inlineStr">
        <is>
          <t>MFG-006</t>
        </is>
      </c>
      <c r="J560" s="7" t="inlineStr">
        <is>
          <t>DF-062</t>
        </is>
      </c>
      <c r="K560" s="7" t="inlineStr">
        <is>
          <t>DT-001</t>
        </is>
      </c>
      <c r="L560" s="8" t="inlineStr">
        <is>
          <t>Xperia 10 III</t>
        </is>
      </c>
      <c r="M560" s="8" t="inlineStr">
        <is>
          <t>XQ-BT52</t>
        </is>
      </c>
      <c r="N560" s="7" t="n">
        <v>2021</v>
      </c>
      <c r="O560" s="94" t="n">
        <v>447</v>
      </c>
      <c r="P560" s="94" t="inlineStr">
        <is>
          <t>Yes</t>
        </is>
      </c>
    </row>
    <row r="561" ht="21.5" customHeight="1" s="125">
      <c r="A561" s="3" t="inlineStr">
        <is>
          <t>PSL-000005</t>
        </is>
      </c>
      <c r="D561" s="4" t="n">
        <v>5</v>
      </c>
      <c r="E561" s="4" t="b">
        <v>0</v>
      </c>
      <c r="H561" s="9" t="inlineStr">
        <is>
          <t>MOD-000448</t>
        </is>
      </c>
      <c r="I561" s="7" t="inlineStr">
        <is>
          <t>MFG-006</t>
        </is>
      </c>
      <c r="J561" s="7" t="inlineStr">
        <is>
          <t>DF-062</t>
        </is>
      </c>
      <c r="K561" s="7" t="inlineStr">
        <is>
          <t>DT-001</t>
        </is>
      </c>
      <c r="L561" s="8" t="inlineStr">
        <is>
          <t>Xperia 10 V</t>
        </is>
      </c>
      <c r="M561" s="8" t="inlineStr">
        <is>
          <t>XQ-DC72</t>
        </is>
      </c>
      <c r="N561" s="7" t="n">
        <v>2023</v>
      </c>
      <c r="O561" s="94" t="n">
        <v>448</v>
      </c>
      <c r="P561" s="94" t="inlineStr">
        <is>
          <t>Yes</t>
        </is>
      </c>
    </row>
    <row r="562" ht="21.5" customHeight="1" s="125">
      <c r="A562" s="3" t="inlineStr">
        <is>
          <t>PSL-000006</t>
        </is>
      </c>
      <c r="D562" s="4" t="n">
        <v>6</v>
      </c>
      <c r="E562" s="4" t="b">
        <v>0</v>
      </c>
      <c r="H562" s="9" t="inlineStr">
        <is>
          <t>MOD-000449</t>
        </is>
      </c>
      <c r="I562" s="7" t="inlineStr">
        <is>
          <t>MFG-006</t>
        </is>
      </c>
      <c r="J562" s="7" t="inlineStr">
        <is>
          <t>DF-063</t>
        </is>
      </c>
      <c r="K562" s="7" t="inlineStr">
        <is>
          <t>DT-001</t>
        </is>
      </c>
      <c r="L562" s="8" t="inlineStr">
        <is>
          <t>Xperia PRO</t>
        </is>
      </c>
      <c r="M562" s="8" t="inlineStr">
        <is>
          <t>XQ-AQ62</t>
        </is>
      </c>
      <c r="N562" s="7" t="n">
        <v>2021</v>
      </c>
      <c r="O562" s="94" t="n">
        <v>449</v>
      </c>
      <c r="P562" s="94" t="inlineStr">
        <is>
          <t>Yes</t>
        </is>
      </c>
    </row>
    <row r="563" ht="21.5" customHeight="1" s="125">
      <c r="A563" s="3" t="inlineStr">
        <is>
          <t>PSL-000007</t>
        </is>
      </c>
      <c r="D563" s="4" t="n">
        <v>7</v>
      </c>
      <c r="E563" s="4" t="b">
        <v>0</v>
      </c>
      <c r="H563" s="9" t="inlineStr">
        <is>
          <t>MOD-000450</t>
        </is>
      </c>
      <c r="I563" s="7" t="inlineStr">
        <is>
          <t>MFG-006</t>
        </is>
      </c>
      <c r="J563" s="7" t="inlineStr">
        <is>
          <t>DF-063</t>
        </is>
      </c>
      <c r="K563" s="7" t="inlineStr">
        <is>
          <t>DT-001</t>
        </is>
      </c>
      <c r="L563" s="8" t="inlineStr">
        <is>
          <t>Xperia PRO-I</t>
        </is>
      </c>
      <c r="M563" s="8" t="inlineStr">
        <is>
          <t>XQ-BE62</t>
        </is>
      </c>
      <c r="N563" s="7" t="n">
        <v>2021</v>
      </c>
      <c r="O563" s="94" t="n">
        <v>450</v>
      </c>
      <c r="P563" s="94" t="inlineStr">
        <is>
          <t>Yes</t>
        </is>
      </c>
    </row>
    <row r="564" ht="21.5" customHeight="1" s="125">
      <c r="A564" s="3" t="inlineStr">
        <is>
          <t>PSL-000008</t>
        </is>
      </c>
      <c r="D564" s="4" t="n">
        <v>8</v>
      </c>
      <c r="E564" s="4" t="b">
        <v>0</v>
      </c>
      <c r="H564" s="9" t="inlineStr">
        <is>
          <t>MOD-000451</t>
        </is>
      </c>
      <c r="I564" s="7" t="inlineStr">
        <is>
          <t>MFG-006</t>
        </is>
      </c>
      <c r="J564" s="7" t="inlineStr">
        <is>
          <t>DF-064</t>
        </is>
      </c>
      <c r="K564" s="7" t="inlineStr">
        <is>
          <t>DT-001</t>
        </is>
      </c>
      <c r="L564" s="8" t="inlineStr">
        <is>
          <t>Xperia Ace</t>
        </is>
      </c>
      <c r="M564" s="8" t="inlineStr">
        <is>
          <t>SO-02L</t>
        </is>
      </c>
      <c r="N564" s="7" t="n">
        <v>2019</v>
      </c>
      <c r="O564" s="94" t="n">
        <v>451</v>
      </c>
      <c r="P564" s="94" t="inlineStr">
        <is>
          <t>Yes</t>
        </is>
      </c>
    </row>
    <row r="565" ht="21.5" customHeight="1" s="125">
      <c r="A565" s="3" t="inlineStr">
        <is>
          <t>PSL-000009</t>
        </is>
      </c>
      <c r="D565" s="4" t="n">
        <v>9</v>
      </c>
      <c r="E565" s="4" t="b">
        <v>0</v>
      </c>
      <c r="H565" s="9" t="inlineStr">
        <is>
          <t>MOD-000452</t>
        </is>
      </c>
      <c r="I565" s="7" t="inlineStr">
        <is>
          <t>MFG-006</t>
        </is>
      </c>
      <c r="J565" s="7" t="inlineStr">
        <is>
          <t>DF-064</t>
        </is>
      </c>
      <c r="K565" s="7" t="inlineStr">
        <is>
          <t>DT-001</t>
        </is>
      </c>
      <c r="L565" s="8" t="inlineStr">
        <is>
          <t>Xperia Ace II</t>
        </is>
      </c>
      <c r="M565" s="8" t="inlineStr">
        <is>
          <t>SO-41B</t>
        </is>
      </c>
      <c r="N565" s="7" t="n">
        <v>2021</v>
      </c>
      <c r="O565" s="94" t="n">
        <v>452</v>
      </c>
      <c r="P565" s="94" t="inlineStr">
        <is>
          <t>Yes</t>
        </is>
      </c>
    </row>
    <row r="566" ht="21.5" customHeight="1" s="125">
      <c r="A566" s="3" t="inlineStr">
        <is>
          <t>PSL-000010</t>
        </is>
      </c>
      <c r="D566" s="4" t="n">
        <v>10</v>
      </c>
      <c r="E566" s="4" t="b">
        <v>0</v>
      </c>
      <c r="H566" s="9" t="inlineStr">
        <is>
          <t>MOD-000453</t>
        </is>
      </c>
      <c r="I566" s="7" t="inlineStr">
        <is>
          <t>MFG-006</t>
        </is>
      </c>
      <c r="J566" s="7" t="inlineStr">
        <is>
          <t>DF-064</t>
        </is>
      </c>
      <c r="K566" s="7" t="inlineStr">
        <is>
          <t>DT-001</t>
        </is>
      </c>
      <c r="L566" s="8" t="inlineStr">
        <is>
          <t>Xperia Ace III</t>
        </is>
      </c>
      <c r="M566" s="8" t="inlineStr">
        <is>
          <t>SO-53C</t>
        </is>
      </c>
      <c r="N566" s="7" t="n">
        <v>2022</v>
      </c>
      <c r="O566" s="94" t="n">
        <v>453</v>
      </c>
      <c r="P566" s="94" t="inlineStr">
        <is>
          <t>Yes</t>
        </is>
      </c>
    </row>
    <row r="567" ht="21.5" customHeight="1" s="125">
      <c r="H567" s="9" t="inlineStr">
        <is>
          <t>MOD-000454</t>
        </is>
      </c>
      <c r="I567" s="7" t="inlineStr">
        <is>
          <t>MFG-007</t>
        </is>
      </c>
      <c r="J567" s="7" t="inlineStr">
        <is>
          <t>DF-070</t>
        </is>
      </c>
      <c r="K567" s="7" t="inlineStr">
        <is>
          <t>DT-001</t>
        </is>
      </c>
      <c r="L567" s="8" t="inlineStr">
        <is>
          <t>Nokia 6</t>
        </is>
      </c>
      <c r="M567" s="8" t="inlineStr">
        <is>
          <t>TA-1000</t>
        </is>
      </c>
      <c r="N567" s="7" t="n">
        <v>2017</v>
      </c>
      <c r="O567" s="94" t="n">
        <v>454</v>
      </c>
      <c r="P567" s="94" t="inlineStr">
        <is>
          <t>Yes</t>
        </is>
      </c>
    </row>
    <row r="568" ht="21.5" customHeight="1" s="125">
      <c r="A568" s="3" t="inlineStr">
        <is>
          <t>tblShelfLocations</t>
        </is>
      </c>
      <c r="H568" s="9" t="inlineStr">
        <is>
          <t>MOD-000455</t>
        </is>
      </c>
      <c r="I568" s="7" t="inlineStr">
        <is>
          <t>MFG-007</t>
        </is>
      </c>
      <c r="J568" s="7" t="inlineStr">
        <is>
          <t>DF-070</t>
        </is>
      </c>
      <c r="K568" s="7" t="inlineStr">
        <is>
          <t>DT-001</t>
        </is>
      </c>
      <c r="L568" s="8" t="inlineStr">
        <is>
          <t>Nokia 6.1</t>
        </is>
      </c>
      <c r="M568" s="8" t="inlineStr">
        <is>
          <t>TA-1043</t>
        </is>
      </c>
      <c r="N568" s="7" t="n">
        <v>2018</v>
      </c>
      <c r="O568" s="94" t="n">
        <v>455</v>
      </c>
      <c r="P568" s="94" t="inlineStr">
        <is>
          <t>Yes</t>
        </is>
      </c>
    </row>
    <row r="569" ht="21.5" customHeight="1" s="125">
      <c r="A569" s="6" t="inlineStr">
        <is>
          <t>ID</t>
        </is>
      </c>
      <c r="B569" s="6" t="inlineStr">
        <is>
          <t>Name</t>
        </is>
      </c>
      <c r="C569" s="6" t="inlineStr">
        <is>
          <t>Description</t>
        </is>
      </c>
      <c r="D569" s="6" t="inlineStr">
        <is>
          <t>DisplayOrder</t>
        </is>
      </c>
      <c r="E569" s="6" t="inlineStr">
        <is>
          <t>Active</t>
        </is>
      </c>
      <c r="H569" s="9" t="inlineStr">
        <is>
          <t>MOD-000456</t>
        </is>
      </c>
      <c r="I569" s="7" t="inlineStr">
        <is>
          <t>MFG-007</t>
        </is>
      </c>
      <c r="J569" s="7" t="inlineStr">
        <is>
          <t>DF-070</t>
        </is>
      </c>
      <c r="K569" s="7" t="inlineStr">
        <is>
          <t>DT-001</t>
        </is>
      </c>
      <c r="L569" s="8" t="inlineStr">
        <is>
          <t>Nokia 7 Plus</t>
        </is>
      </c>
      <c r="M569" s="8" t="inlineStr">
        <is>
          <t>TA-1046</t>
        </is>
      </c>
      <c r="N569" s="7" t="n">
        <v>2018</v>
      </c>
      <c r="O569" s="94" t="n">
        <v>456</v>
      </c>
      <c r="P569" s="94" t="inlineStr">
        <is>
          <t>Yes</t>
        </is>
      </c>
    </row>
    <row r="570" ht="21.5" customHeight="1" s="125">
      <c r="A570" s="94" t="inlineStr">
        <is>
          <t>SHF-000001</t>
        </is>
      </c>
      <c r="B570" s="94" t="inlineStr">
        <is>
          <t>A-01</t>
        </is>
      </c>
      <c r="C570" s="94" t="n"/>
      <c r="D570" s="94" t="n">
        <v>1</v>
      </c>
      <c r="E570" s="94" t="b">
        <v>1</v>
      </c>
      <c r="H570" s="9" t="inlineStr">
        <is>
          <t>MOD-000457</t>
        </is>
      </c>
      <c r="I570" s="7" t="inlineStr">
        <is>
          <t>MFG-007</t>
        </is>
      </c>
      <c r="J570" s="7" t="inlineStr">
        <is>
          <t>DF-070</t>
        </is>
      </c>
      <c r="K570" s="7" t="inlineStr">
        <is>
          <t>DT-001</t>
        </is>
      </c>
      <c r="L570" s="8" t="inlineStr">
        <is>
          <t>Nokia 7.2</t>
        </is>
      </c>
      <c r="M570" s="8" t="inlineStr">
        <is>
          <t>TA-1196</t>
        </is>
      </c>
      <c r="N570" s="7" t="n">
        <v>2019</v>
      </c>
      <c r="O570" s="94" t="n">
        <v>457</v>
      </c>
      <c r="P570" s="94" t="inlineStr">
        <is>
          <t>Yes</t>
        </is>
      </c>
    </row>
    <row r="571" ht="21.5" customHeight="1" s="125">
      <c r="A571" s="94" t="inlineStr">
        <is>
          <t>SHF-000002</t>
        </is>
      </c>
      <c r="B571" s="94" t="inlineStr">
        <is>
          <t>A-02</t>
        </is>
      </c>
      <c r="C571" s="94" t="n"/>
      <c r="D571" s="94" t="n">
        <v>2</v>
      </c>
      <c r="E571" s="94" t="b">
        <v>1</v>
      </c>
      <c r="H571" s="9" t="inlineStr">
        <is>
          <t>MOD-000458</t>
        </is>
      </c>
      <c r="I571" s="7" t="inlineStr">
        <is>
          <t>MFG-007</t>
        </is>
      </c>
      <c r="J571" s="7" t="inlineStr">
        <is>
          <t>DF-070</t>
        </is>
      </c>
      <c r="K571" s="7" t="inlineStr">
        <is>
          <t>DT-001</t>
        </is>
      </c>
      <c r="L571" s="8" t="inlineStr">
        <is>
          <t>Nokia 8.3 5G</t>
        </is>
      </c>
      <c r="M571" s="8" t="inlineStr">
        <is>
          <t>TA-1243</t>
        </is>
      </c>
      <c r="N571" s="7" t="n">
        <v>2020</v>
      </c>
      <c r="O571" s="94" t="n">
        <v>458</v>
      </c>
      <c r="P571" s="94" t="inlineStr">
        <is>
          <t>Yes</t>
        </is>
      </c>
    </row>
    <row r="572" ht="21.5" customHeight="1" s="125">
      <c r="A572" s="94" t="inlineStr">
        <is>
          <t>SHF-000003</t>
        </is>
      </c>
      <c r="B572" s="94" t="inlineStr">
        <is>
          <t>B-01</t>
        </is>
      </c>
      <c r="C572" s="94" t="n"/>
      <c r="D572" s="94" t="n">
        <v>3</v>
      </c>
      <c r="E572" s="94" t="b">
        <v>1</v>
      </c>
      <c r="H572" s="9" t="inlineStr">
        <is>
          <t>MOD-000459</t>
        </is>
      </c>
      <c r="I572" s="7" t="inlineStr">
        <is>
          <t>MFG-007</t>
        </is>
      </c>
      <c r="J572" s="7" t="inlineStr">
        <is>
          <t>DF-071</t>
        </is>
      </c>
      <c r="K572" s="7" t="inlineStr">
        <is>
          <t>DT-001</t>
        </is>
      </c>
      <c r="L572" s="8" t="inlineStr">
        <is>
          <t>Nokia G20</t>
        </is>
      </c>
      <c r="M572" s="8" t="inlineStr">
        <is>
          <t>TA-1365</t>
        </is>
      </c>
      <c r="N572" s="7" t="n">
        <v>2021</v>
      </c>
      <c r="O572" s="94" t="n">
        <v>459</v>
      </c>
      <c r="P572" s="94" t="inlineStr">
        <is>
          <t>Yes</t>
        </is>
      </c>
    </row>
    <row r="573" ht="21.5" customHeight="1" s="125">
      <c r="A573" s="94" t="inlineStr">
        <is>
          <t>SHF-000004</t>
        </is>
      </c>
      <c r="B573" s="94" t="inlineStr">
        <is>
          <t>B-02</t>
        </is>
      </c>
      <c r="C573" s="94" t="n"/>
      <c r="D573" s="94" t="n">
        <v>4</v>
      </c>
      <c r="E573" s="94" t="b">
        <v>1</v>
      </c>
      <c r="H573" s="9" t="inlineStr">
        <is>
          <t>MOD-000460</t>
        </is>
      </c>
      <c r="I573" s="7" t="inlineStr">
        <is>
          <t>MFG-007</t>
        </is>
      </c>
      <c r="J573" s="7" t="inlineStr">
        <is>
          <t>DF-071</t>
        </is>
      </c>
      <c r="K573" s="7" t="inlineStr">
        <is>
          <t>DT-001</t>
        </is>
      </c>
      <c r="L573" s="8" t="inlineStr">
        <is>
          <t>Nokia G21</t>
        </is>
      </c>
      <c r="M573" s="8" t="inlineStr">
        <is>
          <t>TA-1418</t>
        </is>
      </c>
      <c r="N573" s="7" t="n">
        <v>2022</v>
      </c>
      <c r="O573" s="94" t="n">
        <v>460</v>
      </c>
      <c r="P573" s="94" t="inlineStr">
        <is>
          <t>Yes</t>
        </is>
      </c>
    </row>
    <row r="574" ht="21.5" customHeight="1" s="125">
      <c r="A574" s="94" t="inlineStr">
        <is>
          <t>SHF-000005</t>
        </is>
      </c>
      <c r="B574" s="94" t="inlineStr">
        <is>
          <t>C-01</t>
        </is>
      </c>
      <c r="C574" s="94" t="n"/>
      <c r="D574" s="94" t="n">
        <v>5</v>
      </c>
      <c r="E574" s="94" t="b">
        <v>1</v>
      </c>
      <c r="H574" s="9" t="inlineStr">
        <is>
          <t>MOD-000461</t>
        </is>
      </c>
      <c r="I574" s="7" t="inlineStr">
        <is>
          <t>MFG-007</t>
        </is>
      </c>
      <c r="J574" s="7" t="inlineStr">
        <is>
          <t>DF-071</t>
        </is>
      </c>
      <c r="K574" s="7" t="inlineStr">
        <is>
          <t>DT-001</t>
        </is>
      </c>
      <c r="L574" s="8" t="inlineStr">
        <is>
          <t>Nokia G42 5G</t>
        </is>
      </c>
      <c r="M574" s="8" t="inlineStr">
        <is>
          <t>TA-1591</t>
        </is>
      </c>
      <c r="N574" s="7" t="n">
        <v>2023</v>
      </c>
      <c r="O574" s="94" t="n">
        <v>461</v>
      </c>
      <c r="P574" s="94" t="inlineStr">
        <is>
          <t>Yes</t>
        </is>
      </c>
    </row>
    <row r="575" ht="21.5" customHeight="1" s="125">
      <c r="A575" s="94" t="inlineStr">
        <is>
          <t>SHF-000006</t>
        </is>
      </c>
      <c r="B575" s="94" t="inlineStr">
        <is>
          <t>C-02</t>
        </is>
      </c>
      <c r="C575" s="94" t="n"/>
      <c r="D575" s="94" t="n">
        <v>6</v>
      </c>
      <c r="E575" s="94" t="b">
        <v>1</v>
      </c>
      <c r="H575" s="9" t="inlineStr">
        <is>
          <t>MOD-000462</t>
        </is>
      </c>
      <c r="I575" s="7" t="inlineStr">
        <is>
          <t>MFG-007</t>
        </is>
      </c>
      <c r="J575" s="7" t="inlineStr">
        <is>
          <t>DF-072</t>
        </is>
      </c>
      <c r="K575" s="7" t="inlineStr">
        <is>
          <t>DT-001</t>
        </is>
      </c>
      <c r="L575" s="8" t="inlineStr">
        <is>
          <t>Nokia XR20</t>
        </is>
      </c>
      <c r="M575" s="8" t="inlineStr">
        <is>
          <t>TA-1368</t>
        </is>
      </c>
      <c r="N575" s="7" t="n">
        <v>2021</v>
      </c>
      <c r="O575" s="94" t="n">
        <v>462</v>
      </c>
      <c r="P575" s="94" t="inlineStr">
        <is>
          <t>Yes</t>
        </is>
      </c>
    </row>
    <row r="576" ht="21.5" customHeight="1" s="125">
      <c r="H576" s="9" t="inlineStr">
        <is>
          <t>MOD-000463</t>
        </is>
      </c>
      <c r="I576" s="7" t="inlineStr">
        <is>
          <t>MFG-007</t>
        </is>
      </c>
      <c r="J576" s="7" t="inlineStr">
        <is>
          <t>DF-072</t>
        </is>
      </c>
      <c r="K576" s="7" t="inlineStr">
        <is>
          <t>DT-001</t>
        </is>
      </c>
      <c r="L576" s="8" t="inlineStr">
        <is>
          <t>Nokia XR21</t>
        </is>
      </c>
      <c r="M576" s="8" t="inlineStr">
        <is>
          <t>TA-1486</t>
        </is>
      </c>
      <c r="N576" s="7" t="n">
        <v>2023</v>
      </c>
      <c r="O576" s="94" t="n">
        <v>463</v>
      </c>
      <c r="P576" s="94" t="inlineStr">
        <is>
          <t>Yes</t>
        </is>
      </c>
    </row>
    <row r="577" ht="27.5" customHeight="1" s="125">
      <c r="A577" s="10" t="inlineStr">
        <is>
          <t xml:space="preserve"> -------------------------------------------------------------------------------------------------------------------------------</t>
        </is>
      </c>
      <c r="H577" s="9" t="inlineStr">
        <is>
          <t>MOD-000464</t>
        </is>
      </c>
      <c r="I577" s="7" t="inlineStr">
        <is>
          <t>MFG-007</t>
        </is>
      </c>
      <c r="J577" s="7" t="inlineStr">
        <is>
          <t>DF-073</t>
        </is>
      </c>
      <c r="K577" s="7" t="inlineStr">
        <is>
          <t>DT-001</t>
        </is>
      </c>
      <c r="L577" s="8" t="inlineStr">
        <is>
          <t>Nokia X10</t>
        </is>
      </c>
      <c r="M577" s="8" t="inlineStr">
        <is>
          <t>TA-1332</t>
        </is>
      </c>
      <c r="N577" s="7" t="n">
        <v>2021</v>
      </c>
      <c r="O577" s="94" t="n">
        <v>464</v>
      </c>
      <c r="P577" s="94" t="inlineStr">
        <is>
          <t>Yes</t>
        </is>
      </c>
    </row>
    <row r="578" ht="35" customHeight="1" s="125">
      <c r="A578" s="116" t="inlineStr">
        <is>
          <t>INVENTORY LOOKUPS</t>
        </is>
      </c>
      <c r="H578" s="9" t="inlineStr">
        <is>
          <t>MOD-000465</t>
        </is>
      </c>
      <c r="I578" s="7" t="inlineStr">
        <is>
          <t>MFG-007</t>
        </is>
      </c>
      <c r="J578" s="7" t="inlineStr">
        <is>
          <t>DF-073</t>
        </is>
      </c>
      <c r="K578" s="7" t="inlineStr">
        <is>
          <t>DT-001</t>
        </is>
      </c>
      <c r="L578" s="8" t="inlineStr">
        <is>
          <t>Nokia X20</t>
        </is>
      </c>
      <c r="M578" s="8" t="inlineStr">
        <is>
          <t>TA-1341</t>
        </is>
      </c>
      <c r="N578" s="7" t="n">
        <v>2021</v>
      </c>
      <c r="O578" s="94" t="n">
        <v>465</v>
      </c>
      <c r="P578" s="94" t="inlineStr">
        <is>
          <t>Yes</t>
        </is>
      </c>
    </row>
    <row r="579" ht="27.5" customHeight="1" s="125">
      <c r="A579" s="10" t="inlineStr">
        <is>
          <t xml:space="preserve"> -------------------------------------------------------------------------------------------------------------------------------</t>
        </is>
      </c>
      <c r="H579" s="9" t="inlineStr">
        <is>
          <t>MOD-000466</t>
        </is>
      </c>
      <c r="I579" s="7" t="inlineStr">
        <is>
          <t>MFG-007</t>
        </is>
      </c>
      <c r="J579" s="7" t="inlineStr">
        <is>
          <t>DF-073</t>
        </is>
      </c>
      <c r="K579" s="7" t="inlineStr">
        <is>
          <t>DT-001</t>
        </is>
      </c>
      <c r="L579" s="8" t="inlineStr">
        <is>
          <t>Nokia X30 5G</t>
        </is>
      </c>
      <c r="M579" s="8" t="inlineStr">
        <is>
          <t>TA-1450</t>
        </is>
      </c>
      <c r="N579" s="7" t="n">
        <v>2022</v>
      </c>
      <c r="O579" s="94" t="n">
        <v>466</v>
      </c>
      <c r="P579" s="94" t="inlineStr">
        <is>
          <t>Yes</t>
        </is>
      </c>
    </row>
    <row r="580" ht="21.5" customHeight="1" s="125">
      <c r="H580" s="9" t="inlineStr">
        <is>
          <t>MOD-000467</t>
        </is>
      </c>
      <c r="I580" s="7" t="inlineStr">
        <is>
          <t>MFG-007</t>
        </is>
      </c>
      <c r="J580" s="7" t="inlineStr">
        <is>
          <t>DF-074</t>
        </is>
      </c>
      <c r="K580" s="7" t="inlineStr">
        <is>
          <t>DT-001</t>
        </is>
      </c>
      <c r="L580" s="8" t="inlineStr">
        <is>
          <t>Nokia C21</t>
        </is>
      </c>
      <c r="M580" s="8" t="inlineStr">
        <is>
          <t>TA-1387</t>
        </is>
      </c>
      <c r="N580" s="7" t="n">
        <v>2022</v>
      </c>
      <c r="O580" s="94" t="n">
        <v>467</v>
      </c>
      <c r="P580" s="94" t="inlineStr">
        <is>
          <t>Yes</t>
        </is>
      </c>
    </row>
    <row r="581" ht="21.5" customHeight="1" s="125">
      <c r="A581" s="3" t="inlineStr">
        <is>
          <t>tblInventoryLocations</t>
        </is>
      </c>
      <c r="H581" s="9" t="inlineStr">
        <is>
          <t>MOD-000468</t>
        </is>
      </c>
      <c r="I581" s="7" t="inlineStr">
        <is>
          <t>MFG-007</t>
        </is>
      </c>
      <c r="J581" s="7" t="inlineStr">
        <is>
          <t>DF-074</t>
        </is>
      </c>
      <c r="K581" s="7" t="inlineStr">
        <is>
          <t>DT-001</t>
        </is>
      </c>
      <c r="L581" s="8" t="inlineStr">
        <is>
          <t>Nokia C32</t>
        </is>
      </c>
      <c r="M581" s="8" t="inlineStr">
        <is>
          <t>TA-1491</t>
        </is>
      </c>
      <c r="N581" s="7" t="n">
        <v>2023</v>
      </c>
      <c r="O581" s="94" t="n">
        <v>468</v>
      </c>
      <c r="P581" s="94" t="inlineStr">
        <is>
          <t>Yes</t>
        </is>
      </c>
    </row>
    <row r="582" ht="21.5" customHeight="1" s="125">
      <c r="A582" s="6" t="inlineStr">
        <is>
          <t>ID</t>
        </is>
      </c>
      <c r="B582" s="6" t="inlineStr">
        <is>
          <t>Name</t>
        </is>
      </c>
      <c r="C582" s="6" t="inlineStr">
        <is>
          <t>Description</t>
        </is>
      </c>
      <c r="D582" s="6" t="inlineStr">
        <is>
          <t>DisplayOrder</t>
        </is>
      </c>
      <c r="E582" s="6" t="inlineStr">
        <is>
          <t>Active</t>
        </is>
      </c>
      <c r="H582" s="9" t="inlineStr">
        <is>
          <t>MOD-000469</t>
        </is>
      </c>
      <c r="I582" s="7" t="inlineStr">
        <is>
          <t>MFG-007</t>
        </is>
      </c>
      <c r="J582" s="7" t="inlineStr">
        <is>
          <t>DF-071</t>
        </is>
      </c>
      <c r="K582" s="7" t="inlineStr">
        <is>
          <t>DT-001</t>
        </is>
      </c>
      <c r="L582" s="8" t="inlineStr">
        <is>
          <t>Nokia G60 5G</t>
        </is>
      </c>
      <c r="M582" s="8" t="inlineStr">
        <is>
          <t>TA-1481</t>
        </is>
      </c>
      <c r="N582" s="7" t="n">
        <v>2022</v>
      </c>
      <c r="O582" s="94" t="n">
        <v>469</v>
      </c>
      <c r="P582" s="94" t="inlineStr">
        <is>
          <t>Yes</t>
        </is>
      </c>
    </row>
    <row r="583" ht="21.5" customHeight="1" s="125">
      <c r="A583" s="94" t="inlineStr">
        <is>
          <t>LOC-000001</t>
        </is>
      </c>
      <c r="B583" s="94" t="inlineStr">
        <is>
          <t>Front Counter</t>
        </is>
      </c>
      <c r="C583" s="94" t="n"/>
      <c r="D583" s="94" t="n">
        <v>1</v>
      </c>
      <c r="E583" s="94" t="b">
        <v>1</v>
      </c>
      <c r="H583" s="9" t="inlineStr">
        <is>
          <t>MOD-000470</t>
        </is>
      </c>
      <c r="I583" s="7" t="inlineStr">
        <is>
          <t>MFG-007</t>
        </is>
      </c>
      <c r="J583" s="7" t="inlineStr">
        <is>
          <t>DF-071</t>
        </is>
      </c>
      <c r="K583" s="7" t="inlineStr">
        <is>
          <t>DT-001</t>
        </is>
      </c>
      <c r="L583" s="8" t="inlineStr">
        <is>
          <t>Nokia G310 5G</t>
        </is>
      </c>
      <c r="M583" s="8" t="inlineStr">
        <is>
          <t>TA-1536</t>
        </is>
      </c>
      <c r="N583" s="7" t="n">
        <v>2023</v>
      </c>
      <c r="O583" s="94" t="n">
        <v>470</v>
      </c>
      <c r="P583" s="94" t="inlineStr">
        <is>
          <t>Yes</t>
        </is>
      </c>
    </row>
    <row r="584" ht="21.5" customHeight="1" s="125">
      <c r="A584" s="94" t="inlineStr">
        <is>
          <t>LOC-000002</t>
        </is>
      </c>
      <c r="B584" s="94" t="inlineStr">
        <is>
          <t>Repair Bench 1</t>
        </is>
      </c>
      <c r="C584" s="94" t="n"/>
      <c r="D584" s="94" t="n">
        <v>2</v>
      </c>
      <c r="E584" s="94" t="b">
        <v>1</v>
      </c>
      <c r="H584" s="9" t="inlineStr">
        <is>
          <t>MOD-000471</t>
        </is>
      </c>
      <c r="I584" s="7" t="inlineStr">
        <is>
          <t>MFG-007</t>
        </is>
      </c>
      <c r="J584" s="7" t="inlineStr">
        <is>
          <t>DF-075</t>
        </is>
      </c>
      <c r="K584" s="7" t="inlineStr">
        <is>
          <t>DT-002</t>
        </is>
      </c>
      <c r="L584" s="8" t="inlineStr">
        <is>
          <t>Nokia T10</t>
        </is>
      </c>
      <c r="M584" s="8" t="inlineStr">
        <is>
          <t>TA-1462</t>
        </is>
      </c>
      <c r="N584" s="7" t="n">
        <v>2022</v>
      </c>
      <c r="O584" s="94" t="n">
        <v>471</v>
      </c>
      <c r="P584" s="94" t="inlineStr">
        <is>
          <t>Yes</t>
        </is>
      </c>
    </row>
    <row r="585" ht="21.5" customHeight="1" s="125">
      <c r="A585" s="94" t="inlineStr">
        <is>
          <t>LOC-000003</t>
        </is>
      </c>
      <c r="B585" s="94" t="inlineStr">
        <is>
          <t>Repair Bench 2</t>
        </is>
      </c>
      <c r="C585" s="94" t="n"/>
      <c r="D585" s="94" t="n">
        <v>3</v>
      </c>
      <c r="E585" s="94" t="b">
        <v>1</v>
      </c>
      <c r="H585" s="9" t="inlineStr">
        <is>
          <t>MOD-000472</t>
        </is>
      </c>
      <c r="I585" s="7" t="inlineStr">
        <is>
          <t>MFG-007</t>
        </is>
      </c>
      <c r="J585" s="7" t="inlineStr">
        <is>
          <t>DF-075</t>
        </is>
      </c>
      <c r="K585" s="7" t="inlineStr">
        <is>
          <t>DT-002</t>
        </is>
      </c>
      <c r="L585" s="8" t="inlineStr">
        <is>
          <t>Nokia T21</t>
        </is>
      </c>
      <c r="M585" s="8" t="inlineStr">
        <is>
          <t>TA-1495</t>
        </is>
      </c>
      <c r="N585" s="7" t="n">
        <v>2022</v>
      </c>
      <c r="O585" s="94" t="n">
        <v>472</v>
      </c>
      <c r="P585" s="94" t="inlineStr">
        <is>
          <t>Yes</t>
        </is>
      </c>
    </row>
    <row r="586" ht="21.5" customHeight="1" s="125">
      <c r="A586" s="94" t="inlineStr">
        <is>
          <t>LOC-000004</t>
        </is>
      </c>
      <c r="B586" s="94" t="inlineStr">
        <is>
          <t>Stock Room</t>
        </is>
      </c>
      <c r="C586" s="94" t="n"/>
      <c r="D586" s="94" t="n">
        <v>4</v>
      </c>
      <c r="E586" s="94" t="b">
        <v>1</v>
      </c>
      <c r="H586" s="9" t="inlineStr">
        <is>
          <t>MOD-000473</t>
        </is>
      </c>
      <c r="I586" s="7" t="inlineStr">
        <is>
          <t>MFG-007</t>
        </is>
      </c>
      <c r="J586" s="7" t="inlineStr">
        <is>
          <t>DF-076</t>
        </is>
      </c>
      <c r="K586" s="7" t="inlineStr">
        <is>
          <t>DT-001</t>
        </is>
      </c>
      <c r="L586" s="8" t="inlineStr">
        <is>
          <t>HMD Skyline</t>
        </is>
      </c>
      <c r="M586" s="8" t="inlineStr">
        <is>
          <t>TA-1688</t>
        </is>
      </c>
      <c r="N586" s="7" t="n">
        <v>2024</v>
      </c>
      <c r="O586" s="94" t="n">
        <v>473</v>
      </c>
      <c r="P586" s="94" t="inlineStr">
        <is>
          <t>Yes</t>
        </is>
      </c>
    </row>
    <row r="587" ht="21.5" customHeight="1" s="125">
      <c r="A587" s="94" t="inlineStr">
        <is>
          <t>LOC-000005</t>
        </is>
      </c>
      <c r="B587" s="94" t="inlineStr">
        <is>
          <t>Warehouse</t>
        </is>
      </c>
      <c r="C587" s="94" t="n"/>
      <c r="D587" s="94" t="n">
        <v>5</v>
      </c>
      <c r="E587" s="94" t="b">
        <v>1</v>
      </c>
      <c r="H587" s="9" t="inlineStr">
        <is>
          <t>MOD-000474</t>
        </is>
      </c>
      <c r="I587" s="7" t="inlineStr">
        <is>
          <t>MFG-008</t>
        </is>
      </c>
      <c r="J587" s="7" t="inlineStr">
        <is>
          <t>DF-080</t>
        </is>
      </c>
      <c r="K587" s="7" t="inlineStr">
        <is>
          <t>DT-001</t>
        </is>
      </c>
      <c r="L587" s="8" t="inlineStr">
        <is>
          <t>Zenfone 5</t>
        </is>
      </c>
      <c r="M587" s="8" t="inlineStr">
        <is>
          <t>ZE620KL</t>
        </is>
      </c>
      <c r="N587" s="7" t="n">
        <v>2018</v>
      </c>
      <c r="O587" s="94" t="n">
        <v>474</v>
      </c>
      <c r="P587" s="94" t="inlineStr">
        <is>
          <t>Yes</t>
        </is>
      </c>
    </row>
    <row r="588" ht="21.5" customHeight="1" s="125">
      <c r="A588" s="94" t="inlineStr">
        <is>
          <t>LOC-000006</t>
        </is>
      </c>
      <c r="B588" s="94" t="inlineStr">
        <is>
          <t>Receiving</t>
        </is>
      </c>
      <c r="C588" s="94" t="n"/>
      <c r="D588" s="94" t="n">
        <v>6</v>
      </c>
      <c r="E588" s="94" t="b">
        <v>1</v>
      </c>
      <c r="H588" s="9" t="inlineStr">
        <is>
          <t>MOD-000475</t>
        </is>
      </c>
      <c r="I588" s="7" t="inlineStr">
        <is>
          <t>MFG-008</t>
        </is>
      </c>
      <c r="J588" s="7" t="inlineStr">
        <is>
          <t>DF-080</t>
        </is>
      </c>
      <c r="K588" s="7" t="inlineStr">
        <is>
          <t>DT-001</t>
        </is>
      </c>
      <c r="L588" s="8" t="inlineStr">
        <is>
          <t>Zenfone 6</t>
        </is>
      </c>
      <c r="M588" s="8" t="inlineStr">
        <is>
          <t>ZS630KL</t>
        </is>
      </c>
      <c r="N588" s="7" t="n">
        <v>2019</v>
      </c>
      <c r="O588" s="94" t="n">
        <v>475</v>
      </c>
      <c r="P588" s="94" t="inlineStr">
        <is>
          <t>Yes</t>
        </is>
      </c>
    </row>
    <row r="589" ht="21.5" customHeight="1" s="125">
      <c r="A589" s="94" t="inlineStr">
        <is>
          <t>LOC-000007</t>
        </is>
      </c>
      <c r="B589" s="94" t="inlineStr">
        <is>
          <t>Returns</t>
        </is>
      </c>
      <c r="C589" s="94" t="n"/>
      <c r="D589" s="94" t="n">
        <v>7</v>
      </c>
      <c r="E589" s="94" t="b">
        <v>1</v>
      </c>
      <c r="H589" s="9" t="inlineStr">
        <is>
          <t>MOD-000476</t>
        </is>
      </c>
      <c r="I589" s="7" t="inlineStr">
        <is>
          <t>MFG-008</t>
        </is>
      </c>
      <c r="J589" s="7" t="inlineStr">
        <is>
          <t>DF-080</t>
        </is>
      </c>
      <c r="K589" s="7" t="inlineStr">
        <is>
          <t>DT-001</t>
        </is>
      </c>
      <c r="L589" s="8" t="inlineStr">
        <is>
          <t>Zenfone 7</t>
        </is>
      </c>
      <c r="M589" s="8" t="inlineStr">
        <is>
          <t>ZS670KS</t>
        </is>
      </c>
      <c r="N589" s="7" t="n">
        <v>2020</v>
      </c>
      <c r="O589" s="94" t="n">
        <v>476</v>
      </c>
      <c r="P589" s="94" t="inlineStr">
        <is>
          <t>Yes</t>
        </is>
      </c>
    </row>
    <row r="590" ht="21.5" customHeight="1" s="125">
      <c r="A590" s="94" t="inlineStr">
        <is>
          <t>LOC-000008</t>
        </is>
      </c>
      <c r="B590" s="94" t="inlineStr">
        <is>
          <t>Safe</t>
        </is>
      </c>
      <c r="C590" s="94" t="n"/>
      <c r="D590" s="94" t="n">
        <v>8</v>
      </c>
      <c r="E590" s="94" t="b">
        <v>1</v>
      </c>
      <c r="H590" s="9" t="inlineStr">
        <is>
          <t>MOD-000477</t>
        </is>
      </c>
      <c r="I590" s="7" t="inlineStr">
        <is>
          <t>MFG-008</t>
        </is>
      </c>
      <c r="J590" s="7" t="inlineStr">
        <is>
          <t>DF-080</t>
        </is>
      </c>
      <c r="K590" s="7" t="inlineStr">
        <is>
          <t>DT-001</t>
        </is>
      </c>
      <c r="L590" s="8" t="inlineStr">
        <is>
          <t>Zenfone 8</t>
        </is>
      </c>
      <c r="M590" s="8" t="inlineStr">
        <is>
          <t>ZS590KS</t>
        </is>
      </c>
      <c r="N590" s="7" t="n">
        <v>2021</v>
      </c>
      <c r="O590" s="94" t="n">
        <v>477</v>
      </c>
      <c r="P590" s="94" t="inlineStr">
        <is>
          <t>Yes</t>
        </is>
      </c>
    </row>
    <row r="591" ht="21.5" customHeight="1" s="125">
      <c r="H591" s="9" t="inlineStr">
        <is>
          <t>MOD-000478</t>
        </is>
      </c>
      <c r="I591" s="7" t="inlineStr">
        <is>
          <t>MFG-008</t>
        </is>
      </c>
      <c r="J591" s="7" t="inlineStr">
        <is>
          <t>DF-080</t>
        </is>
      </c>
      <c r="K591" s="7" t="inlineStr">
        <is>
          <t>DT-001</t>
        </is>
      </c>
      <c r="L591" s="8" t="inlineStr">
        <is>
          <t>Zenfone 9</t>
        </is>
      </c>
      <c r="M591" s="8" t="inlineStr">
        <is>
          <t>AI2202</t>
        </is>
      </c>
      <c r="N591" s="7" t="n">
        <v>2022</v>
      </c>
      <c r="O591" s="94" t="n">
        <v>478</v>
      </c>
      <c r="P591" s="94" t="inlineStr">
        <is>
          <t>Yes</t>
        </is>
      </c>
    </row>
    <row r="592" ht="21.5" customHeight="1" s="125">
      <c r="A592" s="3" t="inlineStr">
        <is>
          <t>tblInventoryStatus</t>
        </is>
      </c>
      <c r="H592" s="9" t="inlineStr">
        <is>
          <t>MOD-000479</t>
        </is>
      </c>
      <c r="I592" s="7" t="inlineStr">
        <is>
          <t>MFG-008</t>
        </is>
      </c>
      <c r="J592" s="7" t="inlineStr">
        <is>
          <t>DF-080</t>
        </is>
      </c>
      <c r="K592" s="7" t="inlineStr">
        <is>
          <t>DT-001</t>
        </is>
      </c>
      <c r="L592" s="8" t="inlineStr">
        <is>
          <t>Zenfone 10</t>
        </is>
      </c>
      <c r="M592" s="8" t="inlineStr">
        <is>
          <t>AI2302</t>
        </is>
      </c>
      <c r="N592" s="7" t="n">
        <v>2023</v>
      </c>
      <c r="O592" s="94" t="n">
        <v>479</v>
      </c>
      <c r="P592" s="94" t="inlineStr">
        <is>
          <t>Yes</t>
        </is>
      </c>
    </row>
    <row r="593" ht="21.5" customHeight="1" s="125">
      <c r="A593" s="6" t="inlineStr">
        <is>
          <t>ID</t>
        </is>
      </c>
      <c r="B593" s="6" t="inlineStr">
        <is>
          <t>Name</t>
        </is>
      </c>
      <c r="C593" s="6" t="inlineStr">
        <is>
          <t>Description</t>
        </is>
      </c>
      <c r="D593" s="6" t="inlineStr">
        <is>
          <t>DisplayOrder</t>
        </is>
      </c>
      <c r="E593" s="6" t="inlineStr">
        <is>
          <t>Active</t>
        </is>
      </c>
      <c r="H593" s="9" t="inlineStr">
        <is>
          <t>MOD-000480</t>
        </is>
      </c>
      <c r="I593" s="7" t="inlineStr">
        <is>
          <t>MFG-008</t>
        </is>
      </c>
      <c r="J593" s="7" t="inlineStr">
        <is>
          <t>DF-081</t>
        </is>
      </c>
      <c r="K593" s="7" t="inlineStr">
        <is>
          <t>DT-001</t>
        </is>
      </c>
      <c r="L593" s="8" t="inlineStr">
        <is>
          <t>ROG Phone</t>
        </is>
      </c>
      <c r="M593" s="8" t="inlineStr">
        <is>
          <t>ZS600KL</t>
        </is>
      </c>
      <c r="N593" s="7" t="n">
        <v>2018</v>
      </c>
      <c r="O593" s="94" t="n">
        <v>480</v>
      </c>
      <c r="P593" s="94" t="inlineStr">
        <is>
          <t>Yes</t>
        </is>
      </c>
    </row>
    <row r="594" ht="21.5" customHeight="1" s="125">
      <c r="A594" s="94" t="inlineStr">
        <is>
          <t>INV-000001</t>
        </is>
      </c>
      <c r="B594" s="94" t="inlineStr">
        <is>
          <t>Available</t>
        </is>
      </c>
      <c r="C594" s="94" t="n"/>
      <c r="D594" s="94" t="n">
        <v>1</v>
      </c>
      <c r="E594" s="94" t="b">
        <v>1</v>
      </c>
      <c r="H594" s="9" t="inlineStr">
        <is>
          <t>MOD-000481</t>
        </is>
      </c>
      <c r="I594" s="7" t="inlineStr">
        <is>
          <t>MFG-008</t>
        </is>
      </c>
      <c r="J594" s="7" t="inlineStr">
        <is>
          <t>DF-081</t>
        </is>
      </c>
      <c r="K594" s="7" t="inlineStr">
        <is>
          <t>DT-001</t>
        </is>
      </c>
      <c r="L594" s="8" t="inlineStr">
        <is>
          <t>ROG Phone II</t>
        </is>
      </c>
      <c r="M594" s="8" t="inlineStr">
        <is>
          <t>ZS660KL</t>
        </is>
      </c>
      <c r="N594" s="7" t="n">
        <v>2019</v>
      </c>
      <c r="O594" s="94" t="n">
        <v>481</v>
      </c>
      <c r="P594" s="94" t="inlineStr">
        <is>
          <t>Yes</t>
        </is>
      </c>
    </row>
    <row r="595" ht="21.5" customHeight="1" s="125">
      <c r="A595" s="94" t="inlineStr">
        <is>
          <t>INV-000002</t>
        </is>
      </c>
      <c r="B595" s="94" t="inlineStr">
        <is>
          <t>Allocated</t>
        </is>
      </c>
      <c r="C595" s="94" t="n"/>
      <c r="D595" s="94" t="n">
        <v>2</v>
      </c>
      <c r="E595" s="94" t="b">
        <v>1</v>
      </c>
      <c r="H595" s="9" t="inlineStr">
        <is>
          <t>MOD-000482</t>
        </is>
      </c>
      <c r="I595" s="7" t="inlineStr">
        <is>
          <t>MFG-008</t>
        </is>
      </c>
      <c r="J595" s="7" t="inlineStr">
        <is>
          <t>DF-081</t>
        </is>
      </c>
      <c r="K595" s="7" t="inlineStr">
        <is>
          <t>DT-001</t>
        </is>
      </c>
      <c r="L595" s="8" t="inlineStr">
        <is>
          <t>ROG Phone 5</t>
        </is>
      </c>
      <c r="M595" s="8" t="inlineStr">
        <is>
          <t>ZS673KS</t>
        </is>
      </c>
      <c r="N595" s="7" t="n">
        <v>2021</v>
      </c>
      <c r="O595" s="94" t="n">
        <v>482</v>
      </c>
      <c r="P595" s="94" t="inlineStr">
        <is>
          <t>Yes</t>
        </is>
      </c>
    </row>
    <row r="596" ht="21.5" customHeight="1" s="125">
      <c r="A596" s="94" t="inlineStr">
        <is>
          <t>INV-000003</t>
        </is>
      </c>
      <c r="B596" s="94" t="inlineStr">
        <is>
          <t>Consumed</t>
        </is>
      </c>
      <c r="C596" s="94" t="n"/>
      <c r="D596" s="94" t="n">
        <v>3</v>
      </c>
      <c r="E596" s="94" t="b">
        <v>1</v>
      </c>
      <c r="H596" s="9" t="inlineStr">
        <is>
          <t>MOD-000483</t>
        </is>
      </c>
      <c r="I596" s="7" t="inlineStr">
        <is>
          <t>MFG-008</t>
        </is>
      </c>
      <c r="J596" s="7" t="inlineStr">
        <is>
          <t>DF-081</t>
        </is>
      </c>
      <c r="K596" s="7" t="inlineStr">
        <is>
          <t>DT-001</t>
        </is>
      </c>
      <c r="L596" s="8" t="inlineStr">
        <is>
          <t>ROG Phone 8 Pro</t>
        </is>
      </c>
      <c r="M596" s="8" t="inlineStr">
        <is>
          <t>AI2401</t>
        </is>
      </c>
      <c r="N596" s="7" t="n">
        <v>2024</v>
      </c>
      <c r="O596" s="94" t="n">
        <v>483</v>
      </c>
      <c r="P596" s="94" t="inlineStr">
        <is>
          <t>Yes</t>
        </is>
      </c>
    </row>
    <row r="597" ht="21.5" customHeight="1" s="125">
      <c r="A597" s="94" t="inlineStr">
        <is>
          <t>INV-000004</t>
        </is>
      </c>
      <c r="B597" s="94" t="inlineStr">
        <is>
          <t>Damaged</t>
        </is>
      </c>
      <c r="C597" s="94" t="n"/>
      <c r="D597" s="94" t="n">
        <v>4</v>
      </c>
      <c r="E597" s="94" t="b">
        <v>1</v>
      </c>
      <c r="H597" s="9" t="inlineStr">
        <is>
          <t>MOD-000484</t>
        </is>
      </c>
      <c r="I597" s="7" t="inlineStr">
        <is>
          <t>MFG-008</t>
        </is>
      </c>
      <c r="J597" s="7" t="inlineStr">
        <is>
          <t>DF-081</t>
        </is>
      </c>
      <c r="K597" s="7" t="inlineStr">
        <is>
          <t>DT-001</t>
        </is>
      </c>
      <c r="L597" s="8" t="inlineStr">
        <is>
          <t>ROG Phone 3</t>
        </is>
      </c>
      <c r="M597" s="8" t="inlineStr">
        <is>
          <t>ZS661KS</t>
        </is>
      </c>
      <c r="N597" s="7" t="n">
        <v>2020</v>
      </c>
      <c r="O597" s="94" t="n">
        <v>484</v>
      </c>
      <c r="P597" s="94" t="inlineStr">
        <is>
          <t>Yes</t>
        </is>
      </c>
    </row>
    <row r="598" ht="21.5" customHeight="1" s="125">
      <c r="A598" s="94" t="inlineStr">
        <is>
          <t>INV-000005</t>
        </is>
      </c>
      <c r="B598" s="94" t="inlineStr">
        <is>
          <t>Returned</t>
        </is>
      </c>
      <c r="C598" s="94" t="n"/>
      <c r="D598" s="94" t="n">
        <v>5</v>
      </c>
      <c r="E598" s="94" t="b">
        <v>1</v>
      </c>
      <c r="H598" s="9" t="inlineStr">
        <is>
          <t>MOD-000485</t>
        </is>
      </c>
      <c r="I598" s="7" t="inlineStr">
        <is>
          <t>MFG-008</t>
        </is>
      </c>
      <c r="J598" s="7" t="inlineStr">
        <is>
          <t>DF-081</t>
        </is>
      </c>
      <c r="K598" s="7" t="inlineStr">
        <is>
          <t>DT-001</t>
        </is>
      </c>
      <c r="L598" s="8" t="inlineStr">
        <is>
          <t>ROG Phone 5s</t>
        </is>
      </c>
      <c r="M598" s="8" t="inlineStr">
        <is>
          <t>ZS676KS</t>
        </is>
      </c>
      <c r="N598" s="7" t="n">
        <v>2021</v>
      </c>
      <c r="O598" s="94" t="n">
        <v>485</v>
      </c>
      <c r="P598" s="94" t="inlineStr">
        <is>
          <t>Yes</t>
        </is>
      </c>
    </row>
    <row r="599" ht="21.5" customHeight="1" s="125">
      <c r="A599" s="94" t="inlineStr">
        <is>
          <t>INV-000006</t>
        </is>
      </c>
      <c r="B599" s="94" t="inlineStr">
        <is>
          <t>Awaiting Inspection</t>
        </is>
      </c>
      <c r="C599" s="94" t="n"/>
      <c r="D599" s="94" t="n">
        <v>6</v>
      </c>
      <c r="E599" s="94" t="b">
        <v>1</v>
      </c>
      <c r="H599" s="9" t="inlineStr">
        <is>
          <t>MOD-000486</t>
        </is>
      </c>
      <c r="I599" s="7" t="inlineStr">
        <is>
          <t>MFG-008</t>
        </is>
      </c>
      <c r="J599" s="7" t="inlineStr">
        <is>
          <t>DF-081</t>
        </is>
      </c>
      <c r="K599" s="7" t="inlineStr">
        <is>
          <t>DT-001</t>
        </is>
      </c>
      <c r="L599" s="8" t="inlineStr">
        <is>
          <t>ROG Phone 6</t>
        </is>
      </c>
      <c r="M599" s="8" t="inlineStr">
        <is>
          <t>AI2201</t>
        </is>
      </c>
      <c r="N599" s="7" t="n">
        <v>2022</v>
      </c>
      <c r="O599" s="94" t="n">
        <v>486</v>
      </c>
      <c r="P599" s="94" t="inlineStr">
        <is>
          <t>Yes</t>
        </is>
      </c>
    </row>
    <row r="600" ht="21.5" customHeight="1" s="125">
      <c r="H600" s="9" t="inlineStr">
        <is>
          <t>MOD-000487</t>
        </is>
      </c>
      <c r="I600" s="7" t="inlineStr">
        <is>
          <t>MFG-008</t>
        </is>
      </c>
      <c r="J600" s="7" t="inlineStr">
        <is>
          <t>DF-081</t>
        </is>
      </c>
      <c r="K600" s="7" t="inlineStr">
        <is>
          <t>DT-001</t>
        </is>
      </c>
      <c r="L600" s="8" t="inlineStr">
        <is>
          <t>ROG Phone 6 Pro</t>
        </is>
      </c>
      <c r="M600" s="8" t="inlineStr">
        <is>
          <t>AI2201</t>
        </is>
      </c>
      <c r="N600" s="7" t="n">
        <v>2022</v>
      </c>
      <c r="O600" s="94" t="n">
        <v>487</v>
      </c>
      <c r="P600" s="94" t="inlineStr">
        <is>
          <t>Yes</t>
        </is>
      </c>
    </row>
    <row r="601" ht="21.5" customHeight="1" s="125">
      <c r="A601" s="94" t="n"/>
      <c r="B601" s="94" t="n"/>
      <c r="C601" s="94" t="n"/>
      <c r="D601" s="94" t="n"/>
      <c r="E601" s="94" t="n"/>
      <c r="H601" s="9" t="inlineStr">
        <is>
          <t>MOD-000488</t>
        </is>
      </c>
      <c r="I601" s="7" t="inlineStr">
        <is>
          <t>MFG-008</t>
        </is>
      </c>
      <c r="J601" s="7" t="inlineStr">
        <is>
          <t>DF-081</t>
        </is>
      </c>
      <c r="K601" s="7" t="inlineStr">
        <is>
          <t>DT-001</t>
        </is>
      </c>
      <c r="L601" s="8" t="inlineStr">
        <is>
          <t>ROG Phone 7</t>
        </is>
      </c>
      <c r="M601" s="8" t="inlineStr">
        <is>
          <t>AI2205</t>
        </is>
      </c>
      <c r="N601" s="7" t="n">
        <v>2023</v>
      </c>
      <c r="O601" s="94" t="n">
        <v>488</v>
      </c>
      <c r="P601" s="94" t="inlineStr">
        <is>
          <t>Yes</t>
        </is>
      </c>
    </row>
    <row r="602" ht="27.5" customHeight="1" s="125">
      <c r="A602" s="10" t="inlineStr">
        <is>
          <t xml:space="preserve"> -------------------------------------------------------------------------------------------------------------------------------</t>
        </is>
      </c>
      <c r="B602" s="94" t="n"/>
      <c r="C602" s="94" t="n"/>
      <c r="D602" s="94" t="n"/>
      <c r="E602" s="94" t="n"/>
      <c r="H602" s="9" t="inlineStr">
        <is>
          <t>MOD-000489</t>
        </is>
      </c>
      <c r="I602" s="7" t="inlineStr">
        <is>
          <t>MFG-008</t>
        </is>
      </c>
      <c r="J602" s="7" t="inlineStr">
        <is>
          <t>DF-081</t>
        </is>
      </c>
      <c r="K602" s="7" t="inlineStr">
        <is>
          <t>DT-001</t>
        </is>
      </c>
      <c r="L602" s="8" t="inlineStr">
        <is>
          <t>ROG Phone 7 Ultimate</t>
        </is>
      </c>
      <c r="M602" s="8" t="inlineStr">
        <is>
          <t>AI2205</t>
        </is>
      </c>
      <c r="N602" s="7" t="n">
        <v>2023</v>
      </c>
      <c r="O602" s="94" t="n">
        <v>489</v>
      </c>
      <c r="P602" s="94" t="inlineStr">
        <is>
          <t>Yes</t>
        </is>
      </c>
    </row>
    <row r="603" ht="35" customHeight="1" s="125">
      <c r="A603" s="116" t="inlineStr">
        <is>
          <t xml:space="preserve"> WARRANTY LOOKUPS</t>
        </is>
      </c>
      <c r="H603" s="9" t="inlineStr">
        <is>
          <t>MOD-000490</t>
        </is>
      </c>
      <c r="I603" s="7" t="inlineStr">
        <is>
          <t>MFG-008</t>
        </is>
      </c>
      <c r="J603" s="7" t="inlineStr">
        <is>
          <t>DF-081</t>
        </is>
      </c>
      <c r="K603" s="7" t="inlineStr">
        <is>
          <t>DT-001</t>
        </is>
      </c>
      <c r="L603" s="8" t="inlineStr">
        <is>
          <t>ROG Phone 8</t>
        </is>
      </c>
      <c r="M603" s="8" t="inlineStr">
        <is>
          <t>AI2401</t>
        </is>
      </c>
      <c r="N603" s="7" t="n">
        <v>2024</v>
      </c>
      <c r="O603" s="94" t="n">
        <v>490</v>
      </c>
      <c r="P603" s="94" t="inlineStr">
        <is>
          <t>Yes</t>
        </is>
      </c>
    </row>
    <row r="604" ht="27.5" customHeight="1" s="125">
      <c r="A604" s="10" t="inlineStr">
        <is>
          <t xml:space="preserve"> -------------------------------------------------------------------------------------------------------------------------------</t>
        </is>
      </c>
      <c r="B604" s="94" t="n"/>
      <c r="C604" s="94" t="n"/>
      <c r="D604" s="94" t="n"/>
      <c r="E604" s="94" t="n"/>
      <c r="H604" s="9" t="inlineStr">
        <is>
          <t>MOD-000491</t>
        </is>
      </c>
      <c r="I604" s="7" t="inlineStr">
        <is>
          <t>MFG-008</t>
        </is>
      </c>
      <c r="J604" s="7" t="inlineStr">
        <is>
          <t>DF-080</t>
        </is>
      </c>
      <c r="K604" s="7" t="inlineStr">
        <is>
          <t>DT-001</t>
        </is>
      </c>
      <c r="L604" s="8" t="inlineStr">
        <is>
          <t>Zenfone 11 Ultra</t>
        </is>
      </c>
      <c r="M604" s="8" t="inlineStr">
        <is>
          <t>AI2401</t>
        </is>
      </c>
      <c r="N604" s="7" t="n">
        <v>2024</v>
      </c>
      <c r="O604" s="94" t="n">
        <v>491</v>
      </c>
      <c r="P604" s="94" t="inlineStr">
        <is>
          <t>Yes</t>
        </is>
      </c>
    </row>
    <row r="605" ht="21.5" customHeight="1" s="125">
      <c r="H605" s="9" t="inlineStr">
        <is>
          <t>MOD-000492</t>
        </is>
      </c>
      <c r="I605" s="7" t="inlineStr">
        <is>
          <t>MFG-008</t>
        </is>
      </c>
      <c r="J605" s="7" t="inlineStr">
        <is>
          <t>DF-082</t>
        </is>
      </c>
      <c r="K605" s="7" t="inlineStr">
        <is>
          <t>DT-002</t>
        </is>
      </c>
      <c r="L605" s="8" t="inlineStr">
        <is>
          <t>ZenPad 3S 10</t>
        </is>
      </c>
      <c r="M605" s="8" t="inlineStr">
        <is>
          <t>Z500M</t>
        </is>
      </c>
      <c r="N605" s="7" t="n">
        <v>2016</v>
      </c>
      <c r="O605" s="94" t="n">
        <v>492</v>
      </c>
      <c r="P605" s="94" t="inlineStr">
        <is>
          <t>Yes</t>
        </is>
      </c>
    </row>
    <row r="606" ht="21.5" customHeight="1" s="125">
      <c r="A606" s="3" t="inlineStr">
        <is>
          <t>tblWarrantyTypes</t>
        </is>
      </c>
      <c r="H606" s="9" t="inlineStr">
        <is>
          <t>MOD-000493</t>
        </is>
      </c>
      <c r="I606" s="7" t="inlineStr">
        <is>
          <t>MFG-008</t>
        </is>
      </c>
      <c r="J606" s="7" t="inlineStr">
        <is>
          <t>DF-082</t>
        </is>
      </c>
      <c r="K606" s="7" t="inlineStr">
        <is>
          <t>DT-002</t>
        </is>
      </c>
      <c r="L606" s="8" t="inlineStr">
        <is>
          <t>ROG Flow Z13</t>
        </is>
      </c>
      <c r="M606" s="8" t="inlineStr">
        <is>
          <t>GZ301</t>
        </is>
      </c>
      <c r="N606" s="7" t="n">
        <v>2023</v>
      </c>
      <c r="O606" s="94" t="n">
        <v>493</v>
      </c>
      <c r="P606" s="94" t="inlineStr">
        <is>
          <t>Yes</t>
        </is>
      </c>
    </row>
    <row r="607" ht="21.5" customHeight="1" s="125">
      <c r="A607" s="6" t="inlineStr">
        <is>
          <t>ID</t>
        </is>
      </c>
      <c r="B607" s="6" t="inlineStr">
        <is>
          <t>Name</t>
        </is>
      </c>
      <c r="C607" s="6" t="inlineStr">
        <is>
          <t>Description</t>
        </is>
      </c>
      <c r="D607" s="6" t="inlineStr">
        <is>
          <t>DisplayOrder</t>
        </is>
      </c>
      <c r="E607" s="6" t="inlineStr">
        <is>
          <t>Active</t>
        </is>
      </c>
      <c r="H607" s="9" t="inlineStr">
        <is>
          <t>MOD-000494</t>
        </is>
      </c>
      <c r="I607" s="7" t="inlineStr">
        <is>
          <t>MFG-009</t>
        </is>
      </c>
      <c r="J607" s="7" t="inlineStr">
        <is>
          <t>DF-090</t>
        </is>
      </c>
      <c r="K607" s="7" t="inlineStr">
        <is>
          <t>DT-001</t>
        </is>
      </c>
      <c r="L607" s="8" t="inlineStr">
        <is>
          <t>OnePlus One</t>
        </is>
      </c>
      <c r="M607" s="8" t="inlineStr">
        <is>
          <t>A0001</t>
        </is>
      </c>
      <c r="N607" s="7" t="n">
        <v>2014</v>
      </c>
      <c r="O607" s="94" t="n">
        <v>494</v>
      </c>
      <c r="P607" s="94" t="inlineStr">
        <is>
          <t>Yes</t>
        </is>
      </c>
    </row>
    <row r="608" ht="21.5" customHeight="1" s="125">
      <c r="A608" s="16" t="inlineStr">
        <is>
          <t>WAR-000001</t>
        </is>
      </c>
      <c r="B608" s="16" t="inlineStr">
        <is>
          <t>No Warranty</t>
        </is>
      </c>
      <c r="C608" s="16" t="inlineStr">
        <is>
          <t>No Warranty</t>
        </is>
      </c>
      <c r="D608" s="94" t="n">
        <v>1</v>
      </c>
      <c r="E608" s="94" t="b">
        <v>1</v>
      </c>
      <c r="H608" s="9" t="inlineStr">
        <is>
          <t>MOD-000495</t>
        </is>
      </c>
      <c r="I608" s="7" t="inlineStr">
        <is>
          <t>MFG-009</t>
        </is>
      </c>
      <c r="J608" s="7" t="inlineStr">
        <is>
          <t>DF-090</t>
        </is>
      </c>
      <c r="K608" s="7" t="inlineStr">
        <is>
          <t>DT-001</t>
        </is>
      </c>
      <c r="L608" s="8" t="inlineStr">
        <is>
          <t>OnePlus 2</t>
        </is>
      </c>
      <c r="M608" s="8" t="inlineStr">
        <is>
          <t>A2001</t>
        </is>
      </c>
      <c r="N608" s="7" t="n">
        <v>2015</v>
      </c>
      <c r="O608" s="94" t="n">
        <v>495</v>
      </c>
      <c r="P608" s="94" t="inlineStr">
        <is>
          <t>Yes</t>
        </is>
      </c>
    </row>
    <row r="609" ht="21.5" customHeight="1" s="125">
      <c r="A609" s="16" t="inlineStr">
        <is>
          <t>WAR-000002</t>
        </is>
      </c>
      <c r="B609" s="16" t="inlineStr">
        <is>
          <t>30 Days Limited</t>
        </is>
      </c>
      <c r="C609" s="16" t="inlineStr">
        <is>
          <t>30 Days Limited</t>
        </is>
      </c>
      <c r="D609" s="94" t="n">
        <v>2</v>
      </c>
      <c r="E609" s="94" t="b">
        <v>1</v>
      </c>
      <c r="H609" s="9" t="inlineStr">
        <is>
          <t>MOD-000496</t>
        </is>
      </c>
      <c r="I609" s="7" t="inlineStr">
        <is>
          <t>MFG-009</t>
        </is>
      </c>
      <c r="J609" s="7" t="inlineStr">
        <is>
          <t>DF-090</t>
        </is>
      </c>
      <c r="K609" s="7" t="inlineStr">
        <is>
          <t>DT-001</t>
        </is>
      </c>
      <c r="L609" s="8" t="inlineStr">
        <is>
          <t>OnePlus 3</t>
        </is>
      </c>
      <c r="M609" s="8" t="inlineStr">
        <is>
          <t>A3000</t>
        </is>
      </c>
      <c r="N609" s="7" t="n">
        <v>2016</v>
      </c>
      <c r="O609" s="94" t="n">
        <v>496</v>
      </c>
      <c r="P609" s="94" t="inlineStr">
        <is>
          <t>Yes</t>
        </is>
      </c>
    </row>
    <row r="610" ht="21.5" customHeight="1" s="125">
      <c r="A610" s="16" t="inlineStr">
        <is>
          <t>WAR-000003</t>
        </is>
      </c>
      <c r="B610" s="16" t="inlineStr">
        <is>
          <t>60 Days Limited</t>
        </is>
      </c>
      <c r="C610" s="16" t="inlineStr">
        <is>
          <t>60 Days Limited</t>
        </is>
      </c>
      <c r="D610" s="94" t="n">
        <v>3</v>
      </c>
      <c r="E610" s="94" t="b">
        <v>1</v>
      </c>
      <c r="H610" s="9" t="inlineStr">
        <is>
          <t>MOD-000497</t>
        </is>
      </c>
      <c r="I610" s="7" t="inlineStr">
        <is>
          <t>MFG-009</t>
        </is>
      </c>
      <c r="J610" s="7" t="inlineStr">
        <is>
          <t>DF-090</t>
        </is>
      </c>
      <c r="K610" s="7" t="inlineStr">
        <is>
          <t>DT-001</t>
        </is>
      </c>
      <c r="L610" s="8" t="inlineStr">
        <is>
          <t>OnePlus 3T</t>
        </is>
      </c>
      <c r="M610" s="8" t="inlineStr">
        <is>
          <t>A3010</t>
        </is>
      </c>
      <c r="N610" s="7" t="n">
        <v>2016</v>
      </c>
      <c r="O610" s="94" t="n">
        <v>497</v>
      </c>
      <c r="P610" s="94" t="inlineStr">
        <is>
          <t>Yes</t>
        </is>
      </c>
    </row>
    <row r="611" ht="21.5" customHeight="1" s="125">
      <c r="A611" s="16" t="inlineStr">
        <is>
          <t>WAR-000004</t>
        </is>
      </c>
      <c r="B611" s="16" t="inlineStr">
        <is>
          <t>90 Days Limited</t>
        </is>
      </c>
      <c r="C611" s="16" t="inlineStr">
        <is>
          <t>90 Days Limited</t>
        </is>
      </c>
      <c r="D611" s="94" t="n">
        <v>4</v>
      </c>
      <c r="E611" s="94" t="b">
        <v>1</v>
      </c>
      <c r="H611" s="9" t="inlineStr">
        <is>
          <t>MOD-000498</t>
        </is>
      </c>
      <c r="I611" s="7" t="inlineStr">
        <is>
          <t>MFG-009</t>
        </is>
      </c>
      <c r="J611" s="7" t="inlineStr">
        <is>
          <t>DF-090</t>
        </is>
      </c>
      <c r="K611" s="7" t="inlineStr">
        <is>
          <t>DT-001</t>
        </is>
      </c>
      <c r="L611" s="8" t="inlineStr">
        <is>
          <t>OnePlus 5</t>
        </is>
      </c>
      <c r="M611" s="8" t="inlineStr">
        <is>
          <t>A5000</t>
        </is>
      </c>
      <c r="N611" s="7" t="n">
        <v>2017</v>
      </c>
      <c r="O611" s="94" t="n">
        <v>498</v>
      </c>
      <c r="P611" s="94" t="inlineStr">
        <is>
          <t>Yes</t>
        </is>
      </c>
    </row>
    <row r="612" ht="21.5" customHeight="1" s="125">
      <c r="A612" s="16" t="inlineStr">
        <is>
          <t>WAR-000005</t>
        </is>
      </c>
      <c r="B612" s="16" t="inlineStr">
        <is>
          <t>180 Days Limited</t>
        </is>
      </c>
      <c r="C612" s="16" t="inlineStr">
        <is>
          <t>180 Days Limited</t>
        </is>
      </c>
      <c r="D612" s="94" t="n">
        <v>5</v>
      </c>
      <c r="E612" s="94" t="b">
        <v>1</v>
      </c>
      <c r="H612" s="9" t="inlineStr">
        <is>
          <t>MOD-000499</t>
        </is>
      </c>
      <c r="I612" s="7" t="inlineStr">
        <is>
          <t>MFG-009</t>
        </is>
      </c>
      <c r="J612" s="7" t="inlineStr">
        <is>
          <t>DF-090</t>
        </is>
      </c>
      <c r="K612" s="7" t="inlineStr">
        <is>
          <t>DT-001</t>
        </is>
      </c>
      <c r="L612" s="8" t="inlineStr">
        <is>
          <t>OnePlus 5T</t>
        </is>
      </c>
      <c r="M612" s="8" t="inlineStr">
        <is>
          <t>A5010</t>
        </is>
      </c>
      <c r="N612" s="7" t="n">
        <v>2017</v>
      </c>
      <c r="O612" s="94" t="n">
        <v>499</v>
      </c>
      <c r="P612" s="94" t="inlineStr">
        <is>
          <t>Yes</t>
        </is>
      </c>
    </row>
    <row r="613" ht="21.5" customHeight="1" s="125">
      <c r="A613" s="16" t="inlineStr">
        <is>
          <t>WAR-000006</t>
        </is>
      </c>
      <c r="B613" s="16" t="inlineStr">
        <is>
          <t>1 Year Limited</t>
        </is>
      </c>
      <c r="C613" s="16" t="inlineStr">
        <is>
          <t>2 Year Limited</t>
        </is>
      </c>
      <c r="D613" s="94" t="n">
        <v>6</v>
      </c>
      <c r="E613" s="94" t="b">
        <v>1</v>
      </c>
      <c r="H613" s="9" t="inlineStr">
        <is>
          <t>MOD-000500</t>
        </is>
      </c>
      <c r="I613" s="7" t="inlineStr">
        <is>
          <t>MFG-009</t>
        </is>
      </c>
      <c r="J613" s="7" t="inlineStr">
        <is>
          <t>DF-090</t>
        </is>
      </c>
      <c r="K613" s="7" t="inlineStr">
        <is>
          <t>DT-001</t>
        </is>
      </c>
      <c r="L613" s="8" t="inlineStr">
        <is>
          <t>OnePlus 6</t>
        </is>
      </c>
      <c r="M613" s="8" t="inlineStr">
        <is>
          <t>A6003</t>
        </is>
      </c>
      <c r="N613" s="7" t="n">
        <v>2018</v>
      </c>
      <c r="O613" s="94" t="n">
        <v>500</v>
      </c>
      <c r="P613" s="94" t="inlineStr">
        <is>
          <t>Yes</t>
        </is>
      </c>
    </row>
    <row r="614" ht="21.5" customHeight="1" s="125">
      <c r="A614" s="16" t="inlineStr">
        <is>
          <t>WAR-000007</t>
        </is>
      </c>
      <c r="B614" s="16" t="inlineStr">
        <is>
          <t>Lifetime Limited</t>
        </is>
      </c>
      <c r="C614" s="16" t="inlineStr">
        <is>
          <t>Lifetime Limited</t>
        </is>
      </c>
      <c r="D614" s="94" t="n">
        <v>7</v>
      </c>
      <c r="E614" s="94" t="b">
        <v>1</v>
      </c>
      <c r="H614" s="9" t="inlineStr">
        <is>
          <t>MOD-000501</t>
        </is>
      </c>
      <c r="I614" s="7" t="inlineStr">
        <is>
          <t>MFG-009</t>
        </is>
      </c>
      <c r="J614" s="7" t="inlineStr">
        <is>
          <t>DF-090</t>
        </is>
      </c>
      <c r="K614" s="7" t="inlineStr">
        <is>
          <t>DT-001</t>
        </is>
      </c>
      <c r="L614" s="8" t="inlineStr">
        <is>
          <t>OnePlus 6T</t>
        </is>
      </c>
      <c r="M614" s="8" t="inlineStr">
        <is>
          <t>A6013</t>
        </is>
      </c>
      <c r="N614" s="7" t="n">
        <v>2018</v>
      </c>
      <c r="O614" s="94" t="n">
        <v>501</v>
      </c>
      <c r="P614" s="94" t="inlineStr">
        <is>
          <t>Yes</t>
        </is>
      </c>
    </row>
    <row r="615" ht="21.5" customHeight="1" s="125">
      <c r="A615" s="16" t="inlineStr">
        <is>
          <t>WAR-000008</t>
        </is>
      </c>
      <c r="B615" s="16" t="inlineStr">
        <is>
          <t>Manufacturer Warranty</t>
        </is>
      </c>
      <c r="C615" s="16" t="inlineStr">
        <is>
          <t>Manufacturer Warranty</t>
        </is>
      </c>
      <c r="D615" s="94" t="n">
        <v>8</v>
      </c>
      <c r="E615" s="94" t="b">
        <v>1</v>
      </c>
      <c r="H615" s="9" t="inlineStr">
        <is>
          <t>MOD-000502</t>
        </is>
      </c>
      <c r="I615" s="7" t="inlineStr">
        <is>
          <t>MFG-009</t>
        </is>
      </c>
      <c r="J615" s="7" t="inlineStr">
        <is>
          <t>DF-090</t>
        </is>
      </c>
      <c r="K615" s="7" t="inlineStr">
        <is>
          <t>DT-001</t>
        </is>
      </c>
      <c r="L615" s="8" t="inlineStr">
        <is>
          <t>OnePlus 7</t>
        </is>
      </c>
      <c r="M615" s="8" t="inlineStr">
        <is>
          <t>GM1900</t>
        </is>
      </c>
      <c r="N615" s="7" t="n">
        <v>2019</v>
      </c>
      <c r="O615" s="94" t="n">
        <v>502</v>
      </c>
      <c r="P615" s="94" t="inlineStr">
        <is>
          <t>Yes</t>
        </is>
      </c>
    </row>
    <row r="616" ht="21.5" customHeight="1" s="125">
      <c r="H616" s="9" t="inlineStr">
        <is>
          <t>MOD-000503</t>
        </is>
      </c>
      <c r="I616" s="7" t="inlineStr">
        <is>
          <t>MFG-009</t>
        </is>
      </c>
      <c r="J616" s="7" t="inlineStr">
        <is>
          <t>DF-090</t>
        </is>
      </c>
      <c r="K616" s="7" t="inlineStr">
        <is>
          <t>DT-001</t>
        </is>
      </c>
      <c r="L616" s="8" t="inlineStr">
        <is>
          <t>OnePlus 7 Pro</t>
        </is>
      </c>
      <c r="M616" s="8" t="inlineStr">
        <is>
          <t>GM1917</t>
        </is>
      </c>
      <c r="N616" s="7" t="n">
        <v>2019</v>
      </c>
      <c r="O616" s="94" t="n">
        <v>503</v>
      </c>
      <c r="P616" s="94" t="inlineStr">
        <is>
          <t>Yes</t>
        </is>
      </c>
    </row>
    <row r="617" ht="21.5" customHeight="1" s="125">
      <c r="A617" s="3" t="inlineStr">
        <is>
          <t>tblWarrantyStatus</t>
        </is>
      </c>
      <c r="H617" s="9" t="inlineStr">
        <is>
          <t>MOD-000504</t>
        </is>
      </c>
      <c r="I617" s="7" t="inlineStr">
        <is>
          <t>MFG-009</t>
        </is>
      </c>
      <c r="J617" s="7" t="inlineStr">
        <is>
          <t>DF-090</t>
        </is>
      </c>
      <c r="K617" s="7" t="inlineStr">
        <is>
          <t>DT-001</t>
        </is>
      </c>
      <c r="L617" s="8" t="inlineStr">
        <is>
          <t>OnePlus 7T</t>
        </is>
      </c>
      <c r="M617" s="8" t="inlineStr">
        <is>
          <t>HD1905</t>
        </is>
      </c>
      <c r="N617" s="7" t="n">
        <v>2019</v>
      </c>
      <c r="O617" s="94" t="n">
        <v>504</v>
      </c>
      <c r="P617" s="94" t="inlineStr">
        <is>
          <t>Yes</t>
        </is>
      </c>
    </row>
    <row r="618" ht="21.5" customHeight="1" s="125">
      <c r="A618" s="6" t="inlineStr">
        <is>
          <t>ID</t>
        </is>
      </c>
      <c r="B618" s="6" t="inlineStr">
        <is>
          <t>Name</t>
        </is>
      </c>
      <c r="C618" s="6" t="inlineStr">
        <is>
          <t>Description</t>
        </is>
      </c>
      <c r="D618" s="6" t="inlineStr">
        <is>
          <t>DisplayOrder</t>
        </is>
      </c>
      <c r="E618" s="6" t="inlineStr">
        <is>
          <t>Active</t>
        </is>
      </c>
      <c r="H618" s="9" t="inlineStr">
        <is>
          <t>MOD-000505</t>
        </is>
      </c>
      <c r="I618" s="7" t="inlineStr">
        <is>
          <t>MFG-009</t>
        </is>
      </c>
      <c r="J618" s="7" t="inlineStr">
        <is>
          <t>DF-090</t>
        </is>
      </c>
      <c r="K618" s="7" t="inlineStr">
        <is>
          <t>DT-001</t>
        </is>
      </c>
      <c r="L618" s="8" t="inlineStr">
        <is>
          <t>OnePlus 7T Pro</t>
        </is>
      </c>
      <c r="M618" s="8" t="inlineStr">
        <is>
          <t>HD1913</t>
        </is>
      </c>
      <c r="N618" s="7" t="n">
        <v>2019</v>
      </c>
      <c r="O618" s="94" t="n">
        <v>505</v>
      </c>
      <c r="P618" s="94" t="inlineStr">
        <is>
          <t>Yes</t>
        </is>
      </c>
    </row>
    <row r="619" ht="21.5" customHeight="1" s="125">
      <c r="A619" s="94" t="inlineStr">
        <is>
          <t>WST-000001</t>
        </is>
      </c>
      <c r="B619" s="94" t="inlineStr">
        <is>
          <t>Valid</t>
        </is>
      </c>
      <c r="C619" s="94" t="n"/>
      <c r="D619" s="94" t="n">
        <v>1</v>
      </c>
      <c r="E619" s="94" t="b">
        <v>1</v>
      </c>
      <c r="H619" s="9" t="inlineStr">
        <is>
          <t>MOD-000506</t>
        </is>
      </c>
      <c r="I619" s="7" t="inlineStr">
        <is>
          <t>MFG-009</t>
        </is>
      </c>
      <c r="J619" s="7" t="inlineStr">
        <is>
          <t>DF-090</t>
        </is>
      </c>
      <c r="K619" s="7" t="inlineStr">
        <is>
          <t>DT-001</t>
        </is>
      </c>
      <c r="L619" s="8" t="inlineStr">
        <is>
          <t>OnePlus 8</t>
        </is>
      </c>
      <c r="M619" s="8" t="inlineStr">
        <is>
          <t>IN2015</t>
        </is>
      </c>
      <c r="N619" s="7" t="n">
        <v>2020</v>
      </c>
      <c r="O619" s="94" t="n">
        <v>506</v>
      </c>
      <c r="P619" s="94" t="inlineStr">
        <is>
          <t>Yes</t>
        </is>
      </c>
    </row>
    <row r="620" ht="21.5" customHeight="1" s="125">
      <c r="A620" s="94" t="inlineStr">
        <is>
          <t>WST-000002</t>
        </is>
      </c>
      <c r="B620" s="94" t="inlineStr">
        <is>
          <t>Expired</t>
        </is>
      </c>
      <c r="C620" s="94" t="n"/>
      <c r="D620" s="94" t="n">
        <v>2</v>
      </c>
      <c r="E620" s="94" t="b">
        <v>1</v>
      </c>
      <c r="H620" s="9" t="inlineStr">
        <is>
          <t>MOD-000507</t>
        </is>
      </c>
      <c r="I620" s="7" t="inlineStr">
        <is>
          <t>MFG-009</t>
        </is>
      </c>
      <c r="J620" s="7" t="inlineStr">
        <is>
          <t>DF-090</t>
        </is>
      </c>
      <c r="K620" s="7" t="inlineStr">
        <is>
          <t>DT-001</t>
        </is>
      </c>
      <c r="L620" s="8" t="inlineStr">
        <is>
          <t>OnePlus 8 Pro</t>
        </is>
      </c>
      <c r="M620" s="8" t="inlineStr">
        <is>
          <t>IN2025</t>
        </is>
      </c>
      <c r="N620" s="7" t="n">
        <v>2020</v>
      </c>
      <c r="O620" s="94" t="n">
        <v>507</v>
      </c>
      <c r="P620" s="94" t="inlineStr">
        <is>
          <t>Yes</t>
        </is>
      </c>
    </row>
    <row r="621" ht="21.5" customHeight="1" s="125">
      <c r="A621" s="94" t="inlineStr">
        <is>
          <t>WST-000003</t>
        </is>
      </c>
      <c r="B621" s="94" t="inlineStr">
        <is>
          <t>Voided</t>
        </is>
      </c>
      <c r="C621" s="94" t="n"/>
      <c r="D621" s="94" t="n">
        <v>3</v>
      </c>
      <c r="E621" s="94" t="b">
        <v>1</v>
      </c>
      <c r="H621" s="9" t="inlineStr">
        <is>
          <t>MOD-000508</t>
        </is>
      </c>
      <c r="I621" s="7" t="inlineStr">
        <is>
          <t>MFG-009</t>
        </is>
      </c>
      <c r="J621" s="7" t="inlineStr">
        <is>
          <t>DF-090</t>
        </is>
      </c>
      <c r="K621" s="7" t="inlineStr">
        <is>
          <t>DT-001</t>
        </is>
      </c>
      <c r="L621" s="8" t="inlineStr">
        <is>
          <t>OnePlus 8T</t>
        </is>
      </c>
      <c r="M621" s="8" t="inlineStr">
        <is>
          <t>KB2005</t>
        </is>
      </c>
      <c r="N621" s="7" t="n">
        <v>2020</v>
      </c>
      <c r="O621" s="94" t="n">
        <v>508</v>
      </c>
      <c r="P621" s="94" t="inlineStr">
        <is>
          <t>Yes</t>
        </is>
      </c>
    </row>
    <row r="622" ht="21.5" customHeight="1" s="125">
      <c r="A622" s="94" t="inlineStr">
        <is>
          <t>WST-000004</t>
        </is>
      </c>
      <c r="B622" s="94" t="inlineStr">
        <is>
          <t>Pending Review</t>
        </is>
      </c>
      <c r="C622" s="94" t="n"/>
      <c r="D622" s="94" t="n">
        <v>4</v>
      </c>
      <c r="E622" s="94" t="b">
        <v>1</v>
      </c>
      <c r="H622" s="9" t="inlineStr">
        <is>
          <t>MOD-000509</t>
        </is>
      </c>
      <c r="I622" s="7" t="inlineStr">
        <is>
          <t>MFG-009</t>
        </is>
      </c>
      <c r="J622" s="7" t="inlineStr">
        <is>
          <t>DF-090</t>
        </is>
      </c>
      <c r="K622" s="7" t="inlineStr">
        <is>
          <t>DT-001</t>
        </is>
      </c>
      <c r="L622" s="8" t="inlineStr">
        <is>
          <t>OnePlus 9</t>
        </is>
      </c>
      <c r="M622" s="8" t="inlineStr">
        <is>
          <t>LE2115</t>
        </is>
      </c>
      <c r="N622" s="7" t="n">
        <v>2021</v>
      </c>
      <c r="O622" s="94" t="n">
        <v>509</v>
      </c>
      <c r="P622" s="94" t="inlineStr">
        <is>
          <t>Yes</t>
        </is>
      </c>
    </row>
    <row r="623" ht="21.5" customHeight="1" s="125">
      <c r="H623" s="9" t="inlineStr">
        <is>
          <t>MOD-000510</t>
        </is>
      </c>
      <c r="I623" s="7" t="inlineStr">
        <is>
          <t>MFG-009</t>
        </is>
      </c>
      <c r="J623" s="7" t="inlineStr">
        <is>
          <t>DF-090</t>
        </is>
      </c>
      <c r="K623" s="7" t="inlineStr">
        <is>
          <t>DT-001</t>
        </is>
      </c>
      <c r="L623" s="8" t="inlineStr">
        <is>
          <t>OnePlus 9 Pro</t>
        </is>
      </c>
      <c r="M623" s="8" t="inlineStr">
        <is>
          <t>LE2125</t>
        </is>
      </c>
      <c r="N623" s="7" t="n">
        <v>2021</v>
      </c>
      <c r="O623" s="94" t="n">
        <v>510</v>
      </c>
      <c r="P623" s="94" t="inlineStr">
        <is>
          <t>Yes</t>
        </is>
      </c>
    </row>
    <row r="624" ht="21.5" customHeight="1" s="125">
      <c r="A624" s="3" t="inlineStr">
        <is>
          <t>tblWarrantyProviders</t>
        </is>
      </c>
      <c r="H624" s="9" t="inlineStr">
        <is>
          <t>MOD-000511</t>
        </is>
      </c>
      <c r="I624" s="7" t="inlineStr">
        <is>
          <t>MFG-009</t>
        </is>
      </c>
      <c r="J624" s="7" t="inlineStr">
        <is>
          <t>DF-090</t>
        </is>
      </c>
      <c r="K624" s="7" t="inlineStr">
        <is>
          <t>DT-001</t>
        </is>
      </c>
      <c r="L624" s="8" t="inlineStr">
        <is>
          <t>OnePlus 9R</t>
        </is>
      </c>
      <c r="M624" s="8" t="inlineStr">
        <is>
          <t>LE2101</t>
        </is>
      </c>
      <c r="N624" s="7" t="n">
        <v>2021</v>
      </c>
      <c r="O624" s="94" t="n">
        <v>511</v>
      </c>
      <c r="P624" s="94" t="inlineStr">
        <is>
          <t>Yes</t>
        </is>
      </c>
    </row>
    <row r="625" ht="21.5" customHeight="1" s="125">
      <c r="A625" s="6" t="inlineStr">
        <is>
          <t>ID</t>
        </is>
      </c>
      <c r="B625" s="6" t="inlineStr">
        <is>
          <t>Name</t>
        </is>
      </c>
      <c r="C625" s="6" t="inlineStr">
        <is>
          <t>Description</t>
        </is>
      </c>
      <c r="D625" s="6" t="inlineStr">
        <is>
          <t>DisplayOrder</t>
        </is>
      </c>
      <c r="E625" s="6" t="inlineStr">
        <is>
          <t>Active</t>
        </is>
      </c>
      <c r="H625" s="9" t="inlineStr">
        <is>
          <t>MOD-000512</t>
        </is>
      </c>
      <c r="I625" s="7" t="inlineStr">
        <is>
          <t>MFG-009</t>
        </is>
      </c>
      <c r="J625" s="7" t="inlineStr">
        <is>
          <t>DF-090</t>
        </is>
      </c>
      <c r="K625" s="7" t="inlineStr">
        <is>
          <t>DT-001</t>
        </is>
      </c>
      <c r="L625" s="8" t="inlineStr">
        <is>
          <t>OnePlus 10 Pro</t>
        </is>
      </c>
      <c r="M625" s="8" t="inlineStr">
        <is>
          <t>NE2215</t>
        </is>
      </c>
      <c r="N625" s="7" t="n">
        <v>2022</v>
      </c>
      <c r="O625" s="94" t="n">
        <v>512</v>
      </c>
      <c r="P625" s="94" t="inlineStr">
        <is>
          <t>Yes</t>
        </is>
      </c>
    </row>
    <row r="626" ht="21.5" customHeight="1" s="125">
      <c r="A626" s="94" t="inlineStr">
        <is>
          <t>WPR-000001</t>
        </is>
      </c>
      <c r="B626" s="94" t="inlineStr">
        <is>
          <t>Nocturnix</t>
        </is>
      </c>
      <c r="C626" s="94" t="n"/>
      <c r="D626" s="94" t="n">
        <v>1</v>
      </c>
      <c r="E626" s="94" t="b">
        <v>1</v>
      </c>
      <c r="H626" s="9" t="inlineStr">
        <is>
          <t>MOD-000513</t>
        </is>
      </c>
      <c r="I626" s="7" t="inlineStr">
        <is>
          <t>MFG-009</t>
        </is>
      </c>
      <c r="J626" s="7" t="inlineStr">
        <is>
          <t>DF-090</t>
        </is>
      </c>
      <c r="K626" s="7" t="inlineStr">
        <is>
          <t>DT-001</t>
        </is>
      </c>
      <c r="L626" s="8" t="inlineStr">
        <is>
          <t>OnePlus 10T</t>
        </is>
      </c>
      <c r="M626" s="8" t="inlineStr">
        <is>
          <t>CPH2415</t>
        </is>
      </c>
      <c r="N626" s="7" t="n">
        <v>2022</v>
      </c>
      <c r="O626" s="94" t="n">
        <v>513</v>
      </c>
      <c r="P626" s="94" t="inlineStr">
        <is>
          <t>Yes</t>
        </is>
      </c>
    </row>
    <row r="627" ht="21.5" customHeight="1" s="125">
      <c r="A627" s="94" t="inlineStr">
        <is>
          <t>WPR-000002</t>
        </is>
      </c>
      <c r="B627" s="94" t="inlineStr">
        <is>
          <t>Apple</t>
        </is>
      </c>
      <c r="C627" s="94" t="n"/>
      <c r="D627" s="94" t="n">
        <v>2</v>
      </c>
      <c r="E627" s="94" t="b">
        <v>1</v>
      </c>
      <c r="H627" s="9" t="inlineStr">
        <is>
          <t>MOD-000514</t>
        </is>
      </c>
      <c r="I627" s="7" t="inlineStr">
        <is>
          <t>MFG-009</t>
        </is>
      </c>
      <c r="J627" s="7" t="inlineStr">
        <is>
          <t>DF-090</t>
        </is>
      </c>
      <c r="K627" s="7" t="inlineStr">
        <is>
          <t>DT-001</t>
        </is>
      </c>
      <c r="L627" s="8" t="inlineStr">
        <is>
          <t>OnePlus 11</t>
        </is>
      </c>
      <c r="M627" s="8" t="inlineStr">
        <is>
          <t>CPH2449</t>
        </is>
      </c>
      <c r="N627" s="7" t="n">
        <v>2023</v>
      </c>
      <c r="O627" s="94" t="n">
        <v>514</v>
      </c>
      <c r="P627" s="94" t="inlineStr">
        <is>
          <t>Yes</t>
        </is>
      </c>
    </row>
    <row r="628" ht="21.5" customHeight="1" s="125">
      <c r="A628" s="94" t="inlineStr">
        <is>
          <t>WPR-000003</t>
        </is>
      </c>
      <c r="B628" s="94" t="inlineStr">
        <is>
          <t>Samsung</t>
        </is>
      </c>
      <c r="C628" s="94" t="n"/>
      <c r="D628" s="94" t="n">
        <v>3</v>
      </c>
      <c r="E628" s="94" t="b">
        <v>1</v>
      </c>
      <c r="H628" s="9" t="inlineStr">
        <is>
          <t>MOD-000515</t>
        </is>
      </c>
      <c r="I628" s="7" t="inlineStr">
        <is>
          <t>MFG-009</t>
        </is>
      </c>
      <c r="J628" s="7" t="inlineStr">
        <is>
          <t>DF-090</t>
        </is>
      </c>
      <c r="K628" s="7" t="inlineStr">
        <is>
          <t>DT-001</t>
        </is>
      </c>
      <c r="L628" s="8" t="inlineStr">
        <is>
          <t>OnePlus 12</t>
        </is>
      </c>
      <c r="M628" s="8" t="inlineStr">
        <is>
          <t>CPH2583</t>
        </is>
      </c>
      <c r="N628" s="7" t="n">
        <v>2024</v>
      </c>
      <c r="O628" s="94" t="n">
        <v>515</v>
      </c>
      <c r="P628" s="94" t="inlineStr">
        <is>
          <t>Yes</t>
        </is>
      </c>
    </row>
    <row r="629" ht="21.5" customHeight="1" s="125">
      <c r="A629" s="94" t="inlineStr">
        <is>
          <t>WPR-000004</t>
        </is>
      </c>
      <c r="B629" s="94" t="inlineStr">
        <is>
          <t>Asurion</t>
        </is>
      </c>
      <c r="C629" s="94" t="n"/>
      <c r="D629" s="94" t="n">
        <v>4</v>
      </c>
      <c r="E629" s="94" t="b">
        <v>1</v>
      </c>
      <c r="H629" s="9" t="inlineStr">
        <is>
          <t>MOD-000516</t>
        </is>
      </c>
      <c r="I629" s="7" t="inlineStr">
        <is>
          <t>MFG-009</t>
        </is>
      </c>
      <c r="J629" s="7" t="inlineStr">
        <is>
          <t>DF-090</t>
        </is>
      </c>
      <c r="K629" s="7" t="inlineStr">
        <is>
          <t>DT-001</t>
        </is>
      </c>
      <c r="L629" s="8" t="inlineStr">
        <is>
          <t>OnePlus 12R</t>
        </is>
      </c>
      <c r="M629" s="8" t="inlineStr">
        <is>
          <t>CPH2611</t>
        </is>
      </c>
      <c r="N629" s="7" t="n">
        <v>2024</v>
      </c>
      <c r="O629" s="94" t="n">
        <v>516</v>
      </c>
      <c r="P629" s="94" t="inlineStr">
        <is>
          <t>Yes</t>
        </is>
      </c>
    </row>
    <row r="630" ht="21.5" customHeight="1" s="125">
      <c r="A630" s="94" t="inlineStr">
        <is>
          <t>WPR-000005</t>
        </is>
      </c>
      <c r="B630" s="94" t="inlineStr">
        <is>
          <t>SquareTrade</t>
        </is>
      </c>
      <c r="C630" s="94" t="n"/>
      <c r="D630" s="94" t="n">
        <v>5</v>
      </c>
      <c r="E630" s="94" t="b">
        <v>1</v>
      </c>
      <c r="H630" s="9" t="inlineStr">
        <is>
          <t>MOD-000517</t>
        </is>
      </c>
      <c r="I630" s="7" t="inlineStr">
        <is>
          <t>MFG-009</t>
        </is>
      </c>
      <c r="J630" s="7" t="inlineStr">
        <is>
          <t>DF-090</t>
        </is>
      </c>
      <c r="K630" s="7" t="inlineStr">
        <is>
          <t>DT-001</t>
        </is>
      </c>
      <c r="L630" s="8" t="inlineStr">
        <is>
          <t>OnePlus 13</t>
        </is>
      </c>
      <c r="M630" s="8" t="inlineStr">
        <is>
          <t>PJZ110</t>
        </is>
      </c>
      <c r="N630" s="7" t="n">
        <v>2025</v>
      </c>
      <c r="O630" s="94" t="n">
        <v>517</v>
      </c>
      <c r="P630" s="94" t="inlineStr">
        <is>
          <t>Yes</t>
        </is>
      </c>
    </row>
    <row r="631" ht="21.5" customHeight="1" s="125">
      <c r="A631" s="94" t="inlineStr">
        <is>
          <t>WPR-000006</t>
        </is>
      </c>
      <c r="B631" s="94" t="inlineStr">
        <is>
          <t>Allstate</t>
        </is>
      </c>
      <c r="C631" s="94" t="n"/>
      <c r="D631" s="94" t="n">
        <v>6</v>
      </c>
      <c r="E631" s="94" t="b">
        <v>1</v>
      </c>
      <c r="H631" s="9" t="inlineStr">
        <is>
          <t>MOD-000518</t>
        </is>
      </c>
      <c r="I631" s="7" t="inlineStr">
        <is>
          <t>MFG-009</t>
        </is>
      </c>
      <c r="J631" s="7" t="inlineStr">
        <is>
          <t>DF-091</t>
        </is>
      </c>
      <c r="K631" s="7" t="inlineStr">
        <is>
          <t>DT-001</t>
        </is>
      </c>
      <c r="L631" s="8" t="inlineStr">
        <is>
          <t>OnePlus Nord</t>
        </is>
      </c>
      <c r="M631" s="8" t="inlineStr">
        <is>
          <t>AC2003</t>
        </is>
      </c>
      <c r="N631" s="7" t="n">
        <v>2020</v>
      </c>
      <c r="O631" s="94" t="n">
        <v>518</v>
      </c>
      <c r="P631" s="94" t="inlineStr">
        <is>
          <t>Yes</t>
        </is>
      </c>
    </row>
    <row r="632" ht="21.5" customHeight="1" s="125">
      <c r="A632" s="94" t="n"/>
      <c r="B632" s="94" t="n"/>
      <c r="C632" s="94" t="n"/>
      <c r="D632" s="94" t="n"/>
      <c r="E632" s="94" t="n"/>
      <c r="H632" s="9" t="inlineStr">
        <is>
          <t>MOD-000519</t>
        </is>
      </c>
      <c r="I632" s="7" t="inlineStr">
        <is>
          <t>MFG-009</t>
        </is>
      </c>
      <c r="J632" s="7" t="inlineStr">
        <is>
          <t>DF-091</t>
        </is>
      </c>
      <c r="K632" s="7" t="inlineStr">
        <is>
          <t>DT-001</t>
        </is>
      </c>
      <c r="L632" s="8" t="inlineStr">
        <is>
          <t>OnePlus Nord CE 3 Lite</t>
        </is>
      </c>
      <c r="M632" s="8" t="inlineStr">
        <is>
          <t>CPH2465</t>
        </is>
      </c>
      <c r="N632" s="7" t="n">
        <v>2023</v>
      </c>
      <c r="O632" s="94" t="n">
        <v>519</v>
      </c>
      <c r="P632" s="94" t="inlineStr">
        <is>
          <t>Yes</t>
        </is>
      </c>
    </row>
    <row r="633" ht="27.5" customHeight="1" s="125">
      <c r="A633" s="10" t="inlineStr">
        <is>
          <t xml:space="preserve"> -------------------------------------------------------------------------------------------------------------------------------</t>
        </is>
      </c>
      <c r="B633" s="94" t="n"/>
      <c r="C633" s="94" t="n"/>
      <c r="D633" s="94" t="n"/>
      <c r="E633" s="94" t="n"/>
      <c r="H633" s="9" t="inlineStr">
        <is>
          <t>MOD-000520</t>
        </is>
      </c>
      <c r="I633" s="7" t="inlineStr">
        <is>
          <t>MFG-009</t>
        </is>
      </c>
      <c r="J633" s="7" t="inlineStr">
        <is>
          <t>DF-091</t>
        </is>
      </c>
      <c r="K633" s="7" t="inlineStr">
        <is>
          <t>DT-001</t>
        </is>
      </c>
      <c r="L633" s="8" t="inlineStr">
        <is>
          <t>OnePlus Nord N30 5G</t>
        </is>
      </c>
      <c r="M633" s="8" t="inlineStr">
        <is>
          <t>CPH2513</t>
        </is>
      </c>
      <c r="N633" s="7" t="n">
        <v>2023</v>
      </c>
      <c r="O633" s="94" t="n">
        <v>520</v>
      </c>
      <c r="P633" s="94" t="inlineStr">
        <is>
          <t>Yes</t>
        </is>
      </c>
    </row>
    <row r="634" ht="35" customHeight="1" s="125">
      <c r="A634" s="116" t="inlineStr">
        <is>
          <t xml:space="preserve"> BUSINESS LOOKUPS</t>
        </is>
      </c>
      <c r="H634" s="9" t="inlineStr">
        <is>
          <t>MOD-000521</t>
        </is>
      </c>
      <c r="I634" s="7" t="inlineStr">
        <is>
          <t>MFG-009</t>
        </is>
      </c>
      <c r="J634" s="7" t="inlineStr">
        <is>
          <t>DF-092</t>
        </is>
      </c>
      <c r="K634" s="7" t="inlineStr">
        <is>
          <t>DT-001</t>
        </is>
      </c>
      <c r="L634" s="8" t="inlineStr">
        <is>
          <t>OnePlus Open</t>
        </is>
      </c>
      <c r="M634" s="8" t="inlineStr">
        <is>
          <t>CPH2551</t>
        </is>
      </c>
      <c r="N634" s="7" t="n">
        <v>2023</v>
      </c>
      <c r="O634" s="94" t="n">
        <v>521</v>
      </c>
      <c r="P634" s="94" t="inlineStr">
        <is>
          <t>Yes</t>
        </is>
      </c>
    </row>
    <row r="635" ht="27.5" customHeight="1" s="125">
      <c r="A635" s="10" t="inlineStr">
        <is>
          <t xml:space="preserve"> -------------------------------------------------------------------------------------------------------------------------------</t>
        </is>
      </c>
      <c r="B635" s="94" t="n"/>
      <c r="C635" s="94" t="n"/>
      <c r="D635" s="94" t="n"/>
      <c r="E635" s="94" t="n"/>
      <c r="H635" s="9" t="inlineStr">
        <is>
          <t>MOD-000522</t>
        </is>
      </c>
      <c r="I635" s="7" t="inlineStr">
        <is>
          <t>MFG-009</t>
        </is>
      </c>
      <c r="J635" s="7" t="inlineStr">
        <is>
          <t>DF-093</t>
        </is>
      </c>
      <c r="K635" s="7" t="inlineStr">
        <is>
          <t>DT-002</t>
        </is>
      </c>
      <c r="L635" s="8" t="inlineStr">
        <is>
          <t>OnePlus Pad</t>
        </is>
      </c>
      <c r="M635" s="8" t="inlineStr">
        <is>
          <t>OPD2203</t>
        </is>
      </c>
      <c r="N635" s="7" t="n">
        <v>2023</v>
      </c>
      <c r="O635" s="94" t="n">
        <v>522</v>
      </c>
      <c r="P635" s="94" t="inlineStr">
        <is>
          <t>Yes</t>
        </is>
      </c>
    </row>
    <row r="636" ht="21.5" customHeight="1" s="125">
      <c r="H636" s="9" t="inlineStr">
        <is>
          <t>MOD-000523</t>
        </is>
      </c>
      <c r="I636" s="7" t="inlineStr">
        <is>
          <t>MFG-009</t>
        </is>
      </c>
      <c r="J636" s="7" t="inlineStr">
        <is>
          <t>DF-093</t>
        </is>
      </c>
      <c r="K636" s="7" t="inlineStr">
        <is>
          <t>DT-002</t>
        </is>
      </c>
      <c r="L636" s="8" t="inlineStr">
        <is>
          <t>OnePlus Pad 2</t>
        </is>
      </c>
      <c r="M636" s="8" t="inlineStr">
        <is>
          <t>OPD2404</t>
        </is>
      </c>
      <c r="N636" s="7" t="n">
        <v>2024</v>
      </c>
      <c r="O636" s="94" t="n">
        <v>523</v>
      </c>
      <c r="P636" s="94" t="inlineStr">
        <is>
          <t>Yes</t>
        </is>
      </c>
    </row>
    <row r="637" ht="21.5" customHeight="1" s="125">
      <c r="A637" s="3" t="inlineStr">
        <is>
          <t>tblPaymentMethods</t>
        </is>
      </c>
      <c r="H637" s="9" t="inlineStr">
        <is>
          <t>MOD-000524</t>
        </is>
      </c>
      <c r="I637" s="7" t="inlineStr">
        <is>
          <t>MFG-010</t>
        </is>
      </c>
      <c r="J637" s="7" t="inlineStr">
        <is>
          <t>DF-100</t>
        </is>
      </c>
      <c r="K637" s="7" t="inlineStr">
        <is>
          <t>DT-001</t>
        </is>
      </c>
      <c r="L637" s="8" t="inlineStr">
        <is>
          <t>Mi 8</t>
        </is>
      </c>
      <c r="M637" s="8" t="inlineStr">
        <is>
          <t>M1803E1A</t>
        </is>
      </c>
      <c r="N637" s="7" t="n">
        <v>2018</v>
      </c>
      <c r="O637" s="94" t="n">
        <v>524</v>
      </c>
      <c r="P637" s="94" t="inlineStr">
        <is>
          <t>Yes</t>
        </is>
      </c>
    </row>
    <row r="638" ht="21.5" customHeight="1" s="125">
      <c r="A638" s="6" t="inlineStr">
        <is>
          <t>ID</t>
        </is>
      </c>
      <c r="B638" s="6" t="inlineStr">
        <is>
          <t>Name</t>
        </is>
      </c>
      <c r="C638" s="6" t="inlineStr">
        <is>
          <t>Description</t>
        </is>
      </c>
      <c r="D638" s="6" t="inlineStr">
        <is>
          <t>DisplayOrder</t>
        </is>
      </c>
      <c r="E638" s="6" t="inlineStr">
        <is>
          <t>Active</t>
        </is>
      </c>
      <c r="H638" s="9" t="inlineStr">
        <is>
          <t>MOD-000525</t>
        </is>
      </c>
      <c r="I638" s="7" t="inlineStr">
        <is>
          <t>MFG-010</t>
        </is>
      </c>
      <c r="J638" s="7" t="inlineStr">
        <is>
          <t>DF-100</t>
        </is>
      </c>
      <c r="K638" s="7" t="inlineStr">
        <is>
          <t>DT-001</t>
        </is>
      </c>
      <c r="L638" s="8" t="inlineStr">
        <is>
          <t>Mi 9</t>
        </is>
      </c>
      <c r="M638" s="8" t="inlineStr">
        <is>
          <t>M1902F1G</t>
        </is>
      </c>
      <c r="N638" s="7" t="n">
        <v>2019</v>
      </c>
      <c r="O638" s="94" t="n">
        <v>525</v>
      </c>
      <c r="P638" s="94" t="inlineStr">
        <is>
          <t>Yes</t>
        </is>
      </c>
    </row>
    <row r="639" ht="21.5" customHeight="1" s="125">
      <c r="A639" s="94" t="inlineStr">
        <is>
          <t>PAY-000001</t>
        </is>
      </c>
      <c r="B639" s="94" t="inlineStr">
        <is>
          <t>Cash</t>
        </is>
      </c>
      <c r="C639" s="94" t="inlineStr">
        <is>
          <t>Cash</t>
        </is>
      </c>
      <c r="D639" s="94" t="n">
        <v>1</v>
      </c>
      <c r="E639" s="94" t="b">
        <v>1</v>
      </c>
      <c r="H639" s="9" t="inlineStr">
        <is>
          <t>MOD-000526</t>
        </is>
      </c>
      <c r="I639" s="7" t="inlineStr">
        <is>
          <t>MFG-010</t>
        </is>
      </c>
      <c r="J639" s="7" t="inlineStr">
        <is>
          <t>DF-100</t>
        </is>
      </c>
      <c r="K639" s="7" t="inlineStr">
        <is>
          <t>DT-001</t>
        </is>
      </c>
      <c r="L639" s="8" t="inlineStr">
        <is>
          <t>Mi 10</t>
        </is>
      </c>
      <c r="M639" s="8" t="inlineStr">
        <is>
          <t>M2001J2G</t>
        </is>
      </c>
      <c r="N639" s="7" t="n">
        <v>2020</v>
      </c>
      <c r="O639" s="94" t="n">
        <v>526</v>
      </c>
      <c r="P639" s="94" t="inlineStr">
        <is>
          <t>Yes</t>
        </is>
      </c>
    </row>
    <row r="640" ht="21.5" customHeight="1" s="125">
      <c r="A640" s="94" t="inlineStr">
        <is>
          <t>PAY-000002</t>
        </is>
      </c>
      <c r="B640" s="94" t="inlineStr">
        <is>
          <t>Credit Card</t>
        </is>
      </c>
      <c r="C640" s="94" t="inlineStr">
        <is>
          <t>Credit</t>
        </is>
      </c>
      <c r="D640" s="94" t="n">
        <v>2</v>
      </c>
      <c r="E640" s="94" t="b">
        <v>1</v>
      </c>
      <c r="H640" s="9" t="inlineStr">
        <is>
          <t>MOD-000527</t>
        </is>
      </c>
      <c r="I640" s="7" t="inlineStr">
        <is>
          <t>MFG-010</t>
        </is>
      </c>
      <c r="J640" s="7" t="inlineStr">
        <is>
          <t>DF-100</t>
        </is>
      </c>
      <c r="K640" s="7" t="inlineStr">
        <is>
          <t>DT-001</t>
        </is>
      </c>
      <c r="L640" s="8" t="inlineStr">
        <is>
          <t>Mi 11</t>
        </is>
      </c>
      <c r="M640" s="8" t="inlineStr">
        <is>
          <t>M2011K2G</t>
        </is>
      </c>
      <c r="N640" s="7" t="n">
        <v>2021</v>
      </c>
      <c r="O640" s="94" t="n">
        <v>527</v>
      </c>
      <c r="P640" s="94" t="inlineStr">
        <is>
          <t>Yes</t>
        </is>
      </c>
    </row>
    <row r="641" ht="21.5" customHeight="1" s="125">
      <c r="A641" s="94" t="inlineStr">
        <is>
          <t>PAY-000003</t>
        </is>
      </c>
      <c r="B641" s="94" t="inlineStr">
        <is>
          <t>Debit Card</t>
        </is>
      </c>
      <c r="C641" s="94" t="inlineStr">
        <is>
          <t>Debit</t>
        </is>
      </c>
      <c r="D641" s="94" t="n">
        <v>3</v>
      </c>
      <c r="E641" s="94" t="b">
        <v>1</v>
      </c>
      <c r="H641" s="9" t="inlineStr">
        <is>
          <t>MOD-000528</t>
        </is>
      </c>
      <c r="I641" s="7" t="inlineStr">
        <is>
          <t>MFG-010</t>
        </is>
      </c>
      <c r="J641" s="7" t="inlineStr">
        <is>
          <t>DF-100</t>
        </is>
      </c>
      <c r="K641" s="7" t="inlineStr">
        <is>
          <t>DT-001</t>
        </is>
      </c>
      <c r="L641" s="8" t="inlineStr">
        <is>
          <t>Xiaomi 12</t>
        </is>
      </c>
      <c r="M641" s="8" t="inlineStr">
        <is>
          <t>2201123G</t>
        </is>
      </c>
      <c r="N641" s="7" t="n">
        <v>2022</v>
      </c>
      <c r="O641" s="94" t="n">
        <v>528</v>
      </c>
      <c r="P641" s="94" t="inlineStr">
        <is>
          <t>Yes</t>
        </is>
      </c>
    </row>
    <row r="642" ht="21.5" customHeight="1" s="125">
      <c r="A642" s="94" t="inlineStr">
        <is>
          <t>PAY-000004</t>
        </is>
      </c>
      <c r="B642" s="94" t="inlineStr">
        <is>
          <t>Square</t>
        </is>
      </c>
      <c r="C642" s="94" t="inlineStr">
        <is>
          <t>Square POS</t>
        </is>
      </c>
      <c r="D642" s="94" t="n">
        <v>4</v>
      </c>
      <c r="E642" s="94" t="b">
        <v>1</v>
      </c>
      <c r="H642" s="9" t="inlineStr">
        <is>
          <t>MOD-000529</t>
        </is>
      </c>
      <c r="I642" s="7" t="inlineStr">
        <is>
          <t>MFG-010</t>
        </is>
      </c>
      <c r="J642" s="7" t="inlineStr">
        <is>
          <t>DF-100</t>
        </is>
      </c>
      <c r="K642" s="7" t="inlineStr">
        <is>
          <t>DT-001</t>
        </is>
      </c>
      <c r="L642" s="8" t="inlineStr">
        <is>
          <t>Xiaomi 13</t>
        </is>
      </c>
      <c r="M642" s="8" t="inlineStr">
        <is>
          <t>2211133G</t>
        </is>
      </c>
      <c r="N642" s="7" t="n">
        <v>2023</v>
      </c>
      <c r="O642" s="94" t="n">
        <v>529</v>
      </c>
      <c r="P642" s="94" t="inlineStr">
        <is>
          <t>Yes</t>
        </is>
      </c>
    </row>
    <row r="643" ht="21.5" customHeight="1" s="125">
      <c r="A643" s="94" t="inlineStr">
        <is>
          <t>PAY-000005</t>
        </is>
      </c>
      <c r="B643" s="94" t="inlineStr">
        <is>
          <t>Apple Pay</t>
        </is>
      </c>
      <c r="C643" s="94" t="inlineStr">
        <is>
          <t>Apple</t>
        </is>
      </c>
      <c r="D643" s="94" t="n">
        <v>5</v>
      </c>
      <c r="E643" s="94" t="b">
        <v>1</v>
      </c>
      <c r="H643" s="9" t="inlineStr">
        <is>
          <t>MOD-000530</t>
        </is>
      </c>
      <c r="I643" s="7" t="inlineStr">
        <is>
          <t>MFG-010</t>
        </is>
      </c>
      <c r="J643" s="7" t="inlineStr">
        <is>
          <t>DF-100</t>
        </is>
      </c>
      <c r="K643" s="7" t="inlineStr">
        <is>
          <t>DT-001</t>
        </is>
      </c>
      <c r="L643" s="8" t="inlineStr">
        <is>
          <t>Xiaomi 14</t>
        </is>
      </c>
      <c r="M643" s="8" t="inlineStr">
        <is>
          <t>23127PN0CG</t>
        </is>
      </c>
      <c r="N643" s="7" t="n">
        <v>2024</v>
      </c>
      <c r="O643" s="94" t="n">
        <v>530</v>
      </c>
      <c r="P643" s="94" t="inlineStr">
        <is>
          <t>Yes</t>
        </is>
      </c>
    </row>
    <row r="644" ht="21.5" customHeight="1" s="125">
      <c r="A644" s="94" t="inlineStr">
        <is>
          <t>PAY-000006</t>
        </is>
      </c>
      <c r="B644" s="94" t="inlineStr">
        <is>
          <t>Google Pay</t>
        </is>
      </c>
      <c r="C644" s="94" t="inlineStr">
        <is>
          <t>Google</t>
        </is>
      </c>
      <c r="D644" s="94" t="n">
        <v>6</v>
      </c>
      <c r="E644" s="94" t="b">
        <v>1</v>
      </c>
      <c r="H644" s="9" t="inlineStr">
        <is>
          <t>MOD-000531</t>
        </is>
      </c>
      <c r="I644" s="7" t="inlineStr">
        <is>
          <t>MFG-010</t>
        </is>
      </c>
      <c r="J644" s="7" t="inlineStr">
        <is>
          <t>DF-101</t>
        </is>
      </c>
      <c r="K644" s="7" t="inlineStr">
        <is>
          <t>DT-001</t>
        </is>
      </c>
      <c r="L644" s="8" t="inlineStr">
        <is>
          <t>Redmi Note 10</t>
        </is>
      </c>
      <c r="M644" s="8" t="inlineStr">
        <is>
          <t>M2101K7AG</t>
        </is>
      </c>
      <c r="N644" s="7" t="n">
        <v>2021</v>
      </c>
      <c r="O644" s="94" t="n">
        <v>531</v>
      </c>
      <c r="P644" s="94" t="inlineStr">
        <is>
          <t>Yes</t>
        </is>
      </c>
    </row>
    <row r="645" ht="21.5" customHeight="1" s="125">
      <c r="A645" s="94" t="inlineStr">
        <is>
          <t>PAY-000007</t>
        </is>
      </c>
      <c r="B645" s="94" t="inlineStr">
        <is>
          <t>PayPal</t>
        </is>
      </c>
      <c r="C645" s="94" t="inlineStr">
        <is>
          <t>PayPal</t>
        </is>
      </c>
      <c r="D645" s="94" t="n">
        <v>7</v>
      </c>
      <c r="E645" s="94" t="b">
        <v>1</v>
      </c>
      <c r="H645" s="9" t="inlineStr">
        <is>
          <t>MOD-000532</t>
        </is>
      </c>
      <c r="I645" s="7" t="inlineStr">
        <is>
          <t>MFG-010</t>
        </is>
      </c>
      <c r="J645" s="7" t="inlineStr">
        <is>
          <t>DF-101</t>
        </is>
      </c>
      <c r="K645" s="7" t="inlineStr">
        <is>
          <t>DT-001</t>
        </is>
      </c>
      <c r="L645" s="8" t="inlineStr">
        <is>
          <t>Redmi Note 11</t>
        </is>
      </c>
      <c r="M645" s="8" t="inlineStr">
        <is>
          <t>2201117TG</t>
        </is>
      </c>
      <c r="N645" s="7" t="n">
        <v>2022</v>
      </c>
      <c r="O645" s="94" t="n">
        <v>532</v>
      </c>
      <c r="P645" s="94" t="inlineStr">
        <is>
          <t>Yes</t>
        </is>
      </c>
    </row>
    <row r="646" ht="21.5" customHeight="1" s="125">
      <c r="A646" s="94" t="inlineStr">
        <is>
          <t>PAY-000008</t>
        </is>
      </c>
      <c r="B646" s="94" t="inlineStr">
        <is>
          <t>Bank Transfer</t>
        </is>
      </c>
      <c r="C646" s="94" t="inlineStr">
        <is>
          <t>ACH</t>
        </is>
      </c>
      <c r="D646" s="94" t="n">
        <v>8</v>
      </c>
      <c r="E646" s="94" t="b">
        <v>1</v>
      </c>
      <c r="H646" s="9" t="inlineStr">
        <is>
          <t>MOD-000533</t>
        </is>
      </c>
      <c r="I646" s="7" t="inlineStr">
        <is>
          <t>MFG-010</t>
        </is>
      </c>
      <c r="J646" s="7" t="inlineStr">
        <is>
          <t>DF-101</t>
        </is>
      </c>
      <c r="K646" s="7" t="inlineStr">
        <is>
          <t>DT-001</t>
        </is>
      </c>
      <c r="L646" s="8" t="inlineStr">
        <is>
          <t>Redmi Note 12 Pro 5G</t>
        </is>
      </c>
      <c r="M646" s="8" t="inlineStr">
        <is>
          <t>22101316G</t>
        </is>
      </c>
      <c r="N646" s="7" t="n">
        <v>2023</v>
      </c>
      <c r="O646" s="94" t="n">
        <v>533</v>
      </c>
      <c r="P646" s="94" t="inlineStr">
        <is>
          <t>Yes</t>
        </is>
      </c>
    </row>
    <row r="647" ht="21.5" customHeight="1" s="125">
      <c r="H647" s="9" t="inlineStr">
        <is>
          <t>MOD-000534</t>
        </is>
      </c>
      <c r="I647" s="7" t="inlineStr">
        <is>
          <t>MFG-010</t>
        </is>
      </c>
      <c r="J647" s="7" t="inlineStr">
        <is>
          <t>DF-100</t>
        </is>
      </c>
      <c r="K647" s="7" t="inlineStr">
        <is>
          <t>DT-001</t>
        </is>
      </c>
      <c r="L647" s="8" t="inlineStr">
        <is>
          <t>Xiaomi 14 Ultra</t>
        </is>
      </c>
      <c r="M647" s="8" t="inlineStr">
        <is>
          <t>24030PN60G</t>
        </is>
      </c>
      <c r="N647" s="7" t="n">
        <v>2024</v>
      </c>
      <c r="O647" s="94" t="n">
        <v>534</v>
      </c>
      <c r="P647" s="94" t="inlineStr">
        <is>
          <t>Yes</t>
        </is>
      </c>
    </row>
    <row r="648" ht="21.5" customHeight="1" s="125">
      <c r="A648" s="3" t="inlineStr">
        <is>
          <t>tblPaymentStatus</t>
        </is>
      </c>
      <c r="H648" s="9" t="inlineStr">
        <is>
          <t>MOD-000535</t>
        </is>
      </c>
      <c r="I648" s="7" t="inlineStr">
        <is>
          <t>MFG-010</t>
        </is>
      </c>
      <c r="J648" s="7" t="inlineStr">
        <is>
          <t>DF-100</t>
        </is>
      </c>
      <c r="K648" s="7" t="inlineStr">
        <is>
          <t>DT-001</t>
        </is>
      </c>
      <c r="L648" s="8" t="inlineStr">
        <is>
          <t>Xiaomi 15</t>
        </is>
      </c>
      <c r="M648" s="8" t="inlineStr">
        <is>
          <t>24129PN74G</t>
        </is>
      </c>
      <c r="N648" s="7" t="n">
        <v>2025</v>
      </c>
      <c r="O648" s="94" t="n">
        <v>535</v>
      </c>
      <c r="P648" s="94" t="inlineStr">
        <is>
          <t>Yes</t>
        </is>
      </c>
    </row>
    <row r="649" ht="21.5" customHeight="1" s="125">
      <c r="A649" s="14" t="inlineStr">
        <is>
          <t>ID</t>
        </is>
      </c>
      <c r="B649" s="13" t="inlineStr">
        <is>
          <t>Name</t>
        </is>
      </c>
      <c r="C649" s="13" t="inlineStr">
        <is>
          <t>Description</t>
        </is>
      </c>
      <c r="D649" s="13" t="inlineStr">
        <is>
          <t>DisplayOrder</t>
        </is>
      </c>
      <c r="E649" s="12" t="inlineStr">
        <is>
          <t>Active</t>
        </is>
      </c>
      <c r="H649" s="9" t="inlineStr">
        <is>
          <t>MOD-000536</t>
        </is>
      </c>
      <c r="I649" s="7" t="inlineStr">
        <is>
          <t>MFG-010</t>
        </is>
      </c>
      <c r="J649" s="7" t="inlineStr">
        <is>
          <t>DF-100</t>
        </is>
      </c>
      <c r="K649" s="7" t="inlineStr">
        <is>
          <t>DT-001</t>
        </is>
      </c>
      <c r="L649" s="8" t="inlineStr">
        <is>
          <t>Xiaomi 15 Pro</t>
        </is>
      </c>
      <c r="M649" s="8" t="inlineStr">
        <is>
          <t>24129PN74C</t>
        </is>
      </c>
      <c r="N649" s="7" t="n">
        <v>2025</v>
      </c>
      <c r="O649" s="94" t="n">
        <v>536</v>
      </c>
      <c r="P649" s="94" t="inlineStr">
        <is>
          <t>Yes</t>
        </is>
      </c>
    </row>
    <row r="650" ht="21.5" customHeight="1" s="125">
      <c r="A650" s="3" t="inlineStr">
        <is>
          <t>PYS-000001</t>
        </is>
      </c>
      <c r="B650" s="15" t="inlineStr">
        <is>
          <t>Pending</t>
        </is>
      </c>
      <c r="C650" s="15" t="inlineStr">
        <is>
          <t>Pending</t>
        </is>
      </c>
      <c r="D650" s="4" t="n">
        <v>1</v>
      </c>
      <c r="E650" s="4" t="b">
        <v>1</v>
      </c>
      <c r="H650" s="9" t="inlineStr">
        <is>
          <t>MOD-000537</t>
        </is>
      </c>
      <c r="I650" s="7" t="inlineStr">
        <is>
          <t>MFG-010</t>
        </is>
      </c>
      <c r="J650" s="7" t="inlineStr">
        <is>
          <t>DF-101</t>
        </is>
      </c>
      <c r="K650" s="7" t="inlineStr">
        <is>
          <t>DT-001</t>
        </is>
      </c>
      <c r="L650" s="8" t="inlineStr">
        <is>
          <t>Redmi Note 13 Pro 5G</t>
        </is>
      </c>
      <c r="M650" s="8" t="inlineStr">
        <is>
          <t>2312DRA50G</t>
        </is>
      </c>
      <c r="N650" s="7" t="n">
        <v>2024</v>
      </c>
      <c r="O650" s="94" t="n">
        <v>537</v>
      </c>
      <c r="P650" s="94" t="inlineStr">
        <is>
          <t>Yes</t>
        </is>
      </c>
    </row>
    <row r="651" ht="21.5" customHeight="1" s="125">
      <c r="A651" s="3" t="inlineStr">
        <is>
          <t>PYS-000002</t>
        </is>
      </c>
      <c r="B651" s="15" t="inlineStr">
        <is>
          <t>Authorized</t>
        </is>
      </c>
      <c r="C651" s="15" t="inlineStr">
        <is>
          <t>Authorized</t>
        </is>
      </c>
      <c r="D651" s="4" t="n">
        <v>2</v>
      </c>
      <c r="E651" s="4" t="b">
        <v>1</v>
      </c>
      <c r="H651" s="9" t="inlineStr">
        <is>
          <t>MOD-000538</t>
        </is>
      </c>
      <c r="I651" s="7" t="inlineStr">
        <is>
          <t>MFG-010</t>
        </is>
      </c>
      <c r="J651" s="7" t="inlineStr">
        <is>
          <t>DF-101</t>
        </is>
      </c>
      <c r="K651" s="7" t="inlineStr">
        <is>
          <t>DT-001</t>
        </is>
      </c>
      <c r="L651" s="8" t="inlineStr">
        <is>
          <t>Redmi Note 14 Pro+</t>
        </is>
      </c>
      <c r="M651" s="8" t="inlineStr">
        <is>
          <t>24090RA29G</t>
        </is>
      </c>
      <c r="N651" s="7" t="n">
        <v>2025</v>
      </c>
      <c r="O651" s="94" t="n">
        <v>538</v>
      </c>
      <c r="P651" s="94" t="inlineStr">
        <is>
          <t>Yes</t>
        </is>
      </c>
    </row>
    <row r="652" ht="21.5" customHeight="1" s="125">
      <c r="A652" s="3" t="inlineStr">
        <is>
          <t>PYS-000003</t>
        </is>
      </c>
      <c r="B652" s="15" t="inlineStr">
        <is>
          <t>Partially Paid</t>
        </is>
      </c>
      <c r="C652" s="15" t="inlineStr">
        <is>
          <t>Partially Paid</t>
        </is>
      </c>
      <c r="D652" s="4" t="n">
        <v>3</v>
      </c>
      <c r="E652" s="4" t="b">
        <v>1</v>
      </c>
      <c r="H652" s="9" t="inlineStr">
        <is>
          <t>MOD-000539</t>
        </is>
      </c>
      <c r="I652" s="7" t="inlineStr">
        <is>
          <t>MFG-010</t>
        </is>
      </c>
      <c r="J652" s="7" t="inlineStr">
        <is>
          <t>DF-102</t>
        </is>
      </c>
      <c r="K652" s="7" t="inlineStr">
        <is>
          <t>DT-001</t>
        </is>
      </c>
      <c r="L652" s="8" t="inlineStr">
        <is>
          <t>Redmi K70</t>
        </is>
      </c>
      <c r="M652" s="8" t="inlineStr">
        <is>
          <t>23117RK66C</t>
        </is>
      </c>
      <c r="N652" s="7" t="n">
        <v>2023</v>
      </c>
      <c r="O652" s="94" t="n">
        <v>539</v>
      </c>
      <c r="P652" s="94" t="inlineStr">
        <is>
          <t>Yes</t>
        </is>
      </c>
    </row>
    <row r="653" ht="21.5" customHeight="1" s="125">
      <c r="A653" s="3" t="inlineStr">
        <is>
          <t>PYS-000004</t>
        </is>
      </c>
      <c r="B653" s="15" t="inlineStr">
        <is>
          <t>Paid</t>
        </is>
      </c>
      <c r="C653" s="15" t="inlineStr">
        <is>
          <t>Paid</t>
        </is>
      </c>
      <c r="D653" s="4" t="n">
        <v>4</v>
      </c>
      <c r="E653" s="4" t="b">
        <v>1</v>
      </c>
      <c r="H653" s="9" t="inlineStr">
        <is>
          <t>MOD-000540</t>
        </is>
      </c>
      <c r="I653" s="7" t="inlineStr">
        <is>
          <t>MFG-010</t>
        </is>
      </c>
      <c r="J653" s="7" t="inlineStr">
        <is>
          <t>DF-103</t>
        </is>
      </c>
      <c r="K653" s="7" t="inlineStr">
        <is>
          <t>DT-001</t>
        </is>
      </c>
      <c r="L653" s="8" t="inlineStr">
        <is>
          <t>POCO F6 Pro</t>
        </is>
      </c>
      <c r="M653" s="8" t="inlineStr">
        <is>
          <t>23113RKC6G</t>
        </is>
      </c>
      <c r="N653" s="7" t="n">
        <v>2024</v>
      </c>
      <c r="O653" s="94" t="n">
        <v>540</v>
      </c>
      <c r="P653" s="94" t="inlineStr">
        <is>
          <t>Yes</t>
        </is>
      </c>
    </row>
    <row r="654" ht="21.5" customHeight="1" s="125">
      <c r="A654" s="3" t="inlineStr">
        <is>
          <t>PYS-000005</t>
        </is>
      </c>
      <c r="B654" s="15" t="inlineStr">
        <is>
          <t>Refunded</t>
        </is>
      </c>
      <c r="C654" s="15" t="inlineStr">
        <is>
          <t>Refunded</t>
        </is>
      </c>
      <c r="D654" s="4" t="n">
        <v>5</v>
      </c>
      <c r="E654" s="4" t="b">
        <v>1</v>
      </c>
      <c r="H654" s="9" t="inlineStr">
        <is>
          <t>MOD-000541</t>
        </is>
      </c>
      <c r="I654" s="7" t="inlineStr">
        <is>
          <t>MFG-010</t>
        </is>
      </c>
      <c r="J654" s="7" t="inlineStr">
        <is>
          <t>DF-104</t>
        </is>
      </c>
      <c r="K654" s="7" t="inlineStr">
        <is>
          <t>DT-001</t>
        </is>
      </c>
      <c r="L654" s="8" t="inlineStr">
        <is>
          <t>POCO X6 Pro</t>
        </is>
      </c>
      <c r="M654" s="8" t="inlineStr">
        <is>
          <t>2311DRK48G</t>
        </is>
      </c>
      <c r="N654" s="7" t="n">
        <v>2024</v>
      </c>
      <c r="O654" s="94" t="n">
        <v>541</v>
      </c>
      <c r="P654" s="94" t="inlineStr">
        <is>
          <t>Yes</t>
        </is>
      </c>
    </row>
    <row r="655" ht="21.5" customHeight="1" s="125">
      <c r="A655" s="3" t="inlineStr">
        <is>
          <t>PYS-000006</t>
        </is>
      </c>
      <c r="B655" s="15" t="inlineStr">
        <is>
          <t>Partially Refunded</t>
        </is>
      </c>
      <c r="C655" s="15" t="inlineStr">
        <is>
          <t>Partially Refunded</t>
        </is>
      </c>
      <c r="D655" s="4" t="n">
        <v>6</v>
      </c>
      <c r="E655" s="4" t="b">
        <v>1</v>
      </c>
      <c r="H655" s="9" t="inlineStr">
        <is>
          <t>MOD-000542</t>
        </is>
      </c>
      <c r="I655" s="7" t="inlineStr">
        <is>
          <t>MFG-010</t>
        </is>
      </c>
      <c r="J655" s="7" t="inlineStr">
        <is>
          <t>DF-105</t>
        </is>
      </c>
      <c r="K655" s="7" t="inlineStr">
        <is>
          <t>DT-001</t>
        </is>
      </c>
      <c r="L655" s="8" t="inlineStr">
        <is>
          <t>POCO M6 Pro</t>
        </is>
      </c>
      <c r="M655" s="8" t="inlineStr">
        <is>
          <t>2312FPCA6G</t>
        </is>
      </c>
      <c r="N655" s="7" t="n">
        <v>2024</v>
      </c>
      <c r="O655" s="94" t="n">
        <v>542</v>
      </c>
      <c r="P655" s="94" t="inlineStr">
        <is>
          <t>Yes</t>
        </is>
      </c>
    </row>
    <row r="656" ht="21.5" customHeight="1" s="125">
      <c r="A656" s="3" t="inlineStr">
        <is>
          <t>PYS-000007</t>
        </is>
      </c>
      <c r="B656" s="15" t="inlineStr">
        <is>
          <t>Voided</t>
        </is>
      </c>
      <c r="C656" s="15" t="inlineStr">
        <is>
          <t>Voided</t>
        </is>
      </c>
      <c r="D656" s="4" t="n">
        <v>7</v>
      </c>
      <c r="E656" s="4" t="b">
        <v>1</v>
      </c>
      <c r="H656" s="9" t="inlineStr">
        <is>
          <t>MOD-000543</t>
        </is>
      </c>
      <c r="I656" s="7" t="inlineStr">
        <is>
          <t>MFG-010</t>
        </is>
      </c>
      <c r="J656" s="7" t="inlineStr">
        <is>
          <t>DF-106</t>
        </is>
      </c>
      <c r="K656" s="7" t="inlineStr">
        <is>
          <t>DT-002</t>
        </is>
      </c>
      <c r="L656" s="8" t="inlineStr">
        <is>
          <t>Xiaomi Pad 6S Pro</t>
        </is>
      </c>
      <c r="M656" s="8" t="inlineStr">
        <is>
          <t>24018RPACC</t>
        </is>
      </c>
      <c r="N656" s="7" t="n">
        <v>2024</v>
      </c>
      <c r="O656" s="94" t="n">
        <v>543</v>
      </c>
      <c r="P656" s="94" t="inlineStr">
        <is>
          <t>Yes</t>
        </is>
      </c>
    </row>
    <row r="657" ht="21.5" customHeight="1" s="125">
      <c r="A657" s="3" t="inlineStr">
        <is>
          <t>PYS-000008</t>
        </is>
      </c>
      <c r="B657" s="15" t="inlineStr">
        <is>
          <t>Cancelled</t>
        </is>
      </c>
      <c r="C657" s="15" t="inlineStr">
        <is>
          <t>Cancelled</t>
        </is>
      </c>
      <c r="D657" s="4" t="n">
        <v>8</v>
      </c>
      <c r="E657" s="4" t="b">
        <v>1</v>
      </c>
      <c r="H657" s="9" t="inlineStr">
        <is>
          <t>MOD-000544</t>
        </is>
      </c>
      <c r="I657" s="7" t="inlineStr">
        <is>
          <t>MFG-011</t>
        </is>
      </c>
      <c r="J657" s="7" t="inlineStr">
        <is>
          <t>DF-110</t>
        </is>
      </c>
      <c r="K657" s="7" t="inlineStr">
        <is>
          <t>DT-001</t>
        </is>
      </c>
      <c r="L657" s="8" t="inlineStr">
        <is>
          <t>OPPO Find X8 Pro</t>
        </is>
      </c>
      <c r="M657" s="8" t="inlineStr">
        <is>
          <t>PKC110</t>
        </is>
      </c>
      <c r="N657" s="7" t="n">
        <v>2025</v>
      </c>
      <c r="O657" s="94" t="n">
        <v>544</v>
      </c>
      <c r="P657" s="94" t="inlineStr">
        <is>
          <t>Yes</t>
        </is>
      </c>
    </row>
    <row r="658" ht="21.5" customHeight="1" s="125">
      <c r="A658" s="3" t="inlineStr">
        <is>
          <t>PYS-000009</t>
        </is>
      </c>
      <c r="B658" s="15" t="inlineStr">
        <is>
          <t>Chargeback</t>
        </is>
      </c>
      <c r="C658" s="15" t="inlineStr">
        <is>
          <t>Chargeback</t>
        </is>
      </c>
      <c r="D658" s="4" t="n">
        <v>9</v>
      </c>
      <c r="E658" s="4" t="b">
        <v>1</v>
      </c>
      <c r="H658" s="9" t="inlineStr">
        <is>
          <t>MOD-000545</t>
        </is>
      </c>
      <c r="I658" s="7" t="inlineStr">
        <is>
          <t>MFG-011</t>
        </is>
      </c>
      <c r="J658" s="7" t="inlineStr">
        <is>
          <t>DF-110</t>
        </is>
      </c>
      <c r="K658" s="7" t="inlineStr">
        <is>
          <t>DT-001</t>
        </is>
      </c>
      <c r="L658" s="8" t="inlineStr">
        <is>
          <t>OPPO Find X7</t>
        </is>
      </c>
      <c r="M658" s="8" t="inlineStr">
        <is>
          <t>PHZ110</t>
        </is>
      </c>
      <c r="N658" s="7" t="n">
        <v>2024</v>
      </c>
      <c r="O658" s="94" t="n">
        <v>545</v>
      </c>
      <c r="P658" s="94" t="inlineStr">
        <is>
          <t>Yes</t>
        </is>
      </c>
    </row>
    <row r="659" ht="21.5" customHeight="1" s="125">
      <c r="A659" s="3" t="inlineStr">
        <is>
          <t>PYS-000010</t>
        </is>
      </c>
      <c r="B659" s="15" t="inlineStr">
        <is>
          <t>Failed</t>
        </is>
      </c>
      <c r="C659" s="15" t="inlineStr">
        <is>
          <t>Failed</t>
        </is>
      </c>
      <c r="D659" s="4" t="n">
        <v>10</v>
      </c>
      <c r="E659" s="4" t="b">
        <v>1</v>
      </c>
      <c r="H659" s="9" t="inlineStr">
        <is>
          <t>MOD-000546</t>
        </is>
      </c>
      <c r="I659" s="7" t="inlineStr">
        <is>
          <t>MFG-011</t>
        </is>
      </c>
      <c r="J659" s="7" t="inlineStr">
        <is>
          <t>DF-110</t>
        </is>
      </c>
      <c r="K659" s="7" t="inlineStr">
        <is>
          <t>DT-001</t>
        </is>
      </c>
      <c r="L659" s="8" t="inlineStr">
        <is>
          <t>OPPO Find X7 Ultra</t>
        </is>
      </c>
      <c r="M659" s="8" t="inlineStr">
        <is>
          <t>PHY110</t>
        </is>
      </c>
      <c r="N659" s="7" t="n">
        <v>2024</v>
      </c>
      <c r="O659" s="94" t="n">
        <v>546</v>
      </c>
      <c r="P659" s="94" t="inlineStr">
        <is>
          <t>Yes</t>
        </is>
      </c>
    </row>
    <row r="660" ht="21.5" customHeight="1" s="125">
      <c r="A660" s="3" t="inlineStr">
        <is>
          <t>PYS-000011</t>
        </is>
      </c>
      <c r="B660" s="15" t="inlineStr">
        <is>
          <t>Written Off</t>
        </is>
      </c>
      <c r="C660" s="15" t="inlineStr">
        <is>
          <t>Written Off</t>
        </is>
      </c>
      <c r="D660" s="4" t="n">
        <v>11</v>
      </c>
      <c r="E660" s="4" t="b">
        <v>1</v>
      </c>
      <c r="H660" s="9" t="inlineStr">
        <is>
          <t>MOD-000547</t>
        </is>
      </c>
      <c r="I660" s="7" t="inlineStr">
        <is>
          <t>MFG-011</t>
        </is>
      </c>
      <c r="J660" s="7" t="inlineStr">
        <is>
          <t>DF-111</t>
        </is>
      </c>
      <c r="K660" s="7" t="inlineStr">
        <is>
          <t>DT-001</t>
        </is>
      </c>
      <c r="L660" s="8" t="inlineStr">
        <is>
          <t>OPPO Reno12</t>
        </is>
      </c>
      <c r="M660" s="8" t="inlineStr">
        <is>
          <t>CPH2625</t>
        </is>
      </c>
      <c r="N660" s="7" t="n">
        <v>2024</v>
      </c>
      <c r="O660" s="94" t="n">
        <v>547</v>
      </c>
      <c r="P660" s="94" t="inlineStr">
        <is>
          <t>Yes</t>
        </is>
      </c>
    </row>
    <row r="661" ht="21.5" customHeight="1" s="125">
      <c r="H661" s="9" t="inlineStr">
        <is>
          <t>MOD-000548</t>
        </is>
      </c>
      <c r="I661" s="7" t="inlineStr">
        <is>
          <t>MFG-011</t>
        </is>
      </c>
      <c r="J661" s="7" t="inlineStr">
        <is>
          <t>DF-111</t>
        </is>
      </c>
      <c r="K661" s="7" t="inlineStr">
        <is>
          <t>DT-001</t>
        </is>
      </c>
      <c r="L661" s="8" t="inlineStr">
        <is>
          <t>OPPO Reno12 Pro</t>
        </is>
      </c>
      <c r="M661" s="8" t="inlineStr">
        <is>
          <t>CPH2629</t>
        </is>
      </c>
      <c r="N661" s="7" t="n">
        <v>2024</v>
      </c>
      <c r="O661" s="94" t="n">
        <v>548</v>
      </c>
      <c r="P661" s="94" t="inlineStr">
        <is>
          <t>Yes</t>
        </is>
      </c>
    </row>
    <row r="662" ht="21.5" customHeight="1" s="125">
      <c r="A662" s="3" t="inlineStr">
        <is>
          <t>tblShippingMethods</t>
        </is>
      </c>
      <c r="H662" s="9" t="inlineStr">
        <is>
          <t>MOD-000549</t>
        </is>
      </c>
      <c r="I662" s="7" t="inlineStr">
        <is>
          <t>MFG-011</t>
        </is>
      </c>
      <c r="J662" s="7" t="inlineStr">
        <is>
          <t>DF-112</t>
        </is>
      </c>
      <c r="K662" s="7" t="inlineStr">
        <is>
          <t>DT-001</t>
        </is>
      </c>
      <c r="L662" s="8" t="inlineStr">
        <is>
          <t>OPPO A98 5G</t>
        </is>
      </c>
      <c r="M662" s="8" t="inlineStr">
        <is>
          <t>CPH2529</t>
        </is>
      </c>
      <c r="N662" s="7" t="n">
        <v>2023</v>
      </c>
      <c r="O662" s="94" t="n">
        <v>549</v>
      </c>
      <c r="P662" s="94" t="inlineStr">
        <is>
          <t>Yes</t>
        </is>
      </c>
    </row>
    <row r="663" ht="21.5" customHeight="1" s="125">
      <c r="A663" s="6" t="inlineStr">
        <is>
          <t>ID</t>
        </is>
      </c>
      <c r="B663" s="6" t="inlineStr">
        <is>
          <t>Name</t>
        </is>
      </c>
      <c r="C663" s="6" t="inlineStr">
        <is>
          <t>Description</t>
        </is>
      </c>
      <c r="D663" s="6" t="inlineStr">
        <is>
          <t>DisplayOrder</t>
        </is>
      </c>
      <c r="E663" s="6" t="inlineStr">
        <is>
          <t>Active</t>
        </is>
      </c>
      <c r="H663" s="9" t="inlineStr">
        <is>
          <t>MOD-000550</t>
        </is>
      </c>
      <c r="I663" s="7" t="inlineStr">
        <is>
          <t>MFG-011</t>
        </is>
      </c>
      <c r="J663" s="7" t="inlineStr">
        <is>
          <t>DF-112</t>
        </is>
      </c>
      <c r="K663" s="7" t="inlineStr">
        <is>
          <t>DT-001</t>
        </is>
      </c>
      <c r="L663" s="8" t="inlineStr">
        <is>
          <t>OPPO A79 5G</t>
        </is>
      </c>
      <c r="M663" s="8" t="inlineStr">
        <is>
          <t>CPH2553</t>
        </is>
      </c>
      <c r="N663" s="7" t="n">
        <v>2023</v>
      </c>
      <c r="O663" s="94" t="n">
        <v>550</v>
      </c>
      <c r="P663" s="94" t="inlineStr">
        <is>
          <t>Yes</t>
        </is>
      </c>
    </row>
    <row r="664" ht="21.5" customHeight="1" s="125">
      <c r="A664" s="94" t="inlineStr">
        <is>
          <t>SHP-000001</t>
        </is>
      </c>
      <c r="B664" s="94" t="inlineStr">
        <is>
          <t>USPS</t>
        </is>
      </c>
      <c r="C664" s="94" t="inlineStr">
        <is>
          <t>Postal</t>
        </is>
      </c>
      <c r="D664" s="94" t="n">
        <v>1</v>
      </c>
      <c r="E664" s="94" t="b">
        <v>1</v>
      </c>
      <c r="H664" s="9" t="inlineStr">
        <is>
          <t>MOD-000551</t>
        </is>
      </c>
      <c r="I664" s="7" t="inlineStr">
        <is>
          <t>MFG-011</t>
        </is>
      </c>
      <c r="J664" s="7" t="inlineStr">
        <is>
          <t>DF-112</t>
        </is>
      </c>
      <c r="K664" s="7" t="inlineStr">
        <is>
          <t>DT-001</t>
        </is>
      </c>
      <c r="L664" s="8" t="inlineStr">
        <is>
          <t>OPPO A60</t>
        </is>
      </c>
      <c r="M664" s="8" t="inlineStr">
        <is>
          <t>CPH2631</t>
        </is>
      </c>
      <c r="N664" s="7" t="n">
        <v>2024</v>
      </c>
      <c r="O664" s="94" t="n">
        <v>551</v>
      </c>
      <c r="P664" s="94" t="inlineStr">
        <is>
          <t>Yes</t>
        </is>
      </c>
    </row>
    <row r="665" ht="21.5" customHeight="1" s="125">
      <c r="A665" s="94" t="inlineStr">
        <is>
          <t>SHP-000002</t>
        </is>
      </c>
      <c r="B665" s="94" t="inlineStr">
        <is>
          <t>UPS</t>
        </is>
      </c>
      <c r="C665" s="94" t="inlineStr">
        <is>
          <t>UPS</t>
        </is>
      </c>
      <c r="D665" s="94" t="n">
        <v>2</v>
      </c>
      <c r="E665" s="94" t="b">
        <v>1</v>
      </c>
      <c r="H665" s="9" t="inlineStr">
        <is>
          <t>MOD-000552</t>
        </is>
      </c>
      <c r="I665" s="7" t="inlineStr">
        <is>
          <t>MFG-011</t>
        </is>
      </c>
      <c r="J665" s="7" t="inlineStr">
        <is>
          <t>DF-113</t>
        </is>
      </c>
      <c r="K665" s="7" t="inlineStr">
        <is>
          <t>DT-001</t>
        </is>
      </c>
      <c r="L665" s="8" t="inlineStr">
        <is>
          <t>OPPO Find N3</t>
        </is>
      </c>
      <c r="M665" s="8" t="inlineStr">
        <is>
          <t>CPH2499</t>
        </is>
      </c>
      <c r="N665" s="7" t="n">
        <v>2023</v>
      </c>
      <c r="O665" s="94" t="n">
        <v>552</v>
      </c>
      <c r="P665" s="94" t="inlineStr">
        <is>
          <t>Yes</t>
        </is>
      </c>
    </row>
    <row r="666" ht="21.5" customHeight="1" s="125">
      <c r="A666" s="94" t="inlineStr">
        <is>
          <t>SHP-000003</t>
        </is>
      </c>
      <c r="B666" s="94" t="inlineStr">
        <is>
          <t>FedEx</t>
        </is>
      </c>
      <c r="C666" s="94" t="inlineStr">
        <is>
          <t>FedEx</t>
        </is>
      </c>
      <c r="D666" s="94" t="n">
        <v>3</v>
      </c>
      <c r="E666" s="94" t="b">
        <v>1</v>
      </c>
      <c r="H666" s="9" t="inlineStr">
        <is>
          <t>MOD-000553</t>
        </is>
      </c>
      <c r="I666" s="7" t="inlineStr">
        <is>
          <t>MFG-011</t>
        </is>
      </c>
      <c r="J666" s="7" t="inlineStr">
        <is>
          <t>DF-113</t>
        </is>
      </c>
      <c r="K666" s="7" t="inlineStr">
        <is>
          <t>DT-001</t>
        </is>
      </c>
      <c r="L666" s="8" t="inlineStr">
        <is>
          <t>OPPO Find N3 Flip</t>
        </is>
      </c>
      <c r="M666" s="8" t="inlineStr">
        <is>
          <t>PHT110</t>
        </is>
      </c>
      <c r="N666" s="7" t="n">
        <v>2023</v>
      </c>
      <c r="O666" s="94" t="n">
        <v>553</v>
      </c>
      <c r="P666" s="94" t="inlineStr">
        <is>
          <t>Yes</t>
        </is>
      </c>
    </row>
    <row r="667" ht="21.5" customHeight="1" s="125">
      <c r="A667" s="94" t="inlineStr">
        <is>
          <t>SHP-000004</t>
        </is>
      </c>
      <c r="B667" s="94" t="inlineStr">
        <is>
          <t>DHL</t>
        </is>
      </c>
      <c r="C667" s="94" t="inlineStr">
        <is>
          <t>DHL</t>
        </is>
      </c>
      <c r="D667" s="94" t="n">
        <v>4</v>
      </c>
      <c r="E667" s="94" t="b">
        <v>1</v>
      </c>
      <c r="H667" s="9" t="inlineStr">
        <is>
          <t>MOD-000554</t>
        </is>
      </c>
      <c r="I667" s="7" t="inlineStr">
        <is>
          <t>MFG-011</t>
        </is>
      </c>
      <c r="J667" s="7" t="inlineStr">
        <is>
          <t>DF-114</t>
        </is>
      </c>
      <c r="K667" s="7" t="inlineStr">
        <is>
          <t>DT-002</t>
        </is>
      </c>
      <c r="L667" s="8" t="inlineStr">
        <is>
          <t>OPPO Pad 2</t>
        </is>
      </c>
      <c r="M667" s="8" t="inlineStr">
        <is>
          <t>OPD2202</t>
        </is>
      </c>
      <c r="N667" s="7" t="n">
        <v>2023</v>
      </c>
      <c r="O667" s="94" t="n">
        <v>554</v>
      </c>
      <c r="P667" s="94" t="inlineStr">
        <is>
          <t>Yes</t>
        </is>
      </c>
    </row>
    <row r="668" ht="21.5" customHeight="1" s="125">
      <c r="A668" s="94" t="inlineStr">
        <is>
          <t>SHP-000005</t>
        </is>
      </c>
      <c r="B668" s="94" t="inlineStr">
        <is>
          <t>Local Pickup</t>
        </is>
      </c>
      <c r="C668" s="94" t="inlineStr">
        <is>
          <t>Pickup</t>
        </is>
      </c>
      <c r="D668" s="94" t="n">
        <v>5</v>
      </c>
      <c r="E668" s="94" t="b">
        <v>1</v>
      </c>
      <c r="H668" s="9" t="inlineStr">
        <is>
          <t>MOD-000555</t>
        </is>
      </c>
      <c r="I668" s="7" t="inlineStr">
        <is>
          <t>MFG-011</t>
        </is>
      </c>
      <c r="J668" s="7" t="inlineStr">
        <is>
          <t>DF-111</t>
        </is>
      </c>
      <c r="K668" s="7" t="inlineStr">
        <is>
          <t>DT-001</t>
        </is>
      </c>
      <c r="L668" s="8" t="inlineStr">
        <is>
          <t>OPPO Reno11</t>
        </is>
      </c>
      <c r="M668" s="8" t="inlineStr">
        <is>
          <t>CPH2599</t>
        </is>
      </c>
      <c r="N668" s="7" t="n">
        <v>2024</v>
      </c>
      <c r="O668" s="94" t="n">
        <v>555</v>
      </c>
      <c r="P668" s="94" t="inlineStr">
        <is>
          <t>Yes</t>
        </is>
      </c>
    </row>
    <row r="669" ht="21.5" customHeight="1" s="125">
      <c r="A669" s="94" t="inlineStr">
        <is>
          <t>SHP-000006</t>
        </is>
      </c>
      <c r="B669" s="94" t="inlineStr">
        <is>
          <t>Courier</t>
        </is>
      </c>
      <c r="C669" s="94" t="inlineStr">
        <is>
          <t>Courier</t>
        </is>
      </c>
      <c r="D669" s="94" t="n">
        <v>6</v>
      </c>
      <c r="E669" s="94" t="b">
        <v>1</v>
      </c>
      <c r="H669" s="9" t="inlineStr">
        <is>
          <t>MOD-000556</t>
        </is>
      </c>
      <c r="I669" s="7" t="inlineStr">
        <is>
          <t>MFG-011</t>
        </is>
      </c>
      <c r="J669" s="7" t="inlineStr">
        <is>
          <t>DF-111</t>
        </is>
      </c>
      <c r="K669" s="7" t="inlineStr">
        <is>
          <t>DT-001</t>
        </is>
      </c>
      <c r="L669" s="8" t="inlineStr">
        <is>
          <t>OPPO Reno11 Pro</t>
        </is>
      </c>
      <c r="M669" s="8" t="inlineStr">
        <is>
          <t>CPH2607</t>
        </is>
      </c>
      <c r="N669" s="7" t="n">
        <v>2024</v>
      </c>
      <c r="O669" s="94" t="n">
        <v>556</v>
      </c>
      <c r="P669" s="94" t="inlineStr">
        <is>
          <t>Yes</t>
        </is>
      </c>
    </row>
    <row r="670" ht="21.5" customHeight="1" s="125">
      <c r="H670" s="9" t="inlineStr">
        <is>
          <t>MOD-000557</t>
        </is>
      </c>
      <c r="I670" s="7" t="inlineStr">
        <is>
          <t>MFG-011</t>
        </is>
      </c>
      <c r="J670" s="7" t="inlineStr">
        <is>
          <t>DF-112</t>
        </is>
      </c>
      <c r="K670" s="7" t="inlineStr">
        <is>
          <t>DT-001</t>
        </is>
      </c>
      <c r="L670" s="8" t="inlineStr">
        <is>
          <t>OPPO A58</t>
        </is>
      </c>
      <c r="M670" s="8" t="inlineStr">
        <is>
          <t>CPH2577</t>
        </is>
      </c>
      <c r="N670" s="7" t="n">
        <v>2023</v>
      </c>
      <c r="O670" s="94" t="n">
        <v>557</v>
      </c>
      <c r="P670" s="94" t="inlineStr">
        <is>
          <t>Yes</t>
        </is>
      </c>
    </row>
    <row r="671" ht="21.5" customHeight="1" s="125">
      <c r="A671" s="3" t="inlineStr">
        <is>
          <t>tblShippingStatus</t>
        </is>
      </c>
      <c r="H671" s="9" t="inlineStr">
        <is>
          <t>MOD-000558</t>
        </is>
      </c>
      <c r="I671" s="7" t="inlineStr">
        <is>
          <t>MFG-011</t>
        </is>
      </c>
      <c r="J671" s="7" t="inlineStr">
        <is>
          <t>DF-112</t>
        </is>
      </c>
      <c r="K671" s="7" t="inlineStr">
        <is>
          <t>DT-001</t>
        </is>
      </c>
      <c r="L671" s="8" t="inlineStr">
        <is>
          <t>OPPO A78 5G</t>
        </is>
      </c>
      <c r="M671" s="8" t="inlineStr">
        <is>
          <t>CPH2483</t>
        </is>
      </c>
      <c r="N671" s="7" t="n">
        <v>2023</v>
      </c>
      <c r="O671" s="94" t="n">
        <v>558</v>
      </c>
      <c r="P671" s="94" t="inlineStr">
        <is>
          <t>Yes</t>
        </is>
      </c>
    </row>
    <row r="672" ht="21.5" customHeight="1" s="125">
      <c r="A672" s="14" t="inlineStr">
        <is>
          <t>ID</t>
        </is>
      </c>
      <c r="B672" s="13" t="inlineStr">
        <is>
          <t>Name</t>
        </is>
      </c>
      <c r="C672" s="13" t="inlineStr">
        <is>
          <t>Description</t>
        </is>
      </c>
      <c r="D672" s="13" t="inlineStr">
        <is>
          <t>DisplayOrder</t>
        </is>
      </c>
      <c r="E672" s="12" t="inlineStr">
        <is>
          <t>Active</t>
        </is>
      </c>
      <c r="H672" s="9" t="inlineStr">
        <is>
          <t>MOD-000559</t>
        </is>
      </c>
      <c r="I672" s="7" t="inlineStr">
        <is>
          <t>MFG-012</t>
        </is>
      </c>
      <c r="J672" s="7" t="inlineStr">
        <is>
          <t>DF-120</t>
        </is>
      </c>
      <c r="K672" s="7" t="inlineStr">
        <is>
          <t>DT-001</t>
        </is>
      </c>
      <c r="L672" s="8" t="inlineStr">
        <is>
          <t>vivo X100</t>
        </is>
      </c>
      <c r="M672" s="8" t="inlineStr">
        <is>
          <t>V2309</t>
        </is>
      </c>
      <c r="N672" s="7" t="n">
        <v>2024</v>
      </c>
      <c r="O672" s="94" t="n">
        <v>559</v>
      </c>
      <c r="P672" s="94" t="inlineStr">
        <is>
          <t>Yes</t>
        </is>
      </c>
    </row>
    <row r="673" ht="21.5" customHeight="1" s="125">
      <c r="A673" s="3" t="inlineStr">
        <is>
          <t>SPS-000001</t>
        </is>
      </c>
      <c r="B673" s="94" t="inlineStr">
        <is>
          <t>Preparing Shipment</t>
        </is>
      </c>
      <c r="C673" s="94" t="inlineStr">
        <is>
          <t>Preparing Shipment</t>
        </is>
      </c>
      <c r="D673" s="4" t="n">
        <v>1</v>
      </c>
      <c r="E673" s="4" t="b">
        <v>1</v>
      </c>
      <c r="H673" s="9" t="inlineStr">
        <is>
          <t>MOD-000560</t>
        </is>
      </c>
      <c r="I673" s="7" t="inlineStr">
        <is>
          <t>MFG-012</t>
        </is>
      </c>
      <c r="J673" s="7" t="inlineStr">
        <is>
          <t>DF-120</t>
        </is>
      </c>
      <c r="K673" s="7" t="inlineStr">
        <is>
          <t>DT-001</t>
        </is>
      </c>
      <c r="L673" s="8" t="inlineStr">
        <is>
          <t>vivo X100 Pro</t>
        </is>
      </c>
      <c r="M673" s="8" t="inlineStr">
        <is>
          <t>V2309A</t>
        </is>
      </c>
      <c r="N673" s="7" t="n">
        <v>2024</v>
      </c>
      <c r="O673" s="94" t="n">
        <v>560</v>
      </c>
      <c r="P673" s="94" t="inlineStr">
        <is>
          <t>Yes</t>
        </is>
      </c>
    </row>
    <row r="674" ht="21.5" customHeight="1" s="125">
      <c r="A674" s="3" t="inlineStr">
        <is>
          <t>SPS-000002</t>
        </is>
      </c>
      <c r="B674" s="94" t="inlineStr">
        <is>
          <t>Packed</t>
        </is>
      </c>
      <c r="C674" s="94" t="inlineStr">
        <is>
          <t>Packed</t>
        </is>
      </c>
      <c r="D674" s="4" t="n">
        <v>2</v>
      </c>
      <c r="E674" s="4" t="b">
        <v>1</v>
      </c>
      <c r="H674" s="9" t="inlineStr">
        <is>
          <t>MOD-000561</t>
        </is>
      </c>
      <c r="I674" s="7" t="inlineStr">
        <is>
          <t>MFG-012</t>
        </is>
      </c>
      <c r="J674" s="7" t="inlineStr">
        <is>
          <t>DF-121</t>
        </is>
      </c>
      <c r="K674" s="7" t="inlineStr">
        <is>
          <t>DT-001</t>
        </is>
      </c>
      <c r="L674" s="8" t="inlineStr">
        <is>
          <t>vivo V30</t>
        </is>
      </c>
      <c r="M674" s="8" t="inlineStr">
        <is>
          <t>V2318</t>
        </is>
      </c>
      <c r="N674" s="7" t="n">
        <v>2024</v>
      </c>
      <c r="O674" s="94" t="n">
        <v>561</v>
      </c>
      <c r="P674" s="94" t="inlineStr">
        <is>
          <t>Yes</t>
        </is>
      </c>
    </row>
    <row r="675" ht="21.5" customHeight="1" s="125">
      <c r="A675" s="3" t="inlineStr">
        <is>
          <t>SPS-000003</t>
        </is>
      </c>
      <c r="B675" s="94" t="inlineStr">
        <is>
          <t>Label Created</t>
        </is>
      </c>
      <c r="C675" s="94" t="inlineStr">
        <is>
          <t>Label Created</t>
        </is>
      </c>
      <c r="D675" s="4" t="n">
        <v>3</v>
      </c>
      <c r="E675" s="4" t="b">
        <v>1</v>
      </c>
      <c r="H675" s="9" t="inlineStr">
        <is>
          <t>MOD-000562</t>
        </is>
      </c>
      <c r="I675" s="7" t="inlineStr">
        <is>
          <t>MFG-012</t>
        </is>
      </c>
      <c r="J675" s="7" t="inlineStr">
        <is>
          <t>DF-122</t>
        </is>
      </c>
      <c r="K675" s="7" t="inlineStr">
        <is>
          <t>DT-001</t>
        </is>
      </c>
      <c r="L675" s="8" t="inlineStr">
        <is>
          <t>iQOO 12</t>
        </is>
      </c>
      <c r="M675" s="8" t="inlineStr">
        <is>
          <t>I2302</t>
        </is>
      </c>
      <c r="N675" s="7" t="n">
        <v>2024</v>
      </c>
      <c r="O675" s="94" t="n">
        <v>562</v>
      </c>
      <c r="P675" s="94" t="inlineStr">
        <is>
          <t>Yes</t>
        </is>
      </c>
    </row>
    <row r="676" ht="21.5" customHeight="1" s="125">
      <c r="A676" s="3" t="inlineStr">
        <is>
          <t>SPS-000004</t>
        </is>
      </c>
      <c r="B676" s="94" t="inlineStr">
        <is>
          <t>Picked Up</t>
        </is>
      </c>
      <c r="C676" s="94" t="inlineStr">
        <is>
          <t>Picked Up</t>
        </is>
      </c>
      <c r="D676" s="4" t="n">
        <v>4</v>
      </c>
      <c r="E676" s="4" t="b">
        <v>1</v>
      </c>
      <c r="H676" s="9" t="inlineStr">
        <is>
          <t>MOD-000563</t>
        </is>
      </c>
      <c r="I676" s="7" t="inlineStr">
        <is>
          <t>MFG-012</t>
        </is>
      </c>
      <c r="J676" s="7" t="inlineStr">
        <is>
          <t>DF-120</t>
        </is>
      </c>
      <c r="K676" s="7" t="inlineStr">
        <is>
          <t>DT-001</t>
        </is>
      </c>
      <c r="L676" s="8" t="inlineStr">
        <is>
          <t>vivo X100 Ultra</t>
        </is>
      </c>
      <c r="M676" s="8" t="inlineStr">
        <is>
          <t>V2366</t>
        </is>
      </c>
      <c r="N676" s="7" t="n">
        <v>2024</v>
      </c>
      <c r="O676" s="94" t="n">
        <v>563</v>
      </c>
      <c r="P676" s="94" t="inlineStr">
        <is>
          <t>Yes</t>
        </is>
      </c>
    </row>
    <row r="677" ht="21.5" customHeight="1" s="125">
      <c r="A677" s="3" t="inlineStr">
        <is>
          <t>SPS-000005</t>
        </is>
      </c>
      <c r="B677" s="94" t="inlineStr">
        <is>
          <t>In Transit</t>
        </is>
      </c>
      <c r="C677" s="94" t="inlineStr">
        <is>
          <t>In Transit</t>
        </is>
      </c>
      <c r="D677" s="4" t="n">
        <v>5</v>
      </c>
      <c r="E677" s="4" t="b">
        <v>1</v>
      </c>
      <c r="H677" s="9" t="inlineStr">
        <is>
          <t>MOD-000564</t>
        </is>
      </c>
      <c r="I677" s="7" t="inlineStr">
        <is>
          <t>MFG-012</t>
        </is>
      </c>
      <c r="J677" s="7" t="inlineStr">
        <is>
          <t>DF-120</t>
        </is>
      </c>
      <c r="K677" s="7" t="inlineStr">
        <is>
          <t>DT-001</t>
        </is>
      </c>
      <c r="L677" s="8" t="inlineStr">
        <is>
          <t>vivo X200</t>
        </is>
      </c>
      <c r="M677" s="8" t="inlineStr">
        <is>
          <t>V2405</t>
        </is>
      </c>
      <c r="N677" s="7" t="n">
        <v>2025</v>
      </c>
      <c r="O677" s="94" t="n">
        <v>564</v>
      </c>
      <c r="P677" s="94" t="inlineStr">
        <is>
          <t>Yes</t>
        </is>
      </c>
    </row>
    <row r="678" ht="21.5" customHeight="1" s="125">
      <c r="A678" s="3" t="inlineStr">
        <is>
          <t>SPS-000006</t>
        </is>
      </c>
      <c r="B678" s="94" t="inlineStr">
        <is>
          <t>Out for Delivery</t>
        </is>
      </c>
      <c r="C678" s="94" t="inlineStr">
        <is>
          <t>Out for Delivery</t>
        </is>
      </c>
      <c r="D678" s="4" t="n">
        <v>6</v>
      </c>
      <c r="E678" s="4" t="b">
        <v>1</v>
      </c>
      <c r="H678" s="9" t="inlineStr">
        <is>
          <t>MOD-000565</t>
        </is>
      </c>
      <c r="I678" s="7" t="inlineStr">
        <is>
          <t>MFG-012</t>
        </is>
      </c>
      <c r="J678" s="7" t="inlineStr">
        <is>
          <t>DF-120</t>
        </is>
      </c>
      <c r="K678" s="7" t="inlineStr">
        <is>
          <t>DT-001</t>
        </is>
      </c>
      <c r="L678" s="8" t="inlineStr">
        <is>
          <t>vivo X200 Pro</t>
        </is>
      </c>
      <c r="M678" s="8" t="inlineStr">
        <is>
          <t>V2406</t>
        </is>
      </c>
      <c r="N678" s="7" t="n">
        <v>2025</v>
      </c>
      <c r="O678" s="94" t="n">
        <v>565</v>
      </c>
      <c r="P678" s="94" t="inlineStr">
        <is>
          <t>Yes</t>
        </is>
      </c>
    </row>
    <row r="679" ht="21.5" customHeight="1" s="125">
      <c r="A679" s="3" t="inlineStr">
        <is>
          <t>SPS-000007</t>
        </is>
      </c>
      <c r="B679" s="94" t="inlineStr">
        <is>
          <t>Delivered</t>
        </is>
      </c>
      <c r="C679" s="94" t="inlineStr">
        <is>
          <t>Delivered</t>
        </is>
      </c>
      <c r="D679" s="4" t="n">
        <v>7</v>
      </c>
      <c r="E679" s="4" t="b">
        <v>1</v>
      </c>
      <c r="H679" s="9" t="inlineStr">
        <is>
          <t>MOD-000566</t>
        </is>
      </c>
      <c r="I679" s="7" t="inlineStr">
        <is>
          <t>MFG-012</t>
        </is>
      </c>
      <c r="J679" s="7" t="inlineStr">
        <is>
          <t>DF-121</t>
        </is>
      </c>
      <c r="K679" s="7" t="inlineStr">
        <is>
          <t>DT-001</t>
        </is>
      </c>
      <c r="L679" s="8" t="inlineStr">
        <is>
          <t>vivo V40</t>
        </is>
      </c>
      <c r="M679" s="8" t="inlineStr">
        <is>
          <t>V2348</t>
        </is>
      </c>
      <c r="N679" s="7" t="n">
        <v>2024</v>
      </c>
      <c r="O679" s="94" t="n">
        <v>566</v>
      </c>
      <c r="P679" s="94" t="inlineStr">
        <is>
          <t>Yes</t>
        </is>
      </c>
    </row>
    <row r="680" ht="21.5" customHeight="1" s="125">
      <c r="A680" s="3" t="inlineStr">
        <is>
          <t>SPS-000008</t>
        </is>
      </c>
      <c r="B680" s="94" t="inlineStr">
        <is>
          <t>Delivery Failed</t>
        </is>
      </c>
      <c r="C680" s="94" t="inlineStr">
        <is>
          <t>Delivery Failed</t>
        </is>
      </c>
      <c r="D680" s="4" t="n">
        <v>8</v>
      </c>
      <c r="E680" s="4" t="b">
        <v>1</v>
      </c>
      <c r="H680" s="9" t="inlineStr">
        <is>
          <t>MOD-000567</t>
        </is>
      </c>
      <c r="I680" s="7" t="inlineStr">
        <is>
          <t>MFG-012</t>
        </is>
      </c>
      <c r="J680" s="7" t="inlineStr">
        <is>
          <t>DF-121</t>
        </is>
      </c>
      <c r="K680" s="7" t="inlineStr">
        <is>
          <t>DT-001</t>
        </is>
      </c>
      <c r="L680" s="8" t="inlineStr">
        <is>
          <t>vivo Y200</t>
        </is>
      </c>
      <c r="M680" s="8" t="inlineStr">
        <is>
          <t>V2336</t>
        </is>
      </c>
      <c r="N680" s="7" t="n">
        <v>2024</v>
      </c>
      <c r="O680" s="94" t="n">
        <v>567</v>
      </c>
      <c r="P680" s="94" t="inlineStr">
        <is>
          <t>Yes</t>
        </is>
      </c>
    </row>
    <row r="681" ht="21.5" customHeight="1" s="125">
      <c r="A681" s="3" t="inlineStr">
        <is>
          <t>SPS-000009</t>
        </is>
      </c>
      <c r="B681" s="94" t="inlineStr">
        <is>
          <t>Returned</t>
        </is>
      </c>
      <c r="C681" s="94" t="inlineStr">
        <is>
          <t>Returned</t>
        </is>
      </c>
      <c r="D681" s="4" t="n">
        <v>9</v>
      </c>
      <c r="E681" s="4" t="b">
        <v>1</v>
      </c>
      <c r="H681" s="9" t="inlineStr">
        <is>
          <t>MOD-000568</t>
        </is>
      </c>
      <c r="I681" s="7" t="inlineStr">
        <is>
          <t>MFG-012</t>
        </is>
      </c>
      <c r="J681" s="7" t="inlineStr">
        <is>
          <t>DF-122</t>
        </is>
      </c>
      <c r="K681" s="7" t="inlineStr">
        <is>
          <t>DT-001</t>
        </is>
      </c>
      <c r="L681" s="8" t="inlineStr">
        <is>
          <t>iQOO 12 Pro</t>
        </is>
      </c>
      <c r="M681" s="8" t="inlineStr">
        <is>
          <t>I2303</t>
        </is>
      </c>
      <c r="N681" s="7" t="n">
        <v>2024</v>
      </c>
      <c r="O681" s="94" t="n">
        <v>568</v>
      </c>
      <c r="P681" s="94" t="inlineStr">
        <is>
          <t>Yes</t>
        </is>
      </c>
    </row>
    <row r="682" ht="21.5" customHeight="1" s="125">
      <c r="A682" s="3" t="inlineStr">
        <is>
          <t>SPS-000010</t>
        </is>
      </c>
      <c r="B682" s="94" t="inlineStr">
        <is>
          <t>Lost</t>
        </is>
      </c>
      <c r="C682" s="94" t="inlineStr">
        <is>
          <t>Lost</t>
        </is>
      </c>
      <c r="D682" s="4" t="n">
        <v>10</v>
      </c>
      <c r="E682" s="4" t="b">
        <v>1</v>
      </c>
      <c r="H682" s="9" t="inlineStr">
        <is>
          <t>MOD-000569</t>
        </is>
      </c>
      <c r="I682" s="7" t="inlineStr">
        <is>
          <t>MFG-013</t>
        </is>
      </c>
      <c r="J682" s="7" t="inlineStr">
        <is>
          <t>DF-130</t>
        </is>
      </c>
      <c r="K682" s="7" t="inlineStr">
        <is>
          <t>DT-001</t>
        </is>
      </c>
      <c r="L682" s="8" t="inlineStr">
        <is>
          <t>realme GT 6</t>
        </is>
      </c>
      <c r="M682" s="8" t="inlineStr">
        <is>
          <t>RMX3851</t>
        </is>
      </c>
      <c r="N682" s="7" t="n">
        <v>2024</v>
      </c>
      <c r="O682" s="94" t="n">
        <v>569</v>
      </c>
      <c r="P682" s="94" t="inlineStr">
        <is>
          <t>Yes</t>
        </is>
      </c>
    </row>
    <row r="683" ht="21.5" customHeight="1" s="125">
      <c r="A683" s="3" t="inlineStr">
        <is>
          <t>SPS-000011</t>
        </is>
      </c>
      <c r="B683" s="94" t="inlineStr">
        <is>
          <t>Damaged</t>
        </is>
      </c>
      <c r="C683" s="94" t="inlineStr">
        <is>
          <t>Damaged</t>
        </is>
      </c>
      <c r="D683" s="4" t="n">
        <v>11</v>
      </c>
      <c r="E683" s="4" t="b">
        <v>1</v>
      </c>
      <c r="H683" s="9" t="inlineStr">
        <is>
          <t>MOD-000570</t>
        </is>
      </c>
      <c r="I683" s="7" t="inlineStr">
        <is>
          <t>MFG-013</t>
        </is>
      </c>
      <c r="J683" s="7" t="inlineStr">
        <is>
          <t>DF-130</t>
        </is>
      </c>
      <c r="K683" s="7" t="inlineStr">
        <is>
          <t>DT-001</t>
        </is>
      </c>
      <c r="L683" s="8" t="inlineStr">
        <is>
          <t>realme GT 6T</t>
        </is>
      </c>
      <c r="M683" s="8" t="inlineStr">
        <is>
          <t>RMX3853</t>
        </is>
      </c>
      <c r="N683" s="7" t="n">
        <v>2024</v>
      </c>
      <c r="O683" s="94" t="n">
        <v>570</v>
      </c>
      <c r="P683" s="94" t="inlineStr">
        <is>
          <t>Yes</t>
        </is>
      </c>
    </row>
    <row r="684" ht="21.5" customHeight="1" s="125">
      <c r="H684" s="9" t="inlineStr">
        <is>
          <t>MOD-000571</t>
        </is>
      </c>
      <c r="I684" s="7" t="inlineStr">
        <is>
          <t>MFG-013</t>
        </is>
      </c>
      <c r="J684" s="7" t="inlineStr">
        <is>
          <t>DF-131</t>
        </is>
      </c>
      <c r="K684" s="7" t="inlineStr">
        <is>
          <t>DT-001</t>
        </is>
      </c>
      <c r="L684" s="8" t="inlineStr">
        <is>
          <t>realme 12 Pro+</t>
        </is>
      </c>
      <c r="M684" s="8" t="inlineStr">
        <is>
          <t>RMX3840</t>
        </is>
      </c>
      <c r="N684" s="7" t="n">
        <v>2024</v>
      </c>
      <c r="O684" s="94" t="n">
        <v>571</v>
      </c>
      <c r="P684" s="94" t="inlineStr">
        <is>
          <t>Yes</t>
        </is>
      </c>
    </row>
    <row r="685" ht="21.5" customHeight="1" s="125">
      <c r="H685" s="9" t="inlineStr">
        <is>
          <t>MOD-000572</t>
        </is>
      </c>
      <c r="I685" s="7" t="inlineStr">
        <is>
          <t>MFG-013</t>
        </is>
      </c>
      <c r="J685" s="7" t="inlineStr">
        <is>
          <t>DF-132</t>
        </is>
      </c>
      <c r="K685" s="7" t="inlineStr">
        <is>
          <t>DT-001</t>
        </is>
      </c>
      <c r="L685" s="8" t="inlineStr">
        <is>
          <t>realme Narzo 70 Pro</t>
        </is>
      </c>
      <c r="M685" s="8" t="inlineStr">
        <is>
          <t>RMX3868</t>
        </is>
      </c>
      <c r="N685" s="7" t="n">
        <v>2024</v>
      </c>
      <c r="O685" s="94" t="n">
        <v>572</v>
      </c>
      <c r="P685" s="94" t="inlineStr">
        <is>
          <t>Yes</t>
        </is>
      </c>
    </row>
    <row r="686" ht="21.5" customHeight="1" s="125">
      <c r="A686" s="3" t="inlineStr">
        <is>
          <t>tblTaxRates</t>
        </is>
      </c>
      <c r="H686" s="9" t="inlineStr">
        <is>
          <t>MOD-000573</t>
        </is>
      </c>
      <c r="I686" s="7" t="inlineStr">
        <is>
          <t>MFG-013</t>
        </is>
      </c>
      <c r="J686" s="7" t="inlineStr">
        <is>
          <t>DF-130</t>
        </is>
      </c>
      <c r="K686" s="7" t="inlineStr">
        <is>
          <t>DT-001</t>
        </is>
      </c>
      <c r="L686" s="8" t="inlineStr">
        <is>
          <t>realme GT Neo 6</t>
        </is>
      </c>
      <c r="M686" s="8" t="inlineStr">
        <is>
          <t>RMX3852</t>
        </is>
      </c>
      <c r="N686" s="7" t="n">
        <v>2024</v>
      </c>
      <c r="O686" s="94" t="n">
        <v>573</v>
      </c>
      <c r="P686" s="94" t="inlineStr">
        <is>
          <t>Yes</t>
        </is>
      </c>
    </row>
    <row r="687" ht="21.5" customHeight="1" s="125">
      <c r="A687" s="6" t="inlineStr">
        <is>
          <t>ID</t>
        </is>
      </c>
      <c r="B687" s="6" t="inlineStr">
        <is>
          <t>Name</t>
        </is>
      </c>
      <c r="C687" s="6" t="inlineStr">
        <is>
          <t>Description</t>
        </is>
      </c>
      <c r="D687" s="6" t="inlineStr">
        <is>
          <t>DisplayOrder</t>
        </is>
      </c>
      <c r="E687" s="6" t="inlineStr">
        <is>
          <t>Active</t>
        </is>
      </c>
      <c r="H687" s="9" t="inlineStr">
        <is>
          <t>MOD-000574</t>
        </is>
      </c>
      <c r="I687" s="7" t="inlineStr">
        <is>
          <t>MFG-013</t>
        </is>
      </c>
      <c r="J687" s="7" t="inlineStr">
        <is>
          <t>DF-131</t>
        </is>
      </c>
      <c r="K687" s="7" t="inlineStr">
        <is>
          <t>DT-001</t>
        </is>
      </c>
      <c r="L687" s="8" t="inlineStr">
        <is>
          <t>realme 12 Pro</t>
        </is>
      </c>
      <c r="M687" s="8" t="inlineStr">
        <is>
          <t>RMX3842</t>
        </is>
      </c>
      <c r="N687" s="7" t="n">
        <v>2024</v>
      </c>
      <c r="O687" s="94" t="n">
        <v>574</v>
      </c>
      <c r="P687" s="94" t="inlineStr">
        <is>
          <t>Yes</t>
        </is>
      </c>
    </row>
    <row r="688" ht="21.5" customHeight="1" s="125">
      <c r="A688" s="94" t="inlineStr">
        <is>
          <t>TAX-000001</t>
        </is>
      </c>
      <c r="B688" s="11" t="n">
        <v>0</v>
      </c>
      <c r="C688" s="94" t="inlineStr">
        <is>
          <t>Tax Exempt</t>
        </is>
      </c>
      <c r="D688" s="94" t="n">
        <v>1</v>
      </c>
      <c r="E688" s="94" t="b">
        <v>1</v>
      </c>
      <c r="H688" s="9" t="inlineStr">
        <is>
          <t>MOD-000575</t>
        </is>
      </c>
      <c r="I688" s="7" t="inlineStr">
        <is>
          <t>MFG-013</t>
        </is>
      </c>
      <c r="J688" s="7" t="inlineStr">
        <is>
          <t>DF-133</t>
        </is>
      </c>
      <c r="K688" s="7" t="inlineStr">
        <is>
          <t>DT-001</t>
        </is>
      </c>
      <c r="L688" s="8" t="inlineStr">
        <is>
          <t>realme C67</t>
        </is>
      </c>
      <c r="M688" s="8" t="inlineStr">
        <is>
          <t>RMX3890</t>
        </is>
      </c>
      <c r="N688" s="7" t="n">
        <v>2024</v>
      </c>
      <c r="O688" s="94" t="n">
        <v>575</v>
      </c>
      <c r="P688" s="94" t="inlineStr">
        <is>
          <t>Yes</t>
        </is>
      </c>
    </row>
    <row r="689" ht="21.5" customHeight="1" s="125">
      <c r="A689" s="94" t="inlineStr">
        <is>
          <t>TAX-000002</t>
        </is>
      </c>
      <c r="B689" s="11" t="n">
        <v>0.01</v>
      </c>
      <c r="C689" s="94" t="inlineStr">
        <is>
          <t>Local Option Tax</t>
        </is>
      </c>
      <c r="D689" s="94" t="n">
        <v>2</v>
      </c>
      <c r="E689" s="94" t="b">
        <v>1</v>
      </c>
      <c r="H689" s="9" t="inlineStr">
        <is>
          <t>MOD-000576</t>
        </is>
      </c>
      <c r="I689" s="7" t="inlineStr">
        <is>
          <t>MFG-013</t>
        </is>
      </c>
      <c r="J689" s="7" t="inlineStr">
        <is>
          <t>DF-133</t>
        </is>
      </c>
      <c r="K689" s="7" t="inlineStr">
        <is>
          <t>DT-001</t>
        </is>
      </c>
      <c r="L689" s="8" t="inlineStr">
        <is>
          <t>realme C65</t>
        </is>
      </c>
      <c r="M689" s="8" t="inlineStr">
        <is>
          <t>RMX3910</t>
        </is>
      </c>
      <c r="N689" s="7" t="n">
        <v>2024</v>
      </c>
      <c r="O689" s="94" t="n">
        <v>576</v>
      </c>
      <c r="P689" s="94" t="inlineStr">
        <is>
          <t>Yes</t>
        </is>
      </c>
    </row>
    <row r="690" ht="21.5" customHeight="1" s="125">
      <c r="A690" s="94" t="inlineStr">
        <is>
          <t>TAX-000003</t>
        </is>
      </c>
      <c r="B690" s="11" t="n">
        <v>0.02</v>
      </c>
      <c r="C690" s="94" t="inlineStr">
        <is>
          <t>Standard</t>
        </is>
      </c>
      <c r="D690" s="94" t="n">
        <v>3</v>
      </c>
      <c r="E690" s="94" t="b">
        <v>1</v>
      </c>
      <c r="H690" s="9" t="inlineStr">
        <is>
          <t>MOD-000577</t>
        </is>
      </c>
      <c r="I690" s="7" t="inlineStr">
        <is>
          <t>MFG-014</t>
        </is>
      </c>
      <c r="J690" s="7" t="inlineStr">
        <is>
          <t>DF-140</t>
        </is>
      </c>
      <c r="K690" s="7" t="inlineStr">
        <is>
          <t>DT-001</t>
        </is>
      </c>
      <c r="L690" s="8" t="inlineStr">
        <is>
          <t>HONOR Magic6</t>
        </is>
      </c>
      <c r="M690" s="8" t="inlineStr">
        <is>
          <t>BVL-AN00</t>
        </is>
      </c>
      <c r="N690" s="7" t="n">
        <v>2024</v>
      </c>
      <c r="O690" s="94" t="n">
        <v>577</v>
      </c>
      <c r="P690" s="94" t="inlineStr">
        <is>
          <t>Yes</t>
        </is>
      </c>
    </row>
    <row r="691" ht="21.5" customHeight="1" s="125">
      <c r="A691" s="94" t="inlineStr">
        <is>
          <t>TAX-000004</t>
        </is>
      </c>
      <c r="B691" s="11" t="n">
        <v>0.03</v>
      </c>
      <c r="C691" s="94" t="inlineStr">
        <is>
          <t>Standard</t>
        </is>
      </c>
      <c r="D691" s="94" t="n">
        <v>4</v>
      </c>
      <c r="E691" s="94" t="b">
        <v>1</v>
      </c>
      <c r="H691" s="9" t="inlineStr">
        <is>
          <t>MOD-000578</t>
        </is>
      </c>
      <c r="I691" s="7" t="inlineStr">
        <is>
          <t>MFG-014</t>
        </is>
      </c>
      <c r="J691" s="7" t="inlineStr">
        <is>
          <t>DF-140</t>
        </is>
      </c>
      <c r="K691" s="7" t="inlineStr">
        <is>
          <t>DT-001</t>
        </is>
      </c>
      <c r="L691" s="8" t="inlineStr">
        <is>
          <t>HONOR Magic6 Pro</t>
        </is>
      </c>
      <c r="M691" s="8" t="inlineStr">
        <is>
          <t>BVL-AN16</t>
        </is>
      </c>
      <c r="N691" s="7" t="n">
        <v>2024</v>
      </c>
      <c r="O691" s="94" t="n">
        <v>578</v>
      </c>
      <c r="P691" s="94" t="inlineStr">
        <is>
          <t>Yes</t>
        </is>
      </c>
    </row>
    <row r="692" ht="21.5" customHeight="1" s="125">
      <c r="A692" s="94" t="inlineStr">
        <is>
          <t>TAX-000005</t>
        </is>
      </c>
      <c r="B692" s="11" t="n">
        <v>0.04</v>
      </c>
      <c r="C692" s="94" t="inlineStr">
        <is>
          <t>Standard</t>
        </is>
      </c>
      <c r="D692" s="94" t="n">
        <v>5</v>
      </c>
      <c r="E692" s="94" t="b">
        <v>1</v>
      </c>
      <c r="H692" s="9" t="inlineStr">
        <is>
          <t>MOD-000579</t>
        </is>
      </c>
      <c r="I692" s="7" t="inlineStr">
        <is>
          <t>MFG-014</t>
        </is>
      </c>
      <c r="J692" s="7" t="inlineStr">
        <is>
          <t>DF-140</t>
        </is>
      </c>
      <c r="K692" s="7" t="inlineStr">
        <is>
          <t>DT-001</t>
        </is>
      </c>
      <c r="L692" s="8" t="inlineStr">
        <is>
          <t>HONOR Magic V2</t>
        </is>
      </c>
      <c r="M692" s="8" t="inlineStr">
        <is>
          <t>VER-AN10</t>
        </is>
      </c>
      <c r="N692" s="7" t="n">
        <v>2023</v>
      </c>
      <c r="O692" s="94" t="n">
        <v>579</v>
      </c>
      <c r="P692" s="94" t="inlineStr">
        <is>
          <t>Yes</t>
        </is>
      </c>
    </row>
    <row r="693" ht="21.5" customHeight="1" s="125">
      <c r="A693" s="94" t="inlineStr">
        <is>
          <t>TAX-000006</t>
        </is>
      </c>
      <c r="B693" s="11" t="n">
        <v>0.05</v>
      </c>
      <c r="C693" s="94" t="inlineStr">
        <is>
          <t>Standard</t>
        </is>
      </c>
      <c r="D693" s="94" t="n">
        <v>6</v>
      </c>
      <c r="E693" s="94" t="b">
        <v>1</v>
      </c>
      <c r="H693" s="9" t="inlineStr">
        <is>
          <t>MOD-000580</t>
        </is>
      </c>
      <c r="I693" s="7" t="inlineStr">
        <is>
          <t>MFG-014</t>
        </is>
      </c>
      <c r="J693" s="7" t="inlineStr">
        <is>
          <t>DF-140</t>
        </is>
      </c>
      <c r="K693" s="7" t="inlineStr">
        <is>
          <t>DT-001</t>
        </is>
      </c>
      <c r="L693" s="8" t="inlineStr">
        <is>
          <t>HONOR Magic V3</t>
        </is>
      </c>
      <c r="M693" s="8" t="inlineStr">
        <is>
          <t>FCP-AN10</t>
        </is>
      </c>
      <c r="N693" s="7" t="n">
        <v>2024</v>
      </c>
      <c r="O693" s="94" t="n">
        <v>580</v>
      </c>
      <c r="P693" s="94" t="inlineStr">
        <is>
          <t>Yes</t>
        </is>
      </c>
    </row>
    <row r="694" ht="21.5" customHeight="1" s="125">
      <c r="A694" s="94" t="inlineStr">
        <is>
          <t>TAX-000007</t>
        </is>
      </c>
      <c r="B694" s="11" t="n">
        <v>0.06</v>
      </c>
      <c r="C694" s="94" t="inlineStr">
        <is>
          <t>Standard</t>
        </is>
      </c>
      <c r="D694" s="94" t="n">
        <v>7</v>
      </c>
      <c r="E694" s="94" t="b">
        <v>1</v>
      </c>
      <c r="H694" s="9" t="inlineStr">
        <is>
          <t>MOD-000581</t>
        </is>
      </c>
      <c r="I694" s="7" t="inlineStr">
        <is>
          <t>MFG-014</t>
        </is>
      </c>
      <c r="J694" s="7" t="inlineStr">
        <is>
          <t>DF-141</t>
        </is>
      </c>
      <c r="K694" s="7" t="inlineStr">
        <is>
          <t>DT-001</t>
        </is>
      </c>
      <c r="L694" s="8" t="inlineStr">
        <is>
          <t>HONOR 200</t>
        </is>
      </c>
      <c r="M694" s="8" t="inlineStr">
        <is>
          <t>ELP-AN00</t>
        </is>
      </c>
      <c r="N694" s="7" t="n">
        <v>2024</v>
      </c>
      <c r="O694" s="94" t="n">
        <v>581</v>
      </c>
      <c r="P694" s="94" t="inlineStr">
        <is>
          <t>Yes</t>
        </is>
      </c>
    </row>
    <row r="695" ht="21.5" customHeight="1" s="125">
      <c r="A695" s="94" t="inlineStr">
        <is>
          <t>TAX-000008</t>
        </is>
      </c>
      <c r="B695" s="11" t="n">
        <v>0.07000000000000001</v>
      </c>
      <c r="C695" s="94" t="inlineStr">
        <is>
          <t>Standard</t>
        </is>
      </c>
      <c r="D695" s="94" t="n">
        <v>8</v>
      </c>
      <c r="E695" s="94" t="b">
        <v>1</v>
      </c>
      <c r="H695" s="9" t="inlineStr">
        <is>
          <t>MOD-000582</t>
        </is>
      </c>
      <c r="I695" s="7" t="inlineStr">
        <is>
          <t>MFG-014</t>
        </is>
      </c>
      <c r="J695" s="7" t="inlineStr">
        <is>
          <t>DF-142</t>
        </is>
      </c>
      <c r="K695" s="7" t="inlineStr">
        <is>
          <t>DT-001</t>
        </is>
      </c>
      <c r="L695" s="8" t="inlineStr">
        <is>
          <t>HONOR X9b</t>
        </is>
      </c>
      <c r="M695" s="8" t="inlineStr">
        <is>
          <t>ALI-NX1</t>
        </is>
      </c>
      <c r="N695" s="7" t="n">
        <v>2024</v>
      </c>
      <c r="O695" s="94" t="n">
        <v>582</v>
      </c>
      <c r="P695" s="94" t="inlineStr">
        <is>
          <t>Yes</t>
        </is>
      </c>
    </row>
    <row r="696" ht="21.5" customHeight="1" s="125">
      <c r="A696" s="94" t="inlineStr">
        <is>
          <t>TAX-000009</t>
        </is>
      </c>
      <c r="B696" s="11" t="n">
        <v>0.08</v>
      </c>
      <c r="C696" s="94" t="inlineStr">
        <is>
          <t>Standard</t>
        </is>
      </c>
      <c r="D696" s="94" t="n">
        <v>9</v>
      </c>
      <c r="E696" s="94" t="b">
        <v>1</v>
      </c>
      <c r="H696" s="9" t="inlineStr">
        <is>
          <t>MOD-000583</t>
        </is>
      </c>
      <c r="I696" s="7" t="inlineStr">
        <is>
          <t>MFG-015</t>
        </is>
      </c>
      <c r="J696" s="7" t="inlineStr">
        <is>
          <t>DF-150</t>
        </is>
      </c>
      <c r="K696" s="7" t="inlineStr">
        <is>
          <t>DT-001</t>
        </is>
      </c>
      <c r="L696" s="8" t="inlineStr">
        <is>
          <t>Huawei Mate 60 Pro</t>
        </is>
      </c>
      <c r="M696" s="8" t="inlineStr">
        <is>
          <t>ALN-AL10</t>
        </is>
      </c>
      <c r="N696" s="7" t="n">
        <v>2023</v>
      </c>
      <c r="O696" s="94" t="n">
        <v>583</v>
      </c>
      <c r="P696" s="94" t="inlineStr">
        <is>
          <t>Yes</t>
        </is>
      </c>
    </row>
    <row r="697" ht="21.5" customHeight="1" s="125">
      <c r="A697" s="94" t="inlineStr">
        <is>
          <t>TAX-000010</t>
        </is>
      </c>
      <c r="B697" s="11" t="n">
        <v>0.09</v>
      </c>
      <c r="C697" s="94" t="inlineStr">
        <is>
          <t>Standard</t>
        </is>
      </c>
      <c r="D697" s="94" t="n">
        <v>10</v>
      </c>
      <c r="E697" s="94" t="b">
        <v>1</v>
      </c>
      <c r="H697" s="9" t="inlineStr">
        <is>
          <t>MOD-000584</t>
        </is>
      </c>
      <c r="I697" s="7" t="inlineStr">
        <is>
          <t>MFG-015</t>
        </is>
      </c>
      <c r="J697" s="7" t="inlineStr">
        <is>
          <t>DF-150</t>
        </is>
      </c>
      <c r="K697" s="7" t="inlineStr">
        <is>
          <t>DT-001</t>
        </is>
      </c>
      <c r="L697" s="8" t="inlineStr">
        <is>
          <t>Huawei Mate X5</t>
        </is>
      </c>
      <c r="M697" s="8" t="inlineStr">
        <is>
          <t>ALT-AL10</t>
        </is>
      </c>
      <c r="N697" s="7" t="n">
        <v>2023</v>
      </c>
      <c r="O697" s="94" t="n">
        <v>584</v>
      </c>
      <c r="P697" s="94" t="inlineStr">
        <is>
          <t>Yes</t>
        </is>
      </c>
    </row>
    <row r="698" ht="21.5" customHeight="1" s="125">
      <c r="A698" s="94" t="inlineStr">
        <is>
          <t>TAX-000011</t>
        </is>
      </c>
      <c r="B698" s="11" t="n">
        <v>0.1</v>
      </c>
      <c r="C698" s="94" t="inlineStr">
        <is>
          <t>Standard</t>
        </is>
      </c>
      <c r="D698" s="94" t="n">
        <v>11</v>
      </c>
      <c r="E698" s="94" t="b">
        <v>1</v>
      </c>
      <c r="H698" s="9" t="inlineStr">
        <is>
          <t>MOD-000585</t>
        </is>
      </c>
      <c r="I698" s="7" t="inlineStr">
        <is>
          <t>MFG-015</t>
        </is>
      </c>
      <c r="J698" s="7" t="inlineStr">
        <is>
          <t>DF-151</t>
        </is>
      </c>
      <c r="K698" s="7" t="inlineStr">
        <is>
          <t>DT-001</t>
        </is>
      </c>
      <c r="L698" s="8" t="inlineStr">
        <is>
          <t>Huawei P60 Pro</t>
        </is>
      </c>
      <c r="M698" s="8" t="inlineStr">
        <is>
          <t>MNA-AL00</t>
        </is>
      </c>
      <c r="N698" s="7" t="n">
        <v>2023</v>
      </c>
      <c r="O698" s="94" t="n">
        <v>585</v>
      </c>
      <c r="P698" s="94" t="inlineStr">
        <is>
          <t>Yes</t>
        </is>
      </c>
    </row>
    <row r="699" ht="21.5" customHeight="1" s="125">
      <c r="A699" s="94" t="n"/>
      <c r="B699" s="11" t="n"/>
      <c r="C699" s="94" t="n"/>
      <c r="D699" s="94" t="n"/>
      <c r="E699" s="94" t="n"/>
      <c r="H699" s="9" t="inlineStr">
        <is>
          <t>MOD-000586</t>
        </is>
      </c>
      <c r="I699" s="7" t="inlineStr">
        <is>
          <t>MFG-015</t>
        </is>
      </c>
      <c r="J699" s="7" t="inlineStr">
        <is>
          <t>DF-151</t>
        </is>
      </c>
      <c r="K699" s="7" t="inlineStr">
        <is>
          <t>DT-001</t>
        </is>
      </c>
      <c r="L699" s="8" t="inlineStr">
        <is>
          <t>Huawei Pura 70 Ultra</t>
        </is>
      </c>
      <c r="M699" s="8" t="inlineStr">
        <is>
          <t>HBN-AL80</t>
        </is>
      </c>
      <c r="N699" s="7" t="n">
        <v>2024</v>
      </c>
      <c r="O699" s="94" t="n">
        <v>586</v>
      </c>
      <c r="P699" s="94" t="inlineStr">
        <is>
          <t>Yes</t>
        </is>
      </c>
    </row>
    <row r="700" ht="27.5" customHeight="1" s="125">
      <c r="A700" s="10" t="inlineStr">
        <is>
          <t xml:space="preserve"> -------------------------------------------------------------------------------------------------------------------------------</t>
        </is>
      </c>
      <c r="B700" s="11" t="n"/>
      <c r="C700" s="94" t="n"/>
      <c r="D700" s="94" t="n"/>
      <c r="E700" s="94" t="n"/>
      <c r="H700" s="9" t="inlineStr">
        <is>
          <t>MOD-000587</t>
        </is>
      </c>
      <c r="I700" s="7" t="inlineStr">
        <is>
          <t>MFG-015</t>
        </is>
      </c>
      <c r="J700" s="7" t="inlineStr">
        <is>
          <t>DF-152</t>
        </is>
      </c>
      <c r="K700" s="7" t="inlineStr">
        <is>
          <t>DT-001</t>
        </is>
      </c>
      <c r="L700" s="8" t="inlineStr">
        <is>
          <t>Huawei Nova 12</t>
        </is>
      </c>
      <c r="M700" s="8" t="inlineStr">
        <is>
          <t>FIN-AL60</t>
        </is>
      </c>
      <c r="N700" s="7" t="n">
        <v>2024</v>
      </c>
      <c r="O700" s="94" t="n">
        <v>587</v>
      </c>
      <c r="P700" s="94" t="inlineStr">
        <is>
          <t>Yes</t>
        </is>
      </c>
    </row>
    <row r="701" ht="35" customHeight="1" s="125">
      <c r="A701" s="116" t="inlineStr">
        <is>
          <t xml:space="preserve"> EMPLOYEE LOOKUPS</t>
        </is>
      </c>
      <c r="H701" s="9" t="inlineStr">
        <is>
          <t>MOD-000588</t>
        </is>
      </c>
      <c r="I701" s="7" t="inlineStr">
        <is>
          <t>MFG-015</t>
        </is>
      </c>
      <c r="J701" s="7" t="inlineStr">
        <is>
          <t>DF-153</t>
        </is>
      </c>
      <c r="K701" s="7" t="inlineStr">
        <is>
          <t>DT-002</t>
        </is>
      </c>
      <c r="L701" s="8" t="inlineStr">
        <is>
          <t>Huawei MatePad 11.5 S</t>
        </is>
      </c>
      <c r="M701" s="8" t="inlineStr">
        <is>
          <t>TGR-W09</t>
        </is>
      </c>
      <c r="N701" s="7" t="n">
        <v>2024</v>
      </c>
      <c r="O701" s="94" t="n">
        <v>588</v>
      </c>
      <c r="P701" s="94" t="inlineStr">
        <is>
          <t>Yes</t>
        </is>
      </c>
    </row>
    <row r="702" ht="27.5" customHeight="1" s="125">
      <c r="A702" s="10" t="inlineStr">
        <is>
          <t xml:space="preserve"> -------------------------------------------------------------------------------------------------------------------------------</t>
        </is>
      </c>
      <c r="B702" s="11" t="n"/>
      <c r="C702" s="94" t="n"/>
      <c r="D702" s="94" t="n"/>
      <c r="E702" s="94" t="n"/>
      <c r="H702" s="9" t="inlineStr">
        <is>
          <t>MOD-000589</t>
        </is>
      </c>
      <c r="I702" s="7" t="inlineStr">
        <is>
          <t>MFG-016</t>
        </is>
      </c>
      <c r="J702" s="7" t="inlineStr">
        <is>
          <t>DF-160</t>
        </is>
      </c>
      <c r="K702" s="7" t="inlineStr">
        <is>
          <t>DT-001</t>
        </is>
      </c>
      <c r="L702" s="8" t="inlineStr">
        <is>
          <t>ZTE Axon 50 Ultra</t>
        </is>
      </c>
      <c r="M702" s="8" t="inlineStr">
        <is>
          <t>A2024</t>
        </is>
      </c>
      <c r="N702" s="7" t="n">
        <v>2023</v>
      </c>
      <c r="O702" s="94" t="n">
        <v>589</v>
      </c>
      <c r="P702" s="94" t="inlineStr">
        <is>
          <t>Yes</t>
        </is>
      </c>
    </row>
    <row r="703" ht="21.5" customHeight="1" s="125">
      <c r="H703" s="9" t="inlineStr">
        <is>
          <t>MOD-000590</t>
        </is>
      </c>
      <c r="I703" s="7" t="inlineStr">
        <is>
          <t>MFG-016</t>
        </is>
      </c>
      <c r="J703" s="7" t="inlineStr">
        <is>
          <t>DF-161</t>
        </is>
      </c>
      <c r="K703" s="7" t="inlineStr">
        <is>
          <t>DT-001</t>
        </is>
      </c>
      <c r="L703" s="8" t="inlineStr">
        <is>
          <t>nubia Z60 Ultra</t>
        </is>
      </c>
      <c r="M703" s="8" t="inlineStr">
        <is>
          <t>NX721J</t>
        </is>
      </c>
      <c r="N703" s="7" t="n">
        <v>2024</v>
      </c>
      <c r="O703" s="94" t="n">
        <v>590</v>
      </c>
      <c r="P703" s="94" t="inlineStr">
        <is>
          <t>Yes</t>
        </is>
      </c>
    </row>
    <row r="704" ht="21.5" customHeight="1" s="125">
      <c r="A704" s="3" t="inlineStr">
        <is>
          <t>tblEmployeeRoles</t>
        </is>
      </c>
      <c r="H704" s="9" t="inlineStr">
        <is>
          <t>MOD-000591</t>
        </is>
      </c>
      <c r="I704" s="7" t="inlineStr">
        <is>
          <t>MFG-017</t>
        </is>
      </c>
      <c r="J704" s="7" t="inlineStr">
        <is>
          <t>DF-170</t>
        </is>
      </c>
      <c r="K704" s="7" t="inlineStr">
        <is>
          <t>DT-001</t>
        </is>
      </c>
      <c r="L704" s="8" t="inlineStr">
        <is>
          <t>Nothing Phone (2)</t>
        </is>
      </c>
      <c r="M704" s="8" t="inlineStr">
        <is>
          <t>A065</t>
        </is>
      </c>
      <c r="N704" s="7" t="n">
        <v>2023</v>
      </c>
      <c r="O704" s="94" t="n">
        <v>591</v>
      </c>
      <c r="P704" s="94" t="inlineStr">
        <is>
          <t>Yes</t>
        </is>
      </c>
    </row>
    <row r="705" ht="21.5" customHeight="1" s="125">
      <c r="A705" s="6" t="inlineStr">
        <is>
          <t>ID</t>
        </is>
      </c>
      <c r="B705" s="6" t="inlineStr">
        <is>
          <t>Name</t>
        </is>
      </c>
      <c r="C705" s="6" t="inlineStr">
        <is>
          <t>Description</t>
        </is>
      </c>
      <c r="D705" s="6" t="inlineStr">
        <is>
          <t>DisplayOrder</t>
        </is>
      </c>
      <c r="E705" s="6" t="inlineStr">
        <is>
          <t>Active</t>
        </is>
      </c>
      <c r="H705" s="9" t="inlineStr">
        <is>
          <t>MOD-000592</t>
        </is>
      </c>
      <c r="I705" s="7" t="inlineStr">
        <is>
          <t>MFG-017</t>
        </is>
      </c>
      <c r="J705" s="7" t="inlineStr">
        <is>
          <t>DF-170</t>
        </is>
      </c>
      <c r="K705" s="7" t="inlineStr">
        <is>
          <t>DT-001</t>
        </is>
      </c>
      <c r="L705" s="8" t="inlineStr">
        <is>
          <t>Nothing Phone (2a)</t>
        </is>
      </c>
      <c r="M705" s="8" t="inlineStr">
        <is>
          <t>A142</t>
        </is>
      </c>
      <c r="N705" s="7" t="n">
        <v>2024</v>
      </c>
      <c r="O705" s="94" t="n">
        <v>592</v>
      </c>
      <c r="P705" s="94" t="inlineStr">
        <is>
          <t>Yes</t>
        </is>
      </c>
    </row>
    <row r="706" ht="21.5" customHeight="1" s="125">
      <c r="A706" s="94" t="inlineStr">
        <is>
          <t>ROL-000001</t>
        </is>
      </c>
      <c r="B706" s="94" t="inlineStr">
        <is>
          <t>Owner</t>
        </is>
      </c>
      <c r="C706" s="94" t="n"/>
      <c r="D706" s="94" t="n">
        <v>1</v>
      </c>
      <c r="E706" s="94" t="b">
        <v>1</v>
      </c>
      <c r="H706" s="9" t="inlineStr">
        <is>
          <t>MOD-000593</t>
        </is>
      </c>
      <c r="I706" s="7" t="inlineStr">
        <is>
          <t>MFG-017</t>
        </is>
      </c>
      <c r="J706" s="7" t="inlineStr">
        <is>
          <t>DF-170</t>
        </is>
      </c>
      <c r="K706" s="7" t="inlineStr">
        <is>
          <t>DT-001</t>
        </is>
      </c>
      <c r="L706" s="8" t="inlineStr">
        <is>
          <t>Nothing Phone (3a)</t>
        </is>
      </c>
      <c r="M706" s="8" t="inlineStr">
        <is>
          <t>A110</t>
        </is>
      </c>
      <c r="N706" s="7" t="n">
        <v>2025</v>
      </c>
      <c r="O706" s="94" t="n">
        <v>593</v>
      </c>
      <c r="P706" s="94" t="inlineStr">
        <is>
          <t>Yes</t>
        </is>
      </c>
    </row>
    <row r="707" ht="21.5" customHeight="1" s="125">
      <c r="A707" s="94" t="inlineStr">
        <is>
          <t>ROL-000002</t>
        </is>
      </c>
      <c r="B707" s="94" t="inlineStr">
        <is>
          <t>Manager</t>
        </is>
      </c>
      <c r="C707" s="94" t="n"/>
      <c r="D707" s="94" t="n">
        <v>2</v>
      </c>
      <c r="E707" s="94" t="b">
        <v>1</v>
      </c>
      <c r="H707" s="9" t="inlineStr">
        <is>
          <t>MOD-000594</t>
        </is>
      </c>
      <c r="I707" s="7" t="inlineStr">
        <is>
          <t>MFG-017</t>
        </is>
      </c>
      <c r="J707" s="7" t="inlineStr">
        <is>
          <t>DF-171</t>
        </is>
      </c>
      <c r="K707" s="7" t="inlineStr">
        <is>
          <t>DT-001</t>
        </is>
      </c>
      <c r="L707" s="8" t="inlineStr">
        <is>
          <t>CMF Phone 1</t>
        </is>
      </c>
      <c r="M707" s="8" t="inlineStr">
        <is>
          <t>A015</t>
        </is>
      </c>
      <c r="N707" s="7" t="n">
        <v>2024</v>
      </c>
      <c r="O707" s="94" t="n">
        <v>594</v>
      </c>
      <c r="P707" s="94" t="inlineStr">
        <is>
          <t>Yes</t>
        </is>
      </c>
    </row>
    <row r="708" ht="21.5" customHeight="1" s="125">
      <c r="A708" s="94" t="inlineStr">
        <is>
          <t>ROL-000003</t>
        </is>
      </c>
      <c r="B708" s="94" t="inlineStr">
        <is>
          <t>Lead Technician</t>
        </is>
      </c>
      <c r="C708" s="94" t="n"/>
      <c r="D708" s="94" t="n">
        <v>3</v>
      </c>
      <c r="E708" s="94" t="b">
        <v>1</v>
      </c>
      <c r="H708" s="9" t="inlineStr">
        <is>
          <t>MOD-000595</t>
        </is>
      </c>
      <c r="I708" s="7" t="inlineStr">
        <is>
          <t>MFG-018</t>
        </is>
      </c>
      <c r="J708" s="7" t="inlineStr">
        <is>
          <t>DF-180</t>
        </is>
      </c>
      <c r="K708" s="7" t="inlineStr">
        <is>
          <t>DT-001</t>
        </is>
      </c>
      <c r="L708" s="8" t="inlineStr">
        <is>
          <t>TCL 50 Pro NXTPAPER</t>
        </is>
      </c>
      <c r="M708" s="8" t="inlineStr">
        <is>
          <t>T810H</t>
        </is>
      </c>
      <c r="N708" s="7" t="n">
        <v>2024</v>
      </c>
      <c r="O708" s="94" t="n">
        <v>595</v>
      </c>
      <c r="P708" s="94" t="inlineStr">
        <is>
          <t>Yes</t>
        </is>
      </c>
    </row>
    <row r="709" ht="21.5" customHeight="1" s="125">
      <c r="A709" s="94" t="inlineStr">
        <is>
          <t>ROL-000004</t>
        </is>
      </c>
      <c r="B709" s="94" t="inlineStr">
        <is>
          <t>Technician</t>
        </is>
      </c>
      <c r="C709" s="94" t="n"/>
      <c r="D709" s="94" t="n">
        <v>4</v>
      </c>
      <c r="E709" s="94" t="b">
        <v>1</v>
      </c>
      <c r="H709" s="9" t="inlineStr">
        <is>
          <t>MOD-000596</t>
        </is>
      </c>
      <c r="I709" s="7" t="inlineStr">
        <is>
          <t>MFG-018</t>
        </is>
      </c>
      <c r="J709" s="7" t="inlineStr">
        <is>
          <t>DF-180</t>
        </is>
      </c>
      <c r="K709" s="7" t="inlineStr">
        <is>
          <t>DT-001</t>
        </is>
      </c>
      <c r="L709" s="8" t="inlineStr">
        <is>
          <t>TCL 40 XL</t>
        </is>
      </c>
      <c r="M709" s="8" t="inlineStr">
        <is>
          <t>T608DL</t>
        </is>
      </c>
      <c r="N709" s="7" t="n">
        <v>2023</v>
      </c>
      <c r="O709" s="94" t="n">
        <v>596</v>
      </c>
      <c r="P709" s="94" t="inlineStr">
        <is>
          <t>Yes</t>
        </is>
      </c>
    </row>
    <row r="710" ht="21.5" customHeight="1" s="125">
      <c r="A710" s="94" t="inlineStr">
        <is>
          <t>ROL-000005</t>
        </is>
      </c>
      <c r="B710" s="94" t="inlineStr">
        <is>
          <t>Front Desk</t>
        </is>
      </c>
      <c r="C710" s="94" t="n"/>
      <c r="D710" s="94" t="n">
        <v>5</v>
      </c>
      <c r="E710" s="94" t="b">
        <v>1</v>
      </c>
      <c r="H710" s="9" t="inlineStr">
        <is>
          <t>MOD-000597</t>
        </is>
      </c>
      <c r="I710" s="7" t="inlineStr">
        <is>
          <t>MFG-019</t>
        </is>
      </c>
      <c r="J710" s="7" t="inlineStr">
        <is>
          <t>DF-190</t>
        </is>
      </c>
      <c r="K710" s="7" t="inlineStr">
        <is>
          <t>DT-001</t>
        </is>
      </c>
      <c r="L710" s="8" t="inlineStr">
        <is>
          <t>BLU G93</t>
        </is>
      </c>
      <c r="M710" s="8" t="inlineStr">
        <is>
          <t>G0930WW</t>
        </is>
      </c>
      <c r="N710" s="7" t="n">
        <v>2024</v>
      </c>
      <c r="O710" s="94" t="n">
        <v>597</v>
      </c>
      <c r="P710" s="94" t="inlineStr">
        <is>
          <t>Yes</t>
        </is>
      </c>
    </row>
    <row r="711" ht="21.5" customHeight="1" s="125">
      <c r="A711" s="94" t="inlineStr">
        <is>
          <t>ROL-000006</t>
        </is>
      </c>
      <c r="B711" s="94" t="inlineStr">
        <is>
          <t>Inventory</t>
        </is>
      </c>
      <c r="C711" s="94" t="n"/>
      <c r="D711" s="94" t="n">
        <v>6</v>
      </c>
      <c r="E711" s="94" t="b">
        <v>1</v>
      </c>
      <c r="H711" s="9" t="inlineStr">
        <is>
          <t>MOD-000598</t>
        </is>
      </c>
      <c r="I711" s="7" t="inlineStr">
        <is>
          <t>MFG-020</t>
        </is>
      </c>
      <c r="J711" s="7" t="inlineStr">
        <is>
          <t>DF-200</t>
        </is>
      </c>
      <c r="K711" s="7" t="inlineStr">
        <is>
          <t>DT-001</t>
        </is>
      </c>
      <c r="L711" s="8" t="inlineStr">
        <is>
          <t>Kyocera DuraForce Pro 3</t>
        </is>
      </c>
      <c r="M711" s="8" t="inlineStr">
        <is>
          <t>E7200</t>
        </is>
      </c>
      <c r="N711" s="7" t="n">
        <v>2023</v>
      </c>
      <c r="O711" s="94" t="n">
        <v>598</v>
      </c>
      <c r="P711" s="94" t="inlineStr">
        <is>
          <t>Yes</t>
        </is>
      </c>
    </row>
    <row r="712" ht="21.5" customHeight="1" s="125">
      <c r="A712" s="94" t="inlineStr">
        <is>
          <t>ROL-000007</t>
        </is>
      </c>
      <c r="B712" s="94" t="inlineStr">
        <is>
          <t>Sales</t>
        </is>
      </c>
      <c r="C712" s="94" t="n"/>
      <c r="D712" s="94" t="n">
        <v>7</v>
      </c>
      <c r="E712" s="94" t="b">
        <v>1</v>
      </c>
      <c r="H712" s="9" t="inlineStr">
        <is>
          <t>MOD-000599</t>
        </is>
      </c>
      <c r="I712" s="7" t="inlineStr">
        <is>
          <t>MFG-021</t>
        </is>
      </c>
      <c r="J712" s="7" t="inlineStr">
        <is>
          <t>DF-210</t>
        </is>
      </c>
      <c r="K712" s="7" t="inlineStr">
        <is>
          <t>DT-001</t>
        </is>
      </c>
      <c r="L712" s="8" t="inlineStr">
        <is>
          <t>CAT S75</t>
        </is>
      </c>
      <c r="M712" s="8" t="inlineStr">
        <is>
          <t>S75</t>
        </is>
      </c>
      <c r="N712" s="7" t="n">
        <v>2023</v>
      </c>
      <c r="O712" s="94" t="n">
        <v>599</v>
      </c>
      <c r="P712" s="94" t="inlineStr">
        <is>
          <t>Yes</t>
        </is>
      </c>
    </row>
    <row r="713" ht="21.5" customHeight="1" s="125">
      <c r="A713" s="94" t="inlineStr">
        <is>
          <t>ROL-000008</t>
        </is>
      </c>
      <c r="B713" s="94" t="inlineStr">
        <is>
          <t>Bookkeeper</t>
        </is>
      </c>
      <c r="C713" s="94" t="n"/>
      <c r="D713" s="94" t="n">
        <v>8</v>
      </c>
      <c r="E713" s="94" t="b">
        <v>1</v>
      </c>
      <c r="H713" s="9" t="inlineStr">
        <is>
          <t>MOD-000600</t>
        </is>
      </c>
      <c r="I713" s="7" t="inlineStr">
        <is>
          <t>MFG-022</t>
        </is>
      </c>
      <c r="J713" s="7" t="inlineStr">
        <is>
          <t>DF-220</t>
        </is>
      </c>
      <c r="K713" s="7" t="inlineStr">
        <is>
          <t>DT-001</t>
        </is>
      </c>
      <c r="L713" s="8" t="inlineStr">
        <is>
          <t>Fairphone 5</t>
        </is>
      </c>
      <c r="M713" s="8" t="inlineStr">
        <is>
          <t>FP5</t>
        </is>
      </c>
      <c r="N713" s="7" t="n">
        <v>2023</v>
      </c>
      <c r="O713" s="94" t="n">
        <v>600</v>
      </c>
      <c r="P713" s="94" t="inlineStr">
        <is>
          <t>Yes</t>
        </is>
      </c>
    </row>
    <row r="714" ht="21.5" customHeight="1" s="125">
      <c r="H714" s="9" t="inlineStr">
        <is>
          <t>MOD-000601</t>
        </is>
      </c>
      <c r="I714" s="7" t="inlineStr">
        <is>
          <t>MFG-023</t>
        </is>
      </c>
      <c r="J714" s="7" t="inlineStr">
        <is>
          <t>DF-230</t>
        </is>
      </c>
      <c r="K714" s="7" t="inlineStr">
        <is>
          <t>DT-001</t>
        </is>
      </c>
      <c r="L714" s="8" t="inlineStr">
        <is>
          <t>Blackview BV9300</t>
        </is>
      </c>
      <c r="M714" s="8" t="inlineStr">
        <is>
          <t>BV9300</t>
        </is>
      </c>
      <c r="N714" s="7" t="n">
        <v>2023</v>
      </c>
      <c r="O714" s="94" t="n">
        <v>601</v>
      </c>
      <c r="P714" s="94" t="inlineStr">
        <is>
          <t>Yes</t>
        </is>
      </c>
    </row>
    <row r="715" ht="21.5" customHeight="1" s="125">
      <c r="A715" s="3" t="inlineStr">
        <is>
          <t>tblEmployeeStatus</t>
        </is>
      </c>
      <c r="H715" s="9" t="inlineStr">
        <is>
          <t>MOD-000602</t>
        </is>
      </c>
      <c r="I715" s="7" t="inlineStr">
        <is>
          <t>MFG-024</t>
        </is>
      </c>
      <c r="J715" s="7" t="inlineStr">
        <is>
          <t>DF-240</t>
        </is>
      </c>
      <c r="K715" s="7" t="inlineStr">
        <is>
          <t>DT-001</t>
        </is>
      </c>
      <c r="L715" s="8" t="inlineStr">
        <is>
          <t>Doogee V Max</t>
        </is>
      </c>
      <c r="M715" s="8" t="inlineStr">
        <is>
          <t>V Max</t>
        </is>
      </c>
      <c r="N715" s="7" t="n">
        <v>2023</v>
      </c>
      <c r="O715" s="94" t="n">
        <v>602</v>
      </c>
      <c r="P715" s="94" t="inlineStr">
        <is>
          <t>Yes</t>
        </is>
      </c>
    </row>
    <row r="716" ht="21.5" customHeight="1" s="125">
      <c r="A716" s="6" t="inlineStr">
        <is>
          <t>ID</t>
        </is>
      </c>
      <c r="B716" s="6" t="inlineStr">
        <is>
          <t>Name</t>
        </is>
      </c>
      <c r="C716" s="6" t="inlineStr">
        <is>
          <t>Description</t>
        </is>
      </c>
      <c r="D716" s="6" t="inlineStr">
        <is>
          <t>DisplayOrder</t>
        </is>
      </c>
      <c r="E716" s="6" t="inlineStr">
        <is>
          <t>Active</t>
        </is>
      </c>
      <c r="H716" s="9" t="inlineStr">
        <is>
          <t>MOD-000603</t>
        </is>
      </c>
      <c r="I716" s="7" t="inlineStr">
        <is>
          <t>MFG-025</t>
        </is>
      </c>
      <c r="J716" s="7" t="inlineStr">
        <is>
          <t>DF-250</t>
        </is>
      </c>
      <c r="K716" s="7" t="inlineStr">
        <is>
          <t>DT-001</t>
        </is>
      </c>
      <c r="L716" s="8" t="inlineStr">
        <is>
          <t>Ulefone Armor 24</t>
        </is>
      </c>
      <c r="M716" s="8" t="inlineStr">
        <is>
          <t>Armor24</t>
        </is>
      </c>
      <c r="N716" s="7" t="n">
        <v>2024</v>
      </c>
      <c r="O716" s="94" t="n">
        <v>603</v>
      </c>
      <c r="P716" s="94" t="inlineStr">
        <is>
          <t>Yes</t>
        </is>
      </c>
    </row>
    <row r="717" ht="21.5" customHeight="1" s="125">
      <c r="A717" s="94" t="inlineStr">
        <is>
          <t>EMP-000001</t>
        </is>
      </c>
      <c r="B717" s="94" t="inlineStr">
        <is>
          <t>Active</t>
        </is>
      </c>
      <c r="C717" s="94" t="n"/>
      <c r="D717" s="94" t="n">
        <v>1</v>
      </c>
      <c r="E717" s="94" t="b">
        <v>1</v>
      </c>
      <c r="H717" s="9" t="inlineStr">
        <is>
          <t>MOD-000604</t>
        </is>
      </c>
      <c r="I717" s="7" t="inlineStr">
        <is>
          <t>MFG-026</t>
        </is>
      </c>
      <c r="J717" s="7" t="inlineStr">
        <is>
          <t>DF-260</t>
        </is>
      </c>
      <c r="K717" s="7" t="inlineStr">
        <is>
          <t>DT-001</t>
        </is>
      </c>
      <c r="L717" s="8" t="inlineStr">
        <is>
          <t>UMIDIGI G9</t>
        </is>
      </c>
      <c r="M717" s="8" t="inlineStr">
        <is>
          <t>G9</t>
        </is>
      </c>
      <c r="N717" s="7" t="n">
        <v>2024</v>
      </c>
      <c r="O717" s="94" t="n">
        <v>604</v>
      </c>
      <c r="P717" s="94" t="inlineStr">
        <is>
          <t>Yes</t>
        </is>
      </c>
    </row>
    <row r="718" ht="21.5" customHeight="1" s="125">
      <c r="A718" s="94" t="inlineStr">
        <is>
          <t>EMP-000002</t>
        </is>
      </c>
      <c r="B718" s="94" t="inlineStr">
        <is>
          <t>On Leave</t>
        </is>
      </c>
      <c r="C718" s="94" t="n"/>
      <c r="D718" s="94" t="n">
        <v>2</v>
      </c>
      <c r="E718" s="94" t="b">
        <v>1</v>
      </c>
      <c r="H718" s="9" t="inlineStr">
        <is>
          <t>MOD-000605</t>
        </is>
      </c>
      <c r="I718" s="7" t="inlineStr">
        <is>
          <t>MFG-027</t>
        </is>
      </c>
      <c r="J718" s="7" t="inlineStr">
        <is>
          <t>DF-270</t>
        </is>
      </c>
      <c r="K718" s="7" t="inlineStr">
        <is>
          <t>DT-001</t>
        </is>
      </c>
      <c r="L718" s="8" t="inlineStr">
        <is>
          <t>Sharp Aquos R9</t>
        </is>
      </c>
      <c r="M718" s="8" t="inlineStr">
        <is>
          <t>SH-R9</t>
        </is>
      </c>
      <c r="N718" s="7" t="n">
        <v>2024</v>
      </c>
      <c r="O718" s="94" t="n">
        <v>605</v>
      </c>
      <c r="P718" s="94" t="inlineStr">
        <is>
          <t>Yes</t>
        </is>
      </c>
    </row>
    <row r="719" ht="21.5" customHeight="1" s="125">
      <c r="A719" s="94" t="inlineStr">
        <is>
          <t>EMP-000003</t>
        </is>
      </c>
      <c r="B719" s="94" t="inlineStr">
        <is>
          <t>Inactive</t>
        </is>
      </c>
      <c r="C719" s="94" t="n"/>
      <c r="D719" s="94" t="n">
        <v>3</v>
      </c>
      <c r="E719" s="94" t="b">
        <v>1</v>
      </c>
      <c r="H719" s="9" t="inlineStr">
        <is>
          <t>MOD-000606</t>
        </is>
      </c>
      <c r="I719" s="7" t="inlineStr">
        <is>
          <t>MFG-028</t>
        </is>
      </c>
      <c r="J719" s="7" t="inlineStr">
        <is>
          <t>DF-280</t>
        </is>
      </c>
      <c r="K719" s="7" t="inlineStr">
        <is>
          <t>DT-001</t>
        </is>
      </c>
      <c r="L719" s="8" t="inlineStr">
        <is>
          <t>Meizu 21 Pro</t>
        </is>
      </c>
      <c r="M719" s="8" t="inlineStr">
        <is>
          <t>M481Q</t>
        </is>
      </c>
      <c r="N719" s="7" t="n">
        <v>2024</v>
      </c>
      <c r="O719" s="94" t="n">
        <v>606</v>
      </c>
      <c r="P719" s="94" t="inlineStr">
        <is>
          <t>Yes</t>
        </is>
      </c>
    </row>
    <row r="720" ht="21.5" customHeight="1" s="125">
      <c r="A720" s="94" t="inlineStr">
        <is>
          <t>EMP-000004</t>
        </is>
      </c>
      <c r="B720" s="94" t="inlineStr">
        <is>
          <t>Terminated</t>
        </is>
      </c>
      <c r="C720" s="94" t="n"/>
      <c r="D720" s="94" t="n">
        <v>4</v>
      </c>
      <c r="E720" s="94" t="b">
        <v>1</v>
      </c>
      <c r="H720" s="9" t="inlineStr">
        <is>
          <t>MOD-000607</t>
        </is>
      </c>
      <c r="I720" s="7" t="inlineStr">
        <is>
          <t>MFG-029</t>
        </is>
      </c>
      <c r="J720" s="7" t="inlineStr">
        <is>
          <t>DF-290</t>
        </is>
      </c>
      <c r="K720" s="7" t="inlineStr">
        <is>
          <t>DT-002</t>
        </is>
      </c>
      <c r="L720" s="8" t="inlineStr">
        <is>
          <t>Amazon Fire Max 11</t>
        </is>
      </c>
      <c r="M720" s="8" t="n">
        <v>2023</v>
      </c>
      <c r="N720" s="7" t="inlineStr">
        <is>
          <t>Fire OS</t>
        </is>
      </c>
      <c r="O720" s="94" t="n">
        <v>607</v>
      </c>
      <c r="P720" s="94" t="inlineStr">
        <is>
          <t>Yes</t>
        </is>
      </c>
    </row>
    <row r="721" ht="21.5" customHeight="1" s="125">
      <c r="A721" s="94" t="n"/>
      <c r="B721" s="94" t="n"/>
      <c r="C721" s="94" t="n"/>
      <c r="D721" s="94" t="n"/>
      <c r="E721" s="94" t="n"/>
      <c r="H721" s="9" t="inlineStr">
        <is>
          <t>MOD-000608</t>
        </is>
      </c>
      <c r="I721" s="7" t="inlineStr">
        <is>
          <t>MFG-030</t>
        </is>
      </c>
      <c r="J721" s="7" t="inlineStr">
        <is>
          <t>DF-300</t>
        </is>
      </c>
      <c r="K721" s="7" t="inlineStr">
        <is>
          <t>DT-002</t>
        </is>
      </c>
      <c r="L721" s="8" t="inlineStr">
        <is>
          <t>Lenovo Tab P12</t>
        </is>
      </c>
      <c r="M721" s="8" t="inlineStr">
        <is>
          <t>TB370FU</t>
        </is>
      </c>
      <c r="N721" s="7" t="n">
        <v>2023</v>
      </c>
      <c r="O721" s="94" t="n">
        <v>608</v>
      </c>
      <c r="P721" s="94" t="inlineStr">
        <is>
          <t>Yes</t>
        </is>
      </c>
    </row>
    <row r="722" ht="27.5" customHeight="1" s="125">
      <c r="A722" s="10" t="inlineStr">
        <is>
          <t xml:space="preserve"> -------------------------------------------------------------------------------------------------------------------------------</t>
        </is>
      </c>
      <c r="B722" s="94" t="n"/>
      <c r="C722" s="94" t="n"/>
      <c r="D722" s="94" t="n"/>
      <c r="E722" s="94" t="n"/>
      <c r="H722" s="9" t="inlineStr">
        <is>
          <t>MOD-000609</t>
        </is>
      </c>
      <c r="I722" s="7" t="inlineStr">
        <is>
          <t>MFG-031</t>
        </is>
      </c>
      <c r="J722" s="7" t="inlineStr">
        <is>
          <t>DF-310</t>
        </is>
      </c>
      <c r="K722" s="7" t="inlineStr">
        <is>
          <t>DT-002</t>
        </is>
      </c>
      <c r="L722" s="8" t="inlineStr">
        <is>
          <t>Surface Pro 11</t>
        </is>
      </c>
      <c r="M722" s="8" t="inlineStr">
        <is>
          <t>2076</t>
        </is>
      </c>
      <c r="N722" s="7" t="n">
        <v>2024</v>
      </c>
      <c r="O722" s="94" t="n">
        <v>609</v>
      </c>
      <c r="P722" s="94" t="inlineStr">
        <is>
          <t>Yes</t>
        </is>
      </c>
    </row>
    <row r="723" ht="35" customHeight="1" s="125">
      <c r="A723" s="116" t="inlineStr">
        <is>
          <t xml:space="preserve"> GEOGRAPHIC LOOKUPS</t>
        </is>
      </c>
      <c r="H723" s="9" t="inlineStr">
        <is>
          <t>MOD-000610</t>
        </is>
      </c>
      <c r="I723" s="7" t="inlineStr">
        <is>
          <t>MFG-032</t>
        </is>
      </c>
      <c r="J723" s="7" t="inlineStr">
        <is>
          <t>DF-320</t>
        </is>
      </c>
      <c r="K723" s="7" t="inlineStr">
        <is>
          <t>DT-003</t>
        </is>
      </c>
      <c r="L723" s="8" t="inlineStr">
        <is>
          <t>Dell XPS 13 9350</t>
        </is>
      </c>
      <c r="M723" s="8" t="inlineStr">
        <is>
          <t>9350</t>
        </is>
      </c>
      <c r="N723" s="7" t="n">
        <v>2025</v>
      </c>
      <c r="O723" s="94" t="n">
        <v>610</v>
      </c>
      <c r="P723" s="94" t="inlineStr">
        <is>
          <t>Yes</t>
        </is>
      </c>
    </row>
    <row r="724" ht="27.5" customHeight="1" s="125">
      <c r="A724" s="10" t="inlineStr">
        <is>
          <t xml:space="preserve"> -------------------------------------------------------------------------------------------------------------------------------</t>
        </is>
      </c>
      <c r="B724" s="94" t="n"/>
      <c r="C724" s="94" t="n"/>
      <c r="D724" s="94" t="n"/>
      <c r="E724" s="94" t="n"/>
      <c r="H724" s="9" t="inlineStr">
        <is>
          <t>MOD-000611</t>
        </is>
      </c>
      <c r="I724" s="7" t="inlineStr">
        <is>
          <t>MFG-033</t>
        </is>
      </c>
      <c r="J724" s="7" t="inlineStr">
        <is>
          <t>DF-330</t>
        </is>
      </c>
      <c r="K724" s="7" t="inlineStr">
        <is>
          <t>DT-003</t>
        </is>
      </c>
      <c r="L724" s="8" t="inlineStr">
        <is>
          <t>HP Spectre x360 14</t>
        </is>
      </c>
      <c r="M724" s="8" t="inlineStr">
        <is>
          <t>14-eu</t>
        </is>
      </c>
      <c r="N724" s="7" t="n">
        <v>2024</v>
      </c>
      <c r="O724" s="94" t="n">
        <v>611</v>
      </c>
      <c r="P724" s="94" t="inlineStr">
        <is>
          <t>Yes</t>
        </is>
      </c>
    </row>
    <row r="725" ht="21.5" customHeight="1" s="125">
      <c r="A725" s="94" t="n"/>
      <c r="B725" s="94" t="n"/>
      <c r="C725" s="94" t="n"/>
      <c r="D725" s="94" t="n"/>
      <c r="E725" s="94" t="n"/>
      <c r="H725" s="9" t="inlineStr">
        <is>
          <t>MOD-000612</t>
        </is>
      </c>
      <c r="I725" s="7" t="inlineStr">
        <is>
          <t>MFG-034</t>
        </is>
      </c>
      <c r="J725" s="7" t="inlineStr">
        <is>
          <t>DF-340</t>
        </is>
      </c>
      <c r="K725" s="7" t="inlineStr">
        <is>
          <t>DT-003</t>
        </is>
      </c>
      <c r="L725" s="8" t="inlineStr">
        <is>
          <t>Lenovo ThinkPad X1 Carbon Gen12</t>
        </is>
      </c>
      <c r="M725" s="8" t="inlineStr">
        <is>
          <t>21KC</t>
        </is>
      </c>
      <c r="N725" s="7" t="n">
        <v>2024</v>
      </c>
      <c r="O725" s="94" t="n">
        <v>612</v>
      </c>
      <c r="P725" s="94" t="inlineStr">
        <is>
          <t>Yes</t>
        </is>
      </c>
    </row>
    <row r="726" ht="21.5" customHeight="1" s="125">
      <c r="A726" s="3" t="inlineStr">
        <is>
          <t>tblCountries</t>
        </is>
      </c>
      <c r="H726" s="9" t="inlineStr">
        <is>
          <t>MOD-000613</t>
        </is>
      </c>
      <c r="I726" s="7" t="inlineStr">
        <is>
          <t>MFG-032</t>
        </is>
      </c>
      <c r="J726" s="7" t="inlineStr">
        <is>
          <t>DF-321</t>
        </is>
      </c>
      <c r="K726" s="7" t="inlineStr">
        <is>
          <t>DT-003</t>
        </is>
      </c>
      <c r="L726" s="8" t="inlineStr">
        <is>
          <t>Dell Latitude 7450</t>
        </is>
      </c>
      <c r="M726" s="8" t="inlineStr">
        <is>
          <t>7450</t>
        </is>
      </c>
      <c r="N726" s="7" t="n">
        <v>2024</v>
      </c>
      <c r="O726" s="94" t="n">
        <v>613</v>
      </c>
      <c r="P726" s="94" t="inlineStr">
        <is>
          <t>Yes</t>
        </is>
      </c>
    </row>
    <row r="727" ht="21.5" customHeight="1" s="125">
      <c r="A727" s="6" t="inlineStr">
        <is>
          <t>ID</t>
        </is>
      </c>
      <c r="B727" s="6" t="inlineStr">
        <is>
          <t>Name</t>
        </is>
      </c>
      <c r="C727" s="6" t="inlineStr">
        <is>
          <t>Description</t>
        </is>
      </c>
      <c r="D727" s="6" t="inlineStr">
        <is>
          <t>DisplayOrder</t>
        </is>
      </c>
      <c r="E727" s="6" t="inlineStr">
        <is>
          <t>Active</t>
        </is>
      </c>
      <c r="H727" s="9" t="inlineStr">
        <is>
          <t>MOD-000614</t>
        </is>
      </c>
      <c r="I727" s="7" t="inlineStr">
        <is>
          <t>MFG-032</t>
        </is>
      </c>
      <c r="J727" s="7" t="inlineStr">
        <is>
          <t>DF-322</t>
        </is>
      </c>
      <c r="K727" s="7" t="inlineStr">
        <is>
          <t>DT-003</t>
        </is>
      </c>
      <c r="L727" s="8" t="inlineStr">
        <is>
          <t>Dell Precision 3591</t>
        </is>
      </c>
      <c r="M727" s="8" t="inlineStr">
        <is>
          <t>3591</t>
        </is>
      </c>
      <c r="N727" s="7" t="n">
        <v>2024</v>
      </c>
      <c r="O727" s="94" t="n">
        <v>614</v>
      </c>
      <c r="P727" s="94" t="inlineStr">
        <is>
          <t>Yes</t>
        </is>
      </c>
    </row>
    <row r="728" ht="21.5" customHeight="1" s="125">
      <c r="A728" s="94" t="inlineStr">
        <is>
          <t>CNT-000001</t>
        </is>
      </c>
      <c r="B728" s="94" t="inlineStr">
        <is>
          <t>United States</t>
        </is>
      </c>
      <c r="C728" s="94" t="inlineStr">
        <is>
          <t>US</t>
        </is>
      </c>
      <c r="D728" s="94" t="n">
        <v>1</v>
      </c>
      <c r="E728" s="94" t="b">
        <v>1</v>
      </c>
      <c r="H728" s="9" t="inlineStr">
        <is>
          <t>MOD-000615</t>
        </is>
      </c>
      <c r="I728" s="7" t="inlineStr">
        <is>
          <t>MFG-033</t>
        </is>
      </c>
      <c r="J728" s="7" t="inlineStr">
        <is>
          <t>DF-331</t>
        </is>
      </c>
      <c r="K728" s="7" t="inlineStr">
        <is>
          <t>DT-003</t>
        </is>
      </c>
      <c r="L728" s="8" t="inlineStr">
        <is>
          <t>HP EliteBook 840 G11</t>
        </is>
      </c>
      <c r="M728" s="8" t="inlineStr">
        <is>
          <t>840 G11</t>
        </is>
      </c>
      <c r="N728" s="7" t="n">
        <v>2024</v>
      </c>
      <c r="O728" s="94" t="n">
        <v>615</v>
      </c>
      <c r="P728" s="94" t="inlineStr">
        <is>
          <t>Yes</t>
        </is>
      </c>
    </row>
    <row r="729" ht="21.5" customHeight="1" s="125">
      <c r="A729" s="94" t="inlineStr">
        <is>
          <t>CNT-000002</t>
        </is>
      </c>
      <c r="B729" s="94" t="inlineStr">
        <is>
          <t>Canada</t>
        </is>
      </c>
      <c r="C729" s="94" t="inlineStr">
        <is>
          <t>CA</t>
        </is>
      </c>
      <c r="D729" s="94" t="n">
        <v>2</v>
      </c>
      <c r="E729" s="94" t="b">
        <v>1</v>
      </c>
      <c r="H729" s="9" t="inlineStr">
        <is>
          <t>MOD-000616</t>
        </is>
      </c>
      <c r="I729" s="7" t="inlineStr">
        <is>
          <t>MFG-033</t>
        </is>
      </c>
      <c r="J729" s="7" t="inlineStr">
        <is>
          <t>DF-332</t>
        </is>
      </c>
      <c r="K729" s="7" t="inlineStr">
        <is>
          <t>DT-003</t>
        </is>
      </c>
      <c r="L729" s="8" t="inlineStr">
        <is>
          <t>HP Envy x360 14</t>
        </is>
      </c>
      <c r="M729" s="8" t="inlineStr">
        <is>
          <t>14-fa</t>
        </is>
      </c>
      <c r="N729" s="7" t="n">
        <v>2024</v>
      </c>
      <c r="O729" s="94" t="n">
        <v>616</v>
      </c>
      <c r="P729" s="94" t="inlineStr">
        <is>
          <t>Yes</t>
        </is>
      </c>
    </row>
    <row r="730" ht="21.5" customHeight="1" s="125">
      <c r="A730" s="94" t="inlineStr">
        <is>
          <t>CNT-000003</t>
        </is>
      </c>
      <c r="B730" s="94" t="inlineStr">
        <is>
          <t>Mexico</t>
        </is>
      </c>
      <c r="C730" s="94" t="inlineStr">
        <is>
          <t>MX</t>
        </is>
      </c>
      <c r="D730" s="94" t="n">
        <v>3</v>
      </c>
      <c r="E730" s="94" t="b">
        <v>1</v>
      </c>
      <c r="H730" s="9" t="inlineStr">
        <is>
          <t>MOD-000617</t>
        </is>
      </c>
      <c r="I730" s="7" t="inlineStr">
        <is>
          <t>MFG-034</t>
        </is>
      </c>
      <c r="J730" s="7" t="inlineStr">
        <is>
          <t>DF-341</t>
        </is>
      </c>
      <c r="K730" s="7" t="inlineStr">
        <is>
          <t>DT-003</t>
        </is>
      </c>
      <c r="L730" s="8" t="inlineStr">
        <is>
          <t>Lenovo Yoga 9i Gen9</t>
        </is>
      </c>
      <c r="M730" s="8" t="inlineStr">
        <is>
          <t>83AC</t>
        </is>
      </c>
      <c r="N730" s="7" t="n">
        <v>2024</v>
      </c>
      <c r="O730" s="94" t="n">
        <v>617</v>
      </c>
      <c r="P730" s="94" t="inlineStr">
        <is>
          <t>Yes</t>
        </is>
      </c>
    </row>
    <row r="731" ht="21.5" customHeight="1" s="125">
      <c r="A731" s="94" t="inlineStr">
        <is>
          <t>CNT-000004</t>
        </is>
      </c>
      <c r="B731" s="94" t="inlineStr">
        <is>
          <t>United Kingdom</t>
        </is>
      </c>
      <c r="C731" s="94" t="inlineStr">
        <is>
          <t>GB</t>
        </is>
      </c>
      <c r="D731" s="94" t="n">
        <v>4</v>
      </c>
      <c r="E731" s="94" t="b">
        <v>1</v>
      </c>
      <c r="H731" s="9" t="inlineStr">
        <is>
          <t>MOD-000618</t>
        </is>
      </c>
      <c r="I731" s="7" t="inlineStr">
        <is>
          <t>MFG-035</t>
        </is>
      </c>
      <c r="J731" s="7" t="inlineStr">
        <is>
          <t>DF-350</t>
        </is>
      </c>
      <c r="K731" s="7" t="inlineStr">
        <is>
          <t>DT-003</t>
        </is>
      </c>
      <c r="L731" s="8" t="inlineStr">
        <is>
          <t>ASUS Zenbook 14 OLED</t>
        </is>
      </c>
      <c r="M731" s="8" t="inlineStr">
        <is>
          <t>UX3405</t>
        </is>
      </c>
      <c r="N731" s="7" t="n">
        <v>2024</v>
      </c>
      <c r="O731" s="94" t="n">
        <v>618</v>
      </c>
      <c r="P731" s="94" t="inlineStr">
        <is>
          <t>Yes</t>
        </is>
      </c>
    </row>
    <row r="732" ht="21.5" customHeight="1" s="125">
      <c r="A732" s="94" t="inlineStr">
        <is>
          <t>CNT-000005</t>
        </is>
      </c>
      <c r="B732" s="94" t="inlineStr">
        <is>
          <t>France</t>
        </is>
      </c>
      <c r="C732" s="94" t="inlineStr">
        <is>
          <t>FR</t>
        </is>
      </c>
      <c r="D732" s="94" t="n">
        <v>5</v>
      </c>
      <c r="E732" s="94" t="b">
        <v>1</v>
      </c>
      <c r="H732" s="9" t="inlineStr">
        <is>
          <t>MOD-000619</t>
        </is>
      </c>
      <c r="I732" s="7" t="inlineStr">
        <is>
          <t>MFG-036</t>
        </is>
      </c>
      <c r="J732" s="7" t="inlineStr">
        <is>
          <t>DF-360</t>
        </is>
      </c>
      <c r="K732" s="7" t="inlineStr">
        <is>
          <t>DT-003</t>
        </is>
      </c>
      <c r="L732" s="8" t="inlineStr">
        <is>
          <t>Acer Swift Go 14</t>
        </is>
      </c>
      <c r="M732" s="8" t="inlineStr">
        <is>
          <t>SFG14</t>
        </is>
      </c>
      <c r="N732" s="7" t="n">
        <v>2024</v>
      </c>
      <c r="O732" s="94" t="n">
        <v>619</v>
      </c>
      <c r="P732" s="94" t="inlineStr">
        <is>
          <t>Yes</t>
        </is>
      </c>
    </row>
    <row r="733" ht="21.5" customHeight="1" s="125">
      <c r="A733" s="94" t="inlineStr">
        <is>
          <t>CNT-000006</t>
        </is>
      </c>
      <c r="B733" s="94" t="inlineStr">
        <is>
          <t>Germany</t>
        </is>
      </c>
      <c r="C733" s="94" t="inlineStr">
        <is>
          <t>DE</t>
        </is>
      </c>
      <c r="D733" s="94" t="n">
        <v>6</v>
      </c>
      <c r="E733" s="94" t="b">
        <v>1</v>
      </c>
      <c r="H733" s="9" t="inlineStr">
        <is>
          <t>MOD-000620</t>
        </is>
      </c>
      <c r="I733" s="7" t="inlineStr">
        <is>
          <t>MFG-037</t>
        </is>
      </c>
      <c r="J733" s="7" t="inlineStr">
        <is>
          <t>DF-370</t>
        </is>
      </c>
      <c r="K733" s="7" t="inlineStr">
        <is>
          <t>DT-003</t>
        </is>
      </c>
      <c r="L733" s="8" t="inlineStr">
        <is>
          <t>MSI Stealth 16 AI</t>
        </is>
      </c>
      <c r="M733" s="8" t="inlineStr">
        <is>
          <t>A1V</t>
        </is>
      </c>
      <c r="N733" s="7" t="n">
        <v>2024</v>
      </c>
      <c r="O733" s="94" t="n">
        <v>620</v>
      </c>
      <c r="P733" s="94" t="inlineStr">
        <is>
          <t>Yes</t>
        </is>
      </c>
    </row>
    <row r="734" ht="21.5" customHeight="1" s="125">
      <c r="A734" s="94" t="inlineStr">
        <is>
          <t>CNT-000007</t>
        </is>
      </c>
      <c r="B734" s="94" t="inlineStr">
        <is>
          <t>Italy</t>
        </is>
      </c>
      <c r="C734" s="94" t="inlineStr">
        <is>
          <t>IT</t>
        </is>
      </c>
      <c r="D734" s="94" t="n">
        <v>7</v>
      </c>
      <c r="E734" s="94" t="b">
        <v>1</v>
      </c>
      <c r="H734" s="9" t="inlineStr">
        <is>
          <t>MOD-000621</t>
        </is>
      </c>
      <c r="I734" s="7" t="inlineStr">
        <is>
          <t>MFG-038</t>
        </is>
      </c>
      <c r="J734" s="7" t="inlineStr">
        <is>
          <t>DF-380</t>
        </is>
      </c>
      <c r="K734" s="7" t="inlineStr">
        <is>
          <t>DT-003</t>
        </is>
      </c>
      <c r="L734" s="8" t="inlineStr">
        <is>
          <t>Samsung Galaxy Book4 Pro</t>
        </is>
      </c>
      <c r="M734" s="8" t="inlineStr">
        <is>
          <t>NP940XGK</t>
        </is>
      </c>
      <c r="N734" s="7" t="n">
        <v>2024</v>
      </c>
      <c r="O734" s="94" t="n">
        <v>621</v>
      </c>
      <c r="P734" s="94" t="inlineStr">
        <is>
          <t>Yes</t>
        </is>
      </c>
    </row>
    <row r="735" ht="21.5" customHeight="1" s="125">
      <c r="A735" s="94" t="inlineStr">
        <is>
          <t>CNT-000008</t>
        </is>
      </c>
      <c r="B735" s="94" t="inlineStr">
        <is>
          <t>Spain</t>
        </is>
      </c>
      <c r="C735" s="94" t="inlineStr">
        <is>
          <t>ES</t>
        </is>
      </c>
      <c r="D735" s="94" t="n">
        <v>8</v>
      </c>
      <c r="E735" s="94" t="b">
        <v>1</v>
      </c>
      <c r="H735" s="9" t="inlineStr">
        <is>
          <t>MOD-000622</t>
        </is>
      </c>
      <c r="I735" s="7" t="inlineStr">
        <is>
          <t>MFG-039</t>
        </is>
      </c>
      <c r="J735" s="7" t="inlineStr">
        <is>
          <t>DF-390</t>
        </is>
      </c>
      <c r="K735" s="7" t="inlineStr">
        <is>
          <t>DT-003</t>
        </is>
      </c>
      <c r="L735" s="8" t="inlineStr">
        <is>
          <t>LG Gram 16</t>
        </is>
      </c>
      <c r="M735" s="8" t="inlineStr">
        <is>
          <t>16Z90S</t>
        </is>
      </c>
      <c r="N735" s="7" t="n">
        <v>2024</v>
      </c>
      <c r="O735" s="94" t="n">
        <v>622</v>
      </c>
      <c r="P735" s="94" t="inlineStr">
        <is>
          <t>Yes</t>
        </is>
      </c>
    </row>
    <row r="736" ht="21.5" customHeight="1" s="125">
      <c r="A736" s="94" t="inlineStr">
        <is>
          <t>CNT-000009</t>
        </is>
      </c>
      <c r="B736" s="94" t="inlineStr">
        <is>
          <t>Australia</t>
        </is>
      </c>
      <c r="C736" s="94" t="inlineStr">
        <is>
          <t>AU</t>
        </is>
      </c>
      <c r="D736" s="94" t="n">
        <v>9</v>
      </c>
      <c r="E736" s="94" t="b">
        <v>1</v>
      </c>
      <c r="H736" s="9" t="inlineStr">
        <is>
          <t>MOD-000623</t>
        </is>
      </c>
      <c r="I736" s="7" t="inlineStr">
        <is>
          <t>MFG-040</t>
        </is>
      </c>
      <c r="J736" s="7" t="inlineStr">
        <is>
          <t>DF-400</t>
        </is>
      </c>
      <c r="K736" s="7" t="inlineStr">
        <is>
          <t>DT-003</t>
        </is>
      </c>
      <c r="L736" s="8" t="inlineStr">
        <is>
          <t>Framework Laptop 13</t>
        </is>
      </c>
      <c r="M736" s="8" t="inlineStr">
        <is>
          <t>FW13</t>
        </is>
      </c>
      <c r="N736" s="7" t="n">
        <v>2024</v>
      </c>
      <c r="O736" s="94" t="n">
        <v>623</v>
      </c>
      <c r="P736" s="94" t="inlineStr">
        <is>
          <t>Yes</t>
        </is>
      </c>
    </row>
    <row r="737" ht="21.5" customHeight="1" s="125">
      <c r="A737" s="94" t="inlineStr">
        <is>
          <t>CNT-000010</t>
        </is>
      </c>
      <c r="B737" s="94" t="inlineStr">
        <is>
          <t>New Zealand</t>
        </is>
      </c>
      <c r="C737" s="94" t="inlineStr">
        <is>
          <t>NZ</t>
        </is>
      </c>
      <c r="D737" s="94" t="n">
        <v>10</v>
      </c>
      <c r="E737" s="94" t="b">
        <v>1</v>
      </c>
      <c r="H737" s="9" t="inlineStr">
        <is>
          <t>MOD-000624</t>
        </is>
      </c>
      <c r="I737" s="7" t="inlineStr">
        <is>
          <t>MFG-041</t>
        </is>
      </c>
      <c r="J737" s="7" t="inlineStr">
        <is>
          <t>DF-410</t>
        </is>
      </c>
      <c r="K737" s="7" t="inlineStr">
        <is>
          <t>DT-003</t>
        </is>
      </c>
      <c r="L737" s="8" t="inlineStr">
        <is>
          <t>Alienware m16 R2</t>
        </is>
      </c>
      <c r="M737" s="8" t="inlineStr">
        <is>
          <t>m16R2</t>
        </is>
      </c>
      <c r="N737" s="7" t="n">
        <v>2024</v>
      </c>
      <c r="O737" s="94" t="n">
        <v>624</v>
      </c>
      <c r="P737" s="94" t="inlineStr">
        <is>
          <t>Yes</t>
        </is>
      </c>
    </row>
    <row r="738" ht="21.5" customHeight="1" s="125">
      <c r="A738" s="94" t="inlineStr">
        <is>
          <t>CNT-000011</t>
        </is>
      </c>
      <c r="B738" s="94" t="inlineStr">
        <is>
          <t>Japan</t>
        </is>
      </c>
      <c r="C738" s="94" t="inlineStr">
        <is>
          <t>JP</t>
        </is>
      </c>
      <c r="D738" s="94" t="n">
        <v>11</v>
      </c>
      <c r="E738" s="94" t="b">
        <v>1</v>
      </c>
      <c r="H738" s="9" t="inlineStr">
        <is>
          <t>MOD-000625</t>
        </is>
      </c>
      <c r="I738" s="7" t="inlineStr">
        <is>
          <t>MFG-042</t>
        </is>
      </c>
      <c r="J738" s="7" t="inlineStr">
        <is>
          <t>DF-420</t>
        </is>
      </c>
      <c r="K738" s="7" t="inlineStr">
        <is>
          <t>DT-003</t>
        </is>
      </c>
      <c r="L738" s="8" t="inlineStr">
        <is>
          <t>Razer Blade 16</t>
        </is>
      </c>
      <c r="M738" s="8" t="inlineStr">
        <is>
          <t>Blade16</t>
        </is>
      </c>
      <c r="N738" s="7" t="n">
        <v>2024</v>
      </c>
      <c r="O738" s="94" t="n">
        <v>625</v>
      </c>
      <c r="P738" s="94" t="inlineStr">
        <is>
          <t>Yes</t>
        </is>
      </c>
    </row>
    <row r="739" ht="21.5" customHeight="1" s="125">
      <c r="A739" s="94" t="inlineStr">
        <is>
          <t>CNT-000012</t>
        </is>
      </c>
      <c r="B739" s="94" t="inlineStr">
        <is>
          <t>South Korea</t>
        </is>
      </c>
      <c r="C739" s="94" t="inlineStr">
        <is>
          <t>KR</t>
        </is>
      </c>
      <c r="D739" s="94" t="n">
        <v>12</v>
      </c>
      <c r="E739" s="94" t="b">
        <v>1</v>
      </c>
      <c r="H739" s="9" t="inlineStr">
        <is>
          <t>MOD-000626</t>
        </is>
      </c>
      <c r="I739" s="7" t="inlineStr">
        <is>
          <t>MFG-031</t>
        </is>
      </c>
      <c r="J739" s="7" t="inlineStr">
        <is>
          <t>DF-311</t>
        </is>
      </c>
      <c r="K739" s="7" t="inlineStr">
        <is>
          <t>DT-003</t>
        </is>
      </c>
      <c r="L739" s="8" t="inlineStr">
        <is>
          <t>Surface Laptop 7</t>
        </is>
      </c>
      <c r="M739" s="8" t="inlineStr">
        <is>
          <t>2037</t>
        </is>
      </c>
      <c r="N739" s="7" t="n">
        <v>2024</v>
      </c>
      <c r="O739" s="94" t="n">
        <v>626</v>
      </c>
      <c r="P739" s="94" t="inlineStr">
        <is>
          <t>Yes</t>
        </is>
      </c>
    </row>
    <row r="740" ht="21.5" customHeight="1" s="125">
      <c r="A740" s="94" t="inlineStr">
        <is>
          <t>CNT-000013</t>
        </is>
      </c>
      <c r="B740" s="94" t="inlineStr">
        <is>
          <t>China</t>
        </is>
      </c>
      <c r="C740" s="94" t="inlineStr">
        <is>
          <t>CN</t>
        </is>
      </c>
      <c r="D740" s="94" t="n">
        <v>13</v>
      </c>
      <c r="E740" s="94" t="b">
        <v>1</v>
      </c>
      <c r="H740" s="9" t="inlineStr">
        <is>
          <t>MOD-000627</t>
        </is>
      </c>
      <c r="I740" s="7" t="inlineStr">
        <is>
          <t>MFG-031</t>
        </is>
      </c>
      <c r="J740" s="7" t="inlineStr">
        <is>
          <t>DF-312</t>
        </is>
      </c>
      <c r="K740" s="7" t="inlineStr">
        <is>
          <t>DT-003</t>
        </is>
      </c>
      <c r="L740" s="8" t="inlineStr">
        <is>
          <t>Surface Laptop Studio 2</t>
        </is>
      </c>
      <c r="M740" s="8" t="inlineStr">
        <is>
          <t>2023</t>
        </is>
      </c>
      <c r="N740" s="7" t="n">
        <v>2023</v>
      </c>
      <c r="O740" s="94" t="n">
        <v>627</v>
      </c>
      <c r="P740" s="94" t="inlineStr">
        <is>
          <t>Yes</t>
        </is>
      </c>
    </row>
    <row r="741" ht="21.5" customHeight="1" s="125">
      <c r="A741" s="94" t="inlineStr">
        <is>
          <t>CNT-000014</t>
        </is>
      </c>
      <c r="B741" s="94" t="inlineStr">
        <is>
          <t>Taiwan</t>
        </is>
      </c>
      <c r="C741" s="94" t="inlineStr">
        <is>
          <t>TW</t>
        </is>
      </c>
      <c r="D741" s="94" t="n">
        <v>14</v>
      </c>
      <c r="E741" s="94" t="b">
        <v>1</v>
      </c>
      <c r="H741" s="9" t="inlineStr">
        <is>
          <t>MOD-000628</t>
        </is>
      </c>
      <c r="I741" s="7" t="inlineStr">
        <is>
          <t>MFG-043</t>
        </is>
      </c>
      <c r="J741" s="7" t="inlineStr">
        <is>
          <t>DF-430</t>
        </is>
      </c>
      <c r="K741" s="7" t="inlineStr">
        <is>
          <t>DT-004</t>
        </is>
      </c>
      <c r="L741" s="8" t="inlineStr">
        <is>
          <t>Nintendo Switch OLED</t>
        </is>
      </c>
      <c r="M741" s="8" t="inlineStr">
        <is>
          <t>HEG-001</t>
        </is>
      </c>
      <c r="N741" s="7" t="n">
        <v>2021</v>
      </c>
      <c r="O741" s="94" t="n">
        <v>628</v>
      </c>
      <c r="P741" s="94" t="inlineStr">
        <is>
          <t>Yes</t>
        </is>
      </c>
    </row>
    <row r="742" ht="21.5" customHeight="1" s="125">
      <c r="A742" s="94" t="inlineStr">
        <is>
          <t>CNT-000015</t>
        </is>
      </c>
      <c r="B742" s="94" t="inlineStr">
        <is>
          <t>India</t>
        </is>
      </c>
      <c r="C742" s="94" t="inlineStr">
        <is>
          <t>IN</t>
        </is>
      </c>
      <c r="D742" s="94" t="n">
        <v>15</v>
      </c>
      <c r="E742" s="94" t="b">
        <v>1</v>
      </c>
      <c r="H742" s="9" t="inlineStr">
        <is>
          <t>MOD-000629</t>
        </is>
      </c>
      <c r="I742" s="7" t="inlineStr">
        <is>
          <t>MFG-044</t>
        </is>
      </c>
      <c r="J742" s="7" t="inlineStr">
        <is>
          <t>DF-440</t>
        </is>
      </c>
      <c r="K742" s="7" t="inlineStr">
        <is>
          <t>DT-004</t>
        </is>
      </c>
      <c r="L742" s="8" t="inlineStr">
        <is>
          <t>Steam Deck OLED</t>
        </is>
      </c>
      <c r="M742" s="8" t="inlineStr">
        <is>
          <t>1030</t>
        </is>
      </c>
      <c r="N742" s="7" t="n">
        <v>2023</v>
      </c>
      <c r="O742" s="94" t="n">
        <v>629</v>
      </c>
      <c r="P742" s="94" t="inlineStr">
        <is>
          <t>Yes</t>
        </is>
      </c>
    </row>
    <row r="743" ht="21.5" customHeight="1" s="125">
      <c r="A743" s="94" t="inlineStr">
        <is>
          <t>CNT-000016</t>
        </is>
      </c>
      <c r="B743" s="94" t="inlineStr">
        <is>
          <t>Singapore</t>
        </is>
      </c>
      <c r="C743" s="94" t="inlineStr">
        <is>
          <t>SG</t>
        </is>
      </c>
      <c r="D743" s="94" t="n">
        <v>16</v>
      </c>
      <c r="E743" s="94" t="b">
        <v>1</v>
      </c>
      <c r="H743" s="9" t="inlineStr">
        <is>
          <t>MOD-000630</t>
        </is>
      </c>
      <c r="I743" s="7" t="inlineStr">
        <is>
          <t>MFG-008</t>
        </is>
      </c>
      <c r="J743" s="7" t="inlineStr">
        <is>
          <t>DF-081</t>
        </is>
      </c>
      <c r="K743" s="7" t="inlineStr">
        <is>
          <t>DT-004</t>
        </is>
      </c>
      <c r="L743" s="8" t="inlineStr">
        <is>
          <t>ROG Ally X</t>
        </is>
      </c>
      <c r="M743" s="8" t="inlineStr">
        <is>
          <t>RC72LA</t>
        </is>
      </c>
      <c r="N743" s="7" t="n">
        <v>2024</v>
      </c>
      <c r="O743" s="94" t="n">
        <v>630</v>
      </c>
      <c r="P743" s="94" t="inlineStr">
        <is>
          <t>Yes</t>
        </is>
      </c>
    </row>
    <row r="744" ht="21.5" customHeight="1" s="125">
      <c r="A744" s="94" t="inlineStr">
        <is>
          <t>CNT-000017</t>
        </is>
      </c>
      <c r="B744" s="94" t="inlineStr">
        <is>
          <t>Brazil</t>
        </is>
      </c>
      <c r="C744" s="94" t="inlineStr">
        <is>
          <t>BR</t>
        </is>
      </c>
      <c r="D744" s="94" t="n">
        <v>17</v>
      </c>
      <c r="E744" s="94" t="b">
        <v>1</v>
      </c>
      <c r="H744" s="9" t="inlineStr">
        <is>
          <t>MOD-000631</t>
        </is>
      </c>
      <c r="I744" s="7" t="inlineStr">
        <is>
          <t>MFG-034</t>
        </is>
      </c>
      <c r="J744" s="7" t="inlineStr">
        <is>
          <t>DF-342</t>
        </is>
      </c>
      <c r="K744" s="7" t="inlineStr">
        <is>
          <t>DT-004</t>
        </is>
      </c>
      <c r="L744" s="8" t="inlineStr">
        <is>
          <t>Lenovo Legion Go</t>
        </is>
      </c>
      <c r="M744" s="8" t="inlineStr">
        <is>
          <t>83E1</t>
        </is>
      </c>
      <c r="N744" s="7" t="n">
        <v>2023</v>
      </c>
      <c r="O744" s="94" t="n">
        <v>631</v>
      </c>
      <c r="P744" s="94" t="inlineStr">
        <is>
          <t>Yes</t>
        </is>
      </c>
    </row>
    <row r="745" ht="21.5" customHeight="1" s="125">
      <c r="A745" s="94" t="inlineStr">
        <is>
          <t>CNT-000018</t>
        </is>
      </c>
      <c r="B745" s="94" t="inlineStr">
        <is>
          <t>Argentina</t>
        </is>
      </c>
      <c r="C745" s="94" t="inlineStr">
        <is>
          <t>AR</t>
        </is>
      </c>
      <c r="D745" s="94" t="n">
        <v>18</v>
      </c>
      <c r="E745" s="94" t="b">
        <v>1</v>
      </c>
      <c r="H745" s="9" t="inlineStr">
        <is>
          <t>MOD-000632</t>
        </is>
      </c>
      <c r="I745" s="7" t="inlineStr">
        <is>
          <t>MFG-045</t>
        </is>
      </c>
      <c r="J745" s="7" t="inlineStr">
        <is>
          <t>DF-450</t>
        </is>
      </c>
      <c r="K745" s="7" t="inlineStr">
        <is>
          <t>DT-004</t>
        </is>
      </c>
      <c r="L745" s="8" t="inlineStr">
        <is>
          <t>PlayStation Portal</t>
        </is>
      </c>
      <c r="M745" s="8" t="inlineStr">
        <is>
          <t>CFI-Y1001</t>
        </is>
      </c>
      <c r="N745" s="7" t="n">
        <v>2023</v>
      </c>
      <c r="O745" s="94" t="n">
        <v>632</v>
      </c>
      <c r="P745" s="94" t="inlineStr">
        <is>
          <t>Yes</t>
        </is>
      </c>
    </row>
    <row r="746" ht="21.5" customHeight="1" s="125">
      <c r="A746" s="94" t="inlineStr">
        <is>
          <t>CNT-000019</t>
        </is>
      </c>
      <c r="B746" s="94" t="inlineStr">
        <is>
          <t>South Africa</t>
        </is>
      </c>
      <c r="C746" s="94" t="inlineStr">
        <is>
          <t>ZA</t>
        </is>
      </c>
      <c r="D746" s="94" t="n">
        <v>19</v>
      </c>
      <c r="E746" s="94" t="b">
        <v>1</v>
      </c>
    </row>
    <row r="747" ht="21.5" customHeight="1" s="125">
      <c r="A747" s="94" t="inlineStr">
        <is>
          <t>CNT-000020</t>
        </is>
      </c>
      <c r="B747" s="94" t="inlineStr">
        <is>
          <t>United Arab Emirates</t>
        </is>
      </c>
      <c r="C747" s="94" t="inlineStr">
        <is>
          <t>AE</t>
        </is>
      </c>
      <c r="D747" s="94" t="n">
        <v>20</v>
      </c>
      <c r="E747" s="94" t="b">
        <v>1</v>
      </c>
    </row>
    <row r="748" ht="21.5" customHeight="1" s="125">
      <c r="A748" s="94" t="n"/>
      <c r="B748" s="94" t="n"/>
      <c r="C748" s="94" t="n"/>
      <c r="D748" s="94" t="n"/>
      <c r="E748" s="94" t="n"/>
    </row>
    <row r="749">
      <c r="A749" s="3" t="inlineStr">
        <is>
          <t>tblStatesProvinces</t>
        </is>
      </c>
    </row>
    <row r="750" ht="21.5" customHeight="1" s="125">
      <c r="A750" s="6" t="inlineStr">
        <is>
          <t>ID</t>
        </is>
      </c>
      <c r="B750" s="6" t="inlineStr">
        <is>
          <t>Name</t>
        </is>
      </c>
      <c r="C750" s="6" t="inlineStr">
        <is>
          <t>Description</t>
        </is>
      </c>
      <c r="D750" s="6" t="inlineStr">
        <is>
          <t>DisplayOrder</t>
        </is>
      </c>
      <c r="E750" s="6" t="inlineStr">
        <is>
          <t>Active</t>
        </is>
      </c>
      <c r="H750" s="52" t="inlineStr">
        <is>
          <t>Technical ID</t>
        </is>
      </c>
      <c r="I750" s="52" t="inlineStr">
        <is>
          <t>Reference ID</t>
        </is>
      </c>
      <c r="J750" s="52" t="inlineStr">
        <is>
          <t>Resource Type</t>
        </is>
      </c>
    </row>
    <row r="751" ht="21.5" customHeight="1" s="125">
      <c r="A751" s="94" t="inlineStr">
        <is>
          <t>STA-000001</t>
        </is>
      </c>
      <c r="B751" s="94" t="inlineStr">
        <is>
          <t>Alabama</t>
        </is>
      </c>
      <c r="C751" s="94" t="inlineStr">
        <is>
          <t>AL</t>
        </is>
      </c>
      <c r="D751" s="94" t="n">
        <v>1</v>
      </c>
      <c r="E751" s="94" t="b">
        <v>1</v>
      </c>
      <c r="H751" s="65" t="inlineStr">
        <is>
          <t>TK000001</t>
        </is>
      </c>
      <c r="I751" s="65" t="inlineStr">
        <is>
          <t>GUIDE000001</t>
        </is>
      </c>
      <c r="J751" s="65" t="inlineStr">
        <is>
          <t>Repair Guide</t>
        </is>
      </c>
    </row>
    <row r="752" ht="21.5" customHeight="1" s="125">
      <c r="A752" s="94" t="inlineStr">
        <is>
          <t>STA-000002</t>
        </is>
      </c>
      <c r="B752" s="94" t="inlineStr">
        <is>
          <t>Alaska</t>
        </is>
      </c>
      <c r="C752" s="94" t="inlineStr">
        <is>
          <t>AK</t>
        </is>
      </c>
      <c r="D752" s="94" t="n">
        <v>2</v>
      </c>
      <c r="E752" s="94" t="b">
        <v>1</v>
      </c>
      <c r="H752" s="65" t="inlineStr">
        <is>
          <t>TK000002</t>
        </is>
      </c>
      <c r="I752" s="65" t="inlineStr">
        <is>
          <t>DOC000001</t>
        </is>
      </c>
      <c r="J752" s="65" t="inlineStr">
        <is>
          <t>PDF Manual</t>
        </is>
      </c>
    </row>
    <row r="753" ht="21.5" customHeight="1" s="125">
      <c r="A753" s="94" t="inlineStr">
        <is>
          <t>STA-000003</t>
        </is>
      </c>
      <c r="B753" s="94" t="inlineStr">
        <is>
          <t>Arizona</t>
        </is>
      </c>
      <c r="C753" s="94" t="inlineStr">
        <is>
          <t>AZ</t>
        </is>
      </c>
      <c r="D753" s="94" t="n">
        <v>3</v>
      </c>
      <c r="E753" s="94" t="b">
        <v>1</v>
      </c>
      <c r="H753" s="65" t="inlineStr">
        <is>
          <t>TK000003</t>
        </is>
      </c>
      <c r="I753" s="65" t="inlineStr">
        <is>
          <t>VID000001</t>
        </is>
      </c>
      <c r="J753" s="65" t="inlineStr">
        <is>
          <t>Training Video</t>
        </is>
      </c>
    </row>
    <row r="754" ht="21.5" customHeight="1" s="125">
      <c r="A754" s="94" t="inlineStr">
        <is>
          <t>STA-000004</t>
        </is>
      </c>
      <c r="B754" s="94" t="inlineStr">
        <is>
          <t>Arkansas</t>
        </is>
      </c>
      <c r="C754" s="94" t="inlineStr">
        <is>
          <t>AR</t>
        </is>
      </c>
      <c r="D754" s="94" t="n">
        <v>4</v>
      </c>
      <c r="E754" s="94" t="b">
        <v>1</v>
      </c>
      <c r="H754" s="65" t="inlineStr">
        <is>
          <t>TK000004</t>
        </is>
      </c>
      <c r="I754" s="65" t="inlineStr">
        <is>
          <t>LAB000001</t>
        </is>
      </c>
      <c r="J754" s="65" t="inlineStr">
        <is>
          <t>Labor Standard</t>
        </is>
      </c>
    </row>
    <row r="755" ht="21.5" customHeight="1" s="125">
      <c r="A755" s="94" t="inlineStr">
        <is>
          <t>STA-000005</t>
        </is>
      </c>
      <c r="B755" s="94" t="inlineStr">
        <is>
          <t>California</t>
        </is>
      </c>
      <c r="C755" s="94" t="inlineStr">
        <is>
          <t>CA</t>
        </is>
      </c>
      <c r="D755" s="94" t="n">
        <v>5</v>
      </c>
      <c r="E755" s="94" t="b">
        <v>1</v>
      </c>
      <c r="H755" s="65" t="inlineStr">
        <is>
          <t>TK000005</t>
        </is>
      </c>
      <c r="I755" s="65" t="inlineStr">
        <is>
          <t>NOTE000001</t>
        </is>
      </c>
      <c r="J755" s="65" t="inlineStr">
        <is>
          <t>Technician Note</t>
        </is>
      </c>
    </row>
    <row r="756" ht="21.5" customHeight="1" s="125">
      <c r="A756" s="94" t="inlineStr">
        <is>
          <t>STA-000006</t>
        </is>
      </c>
      <c r="B756" s="94" t="inlineStr">
        <is>
          <t>Colorado</t>
        </is>
      </c>
      <c r="C756" s="94" t="inlineStr">
        <is>
          <t>CO</t>
        </is>
      </c>
      <c r="D756" s="94" t="n">
        <v>6</v>
      </c>
      <c r="E756" s="94" t="b">
        <v>1</v>
      </c>
    </row>
    <row r="757" ht="21.5" customHeight="1" s="125">
      <c r="A757" s="94" t="inlineStr">
        <is>
          <t>STA-000007</t>
        </is>
      </c>
      <c r="B757" s="94" t="inlineStr">
        <is>
          <t>Connecticut</t>
        </is>
      </c>
      <c r="C757" s="94" t="inlineStr">
        <is>
          <t>CT</t>
        </is>
      </c>
      <c r="D757" s="94" t="n">
        <v>7</v>
      </c>
      <c r="E757" s="94" t="b">
        <v>1</v>
      </c>
    </row>
    <row r="758" ht="21.5" customHeight="1" s="125">
      <c r="A758" s="94" t="inlineStr">
        <is>
          <t>STA-000008</t>
        </is>
      </c>
      <c r="B758" s="94" t="inlineStr">
        <is>
          <t>Delaware</t>
        </is>
      </c>
      <c r="C758" s="94" t="inlineStr">
        <is>
          <t>DE</t>
        </is>
      </c>
      <c r="D758" s="94" t="n">
        <v>8</v>
      </c>
      <c r="E758" s="94" t="b">
        <v>1</v>
      </c>
    </row>
    <row r="759" ht="21.5" customHeight="1" s="125">
      <c r="A759" s="94" t="inlineStr">
        <is>
          <t>STA-000009</t>
        </is>
      </c>
      <c r="B759" s="94" t="inlineStr">
        <is>
          <t>Florida</t>
        </is>
      </c>
      <c r="C759" s="94" t="inlineStr">
        <is>
          <t>FL</t>
        </is>
      </c>
      <c r="D759" s="94" t="n">
        <v>9</v>
      </c>
      <c r="E759" s="94" t="b">
        <v>1</v>
      </c>
    </row>
    <row r="760" ht="21.5" customHeight="1" s="125">
      <c r="A760" s="94" t="inlineStr">
        <is>
          <t>STA-000010</t>
        </is>
      </c>
      <c r="B760" s="94" t="inlineStr">
        <is>
          <t>Georgia</t>
        </is>
      </c>
      <c r="C760" s="94" t="inlineStr">
        <is>
          <t>GA</t>
        </is>
      </c>
      <c r="D760" s="94" t="n">
        <v>10</v>
      </c>
      <c r="E760" s="94" t="b">
        <v>1</v>
      </c>
    </row>
    <row r="761" ht="21.5" customHeight="1" s="125">
      <c r="A761" s="94" t="inlineStr">
        <is>
          <t>STA-000011</t>
        </is>
      </c>
      <c r="B761" s="94" t="inlineStr">
        <is>
          <t>Hawaii</t>
        </is>
      </c>
      <c r="C761" s="94" t="inlineStr">
        <is>
          <t>HI</t>
        </is>
      </c>
      <c r="D761" s="94" t="n">
        <v>11</v>
      </c>
      <c r="E761" s="94" t="b">
        <v>1</v>
      </c>
    </row>
    <row r="762" ht="21.5" customHeight="1" s="125">
      <c r="A762" s="94" t="inlineStr">
        <is>
          <t>STA-000012</t>
        </is>
      </c>
      <c r="B762" s="94" t="inlineStr">
        <is>
          <t>Idaho</t>
        </is>
      </c>
      <c r="C762" s="94" t="inlineStr">
        <is>
          <t>ID</t>
        </is>
      </c>
      <c r="D762" s="94" t="n">
        <v>12</v>
      </c>
      <c r="E762" s="94" t="b">
        <v>1</v>
      </c>
    </row>
    <row r="763" ht="21.5" customHeight="1" s="125">
      <c r="A763" s="94" t="inlineStr">
        <is>
          <t>STA-000013</t>
        </is>
      </c>
      <c r="B763" s="94" t="inlineStr">
        <is>
          <t>Illinois</t>
        </is>
      </c>
      <c r="C763" s="94" t="inlineStr">
        <is>
          <t>IL</t>
        </is>
      </c>
      <c r="D763" s="94" t="n">
        <v>13</v>
      </c>
      <c r="E763" s="94" t="b">
        <v>1</v>
      </c>
    </row>
    <row r="764" ht="21.5" customHeight="1" s="125">
      <c r="A764" s="94" t="inlineStr">
        <is>
          <t>STA-000014</t>
        </is>
      </c>
      <c r="B764" s="94" t="inlineStr">
        <is>
          <t>Indiana</t>
        </is>
      </c>
      <c r="C764" s="94" t="inlineStr">
        <is>
          <t>IN</t>
        </is>
      </c>
      <c r="D764" s="94" t="n">
        <v>14</v>
      </c>
      <c r="E764" s="94" t="b">
        <v>1</v>
      </c>
    </row>
    <row r="765" ht="21.5" customHeight="1" s="125">
      <c r="A765" s="94" t="inlineStr">
        <is>
          <t>STA-000015</t>
        </is>
      </c>
      <c r="B765" s="94" t="inlineStr">
        <is>
          <t>Iowa</t>
        </is>
      </c>
      <c r="C765" s="94" t="inlineStr">
        <is>
          <t>IA</t>
        </is>
      </c>
      <c r="D765" s="94" t="n">
        <v>15</v>
      </c>
      <c r="E765" s="94" t="b">
        <v>1</v>
      </c>
    </row>
    <row r="766" ht="21.5" customHeight="1" s="125">
      <c r="A766" s="94" t="inlineStr">
        <is>
          <t>STA-000016</t>
        </is>
      </c>
      <c r="B766" s="94" t="inlineStr">
        <is>
          <t>Kansas</t>
        </is>
      </c>
      <c r="C766" s="94" t="inlineStr">
        <is>
          <t>KS</t>
        </is>
      </c>
      <c r="D766" s="94" t="n">
        <v>16</v>
      </c>
      <c r="E766" s="94" t="b">
        <v>1</v>
      </c>
    </row>
    <row r="767" ht="21.5" customHeight="1" s="125">
      <c r="A767" s="94" t="inlineStr">
        <is>
          <t>STA-000017</t>
        </is>
      </c>
      <c r="B767" s="94" t="inlineStr">
        <is>
          <t>Kentucky</t>
        </is>
      </c>
      <c r="C767" s="94" t="inlineStr">
        <is>
          <t>KY</t>
        </is>
      </c>
      <c r="D767" s="94" t="n">
        <v>17</v>
      </c>
      <c r="E767" s="94" t="b">
        <v>1</v>
      </c>
    </row>
    <row r="768" ht="21.5" customHeight="1" s="125">
      <c r="A768" s="94" t="inlineStr">
        <is>
          <t>STA-000018</t>
        </is>
      </c>
      <c r="B768" s="94" t="inlineStr">
        <is>
          <t>Louisiana</t>
        </is>
      </c>
      <c r="C768" s="94" t="inlineStr">
        <is>
          <t>LA</t>
        </is>
      </c>
      <c r="D768" s="94" t="n">
        <v>18</v>
      </c>
      <c r="E768" s="94" t="b">
        <v>1</v>
      </c>
    </row>
    <row r="769" ht="21.5" customHeight="1" s="125">
      <c r="A769" s="94" t="inlineStr">
        <is>
          <t>STA-000019</t>
        </is>
      </c>
      <c r="B769" s="94" t="inlineStr">
        <is>
          <t>Maine</t>
        </is>
      </c>
      <c r="C769" s="94" t="inlineStr">
        <is>
          <t>ME</t>
        </is>
      </c>
      <c r="D769" s="94" t="n">
        <v>19</v>
      </c>
      <c r="E769" s="94" t="b">
        <v>1</v>
      </c>
    </row>
    <row r="770" ht="21.5" customHeight="1" s="125">
      <c r="A770" s="94" t="inlineStr">
        <is>
          <t>STA-000020</t>
        </is>
      </c>
      <c r="B770" s="94" t="inlineStr">
        <is>
          <t>Maryland</t>
        </is>
      </c>
      <c r="C770" s="94" t="inlineStr">
        <is>
          <t>MD</t>
        </is>
      </c>
      <c r="D770" s="94" t="n">
        <v>20</v>
      </c>
      <c r="E770" s="94" t="b">
        <v>1</v>
      </c>
    </row>
    <row r="771" ht="21.5" customHeight="1" s="125">
      <c r="A771" s="94" t="inlineStr">
        <is>
          <t>STA-000021</t>
        </is>
      </c>
      <c r="B771" s="94" t="inlineStr">
        <is>
          <t>Massachusetts</t>
        </is>
      </c>
      <c r="C771" s="94" t="inlineStr">
        <is>
          <t>MA</t>
        </is>
      </c>
      <c r="D771" s="94" t="n">
        <v>21</v>
      </c>
      <c r="E771" s="94" t="b">
        <v>1</v>
      </c>
    </row>
    <row r="772" ht="21.5" customHeight="1" s="125">
      <c r="A772" s="94" t="inlineStr">
        <is>
          <t>STA-000022</t>
        </is>
      </c>
      <c r="B772" s="94" t="inlineStr">
        <is>
          <t>Michigan</t>
        </is>
      </c>
      <c r="C772" s="94" t="inlineStr">
        <is>
          <t>MI</t>
        </is>
      </c>
      <c r="D772" s="94" t="n">
        <v>22</v>
      </c>
      <c r="E772" s="94" t="b">
        <v>1</v>
      </c>
    </row>
    <row r="773" ht="21.5" customHeight="1" s="125">
      <c r="A773" s="94" t="inlineStr">
        <is>
          <t>STA-000023</t>
        </is>
      </c>
      <c r="B773" s="94" t="inlineStr">
        <is>
          <t>Minnesota</t>
        </is>
      </c>
      <c r="C773" s="94" t="inlineStr">
        <is>
          <t>MN</t>
        </is>
      </c>
      <c r="D773" s="94" t="n">
        <v>23</v>
      </c>
      <c r="E773" s="94" t="b">
        <v>1</v>
      </c>
    </row>
    <row r="774" ht="21.5" customHeight="1" s="125">
      <c r="A774" s="94" t="inlineStr">
        <is>
          <t>STA-000024</t>
        </is>
      </c>
      <c r="B774" s="94" t="inlineStr">
        <is>
          <t>Mississippi</t>
        </is>
      </c>
      <c r="C774" s="94" t="inlineStr">
        <is>
          <t>MS</t>
        </is>
      </c>
      <c r="D774" s="94" t="n">
        <v>24</v>
      </c>
      <c r="E774" s="94" t="b">
        <v>1</v>
      </c>
    </row>
    <row r="775" ht="21.5" customHeight="1" s="125">
      <c r="A775" s="94" t="inlineStr">
        <is>
          <t>STA-000025</t>
        </is>
      </c>
      <c r="B775" s="94" t="inlineStr">
        <is>
          <t>Missouri</t>
        </is>
      </c>
      <c r="C775" s="94" t="inlineStr">
        <is>
          <t>MO</t>
        </is>
      </c>
      <c r="D775" s="94" t="n">
        <v>25</v>
      </c>
      <c r="E775" s="94" t="b">
        <v>1</v>
      </c>
    </row>
    <row r="776" ht="21.5" customHeight="1" s="125">
      <c r="A776" s="94" t="inlineStr">
        <is>
          <t>STA-000026</t>
        </is>
      </c>
      <c r="B776" s="94" t="inlineStr">
        <is>
          <t>Montana</t>
        </is>
      </c>
      <c r="C776" s="94" t="inlineStr">
        <is>
          <t>MT</t>
        </is>
      </c>
      <c r="D776" s="94" t="n">
        <v>26</v>
      </c>
      <c r="E776" s="94" t="b">
        <v>1</v>
      </c>
    </row>
    <row r="777" ht="21.5" customHeight="1" s="125">
      <c r="A777" s="94" t="inlineStr">
        <is>
          <t>STA-000027</t>
        </is>
      </c>
      <c r="B777" s="94" t="inlineStr">
        <is>
          <t>Nebraska</t>
        </is>
      </c>
      <c r="C777" s="94" t="inlineStr">
        <is>
          <t>NE</t>
        </is>
      </c>
      <c r="D777" s="94" t="n">
        <v>27</v>
      </c>
      <c r="E777" s="94" t="b">
        <v>1</v>
      </c>
    </row>
    <row r="778" ht="21.5" customHeight="1" s="125">
      <c r="A778" s="94" t="inlineStr">
        <is>
          <t>STA-000028</t>
        </is>
      </c>
      <c r="B778" s="94" t="inlineStr">
        <is>
          <t>Nevada</t>
        </is>
      </c>
      <c r="C778" s="94" t="inlineStr">
        <is>
          <t>NV</t>
        </is>
      </c>
      <c r="D778" s="94" t="n">
        <v>28</v>
      </c>
      <c r="E778" s="94" t="b">
        <v>1</v>
      </c>
    </row>
    <row r="779" ht="21.5" customHeight="1" s="125">
      <c r="A779" s="94" t="inlineStr">
        <is>
          <t>STA-000029</t>
        </is>
      </c>
      <c r="B779" s="94" t="inlineStr">
        <is>
          <t>New Hampshire</t>
        </is>
      </c>
      <c r="C779" s="94" t="inlineStr">
        <is>
          <t>NH</t>
        </is>
      </c>
      <c r="D779" s="94" t="n">
        <v>29</v>
      </c>
      <c r="E779" s="94" t="b">
        <v>1</v>
      </c>
    </row>
    <row r="780" ht="21.5" customHeight="1" s="125">
      <c r="A780" s="94" t="inlineStr">
        <is>
          <t>STA-000030</t>
        </is>
      </c>
      <c r="B780" s="94" t="inlineStr">
        <is>
          <t>New Jersey</t>
        </is>
      </c>
      <c r="C780" s="94" t="inlineStr">
        <is>
          <t>NJ</t>
        </is>
      </c>
      <c r="D780" s="94" t="n">
        <v>30</v>
      </c>
      <c r="E780" s="94" t="b">
        <v>1</v>
      </c>
    </row>
    <row r="781" ht="21.5" customHeight="1" s="125">
      <c r="A781" s="94" t="inlineStr">
        <is>
          <t>STA-000031</t>
        </is>
      </c>
      <c r="B781" s="94" t="inlineStr">
        <is>
          <t>New Mexico</t>
        </is>
      </c>
      <c r="C781" s="94" t="inlineStr">
        <is>
          <t>NM</t>
        </is>
      </c>
      <c r="D781" s="94" t="n">
        <v>31</v>
      </c>
      <c r="E781" s="94" t="b">
        <v>1</v>
      </c>
    </row>
    <row r="782" ht="21.5" customHeight="1" s="125">
      <c r="A782" s="94" t="inlineStr">
        <is>
          <t>STA-000032</t>
        </is>
      </c>
      <c r="B782" s="94" t="inlineStr">
        <is>
          <t>New York</t>
        </is>
      </c>
      <c r="C782" s="94" t="inlineStr">
        <is>
          <t>NY</t>
        </is>
      </c>
      <c r="D782" s="94" t="n">
        <v>32</v>
      </c>
      <c r="E782" s="94" t="b">
        <v>1</v>
      </c>
    </row>
    <row r="783" ht="21.5" customHeight="1" s="125">
      <c r="A783" s="94" t="inlineStr">
        <is>
          <t>STA-000033</t>
        </is>
      </c>
      <c r="B783" s="94" t="inlineStr">
        <is>
          <t>North Carolina</t>
        </is>
      </c>
      <c r="C783" s="94" t="inlineStr">
        <is>
          <t>NC</t>
        </is>
      </c>
      <c r="D783" s="94" t="n">
        <v>33</v>
      </c>
      <c r="E783" s="94" t="b">
        <v>1</v>
      </c>
    </row>
    <row r="784" ht="21.5" customHeight="1" s="125">
      <c r="A784" s="94" t="inlineStr">
        <is>
          <t>STA-000034</t>
        </is>
      </c>
      <c r="B784" s="94" t="inlineStr">
        <is>
          <t>North Dakota</t>
        </is>
      </c>
      <c r="C784" s="94" t="inlineStr">
        <is>
          <t>ND</t>
        </is>
      </c>
      <c r="D784" s="94" t="n">
        <v>34</v>
      </c>
      <c r="E784" s="94" t="b">
        <v>1</v>
      </c>
    </row>
    <row r="785" ht="21.5" customHeight="1" s="125">
      <c r="A785" s="94" t="inlineStr">
        <is>
          <t>STA-000035</t>
        </is>
      </c>
      <c r="B785" s="94" t="inlineStr">
        <is>
          <t>Ohio</t>
        </is>
      </c>
      <c r="C785" s="94" t="inlineStr">
        <is>
          <t>OH</t>
        </is>
      </c>
      <c r="D785" s="94" t="n">
        <v>35</v>
      </c>
      <c r="E785" s="94" t="b">
        <v>1</v>
      </c>
    </row>
    <row r="786" ht="21.5" customHeight="1" s="125">
      <c r="A786" s="94" t="inlineStr">
        <is>
          <t>STA-000036</t>
        </is>
      </c>
      <c r="B786" s="94" t="inlineStr">
        <is>
          <t>Oklahoma</t>
        </is>
      </c>
      <c r="C786" s="94" t="inlineStr">
        <is>
          <t>OK</t>
        </is>
      </c>
      <c r="D786" s="94" t="n">
        <v>36</v>
      </c>
      <c r="E786" s="94" t="b">
        <v>1</v>
      </c>
    </row>
    <row r="787" ht="21.5" customHeight="1" s="125">
      <c r="A787" s="94" t="inlineStr">
        <is>
          <t>STA-000037</t>
        </is>
      </c>
      <c r="B787" s="94" t="inlineStr">
        <is>
          <t>Oregon</t>
        </is>
      </c>
      <c r="C787" s="94" t="inlineStr">
        <is>
          <t>OR</t>
        </is>
      </c>
      <c r="D787" s="94" t="n">
        <v>37</v>
      </c>
      <c r="E787" s="94" t="b">
        <v>1</v>
      </c>
    </row>
    <row r="788" ht="21.5" customHeight="1" s="125">
      <c r="A788" s="94" t="inlineStr">
        <is>
          <t>STA-000038</t>
        </is>
      </c>
      <c r="B788" s="94" t="inlineStr">
        <is>
          <t>Pennsylvania</t>
        </is>
      </c>
      <c r="C788" s="94" t="inlineStr">
        <is>
          <t>PA</t>
        </is>
      </c>
      <c r="D788" s="94" t="n">
        <v>38</v>
      </c>
      <c r="E788" s="94" t="b">
        <v>1</v>
      </c>
    </row>
    <row r="789" ht="21.5" customHeight="1" s="125">
      <c r="A789" s="94" t="inlineStr">
        <is>
          <t>STA-000039</t>
        </is>
      </c>
      <c r="B789" s="94" t="inlineStr">
        <is>
          <t>Rhode Island</t>
        </is>
      </c>
      <c r="C789" s="94" t="inlineStr">
        <is>
          <t>RI</t>
        </is>
      </c>
      <c r="D789" s="94" t="n">
        <v>39</v>
      </c>
      <c r="E789" s="94" t="b">
        <v>1</v>
      </c>
    </row>
    <row r="790" ht="21.5" customHeight="1" s="125">
      <c r="A790" s="94" t="inlineStr">
        <is>
          <t>STA-000040</t>
        </is>
      </c>
      <c r="B790" s="94" t="inlineStr">
        <is>
          <t>South Carolina</t>
        </is>
      </c>
      <c r="C790" s="94" t="inlineStr">
        <is>
          <t>SC</t>
        </is>
      </c>
      <c r="D790" s="94" t="n">
        <v>40</v>
      </c>
      <c r="E790" s="94" t="b">
        <v>1</v>
      </c>
    </row>
    <row r="791" ht="21.5" customHeight="1" s="125">
      <c r="A791" s="94" t="inlineStr">
        <is>
          <t>STA-000041</t>
        </is>
      </c>
      <c r="B791" s="94" t="inlineStr">
        <is>
          <t>South Dakota</t>
        </is>
      </c>
      <c r="C791" s="94" t="inlineStr">
        <is>
          <t>SD</t>
        </is>
      </c>
      <c r="D791" s="94" t="n">
        <v>41</v>
      </c>
      <c r="E791" s="94" t="b">
        <v>1</v>
      </c>
    </row>
    <row r="792" ht="21.5" customHeight="1" s="125">
      <c r="A792" s="94" t="inlineStr">
        <is>
          <t>STA-000042</t>
        </is>
      </c>
      <c r="B792" s="94" t="inlineStr">
        <is>
          <t>Tennessee</t>
        </is>
      </c>
      <c r="C792" s="94" t="inlineStr">
        <is>
          <t>TN</t>
        </is>
      </c>
      <c r="D792" s="94" t="n">
        <v>42</v>
      </c>
      <c r="E792" s="94" t="b">
        <v>1</v>
      </c>
    </row>
    <row r="793" ht="21.5" customHeight="1" s="125">
      <c r="A793" s="94" t="inlineStr">
        <is>
          <t>STA-000043</t>
        </is>
      </c>
      <c r="B793" s="94" t="inlineStr">
        <is>
          <t>Texas</t>
        </is>
      </c>
      <c r="C793" s="94" t="inlineStr">
        <is>
          <t>TX</t>
        </is>
      </c>
      <c r="D793" s="94" t="n">
        <v>43</v>
      </c>
      <c r="E793" s="94" t="b">
        <v>1</v>
      </c>
    </row>
    <row r="794" ht="21.5" customHeight="1" s="125">
      <c r="A794" s="94" t="inlineStr">
        <is>
          <t>STA-000044</t>
        </is>
      </c>
      <c r="B794" s="94" t="inlineStr">
        <is>
          <t>Utah</t>
        </is>
      </c>
      <c r="C794" s="94" t="inlineStr">
        <is>
          <t>UT</t>
        </is>
      </c>
      <c r="D794" s="94" t="n">
        <v>44</v>
      </c>
      <c r="E794" s="94" t="b">
        <v>1</v>
      </c>
    </row>
    <row r="795" ht="21.5" customHeight="1" s="125">
      <c r="A795" s="94" t="inlineStr">
        <is>
          <t>STA-000045</t>
        </is>
      </c>
      <c r="B795" s="94" t="inlineStr">
        <is>
          <t>Vermont</t>
        </is>
      </c>
      <c r="C795" s="94" t="inlineStr">
        <is>
          <t>VT</t>
        </is>
      </c>
      <c r="D795" s="94" t="n">
        <v>45</v>
      </c>
      <c r="E795" s="94" t="b">
        <v>1</v>
      </c>
    </row>
    <row r="796" ht="21.5" customHeight="1" s="125">
      <c r="A796" s="94" t="inlineStr">
        <is>
          <t>STA-000046</t>
        </is>
      </c>
      <c r="B796" s="94" t="inlineStr">
        <is>
          <t>Virginia</t>
        </is>
      </c>
      <c r="C796" s="94" t="inlineStr">
        <is>
          <t>VA</t>
        </is>
      </c>
      <c r="D796" s="94" t="n">
        <v>46</v>
      </c>
      <c r="E796" s="94" t="b">
        <v>1</v>
      </c>
    </row>
    <row r="797" ht="21.5" customHeight="1" s="125">
      <c r="A797" s="94" t="inlineStr">
        <is>
          <t>STA-000047</t>
        </is>
      </c>
      <c r="B797" s="94" t="inlineStr">
        <is>
          <t>Washington</t>
        </is>
      </c>
      <c r="C797" s="94" t="inlineStr">
        <is>
          <t>WA</t>
        </is>
      </c>
      <c r="D797" s="94" t="n">
        <v>47</v>
      </c>
      <c r="E797" s="94" t="b">
        <v>1</v>
      </c>
    </row>
    <row r="798" ht="21.5" customHeight="1" s="125">
      <c r="A798" s="94" t="inlineStr">
        <is>
          <t>STA-000048</t>
        </is>
      </c>
      <c r="B798" s="94" t="inlineStr">
        <is>
          <t>West Virginia</t>
        </is>
      </c>
      <c r="C798" s="94" t="inlineStr">
        <is>
          <t>WV</t>
        </is>
      </c>
      <c r="D798" s="94" t="n">
        <v>48</v>
      </c>
      <c r="E798" s="94" t="b">
        <v>1</v>
      </c>
    </row>
    <row r="799" ht="21.5" customHeight="1" s="125">
      <c r="A799" s="94" t="inlineStr">
        <is>
          <t>STA-000049</t>
        </is>
      </c>
      <c r="B799" s="94" t="inlineStr">
        <is>
          <t>Wisconsin</t>
        </is>
      </c>
      <c r="C799" s="94" t="inlineStr">
        <is>
          <t>WI</t>
        </is>
      </c>
      <c r="D799" s="94" t="n">
        <v>49</v>
      </c>
      <c r="E799" s="94" t="b">
        <v>1</v>
      </c>
    </row>
    <row r="800" ht="21.5" customHeight="1" s="125">
      <c r="A800" s="94" t="inlineStr">
        <is>
          <t>STA-000050</t>
        </is>
      </c>
      <c r="B800" s="94" t="inlineStr">
        <is>
          <t>Wyoming</t>
        </is>
      </c>
      <c r="C800" s="94" t="inlineStr">
        <is>
          <t>WY</t>
        </is>
      </c>
      <c r="D800" s="94" t="n">
        <v>50</v>
      </c>
      <c r="E800" s="94" t="b">
        <v>1</v>
      </c>
    </row>
    <row r="801" ht="21.5" customHeight="1" s="125">
      <c r="A801" s="94" t="inlineStr">
        <is>
          <t>STA-000051</t>
        </is>
      </c>
      <c r="B801" s="94" t="inlineStr">
        <is>
          <t>Alberta</t>
        </is>
      </c>
      <c r="C801" s="94" t="inlineStr">
        <is>
          <t>AB</t>
        </is>
      </c>
      <c r="D801" s="94" t="n">
        <v>51</v>
      </c>
      <c r="E801" s="94" t="b">
        <v>1</v>
      </c>
    </row>
    <row r="802" ht="21.5" customHeight="1" s="125">
      <c r="A802" s="94" t="inlineStr">
        <is>
          <t>STA-000052</t>
        </is>
      </c>
      <c r="B802" s="94" t="inlineStr">
        <is>
          <t>British Columbia</t>
        </is>
      </c>
      <c r="C802" s="94" t="inlineStr">
        <is>
          <t>BC</t>
        </is>
      </c>
      <c r="D802" s="94" t="n">
        <v>52</v>
      </c>
      <c r="E802" s="94" t="b">
        <v>1</v>
      </c>
    </row>
    <row r="803" ht="21.5" customHeight="1" s="125">
      <c r="A803" s="94" t="inlineStr">
        <is>
          <t>STA-000053</t>
        </is>
      </c>
      <c r="B803" s="94" t="inlineStr">
        <is>
          <t>Manitoba</t>
        </is>
      </c>
      <c r="C803" s="94" t="inlineStr">
        <is>
          <t>MB</t>
        </is>
      </c>
      <c r="D803" s="94" t="n">
        <v>53</v>
      </c>
      <c r="E803" s="94" t="b">
        <v>1</v>
      </c>
    </row>
    <row r="804" ht="21.5" customHeight="1" s="125">
      <c r="A804" s="94" t="inlineStr">
        <is>
          <t>STA-000054</t>
        </is>
      </c>
      <c r="B804" s="94" t="inlineStr">
        <is>
          <t>New Brunswick</t>
        </is>
      </c>
      <c r="C804" s="94" t="inlineStr">
        <is>
          <t>NB</t>
        </is>
      </c>
      <c r="D804" s="94" t="n">
        <v>54</v>
      </c>
      <c r="E804" s="94" t="b">
        <v>1</v>
      </c>
    </row>
    <row r="805" ht="21.5" customHeight="1" s="125">
      <c r="A805" s="94" t="inlineStr">
        <is>
          <t>STA-000055</t>
        </is>
      </c>
      <c r="B805" s="94" t="inlineStr">
        <is>
          <t>Newfoundland and Labrador</t>
        </is>
      </c>
      <c r="C805" s="94" t="inlineStr">
        <is>
          <t>NL</t>
        </is>
      </c>
      <c r="D805" s="94" t="n">
        <v>55</v>
      </c>
      <c r="E805" s="94" t="b">
        <v>1</v>
      </c>
    </row>
    <row r="806" ht="21.5" customHeight="1" s="125">
      <c r="A806" s="94" t="inlineStr">
        <is>
          <t>STA-000056</t>
        </is>
      </c>
      <c r="B806" s="94" t="inlineStr">
        <is>
          <t>Nova Scotia</t>
        </is>
      </c>
      <c r="C806" s="94" t="inlineStr">
        <is>
          <t>NS</t>
        </is>
      </c>
      <c r="D806" s="94" t="n">
        <v>56</v>
      </c>
      <c r="E806" s="94" t="b">
        <v>1</v>
      </c>
    </row>
    <row r="807" ht="21.5" customHeight="1" s="125">
      <c r="A807" s="94" t="inlineStr">
        <is>
          <t>STA-000057</t>
        </is>
      </c>
      <c r="B807" s="94" t="inlineStr">
        <is>
          <t>Ontario</t>
        </is>
      </c>
      <c r="C807" s="94" t="inlineStr">
        <is>
          <t>ON</t>
        </is>
      </c>
      <c r="D807" s="94" t="n">
        <v>57</v>
      </c>
      <c r="E807" s="94" t="b">
        <v>1</v>
      </c>
    </row>
    <row r="808" ht="21.5" customHeight="1" s="125">
      <c r="A808" s="94" t="inlineStr">
        <is>
          <t>STA-000058</t>
        </is>
      </c>
      <c r="B808" s="94" t="inlineStr">
        <is>
          <t>Prince Edward Island</t>
        </is>
      </c>
      <c r="C808" s="94" t="inlineStr">
        <is>
          <t>PE</t>
        </is>
      </c>
      <c r="D808" s="94" t="n">
        <v>58</v>
      </c>
      <c r="E808" s="94" t="b">
        <v>1</v>
      </c>
    </row>
    <row r="809" ht="21.5" customHeight="1" s="125">
      <c r="A809" s="94" t="inlineStr">
        <is>
          <t>STA-000059</t>
        </is>
      </c>
      <c r="B809" s="94" t="inlineStr">
        <is>
          <t>Quebec</t>
        </is>
      </c>
      <c r="C809" s="94" t="inlineStr">
        <is>
          <t>QC</t>
        </is>
      </c>
      <c r="D809" s="94" t="n">
        <v>59</v>
      </c>
      <c r="E809" s="94" t="b">
        <v>1</v>
      </c>
    </row>
    <row r="810" ht="21.5" customHeight="1" s="125">
      <c r="A810" s="94" t="inlineStr">
        <is>
          <t>STA-000060</t>
        </is>
      </c>
      <c r="B810" s="94" t="inlineStr">
        <is>
          <t>Saskatchewan</t>
        </is>
      </c>
      <c r="C810" s="94" t="inlineStr">
        <is>
          <t>SK</t>
        </is>
      </c>
      <c r="D810" s="94" t="n">
        <v>60</v>
      </c>
      <c r="E810" s="94" t="b">
        <v>1</v>
      </c>
    </row>
    <row r="812">
      <c r="A812" s="3" t="inlineStr">
        <is>
          <t>tblTimeZones</t>
        </is>
      </c>
    </row>
    <row r="813" ht="21.5" customHeight="1" s="125">
      <c r="A813" s="6" t="inlineStr">
        <is>
          <t>ID</t>
        </is>
      </c>
      <c r="B813" s="6" t="inlineStr">
        <is>
          <t>Name</t>
        </is>
      </c>
      <c r="C813" s="6" t="inlineStr">
        <is>
          <t>Description</t>
        </is>
      </c>
      <c r="D813" s="6" t="inlineStr">
        <is>
          <t>DisplayOrder</t>
        </is>
      </c>
      <c r="E813" s="6" t="inlineStr">
        <is>
          <t>Active</t>
        </is>
      </c>
    </row>
    <row r="814" ht="21.5" customHeight="1" s="125">
      <c r="A814" s="94" t="inlineStr">
        <is>
          <t>TMZ-000001</t>
        </is>
      </c>
      <c r="B814" s="94" t="inlineStr">
        <is>
          <t>Eastern</t>
        </is>
      </c>
      <c r="C814" s="94" t="inlineStr">
        <is>
          <t>America/New_York</t>
        </is>
      </c>
      <c r="D814" s="94" t="n">
        <v>1</v>
      </c>
      <c r="E814" s="94" t="b">
        <v>1</v>
      </c>
    </row>
    <row r="815" ht="21.5" customHeight="1" s="125">
      <c r="A815" s="94" t="inlineStr">
        <is>
          <t>TMZ-000002</t>
        </is>
      </c>
      <c r="B815" s="94" t="inlineStr">
        <is>
          <t>Central</t>
        </is>
      </c>
      <c r="C815" s="94" t="inlineStr">
        <is>
          <t>America/Chicago</t>
        </is>
      </c>
      <c r="D815" s="94" t="n">
        <v>2</v>
      </c>
      <c r="E815" s="94" t="b">
        <v>1</v>
      </c>
    </row>
    <row r="816" ht="21.5" customHeight="1" s="125">
      <c r="A816" s="94" t="inlineStr">
        <is>
          <t>TMZ-000003</t>
        </is>
      </c>
      <c r="B816" s="94" t="inlineStr">
        <is>
          <t>Mountain</t>
        </is>
      </c>
      <c r="C816" s="94" t="inlineStr">
        <is>
          <t>America/Denver</t>
        </is>
      </c>
      <c r="D816" s="94" t="n">
        <v>3</v>
      </c>
      <c r="E816" s="94" t="b">
        <v>1</v>
      </c>
    </row>
    <row r="817" ht="21.5" customHeight="1" s="125">
      <c r="A817" s="94" t="inlineStr">
        <is>
          <t>TMZ-000004</t>
        </is>
      </c>
      <c r="B817" s="94" t="inlineStr">
        <is>
          <t>Pacific</t>
        </is>
      </c>
      <c r="C817" s="94" t="inlineStr">
        <is>
          <t>America/Los_Angeles</t>
        </is>
      </c>
      <c r="D817" s="94" t="n">
        <v>4</v>
      </c>
      <c r="E817" s="94" t="b">
        <v>1</v>
      </c>
    </row>
    <row r="818" ht="21.5" customHeight="1" s="125">
      <c r="A818" s="94" t="inlineStr">
        <is>
          <t>TMZ-000005</t>
        </is>
      </c>
      <c r="B818" s="94" t="inlineStr">
        <is>
          <t>Alaska</t>
        </is>
      </c>
      <c r="C818" s="94" t="inlineStr">
        <is>
          <t>America/Anchorage</t>
        </is>
      </c>
      <c r="D818" s="94" t="n">
        <v>5</v>
      </c>
      <c r="E818" s="94" t="b">
        <v>1</v>
      </c>
    </row>
    <row r="819" ht="21.5" customHeight="1" s="125">
      <c r="A819" s="94" t="inlineStr">
        <is>
          <t>TMZ-000006</t>
        </is>
      </c>
      <c r="B819" s="94" t="inlineStr">
        <is>
          <t>Hawaii</t>
        </is>
      </c>
      <c r="C819" s="94" t="inlineStr">
        <is>
          <t>Pacific/Honolulu</t>
        </is>
      </c>
      <c r="D819" s="94" t="n">
        <v>6</v>
      </c>
      <c r="E819" s="94" t="b">
        <v>1</v>
      </c>
    </row>
  </sheetData>
  <mergeCells count="10">
    <mergeCell ref="A578:E578"/>
    <mergeCell ref="A352:E352"/>
    <mergeCell ref="A2:F2"/>
    <mergeCell ref="A701:E701"/>
    <mergeCell ref="A723:E723"/>
    <mergeCell ref="A13:F13"/>
    <mergeCell ref="A108:E108"/>
    <mergeCell ref="A634:E634"/>
    <mergeCell ref="A483:E483"/>
    <mergeCell ref="A603:E603"/>
  </mergeCells>
  <dataValidations count="2">
    <dataValidation sqref="B18:B73" showDropDown="0" showInputMessage="1" showErrorMessage="1" allowBlank="1" type="list">
      <formula1>LookupGroupIDs</formula1>
    </dataValidation>
    <dataValidation sqref="I112:I745" showDropDown="0" showInputMessage="1" showErrorMessage="1" allowBlank="1" type="list">
      <formula1>$A$127:$A$146</formula1>
    </dataValidation>
  </dataValidations>
  <hyperlinks>
    <hyperlink ref="A1" location="'TOC - Table of Contents'!A5" display="⬅ Return to Table of Contents"/>
  </hyperlinks>
  <pageMargins left="0.7" right="0.7" top="0.75" bottom="0.75" header="0.3" footer="0.3"/>
  <pageSetup orientation="portrait" horizontalDpi="4294967293" verticalDpi="0"/>
  <tableParts count="57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  <tablePart xmlns:r="http://schemas.openxmlformats.org/officeDocument/2006/relationships" r:id="rId7"/>
    <tablePart xmlns:r="http://schemas.openxmlformats.org/officeDocument/2006/relationships" r:id="rId8"/>
    <tablePart xmlns:r="http://schemas.openxmlformats.org/officeDocument/2006/relationships" r:id="rId9"/>
    <tablePart xmlns:r="http://schemas.openxmlformats.org/officeDocument/2006/relationships" r:id="rId10"/>
    <tablePart xmlns:r="http://schemas.openxmlformats.org/officeDocument/2006/relationships" r:id="rId11"/>
    <tablePart xmlns:r="http://schemas.openxmlformats.org/officeDocument/2006/relationships" r:id="rId12"/>
    <tablePart xmlns:r="http://schemas.openxmlformats.org/officeDocument/2006/relationships" r:id="rId13"/>
    <tablePart xmlns:r="http://schemas.openxmlformats.org/officeDocument/2006/relationships" r:id="rId14"/>
    <tablePart xmlns:r="http://schemas.openxmlformats.org/officeDocument/2006/relationships" r:id="rId15"/>
    <tablePart xmlns:r="http://schemas.openxmlformats.org/officeDocument/2006/relationships" r:id="rId16"/>
    <tablePart xmlns:r="http://schemas.openxmlformats.org/officeDocument/2006/relationships" r:id="rId17"/>
    <tablePart xmlns:r="http://schemas.openxmlformats.org/officeDocument/2006/relationships" r:id="rId18"/>
    <tablePart xmlns:r="http://schemas.openxmlformats.org/officeDocument/2006/relationships" r:id="rId19"/>
    <tablePart xmlns:r="http://schemas.openxmlformats.org/officeDocument/2006/relationships" r:id="rId20"/>
    <tablePart xmlns:r="http://schemas.openxmlformats.org/officeDocument/2006/relationships" r:id="rId21"/>
    <tablePart xmlns:r="http://schemas.openxmlformats.org/officeDocument/2006/relationships" r:id="rId22"/>
    <tablePart xmlns:r="http://schemas.openxmlformats.org/officeDocument/2006/relationships" r:id="rId23"/>
    <tablePart xmlns:r="http://schemas.openxmlformats.org/officeDocument/2006/relationships" r:id="rId24"/>
    <tablePart xmlns:r="http://schemas.openxmlformats.org/officeDocument/2006/relationships" r:id="rId25"/>
    <tablePart xmlns:r="http://schemas.openxmlformats.org/officeDocument/2006/relationships" r:id="rId26"/>
    <tablePart xmlns:r="http://schemas.openxmlformats.org/officeDocument/2006/relationships" r:id="rId27"/>
    <tablePart xmlns:r="http://schemas.openxmlformats.org/officeDocument/2006/relationships" r:id="rId28"/>
    <tablePart xmlns:r="http://schemas.openxmlformats.org/officeDocument/2006/relationships" r:id="rId29"/>
    <tablePart xmlns:r="http://schemas.openxmlformats.org/officeDocument/2006/relationships" r:id="rId30"/>
    <tablePart xmlns:r="http://schemas.openxmlformats.org/officeDocument/2006/relationships" r:id="rId31"/>
    <tablePart xmlns:r="http://schemas.openxmlformats.org/officeDocument/2006/relationships" r:id="rId32"/>
    <tablePart xmlns:r="http://schemas.openxmlformats.org/officeDocument/2006/relationships" r:id="rId33"/>
    <tablePart xmlns:r="http://schemas.openxmlformats.org/officeDocument/2006/relationships" r:id="rId34"/>
    <tablePart xmlns:r="http://schemas.openxmlformats.org/officeDocument/2006/relationships" r:id="rId35"/>
    <tablePart xmlns:r="http://schemas.openxmlformats.org/officeDocument/2006/relationships" r:id="rId36"/>
    <tablePart xmlns:r="http://schemas.openxmlformats.org/officeDocument/2006/relationships" r:id="rId37"/>
    <tablePart xmlns:r="http://schemas.openxmlformats.org/officeDocument/2006/relationships" r:id="rId38"/>
    <tablePart xmlns:r="http://schemas.openxmlformats.org/officeDocument/2006/relationships" r:id="rId39"/>
    <tablePart xmlns:r="http://schemas.openxmlformats.org/officeDocument/2006/relationships" r:id="rId40"/>
    <tablePart xmlns:r="http://schemas.openxmlformats.org/officeDocument/2006/relationships" r:id="rId41"/>
    <tablePart xmlns:r="http://schemas.openxmlformats.org/officeDocument/2006/relationships" r:id="rId42"/>
    <tablePart xmlns:r="http://schemas.openxmlformats.org/officeDocument/2006/relationships" r:id="rId43"/>
    <tablePart xmlns:r="http://schemas.openxmlformats.org/officeDocument/2006/relationships" r:id="rId44"/>
    <tablePart xmlns:r="http://schemas.openxmlformats.org/officeDocument/2006/relationships" r:id="rId45"/>
    <tablePart xmlns:r="http://schemas.openxmlformats.org/officeDocument/2006/relationships" r:id="rId46"/>
    <tablePart xmlns:r="http://schemas.openxmlformats.org/officeDocument/2006/relationships" r:id="rId47"/>
    <tablePart xmlns:r="http://schemas.openxmlformats.org/officeDocument/2006/relationships" r:id="rId48"/>
    <tablePart xmlns:r="http://schemas.openxmlformats.org/officeDocument/2006/relationships" r:id="rId49"/>
    <tablePart xmlns:r="http://schemas.openxmlformats.org/officeDocument/2006/relationships" r:id="rId50"/>
    <tablePart xmlns:r="http://schemas.openxmlformats.org/officeDocument/2006/relationships" r:id="rId51"/>
    <tablePart xmlns:r="http://schemas.openxmlformats.org/officeDocument/2006/relationships" r:id="rId52"/>
    <tablePart xmlns:r="http://schemas.openxmlformats.org/officeDocument/2006/relationships" r:id="rId53"/>
    <tablePart xmlns:r="http://schemas.openxmlformats.org/officeDocument/2006/relationships" r:id="rId54"/>
    <tablePart xmlns:r="http://schemas.openxmlformats.org/officeDocument/2006/relationships" r:id="rId55"/>
    <tablePart xmlns:r="http://schemas.openxmlformats.org/officeDocument/2006/relationships" r:id="rId56"/>
    <tablePart xmlns:r="http://schemas.openxmlformats.org/officeDocument/2006/relationships" r:id="rId57"/>
  </tableParts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t="inlineStr">
        <is>
          <t>#DIVIDERPAGE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14D8C4"/>
    <outlinePr summaryBelow="1" summaryRight="1"/>
    <pageSetUpPr/>
  </sheetPr>
  <dimension ref="A1:Q22"/>
  <sheetViews>
    <sheetView workbookViewId="0">
      <selection activeCell="N13" sqref="N13"/>
    </sheetView>
  </sheetViews>
  <sheetFormatPr baseColWidth="8" defaultRowHeight="14.5"/>
  <cols>
    <col width="29.7265625" customWidth="1" style="125" min="1" max="1"/>
    <col width="18.08984375" customWidth="1" style="125" min="2" max="2"/>
    <col width="13.36328125" customWidth="1" style="125" min="3" max="3"/>
    <col width="18.54296875" customWidth="1" style="125" min="4" max="4"/>
    <col width="21.6328125" bestFit="1" customWidth="1" style="125" min="5" max="5"/>
    <col width="24.81640625" bestFit="1" customWidth="1" style="125" min="6" max="6"/>
    <col width="16.1796875" customWidth="1" style="125" min="7" max="7"/>
    <col width="15.6328125" customWidth="1" style="125" min="8" max="8"/>
    <col width="14.54296875" customWidth="1" style="125" min="9" max="9"/>
    <col width="20.6328125" customWidth="1" style="125" min="10" max="10"/>
    <col width="17.08984375" customWidth="1" style="125" min="11" max="11"/>
    <col width="20.1796875" customWidth="1" style="125" min="12" max="12"/>
    <col width="14.26953125" customWidth="1" style="125" min="13" max="13"/>
    <col width="8.90625" customWidth="1" style="125" min="14" max="14"/>
    <col width="16.453125" customWidth="1" style="125" min="15" max="15"/>
    <col width="15.90625" customWidth="1" style="125" min="16" max="16"/>
  </cols>
  <sheetData>
    <row r="1">
      <c r="A1" s="2" t="inlineStr">
        <is>
          <t>⬅ Return to Table of Contents</t>
        </is>
      </c>
    </row>
    <row r="3">
      <c r="A3" t="inlineStr">
        <is>
          <t>tblCustomers</t>
        </is>
      </c>
    </row>
    <row r="4" ht="21.5" customHeight="1" s="125">
      <c r="A4" s="94" t="inlineStr">
        <is>
          <t>Customer ID</t>
        </is>
      </c>
      <c r="B4" s="94" t="inlineStr">
        <is>
          <t>Customer Type</t>
        </is>
      </c>
      <c r="C4" s="94" t="inlineStr">
        <is>
          <t>First Name</t>
        </is>
      </c>
      <c r="D4" s="94" t="inlineStr">
        <is>
          <t>Last Name</t>
        </is>
      </c>
      <c r="E4" s="94" t="inlineStr">
        <is>
          <t>Business Name</t>
        </is>
      </c>
      <c r="F4" s="94" t="inlineStr">
        <is>
          <t>Email</t>
        </is>
      </c>
      <c r="G4" s="94" t="inlineStr">
        <is>
          <t>Mobile Phone</t>
        </is>
      </c>
      <c r="H4" s="94" t="inlineStr">
        <is>
          <t>Home Phone</t>
        </is>
      </c>
      <c r="I4" s="94" t="inlineStr">
        <is>
          <t>Work Phone</t>
        </is>
      </c>
      <c r="J4" s="94" t="inlineStr">
        <is>
          <t>Preferred Contact</t>
        </is>
      </c>
      <c r="K4" s="94" t="inlineStr">
        <is>
          <t>Billing Address</t>
        </is>
      </c>
      <c r="L4" s="94" t="inlineStr">
        <is>
          <t>Shipping Address</t>
        </is>
      </c>
      <c r="M4" s="94" t="inlineStr">
        <is>
          <t>Tax Exempt</t>
        </is>
      </c>
      <c r="N4" s="94" t="inlineStr">
        <is>
          <t>Active</t>
        </is>
      </c>
      <c r="O4" s="94" t="inlineStr">
        <is>
          <t>Date Created</t>
        </is>
      </c>
      <c r="P4" s="94" t="inlineStr">
        <is>
          <t>Last Modified</t>
        </is>
      </c>
      <c r="Q4" s="94" t="inlineStr">
        <is>
          <t>Notes</t>
        </is>
      </c>
    </row>
    <row r="5" ht="21.5" customHeight="1" s="125">
      <c r="A5" s="65" t="inlineStr">
        <is>
          <t>CUS000001</t>
        </is>
      </c>
      <c r="B5" s="65" t="inlineStr">
        <is>
          <t>Residential</t>
        </is>
      </c>
      <c r="C5" s="65" t="inlineStr">
        <is>
          <t>Michael</t>
        </is>
      </c>
      <c r="D5" s="65" t="inlineStr">
        <is>
          <t>Johnson</t>
        </is>
      </c>
      <c r="E5" s="57" t="n"/>
      <c r="F5" s="93" t="inlineStr">
        <is>
          <t>michael.johnson@email.com</t>
        </is>
      </c>
      <c r="G5" s="65" t="inlineStr">
        <is>
          <t>(802) 555-0101</t>
        </is>
      </c>
      <c r="H5" s="94" t="n"/>
      <c r="I5" s="94" t="n"/>
      <c r="J5" s="94" t="n"/>
      <c r="K5" s="94" t="n"/>
      <c r="L5" s="94" t="n"/>
      <c r="M5" s="94" t="b">
        <v>0</v>
      </c>
      <c r="N5" s="94" t="b">
        <v>1</v>
      </c>
      <c r="O5" s="94" t="n"/>
      <c r="P5" s="94" t="n"/>
      <c r="Q5" s="94" t="n"/>
    </row>
    <row r="6" ht="21.5" customHeight="1" s="125">
      <c r="A6" s="65" t="inlineStr">
        <is>
          <t>CUS000002</t>
        </is>
      </c>
      <c r="B6" s="65" t="inlineStr">
        <is>
          <t>Residential</t>
        </is>
      </c>
      <c r="C6" s="65" t="inlineStr">
        <is>
          <t>Sarah</t>
        </is>
      </c>
      <c r="D6" s="65" t="inlineStr">
        <is>
          <t>Miller</t>
        </is>
      </c>
      <c r="E6" s="57" t="n"/>
      <c r="F6" s="93" t="inlineStr">
        <is>
          <t>sarah.miller@email.com</t>
        </is>
      </c>
      <c r="G6" s="65" t="inlineStr">
        <is>
          <t>(802) 555-0102</t>
        </is>
      </c>
      <c r="H6" s="94" t="n"/>
      <c r="I6" s="94" t="n"/>
      <c r="J6" s="94" t="n"/>
      <c r="K6" s="94" t="n"/>
      <c r="L6" s="94" t="n"/>
      <c r="M6" s="94" t="b">
        <v>0</v>
      </c>
      <c r="N6" s="94" t="b">
        <v>1</v>
      </c>
      <c r="O6" s="94" t="n"/>
      <c r="P6" s="94" t="n"/>
      <c r="Q6" s="94" t="n"/>
    </row>
    <row r="7" ht="21.5" customHeight="1" s="125">
      <c r="A7" s="65" t="inlineStr">
        <is>
          <t>CUS000003</t>
        </is>
      </c>
      <c r="B7" s="65" t="inlineStr">
        <is>
          <t>Residential</t>
        </is>
      </c>
      <c r="C7" s="65" t="inlineStr">
        <is>
          <t>David</t>
        </is>
      </c>
      <c r="D7" s="65" t="inlineStr">
        <is>
          <t>Thompson</t>
        </is>
      </c>
      <c r="E7" s="57" t="n"/>
      <c r="F7" s="93" t="inlineStr">
        <is>
          <t>david.thompson@email.com</t>
        </is>
      </c>
      <c r="G7" s="65" t="inlineStr">
        <is>
          <t>(802) 555-0103</t>
        </is>
      </c>
      <c r="H7" s="94" t="n"/>
      <c r="I7" s="94" t="n"/>
      <c r="J7" s="94" t="n"/>
      <c r="K7" s="94" t="n"/>
      <c r="L7" s="94" t="n"/>
      <c r="M7" s="94" t="b">
        <v>0</v>
      </c>
      <c r="N7" s="94" t="b">
        <v>1</v>
      </c>
      <c r="O7" s="94" t="n"/>
      <c r="P7" s="94" t="n"/>
      <c r="Q7" s="94" t="n"/>
    </row>
    <row r="8" ht="21.5" customHeight="1" s="125">
      <c r="A8" s="65" t="inlineStr">
        <is>
          <t>CUS000004</t>
        </is>
      </c>
      <c r="B8" s="65" t="inlineStr">
        <is>
          <t>Residential</t>
        </is>
      </c>
      <c r="C8" s="65" t="inlineStr">
        <is>
          <t>Jennifer</t>
        </is>
      </c>
      <c r="D8" s="65" t="inlineStr">
        <is>
          <t>Adams</t>
        </is>
      </c>
      <c r="E8" s="57" t="n"/>
      <c r="F8" s="93" t="inlineStr">
        <is>
          <t>jennifer.adams@email.com</t>
        </is>
      </c>
      <c r="G8" s="65" t="inlineStr">
        <is>
          <t>(802) 555-0104</t>
        </is>
      </c>
      <c r="H8" s="94" t="n"/>
      <c r="I8" s="94" t="n"/>
      <c r="J8" s="94" t="n"/>
      <c r="K8" s="94" t="n"/>
      <c r="L8" s="94" t="n"/>
      <c r="M8" s="94" t="b">
        <v>0</v>
      </c>
      <c r="N8" s="94" t="b">
        <v>1</v>
      </c>
      <c r="O8" s="94" t="n"/>
      <c r="P8" s="94" t="n"/>
      <c r="Q8" s="94" t="n"/>
    </row>
    <row r="9" ht="21.5" customHeight="1" s="125">
      <c r="A9" s="65" t="inlineStr">
        <is>
          <t>CUS000005</t>
        </is>
      </c>
      <c r="B9" s="65" t="inlineStr">
        <is>
          <t>Residential</t>
        </is>
      </c>
      <c r="C9" s="65" t="inlineStr">
        <is>
          <t>Christopher</t>
        </is>
      </c>
      <c r="D9" s="65" t="inlineStr">
        <is>
          <t>Wilson</t>
        </is>
      </c>
      <c r="E9" s="57" t="n"/>
      <c r="F9" s="93" t="inlineStr">
        <is>
          <t>chris.wilson@email.com</t>
        </is>
      </c>
      <c r="G9" s="65" t="inlineStr">
        <is>
          <t>(802) 555-0105</t>
        </is>
      </c>
      <c r="H9" s="94" t="n"/>
      <c r="I9" s="94" t="n"/>
      <c r="J9" s="94" t="n"/>
      <c r="K9" s="94" t="n"/>
      <c r="L9" s="94" t="n"/>
      <c r="M9" s="94" t="b">
        <v>0</v>
      </c>
      <c r="N9" s="94" t="b">
        <v>1</v>
      </c>
      <c r="O9" s="94" t="n"/>
      <c r="P9" s="94" t="n"/>
      <c r="Q9" s="94" t="n"/>
    </row>
    <row r="10" ht="29" customHeight="1" s="125">
      <c r="A10" s="65" t="inlineStr">
        <is>
          <t>CUS000006</t>
        </is>
      </c>
      <c r="B10" s="65" t="inlineStr">
        <is>
          <t>Business</t>
        </is>
      </c>
      <c r="C10" s="65" t="inlineStr">
        <is>
          <t>Green Mountain Tech</t>
        </is>
      </c>
      <c r="D10" s="65" t="n"/>
      <c r="E10" s="57" t="inlineStr">
        <is>
          <t>Green Mountain Tech LLC</t>
        </is>
      </c>
      <c r="F10" s="93" t="inlineStr">
        <is>
          <t>service@gmtech.com</t>
        </is>
      </c>
      <c r="G10" s="65" t="inlineStr">
        <is>
          <t>(802) 555-0201</t>
        </is>
      </c>
      <c r="H10" s="94" t="n"/>
      <c r="I10" s="94" t="n"/>
      <c r="J10" s="94" t="n"/>
      <c r="K10" s="94" t="n"/>
      <c r="L10" s="94" t="n"/>
      <c r="M10" s="94" t="b">
        <v>0</v>
      </c>
      <c r="N10" s="94" t="b">
        <v>1</v>
      </c>
      <c r="O10" s="94" t="n"/>
      <c r="P10" s="94" t="n"/>
      <c r="Q10" s="94" t="n"/>
    </row>
    <row r="11" ht="21.5" customHeight="1" s="125">
      <c r="A11" s="65" t="inlineStr">
        <is>
          <t>CUS000007</t>
        </is>
      </c>
      <c r="B11" s="65" t="inlineStr">
        <is>
          <t>Business</t>
        </is>
      </c>
      <c r="C11" s="65" t="inlineStr">
        <is>
          <t>Emily</t>
        </is>
      </c>
      <c r="D11" s="65" t="inlineStr">
        <is>
          <t>Carter</t>
        </is>
      </c>
      <c r="E11" s="57" t="inlineStr">
        <is>
          <t>Carter Photography</t>
        </is>
      </c>
      <c r="F11" s="93" t="inlineStr">
        <is>
          <t>emily@carterphoto.com</t>
        </is>
      </c>
      <c r="G11" s="65" t="inlineStr">
        <is>
          <t>(802) 555-0202</t>
        </is>
      </c>
      <c r="H11" s="94" t="n"/>
      <c r="I11" s="94" t="n"/>
      <c r="J11" s="94" t="n"/>
      <c r="K11" s="94" t="n"/>
      <c r="L11" s="94" t="n"/>
      <c r="M11" s="94" t="b">
        <v>0</v>
      </c>
      <c r="N11" s="94" t="b">
        <v>1</v>
      </c>
      <c r="O11" s="94" t="n"/>
      <c r="P11" s="94" t="n"/>
      <c r="Q11" s="94" t="n"/>
    </row>
    <row r="12" ht="21.5" customHeight="1" s="125">
      <c r="A12" s="65" t="inlineStr">
        <is>
          <t>CUS000008</t>
        </is>
      </c>
      <c r="B12" s="65" t="inlineStr">
        <is>
          <t>Business</t>
        </is>
      </c>
      <c r="C12" s="65" t="inlineStr">
        <is>
          <t>Robert</t>
        </is>
      </c>
      <c r="D12" s="65" t="inlineStr">
        <is>
          <t>Harris</t>
        </is>
      </c>
      <c r="E12" s="57" t="inlineStr">
        <is>
          <t>Harris Construction</t>
        </is>
      </c>
      <c r="F12" s="93" t="inlineStr">
        <is>
          <t>office@harrisbuild.com</t>
        </is>
      </c>
      <c r="G12" s="65" t="inlineStr">
        <is>
          <t>(802) 555-0203</t>
        </is>
      </c>
      <c r="H12" s="94" t="n"/>
      <c r="I12" s="94" t="n"/>
      <c r="J12" s="94" t="n"/>
      <c r="K12" s="94" t="n"/>
      <c r="L12" s="94" t="n"/>
      <c r="M12" s="94" t="b">
        <v>0</v>
      </c>
      <c r="N12" s="94" t="b">
        <v>1</v>
      </c>
      <c r="O12" s="94" t="n"/>
      <c r="P12" s="94" t="n"/>
      <c r="Q12" s="94" t="n"/>
    </row>
    <row r="13" ht="21.5" customHeight="1" s="125">
      <c r="A13" s="65" t="inlineStr">
        <is>
          <t>CUS000009</t>
        </is>
      </c>
      <c r="B13" s="65" t="inlineStr">
        <is>
          <t>Residential</t>
        </is>
      </c>
      <c r="C13" s="65" t="inlineStr">
        <is>
          <t>Amanda</t>
        </is>
      </c>
      <c r="D13" s="65" t="inlineStr">
        <is>
          <t>Brooks</t>
        </is>
      </c>
      <c r="E13" s="57" t="n"/>
      <c r="F13" s="93" t="inlineStr">
        <is>
          <t>amanda.brooks@email.com</t>
        </is>
      </c>
      <c r="G13" s="65" t="inlineStr">
        <is>
          <t>(802) 555-0109</t>
        </is>
      </c>
      <c r="H13" s="94" t="n"/>
      <c r="I13" s="94" t="n"/>
      <c r="J13" s="94" t="n"/>
      <c r="K13" s="94" t="n"/>
      <c r="L13" s="94" t="n"/>
      <c r="M13" s="94" t="b">
        <v>0</v>
      </c>
      <c r="N13" s="94" t="b">
        <v>1</v>
      </c>
      <c r="O13" s="94" t="n"/>
      <c r="P13" s="94" t="n"/>
      <c r="Q13" s="94" t="n"/>
    </row>
    <row r="14">
      <c r="A14" s="65" t="inlineStr">
        <is>
          <t>CUS000010</t>
        </is>
      </c>
      <c r="B14" s="65" t="inlineStr">
        <is>
          <t>Business</t>
        </is>
      </c>
      <c r="C14" s="65" t="inlineStr">
        <is>
          <t>Daniel</t>
        </is>
      </c>
      <c r="D14" s="65" t="inlineStr">
        <is>
          <t>Foster</t>
        </is>
      </c>
      <c r="E14" s="57" t="inlineStr">
        <is>
          <t>Foster Consulting</t>
        </is>
      </c>
      <c r="F14" s="93" t="inlineStr">
        <is>
          <t>daniel@fosterconsulting.com</t>
        </is>
      </c>
      <c r="G14" s="65" t="inlineStr">
        <is>
          <t>(802) 555-0204</t>
        </is>
      </c>
    </row>
    <row r="15" ht="21.5" customHeight="1" s="125">
      <c r="A15" s="16" t="n">
        <v>1000</v>
      </c>
      <c r="B15" s="16" t="inlineStr">
        <is>
          <t>Individual</t>
        </is>
      </c>
      <c r="C15" s="40" t="inlineStr">
        <is>
          <t>TESTING</t>
        </is>
      </c>
      <c r="D15" s="16" t="inlineStr"/>
      <c r="F15" t="inlineStr">
        <is>
          <t>brownrebel40@gmail.com</t>
        </is>
      </c>
      <c r="G15" t="inlineStr">
        <is>
          <t>888888888</t>
        </is>
      </c>
      <c r="J15" t="inlineStr">
        <is>
          <t>Mobile Phone</t>
        </is>
      </c>
      <c r="M15" t="b">
        <v>0</v>
      </c>
      <c r="N15" t="b">
        <v>1</v>
      </c>
      <c r="O15" s="132" t="n">
        <v>46242.70849546296</v>
      </c>
      <c r="P15" s="132" t="n">
        <v>46242.70849546296</v>
      </c>
      <c r="Q15" t="inlineStr">
        <is>
          <t>Created through Business Portal repair intake.</t>
        </is>
      </c>
    </row>
    <row r="16" ht="21.5" customHeight="1" s="125">
      <c r="A16" s="16" t="n"/>
      <c r="B16" s="16" t="n"/>
      <c r="C16" s="40" t="n"/>
      <c r="D16" s="16" t="n"/>
    </row>
    <row r="17" ht="21.5" customHeight="1" s="125">
      <c r="A17" s="16" t="n"/>
      <c r="B17" s="16" t="n"/>
      <c r="C17" s="40" t="n"/>
      <c r="D17" s="16" t="n"/>
    </row>
    <row r="18" ht="21.5" customHeight="1" s="125">
      <c r="A18" s="16" t="n"/>
      <c r="B18" s="16" t="n"/>
      <c r="C18" s="40" t="n"/>
      <c r="D18" s="16" t="n"/>
    </row>
    <row r="19" ht="21.5" customHeight="1" s="125">
      <c r="A19" s="16" t="n"/>
      <c r="B19" s="16" t="n"/>
      <c r="C19" s="40" t="n"/>
      <c r="D19" s="16" t="n"/>
    </row>
    <row r="20" ht="21.5" customHeight="1" s="125">
      <c r="A20" s="16" t="n"/>
      <c r="B20" s="16" t="n"/>
      <c r="C20" s="40" t="n"/>
      <c r="D20" s="16" t="n"/>
    </row>
    <row r="21" ht="21.5" customHeight="1" s="125">
      <c r="A21" s="16" t="n"/>
      <c r="B21" s="16" t="n"/>
      <c r="C21" s="40" t="n"/>
      <c r="D21" s="16" t="n"/>
    </row>
    <row r="22" ht="21.5" customHeight="1" s="125">
      <c r="A22" s="16" t="n"/>
      <c r="B22" s="16" t="n"/>
      <c r="C22" s="40" t="n"/>
      <c r="D22" s="16" t="n"/>
    </row>
  </sheetData>
  <hyperlinks>
    <hyperlink ref="A1" location="'TOC - Table of Contents'!A5" display="⬅ Return to Table of Contents"/>
    <hyperlink xmlns:r="http://schemas.openxmlformats.org/officeDocument/2006/relationships" ref="F5" display="mailto:michael.johnson@email.com" r:id="rId1"/>
    <hyperlink xmlns:r="http://schemas.openxmlformats.org/officeDocument/2006/relationships" ref="F6" display="mailto:sarah.miller@email.com" r:id="rId2"/>
    <hyperlink xmlns:r="http://schemas.openxmlformats.org/officeDocument/2006/relationships" ref="F7" display="mailto:david.thompson@email.com" r:id="rId3"/>
    <hyperlink xmlns:r="http://schemas.openxmlformats.org/officeDocument/2006/relationships" ref="F8" display="mailto:jennifer.adams@email.com" r:id="rId4"/>
    <hyperlink xmlns:r="http://schemas.openxmlformats.org/officeDocument/2006/relationships" ref="F9" display="mailto:chris.wilson@email.com" r:id="rId5"/>
    <hyperlink xmlns:r="http://schemas.openxmlformats.org/officeDocument/2006/relationships" ref="F10" display="mailto:service@gmtech.com" r:id="rId6"/>
    <hyperlink xmlns:r="http://schemas.openxmlformats.org/officeDocument/2006/relationships" ref="F11" display="mailto:emily@carterphoto.com" r:id="rId7"/>
    <hyperlink xmlns:r="http://schemas.openxmlformats.org/officeDocument/2006/relationships" ref="F12" display="mailto:office@harrisbuild.com" r:id="rId8"/>
    <hyperlink xmlns:r="http://schemas.openxmlformats.org/officeDocument/2006/relationships" ref="F13" display="mailto:amanda.brooks@email.com" r:id="rId9"/>
    <hyperlink xmlns:r="http://schemas.openxmlformats.org/officeDocument/2006/relationships" ref="F14" display="mailto:daniel@fosterconsulting.com" r:id="rId10"/>
  </hyperlinks>
  <pageMargins left="0.7" right="0.7" top="0.75" bottom="0.75" header="0.3" footer="0.3"/>
  <tableParts count="1">
    <tablePart xmlns:r="http://schemas.openxmlformats.org/officeDocument/2006/relationships" r:id="rId11"/>
  </tableParts>
</worksheet>
</file>

<file path=xl/worksheets/sheet9.xml><?xml version="1.0" encoding="utf-8"?>
<worksheet xmlns="http://schemas.openxmlformats.org/spreadsheetml/2006/main">
  <sheetPr>
    <tabColor rgb="FF14D8C4"/>
    <outlinePr summaryBelow="1" summaryRight="1"/>
    <pageSetUpPr/>
  </sheetPr>
  <dimension ref="A1:N4"/>
  <sheetViews>
    <sheetView workbookViewId="0">
      <selection activeCell="A3" sqref="A3:N4"/>
    </sheetView>
  </sheetViews>
  <sheetFormatPr baseColWidth="8" defaultRowHeight="14.5"/>
  <cols>
    <col width="13.36328125" customWidth="1" style="125" min="1" max="1"/>
    <col width="15" customWidth="1" style="125" min="2" max="2"/>
    <col width="13.6328125" customWidth="1" style="125" min="3" max="3"/>
    <col width="14.26953125" customWidth="1" style="125" min="4" max="4"/>
    <col width="13.7265625" customWidth="1" style="125" min="5" max="5"/>
    <col width="14.6328125" customWidth="1" style="125" min="6" max="6"/>
    <col width="16.81640625" customWidth="1" style="125" min="7" max="7"/>
    <col width="9.08984375" customWidth="1" style="125" min="9" max="9"/>
    <col width="14.54296875" customWidth="1" style="125" min="11" max="11"/>
    <col width="18.90625" customWidth="1" style="125" min="12" max="12"/>
  </cols>
  <sheetData>
    <row r="1">
      <c r="A1" s="2" t="inlineStr">
        <is>
          <t>⬅ Return to Table of Contents</t>
        </is>
      </c>
    </row>
    <row r="3">
      <c r="A3" t="inlineStr">
        <is>
          <t>Device ID</t>
        </is>
      </c>
      <c r="B3" t="inlineStr">
        <is>
          <t>Customer ID</t>
        </is>
      </c>
      <c r="C3" t="inlineStr">
        <is>
          <t>Manufacturer</t>
        </is>
      </c>
      <c r="D3" t="inlineStr">
        <is>
          <t>Device Family</t>
        </is>
      </c>
      <c r="E3" t="inlineStr">
        <is>
          <t>Device Model</t>
        </is>
      </c>
      <c r="F3" t="inlineStr">
        <is>
          <t>Serial Number</t>
        </is>
      </c>
      <c r="G3" t="inlineStr">
        <is>
          <t>IMEI / Service Tag</t>
        </is>
      </c>
      <c r="H3" t="inlineStr">
        <is>
          <t>Color</t>
        </is>
      </c>
      <c r="I3" t="inlineStr">
        <is>
          <t>Storage</t>
        </is>
      </c>
      <c r="J3" t="inlineStr">
        <is>
          <t>Carrier</t>
        </is>
      </c>
      <c r="K3" t="inlineStr">
        <is>
          <t>Purchase Date</t>
        </is>
      </c>
      <c r="L3" t="inlineStr">
        <is>
          <t>Warranty Expiration</t>
        </is>
      </c>
      <c r="M3" t="inlineStr">
        <is>
          <t>Active</t>
        </is>
      </c>
      <c r="N3" t="inlineStr">
        <is>
          <t>Notes</t>
        </is>
      </c>
    </row>
    <row r="4">
      <c r="A4" s="52" t="n"/>
      <c r="B4" s="52" t="n"/>
      <c r="C4" s="52" t="n"/>
      <c r="D4" s="52" t="n"/>
      <c r="E4" s="52" t="n"/>
      <c r="M4" t="b">
        <v>0</v>
      </c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FF14D8C4"/>
    <outlinePr summaryBelow="1" summaryRight="1"/>
    <pageSetUpPr/>
  </sheetPr>
  <dimension ref="A1:E5"/>
  <sheetViews>
    <sheetView workbookViewId="0">
      <selection activeCell="D20" sqref="D20"/>
    </sheetView>
  </sheetViews>
  <sheetFormatPr baseColWidth="8" defaultRowHeight="14.5"/>
  <cols>
    <col width="13.453125" customWidth="1" style="125" min="1" max="1"/>
    <col width="15.81640625" customWidth="1" style="125" min="2" max="2"/>
    <col width="16.6328125" customWidth="1" style="125" min="3" max="3"/>
  </cols>
  <sheetData>
    <row r="1">
      <c r="A1" s="2" t="inlineStr">
        <is>
          <t>⬅ Return to Table of Contents</t>
        </is>
      </c>
    </row>
    <row r="3">
      <c r="A3" t="inlineStr">
        <is>
          <t>tblCustomerAddress</t>
        </is>
      </c>
    </row>
    <row r="4">
      <c r="A4" s="54" t="inlineStr">
        <is>
          <t>CustomerID</t>
        </is>
      </c>
      <c r="B4" s="54" t="inlineStr">
        <is>
          <t>FirstName</t>
        </is>
      </c>
      <c r="C4" s="54" t="inlineStr">
        <is>
          <t>LastName</t>
        </is>
      </c>
      <c r="D4" s="54" t="inlineStr">
        <is>
          <t>Phone</t>
        </is>
      </c>
      <c r="E4" s="54" t="inlineStr">
        <is>
          <t>Email</t>
        </is>
      </c>
    </row>
    <row r="5">
      <c r="A5" s="53" t="n"/>
      <c r="B5" s="53" t="n"/>
      <c r="C5" s="53" t="n"/>
      <c r="D5" s="53" t="n"/>
      <c r="E5" s="53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FF14D8C4"/>
    <outlinePr summaryBelow="1" summaryRight="1"/>
    <pageSetUpPr/>
  </sheetPr>
  <dimension ref="A1:E5"/>
  <sheetViews>
    <sheetView tabSelected="1" workbookViewId="0">
      <selection activeCell="D20" sqref="D20"/>
    </sheetView>
  </sheetViews>
  <sheetFormatPr baseColWidth="8" defaultRowHeight="14.5"/>
  <cols>
    <col width="12.81640625" customWidth="1" style="125" min="1" max="1"/>
    <col width="11.453125" customWidth="1" style="125" min="2" max="2"/>
    <col width="11.1796875" customWidth="1" style="125" min="3" max="3"/>
  </cols>
  <sheetData>
    <row r="1">
      <c r="A1" s="2" t="inlineStr">
        <is>
          <t>⬅ Return to Table of Contents</t>
        </is>
      </c>
    </row>
    <row r="3">
      <c r="A3" t="inlineStr">
        <is>
          <t>tblCustomerCommunications</t>
        </is>
      </c>
    </row>
    <row r="4">
      <c r="A4" s="54" t="inlineStr">
        <is>
          <t>CustomerID</t>
        </is>
      </c>
      <c r="B4" s="54" t="inlineStr">
        <is>
          <t>FirstName</t>
        </is>
      </c>
      <c r="C4" s="54" t="inlineStr">
        <is>
          <t>LastName</t>
        </is>
      </c>
      <c r="D4" s="54" t="inlineStr">
        <is>
          <t>Phone</t>
        </is>
      </c>
      <c r="E4" s="54" t="inlineStr">
        <is>
          <t>Email</t>
        </is>
      </c>
    </row>
    <row r="5">
      <c r="A5" s="53" t="n"/>
      <c r="B5" s="53" t="n"/>
      <c r="C5" s="53" t="n"/>
      <c r="D5" s="53" t="n"/>
      <c r="E5" s="53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FFFF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t="inlineStr">
        <is>
          <t>#DIVIDERPAGE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rgb="FF00B0F0"/>
    <outlinePr summaryBelow="1" summaryRight="1"/>
    <pageSetUpPr/>
  </sheetPr>
  <dimension ref="A1:N5"/>
  <sheetViews>
    <sheetView workbookViewId="0">
      <selection activeCell="A2" sqref="A2:N3"/>
    </sheetView>
  </sheetViews>
  <sheetFormatPr baseColWidth="8" defaultRowHeight="14.5"/>
  <cols>
    <col width="24.36328125" bestFit="1" customWidth="1" style="125" min="1" max="1"/>
    <col width="13" bestFit="1" customWidth="1" style="125" min="2" max="2"/>
    <col width="12.7265625" bestFit="1" customWidth="1" style="125" min="3" max="3"/>
    <col width="13.7265625" customWidth="1" style="125" min="4" max="4"/>
    <col width="12.08984375" customWidth="1" style="125" min="5" max="5"/>
    <col width="10.7265625" customWidth="1" style="125" min="6" max="6"/>
    <col width="19.6328125" customWidth="1" style="125" min="7" max="7"/>
    <col width="10.7265625" customWidth="1" style="125" min="8" max="8"/>
    <col width="15.26953125" customWidth="1" style="125" min="9" max="9"/>
    <col width="10.90625" customWidth="1" style="125" min="10" max="10"/>
    <col width="16.1796875" customWidth="1" style="125" min="11" max="11"/>
    <col width="15.26953125" customWidth="1" style="125" min="12" max="12"/>
    <col width="10.26953125" customWidth="1" style="125" min="13" max="13"/>
  </cols>
  <sheetData>
    <row r="1">
      <c r="A1" s="2" t="inlineStr">
        <is>
          <t>⬅ Return to Table of Contents</t>
        </is>
      </c>
    </row>
    <row r="2">
      <c r="A2" t="inlineStr">
        <is>
          <t>Ticket ID</t>
        </is>
      </c>
      <c r="B2" t="inlineStr">
        <is>
          <t>Customer ID</t>
        </is>
      </c>
      <c r="C2" t="inlineStr">
        <is>
          <t>Device ID</t>
        </is>
      </c>
      <c r="D2" t="inlineStr">
        <is>
          <t>Repair Status</t>
        </is>
      </c>
      <c r="E2" t="inlineStr">
        <is>
          <t>Intake Date</t>
        </is>
      </c>
      <c r="F2" t="inlineStr">
        <is>
          <t>Technician</t>
        </is>
      </c>
      <c r="G2" t="inlineStr">
        <is>
          <t>Problem Description</t>
        </is>
      </c>
      <c r="H2" t="inlineStr">
        <is>
          <t>Diagnosis</t>
        </is>
      </c>
      <c r="I2" t="inlineStr">
        <is>
          <t>Estimated Cost</t>
        </is>
      </c>
      <c r="J2" t="inlineStr">
        <is>
          <t>Final Cost</t>
        </is>
      </c>
      <c r="K2" t="inlineStr">
        <is>
          <t>Date Completed</t>
        </is>
      </c>
      <c r="L2" t="inlineStr">
        <is>
          <t>Date Picked Up</t>
        </is>
      </c>
      <c r="M2" t="inlineStr">
        <is>
          <t>Warranty</t>
        </is>
      </c>
      <c r="N2" t="inlineStr">
        <is>
          <t>Notes</t>
        </is>
      </c>
    </row>
    <row r="4">
      <c r="A4" s="95" t="n"/>
      <c r="B4" s="95" t="n">
        <v>1000</v>
      </c>
      <c r="C4" s="95" t="n">
        <v>1000</v>
      </c>
      <c r="D4" s="95" t="n"/>
      <c r="E4" s="95" t="n"/>
      <c r="F4" s="95" t="n"/>
      <c r="N4" t="inlineStr">
        <is>
          <t>Created through Business Portal repair intake.</t>
        </is>
      </c>
    </row>
    <row r="5">
      <c r="A5" s="96" t="n"/>
      <c r="B5" s="97" t="n"/>
      <c r="C5" s="97" t="n"/>
      <c r="D5" s="97" t="n"/>
      <c r="E5" s="97" t="n"/>
      <c r="F5" s="97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tabColor rgb="FF00B0F0"/>
    <outlinePr summaryBelow="1" summaryRight="1"/>
    <pageSetUpPr/>
  </sheetPr>
  <dimension ref="A1:E5"/>
  <sheetViews>
    <sheetView workbookViewId="0">
      <selection activeCell="A1" sqref="A1"/>
    </sheetView>
  </sheetViews>
  <sheetFormatPr baseColWidth="8" defaultRowHeight="14.5"/>
  <cols>
    <col width="12.81640625" customWidth="1" style="125" min="1" max="1"/>
    <col width="11.453125" customWidth="1" style="125" min="2" max="2"/>
    <col width="11.1796875" customWidth="1" style="125" min="3" max="3"/>
  </cols>
  <sheetData>
    <row r="1">
      <c r="A1" s="2" t="inlineStr">
        <is>
          <t>⬅ Return to Table of Contents</t>
        </is>
      </c>
    </row>
    <row r="3">
      <c r="A3" t="inlineStr">
        <is>
          <t>tblDiagnostics</t>
        </is>
      </c>
    </row>
    <row r="4">
      <c r="A4" s="54" t="inlineStr">
        <is>
          <t>CustomerID</t>
        </is>
      </c>
      <c r="B4" s="54" t="inlineStr">
        <is>
          <t>FirstName</t>
        </is>
      </c>
      <c r="C4" s="54" t="inlineStr">
        <is>
          <t>LastName</t>
        </is>
      </c>
      <c r="D4" s="54" t="inlineStr">
        <is>
          <t>Phone</t>
        </is>
      </c>
      <c r="E4" s="54" t="inlineStr">
        <is>
          <t>Email</t>
        </is>
      </c>
    </row>
    <row r="5">
      <c r="A5" s="53" t="n"/>
      <c r="B5" s="53" t="n"/>
      <c r="C5" s="53" t="n"/>
      <c r="D5" s="53" t="n"/>
      <c r="E5" s="53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tabColor rgb="FF00B0F0"/>
    <outlinePr summaryBelow="1" summaryRight="1"/>
    <pageSetUpPr/>
  </sheetPr>
  <dimension ref="A1:E6"/>
  <sheetViews>
    <sheetView workbookViewId="0">
      <selection activeCell="A9" sqref="A9"/>
    </sheetView>
  </sheetViews>
  <sheetFormatPr baseColWidth="8" defaultRowHeight="14.5"/>
  <cols>
    <col width="12.81640625" customWidth="1" style="125" min="1" max="1"/>
    <col width="11.453125" customWidth="1" style="125" min="2" max="2"/>
    <col width="11.1796875" customWidth="1" style="125" min="3" max="3"/>
  </cols>
  <sheetData>
    <row r="1">
      <c r="A1" s="2" t="inlineStr">
        <is>
          <t>⬅ Return to Table of Contents</t>
        </is>
      </c>
    </row>
    <row r="4">
      <c r="A4" t="inlineStr">
        <is>
          <t>tblRepairNotes</t>
        </is>
      </c>
    </row>
    <row r="5">
      <c r="A5" s="54" t="n"/>
      <c r="B5" s="54" t="n"/>
      <c r="C5" s="54" t="n"/>
      <c r="D5" s="54" t="n"/>
      <c r="E5" s="54" t="n"/>
    </row>
    <row r="6">
      <c r="A6" s="53" t="n"/>
      <c r="B6" s="53" t="n"/>
      <c r="C6" s="53" t="n"/>
      <c r="D6" s="53" t="n"/>
      <c r="E6" s="53" t="n"/>
    </row>
  </sheetData>
  <hyperlinks>
    <hyperlink ref="A1" location="'TOC - Table of Contents'!A5" display="⬅ Return to Table of Contents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>
  <sheetPr>
    <tabColor rgb="FF00B0F0"/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4.5"/>
  <cols>
    <col width="12.81640625" customWidth="1" style="125" min="1" max="1"/>
    <col width="11.453125" customWidth="1" style="125" min="2" max="2"/>
    <col width="11.1796875" customWidth="1" style="125" min="3" max="3"/>
  </cols>
  <sheetData>
    <row r="1">
      <c r="A1" s="2" t="inlineStr">
        <is>
          <t>⬅ Return to Table of Contents</t>
        </is>
      </c>
    </row>
    <row r="4">
      <c r="A4" t="inlineStr">
        <is>
          <t>tblPartsUsed</t>
        </is>
      </c>
    </row>
    <row r="5">
      <c r="A5" s="54" t="inlineStr">
        <is>
          <t>CustomerID</t>
        </is>
      </c>
      <c r="B5" s="54" t="inlineStr">
        <is>
          <t>FirstName</t>
        </is>
      </c>
      <c r="C5" s="54" t="inlineStr">
        <is>
          <t>LastName</t>
        </is>
      </c>
      <c r="D5" s="54" t="inlineStr">
        <is>
          <t>Phone</t>
        </is>
      </c>
      <c r="E5" s="54" t="inlineStr">
        <is>
          <t>Email</t>
        </is>
      </c>
    </row>
    <row r="6">
      <c r="A6" s="53" t="n"/>
      <c r="B6" s="53" t="n"/>
      <c r="C6" s="53" t="n"/>
      <c r="D6" s="53" t="n"/>
      <c r="E6" s="53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7.xml><?xml version="1.0" encoding="utf-8"?>
<worksheet xmlns="http://schemas.openxmlformats.org/spreadsheetml/2006/main">
  <sheetPr>
    <tabColor rgb="FF00B0F0"/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4.5"/>
  <cols>
    <col width="12.81640625" customWidth="1" style="125" min="1" max="1"/>
    <col width="11.453125" customWidth="1" style="125" min="2" max="2"/>
    <col width="11.1796875" customWidth="1" style="125" min="3" max="3"/>
  </cols>
  <sheetData>
    <row r="1">
      <c r="A1" s="2" t="inlineStr">
        <is>
          <t>⬅ Return to Table of Contents</t>
        </is>
      </c>
    </row>
    <row r="4">
      <c r="A4" t="inlineStr">
        <is>
          <t>tblQualityControl</t>
        </is>
      </c>
    </row>
    <row r="5">
      <c r="A5" s="54" t="inlineStr">
        <is>
          <t>CustomerID</t>
        </is>
      </c>
      <c r="B5" s="54" t="inlineStr">
        <is>
          <t>FirstName</t>
        </is>
      </c>
      <c r="C5" s="54" t="inlineStr">
        <is>
          <t>LastName</t>
        </is>
      </c>
      <c r="D5" s="54" t="inlineStr">
        <is>
          <t>Phone</t>
        </is>
      </c>
      <c r="E5" s="54" t="inlineStr">
        <is>
          <t>Email</t>
        </is>
      </c>
    </row>
    <row r="6">
      <c r="A6" s="53" t="n"/>
      <c r="B6" s="53" t="n"/>
      <c r="C6" s="53" t="n"/>
      <c r="D6" s="53" t="n"/>
      <c r="E6" s="53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8.xml><?xml version="1.0" encoding="utf-8"?>
<worksheet xmlns="http://schemas.openxmlformats.org/spreadsheetml/2006/main">
  <sheetPr>
    <tabColor rgb="FF00B0F0"/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4.5"/>
  <cols>
    <col width="24.36328125" bestFit="1" customWidth="1" style="125" min="1" max="1"/>
    <col width="13" bestFit="1" customWidth="1" style="125" min="2" max="2"/>
    <col width="12.7265625" bestFit="1" customWidth="1" style="125" min="3" max="3"/>
  </cols>
  <sheetData>
    <row r="1">
      <c r="A1" s="2" t="inlineStr">
        <is>
          <t>⬅ Return to Table of Contents</t>
        </is>
      </c>
    </row>
    <row r="5">
      <c r="A5" t="inlineStr">
        <is>
          <t>tblRepairTimeline</t>
        </is>
      </c>
    </row>
    <row r="6">
      <c r="A6" s="55" t="inlineStr">
        <is>
          <t>CustomerID</t>
        </is>
      </c>
      <c r="B6" s="55" t="inlineStr">
        <is>
          <t>FirstName</t>
        </is>
      </c>
      <c r="C6" s="55" t="inlineStr">
        <is>
          <t>LastName</t>
        </is>
      </c>
      <c r="D6" s="55" t="inlineStr">
        <is>
          <t>Phone</t>
        </is>
      </c>
      <c r="E6" s="55" t="inlineStr">
        <is>
          <t>Email</t>
        </is>
      </c>
    </row>
    <row r="7">
      <c r="A7" s="53" t="n"/>
      <c r="B7" s="53" t="n"/>
      <c r="C7" s="53" t="n"/>
      <c r="D7" s="53" t="n"/>
      <c r="E7" s="53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9.xml><?xml version="1.0" encoding="utf-8"?>
<worksheet xmlns="http://schemas.openxmlformats.org/spreadsheetml/2006/main">
  <sheetPr>
    <tabColor rgb="FFFF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t="inlineStr">
        <is>
          <t>#DIVIDERPAGE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tabColor rgb="FFFFFF00"/>
    <outlinePr summaryBelow="1" summaryRight="1"/>
    <pageSetUpPr/>
  </sheetPr>
  <dimension ref="A1:J38"/>
  <sheetViews>
    <sheetView workbookViewId="0">
      <pane ySplit="1" topLeftCell="A4" activePane="bottomLeft" state="frozen"/>
      <selection activeCell="F45" sqref="F45"/>
      <selection pane="bottomLeft" activeCell="A4" sqref="A4"/>
    </sheetView>
  </sheetViews>
  <sheetFormatPr baseColWidth="8" defaultRowHeight="14.5"/>
  <cols>
    <col width="17.08984375" bestFit="1" customWidth="1" style="125" min="1" max="1"/>
    <col width="14.7265625" bestFit="1" customWidth="1" style="125" min="2" max="2"/>
    <col width="28.26953125" bestFit="1" customWidth="1" style="125" min="3" max="3"/>
    <col width="8.1796875" bestFit="1" customWidth="1" style="125" min="4" max="4"/>
    <col width="8" bestFit="1" customWidth="1" style="125" min="5" max="5"/>
  </cols>
  <sheetData>
    <row r="1">
      <c r="A1" t="inlineStr">
        <is>
          <t>01. Manufacturers</t>
        </is>
      </c>
    </row>
    <row r="2" ht="87" customHeight="1" s="125">
      <c r="A2" s="82" t="inlineStr">
        <is>
          <t>Master list of supported device manufacturers used throughout the Nocturnix Catalog Database</t>
        </is>
      </c>
    </row>
    <row r="3">
      <c r="A3" s="80" t="inlineStr">
        <is>
          <t>Manufacturer ID</t>
        </is>
      </c>
      <c r="B3" s="81" t="inlineStr">
        <is>
          <t>Manufacturer</t>
        </is>
      </c>
      <c r="C3" s="80" t="inlineStr">
        <is>
          <t>Website</t>
        </is>
      </c>
      <c r="D3" s="80" t="inlineStr">
        <is>
          <t>Active</t>
        </is>
      </c>
      <c r="E3" s="80" t="inlineStr">
        <is>
          <t>Notes</t>
        </is>
      </c>
      <c r="H3" s="52" t="n"/>
      <c r="I3" s="52" t="n"/>
      <c r="J3" s="52" t="n"/>
    </row>
    <row r="4">
      <c r="A4" s="79" t="inlineStr">
        <is>
          <t>ACE</t>
        </is>
      </c>
      <c r="B4" s="77" t="inlineStr">
        <is>
          <t>Acer</t>
        </is>
      </c>
      <c r="C4" s="78" t="inlineStr">
        <is>
          <t>https://www.acer.com</t>
        </is>
      </c>
      <c r="D4" s="77" t="b">
        <v>1</v>
      </c>
      <c r="E4" s="77" t="n"/>
      <c r="H4" s="65" t="n"/>
      <c r="I4" s="65" t="n"/>
    </row>
    <row r="5">
      <c r="A5" s="79" t="inlineStr">
        <is>
          <t>APL</t>
        </is>
      </c>
      <c r="B5" s="77" t="inlineStr">
        <is>
          <t>Apple</t>
        </is>
      </c>
      <c r="C5" s="78" t="inlineStr">
        <is>
          <t>https://www.apple.com</t>
        </is>
      </c>
      <c r="D5" s="77" t="b">
        <v>1</v>
      </c>
      <c r="E5" s="77" t="n"/>
      <c r="H5" s="65" t="n"/>
      <c r="I5" s="65" t="n"/>
    </row>
    <row r="6">
      <c r="A6" s="79" t="inlineStr">
        <is>
          <t>ALW</t>
        </is>
      </c>
      <c r="B6" s="77" t="inlineStr">
        <is>
          <t>Alienware</t>
        </is>
      </c>
      <c r="C6" s="78" t="inlineStr">
        <is>
          <t>https://www.alienware.com</t>
        </is>
      </c>
      <c r="D6" s="77" t="b">
        <v>1</v>
      </c>
      <c r="E6" s="77" t="n"/>
      <c r="H6" s="65" t="n"/>
      <c r="I6" s="65" t="n"/>
    </row>
    <row r="7">
      <c r="A7" s="79" t="inlineStr">
        <is>
          <t>AMZ</t>
        </is>
      </c>
      <c r="B7" s="77" t="inlineStr">
        <is>
          <t>Amazon</t>
        </is>
      </c>
      <c r="C7" s="78" t="inlineStr">
        <is>
          <t>https://www.amazon.com</t>
        </is>
      </c>
      <c r="D7" s="77" t="b">
        <v>1</v>
      </c>
      <c r="E7" s="77" t="n"/>
      <c r="H7" s="65" t="n"/>
      <c r="I7" s="65" t="n"/>
    </row>
    <row r="8">
      <c r="A8" s="79" t="inlineStr">
        <is>
          <t>ASU</t>
        </is>
      </c>
      <c r="B8" s="77" t="inlineStr">
        <is>
          <t>Asus</t>
        </is>
      </c>
      <c r="C8" s="78" t="inlineStr">
        <is>
          <t>https://www.asus.com</t>
        </is>
      </c>
      <c r="D8" s="77" t="b">
        <v>1</v>
      </c>
      <c r="E8" s="77" t="n"/>
      <c r="H8" s="65" t="n"/>
      <c r="I8" s="65" t="n"/>
    </row>
    <row r="9">
      <c r="A9" s="79" t="inlineStr">
        <is>
          <t>DEL</t>
        </is>
      </c>
      <c r="B9" s="77" t="inlineStr">
        <is>
          <t>Dell</t>
        </is>
      </c>
      <c r="C9" s="78" t="inlineStr">
        <is>
          <t>https://www.dell.com</t>
        </is>
      </c>
      <c r="D9" s="77" t="b">
        <v>1</v>
      </c>
      <c r="E9" s="77" t="n"/>
      <c r="H9" s="65" t="n"/>
      <c r="I9" s="65" t="n"/>
    </row>
    <row r="10">
      <c r="A10" s="79" t="inlineStr">
        <is>
          <t>FIT</t>
        </is>
      </c>
      <c r="B10" s="77" t="inlineStr">
        <is>
          <t>Fitbit</t>
        </is>
      </c>
      <c r="C10" s="78" t="inlineStr">
        <is>
          <t>https://www.fitbit.com</t>
        </is>
      </c>
      <c r="D10" s="77" t="b">
        <v>1</v>
      </c>
      <c r="E10" s="77" t="n"/>
      <c r="H10" s="65" t="n"/>
      <c r="I10" s="65" t="n"/>
    </row>
    <row r="11">
      <c r="A11" s="79" t="inlineStr">
        <is>
          <t>FRM</t>
        </is>
      </c>
      <c r="B11" s="77" t="inlineStr">
        <is>
          <t>Framework</t>
        </is>
      </c>
      <c r="C11" s="78" t="inlineStr">
        <is>
          <t>https://frame.work</t>
        </is>
      </c>
      <c r="D11" s="77" t="b">
        <v>1</v>
      </c>
      <c r="E11" s="77" t="n"/>
      <c r="H11" s="65" t="n"/>
      <c r="I11" s="65" t="n"/>
    </row>
    <row r="12">
      <c r="A12" s="79" t="inlineStr">
        <is>
          <t>GAR</t>
        </is>
      </c>
      <c r="B12" s="77" t="inlineStr">
        <is>
          <t>Garmin</t>
        </is>
      </c>
      <c r="C12" s="78" t="inlineStr">
        <is>
          <t>https://www.garmin.com</t>
        </is>
      </c>
      <c r="D12" s="77" t="b">
        <v>1</v>
      </c>
      <c r="E12" s="77" t="n"/>
      <c r="H12" s="65" t="n"/>
      <c r="I12" s="65" t="n"/>
    </row>
    <row r="13">
      <c r="A13" s="79" t="inlineStr">
        <is>
          <t>GOO</t>
        </is>
      </c>
      <c r="B13" s="77" t="inlineStr">
        <is>
          <t>Google</t>
        </is>
      </c>
      <c r="C13" s="78" t="inlineStr">
        <is>
          <t>https://store.google.com</t>
        </is>
      </c>
      <c r="D13" s="77" t="b">
        <v>1</v>
      </c>
      <c r="E13" s="77" t="n"/>
      <c r="H13" s="65" t="n"/>
      <c r="I13" s="65" t="n"/>
    </row>
    <row r="14">
      <c r="A14" s="79" t="inlineStr">
        <is>
          <t>HMD</t>
        </is>
      </c>
      <c r="B14" s="77" t="inlineStr">
        <is>
          <t>HMD</t>
        </is>
      </c>
      <c r="C14" s="78" t="inlineStr">
        <is>
          <t>https://www.hmd.com</t>
        </is>
      </c>
      <c r="D14" s="77" t="b">
        <v>1</v>
      </c>
      <c r="E14" s="77" t="n"/>
      <c r="H14" s="65" t="n"/>
      <c r="I14" s="65" t="n"/>
    </row>
    <row r="15">
      <c r="A15" s="79" t="inlineStr">
        <is>
          <t>HON</t>
        </is>
      </c>
      <c r="B15" s="77" t="inlineStr">
        <is>
          <t>Honor</t>
        </is>
      </c>
      <c r="C15" s="78" t="inlineStr">
        <is>
          <t>https://www.honor.com</t>
        </is>
      </c>
      <c r="D15" s="77" t="b">
        <v>1</v>
      </c>
      <c r="E15" s="77" t="n"/>
      <c r="H15" s="65" t="n"/>
      <c r="I15" s="65" t="n"/>
    </row>
    <row r="16">
      <c r="A16" s="79" t="inlineStr">
        <is>
          <t>HWP</t>
        </is>
      </c>
      <c r="B16" s="77" t="inlineStr">
        <is>
          <t>HP</t>
        </is>
      </c>
      <c r="C16" s="78" t="inlineStr">
        <is>
          <t>https://www.hp.com</t>
        </is>
      </c>
      <c r="D16" s="77" t="b">
        <v>1</v>
      </c>
      <c r="E16" s="77" t="n"/>
      <c r="H16" s="65" t="n"/>
      <c r="I16" s="65" t="n"/>
    </row>
    <row r="17">
      <c r="A17" s="79" t="inlineStr">
        <is>
          <t>HUA</t>
        </is>
      </c>
      <c r="B17" s="77" t="inlineStr">
        <is>
          <t>Huawei</t>
        </is>
      </c>
      <c r="C17" s="78" t="inlineStr">
        <is>
          <t>https://consumer.huawei.com</t>
        </is>
      </c>
      <c r="D17" s="77" t="b">
        <v>1</v>
      </c>
      <c r="E17" s="77" t="n"/>
      <c r="H17" s="65" t="n"/>
      <c r="I17" s="65" t="n"/>
    </row>
    <row r="18">
      <c r="A18" s="79" t="inlineStr">
        <is>
          <t>IQO</t>
        </is>
      </c>
      <c r="B18" s="77" t="inlineStr">
        <is>
          <t>iQOO</t>
        </is>
      </c>
      <c r="C18" s="78" t="inlineStr">
        <is>
          <t>https://www.iqoo.com</t>
        </is>
      </c>
      <c r="D18" s="77" t="b">
        <v>1</v>
      </c>
      <c r="E18" s="77" t="n"/>
      <c r="H18" s="65" t="n"/>
      <c r="I18" s="65" t="n"/>
    </row>
    <row r="19">
      <c r="A19" s="79" t="inlineStr">
        <is>
          <t>LEN</t>
        </is>
      </c>
      <c r="B19" s="77" t="inlineStr">
        <is>
          <t>Lenovo</t>
        </is>
      </c>
      <c r="C19" s="78" t="inlineStr">
        <is>
          <t>https://www.lenovo.com</t>
        </is>
      </c>
      <c r="D19" s="77" t="b">
        <v>1</v>
      </c>
      <c r="E19" s="77" t="n"/>
      <c r="H19" s="65" t="n"/>
      <c r="I19" s="65" t="n"/>
    </row>
    <row r="20">
      <c r="A20" s="79" t="inlineStr">
        <is>
          <t xml:space="preserve">LGE </t>
        </is>
      </c>
      <c r="B20" s="77" t="inlineStr">
        <is>
          <t>LG</t>
        </is>
      </c>
      <c r="C20" s="78" t="inlineStr">
        <is>
          <t>https://www.lg.com</t>
        </is>
      </c>
      <c r="D20" s="77" t="b">
        <v>1</v>
      </c>
      <c r="E20" s="77" t="n"/>
      <c r="H20" s="65" t="n"/>
      <c r="I20" s="65" t="n"/>
    </row>
    <row r="21">
      <c r="A21" s="79" t="inlineStr">
        <is>
          <t>MSF</t>
        </is>
      </c>
      <c r="B21" s="77" t="inlineStr">
        <is>
          <t>Microsoft</t>
        </is>
      </c>
      <c r="C21" s="78" t="inlineStr">
        <is>
          <t>https://www.microsoft.com</t>
        </is>
      </c>
      <c r="D21" s="77" t="b">
        <v>1</v>
      </c>
      <c r="E21" s="77" t="n"/>
      <c r="H21" s="65" t="n"/>
      <c r="I21" s="65" t="n"/>
    </row>
    <row r="22">
      <c r="A22" s="79" t="inlineStr">
        <is>
          <t>MOT</t>
        </is>
      </c>
      <c r="B22" s="77" t="inlineStr">
        <is>
          <t>Motorola</t>
        </is>
      </c>
      <c r="C22" s="78" t="inlineStr">
        <is>
          <t>https://www.motorola.com</t>
        </is>
      </c>
      <c r="D22" s="77" t="b">
        <v>1</v>
      </c>
      <c r="E22" s="77" t="n"/>
      <c r="H22" s="65" t="n"/>
      <c r="I22" s="65" t="n"/>
    </row>
    <row r="23">
      <c r="A23" s="79" t="inlineStr">
        <is>
          <t>MSI</t>
        </is>
      </c>
      <c r="B23" s="77" t="inlineStr">
        <is>
          <t>MSI</t>
        </is>
      </c>
      <c r="C23" s="78" t="inlineStr">
        <is>
          <t>https://www.msi.com</t>
        </is>
      </c>
      <c r="D23" s="77" t="b">
        <v>1</v>
      </c>
      <c r="E23" s="77" t="n"/>
      <c r="H23" s="65" t="n"/>
      <c r="I23" s="65" t="n"/>
    </row>
    <row r="24">
      <c r="A24" s="79" t="inlineStr">
        <is>
          <t>NTD</t>
        </is>
      </c>
      <c r="B24" s="77" t="inlineStr">
        <is>
          <t>Nintendo</t>
        </is>
      </c>
      <c r="C24" s="78" t="inlineStr">
        <is>
          <t>https://www.nintendo.com</t>
        </is>
      </c>
      <c r="D24" s="77" t="b">
        <v>1</v>
      </c>
      <c r="E24" s="77" t="n"/>
      <c r="H24" s="65" t="n"/>
      <c r="I24" s="65" t="n"/>
    </row>
    <row r="25">
      <c r="A25" s="79" t="inlineStr">
        <is>
          <t>NOK</t>
        </is>
      </c>
      <c r="B25" s="77" t="inlineStr">
        <is>
          <t>Nokia</t>
        </is>
      </c>
      <c r="C25" s="78" t="inlineStr">
        <is>
          <t>https://www.nokia.com</t>
        </is>
      </c>
      <c r="D25" s="77" t="b">
        <v>1</v>
      </c>
      <c r="E25" s="77" t="n"/>
      <c r="H25" s="65" t="n"/>
      <c r="I25" s="65" t="n"/>
    </row>
    <row r="26">
      <c r="A26" s="79" t="inlineStr">
        <is>
          <t>NTH</t>
        </is>
      </c>
      <c r="B26" s="77" t="inlineStr">
        <is>
          <t>Nothing</t>
        </is>
      </c>
      <c r="C26" s="78" t="inlineStr">
        <is>
          <t>https://nothing.tech</t>
        </is>
      </c>
      <c r="D26" s="77" t="b">
        <v>1</v>
      </c>
      <c r="E26" s="77" t="n"/>
      <c r="H26" s="65" t="n"/>
      <c r="I26" s="65" t="n"/>
    </row>
    <row r="27">
      <c r="A27" s="79" t="inlineStr">
        <is>
          <t>NUB</t>
        </is>
      </c>
      <c r="B27" s="77" t="inlineStr">
        <is>
          <t>Nubia</t>
        </is>
      </c>
      <c r="C27" s="78" t="inlineStr">
        <is>
          <t>https://global.nubia.com</t>
        </is>
      </c>
      <c r="D27" s="77" t="b">
        <v>1</v>
      </c>
      <c r="E27" s="77" t="n"/>
      <c r="H27" s="65" t="n"/>
      <c r="I27" s="65" t="n"/>
    </row>
    <row r="28">
      <c r="A28" s="79" t="inlineStr">
        <is>
          <t>ONE</t>
        </is>
      </c>
      <c r="B28" s="77" t="inlineStr">
        <is>
          <t>OnePlus</t>
        </is>
      </c>
      <c r="C28" s="78" t="inlineStr">
        <is>
          <t>https://www.oneplus.com</t>
        </is>
      </c>
      <c r="D28" s="77" t="b">
        <v>1</v>
      </c>
      <c r="E28" s="77" t="n"/>
      <c r="H28" s="65" t="n"/>
      <c r="I28" s="65" t="n"/>
    </row>
    <row r="29">
      <c r="A29" s="79" t="inlineStr">
        <is>
          <t>OPP</t>
        </is>
      </c>
      <c r="B29" s="77" t="inlineStr">
        <is>
          <t>OPPO</t>
        </is>
      </c>
      <c r="C29" s="78" t="inlineStr">
        <is>
          <t>https://www.oppo.com</t>
        </is>
      </c>
      <c r="D29" s="77" t="b">
        <v>1</v>
      </c>
      <c r="E29" s="77" t="n"/>
      <c r="H29" s="65" t="n"/>
      <c r="I29" s="65" t="n"/>
    </row>
    <row r="30">
      <c r="A30" s="79" t="inlineStr">
        <is>
          <t>RAZ</t>
        </is>
      </c>
      <c r="B30" s="77" t="inlineStr">
        <is>
          <t>Razer</t>
        </is>
      </c>
      <c r="C30" s="78" t="inlineStr">
        <is>
          <t>https://www.razer.com</t>
        </is>
      </c>
      <c r="D30" s="77" t="b">
        <v>1</v>
      </c>
      <c r="E30" s="77" t="n"/>
      <c r="H30" s="65" t="n"/>
      <c r="I30" s="65" t="n"/>
    </row>
    <row r="31">
      <c r="A31" s="79" t="inlineStr">
        <is>
          <t>RLM</t>
        </is>
      </c>
      <c r="B31" s="77" t="inlineStr">
        <is>
          <t>Realme</t>
        </is>
      </c>
      <c r="C31" s="78" t="inlineStr">
        <is>
          <t>https://www.realme.com</t>
        </is>
      </c>
      <c r="D31" s="77" t="b">
        <v>1</v>
      </c>
      <c r="E31" s="77" t="n"/>
      <c r="H31" s="65" t="n"/>
      <c r="I31" s="65" t="n"/>
    </row>
    <row r="32">
      <c r="A32" s="79" t="inlineStr">
        <is>
          <t>SAM</t>
        </is>
      </c>
      <c r="B32" s="77" t="inlineStr">
        <is>
          <t>Samsung</t>
        </is>
      </c>
      <c r="C32" s="78" t="inlineStr">
        <is>
          <t>https://www.samsung.com</t>
        </is>
      </c>
      <c r="D32" s="77" t="b">
        <v>1</v>
      </c>
      <c r="E32" s="77" t="n"/>
      <c r="H32" s="65" t="n"/>
      <c r="I32" s="65" t="n"/>
    </row>
    <row r="33">
      <c r="A33" s="79" t="inlineStr">
        <is>
          <t>SNY</t>
        </is>
      </c>
      <c r="B33" s="77" t="inlineStr">
        <is>
          <t>Sony</t>
        </is>
      </c>
      <c r="C33" s="78" t="inlineStr">
        <is>
          <t>https://www.sony.com</t>
        </is>
      </c>
      <c r="D33" s="77" t="b">
        <v>1</v>
      </c>
      <c r="E33" s="77" t="n"/>
      <c r="H33" s="65" t="n"/>
      <c r="I33" s="65" t="n"/>
    </row>
    <row r="34">
      <c r="A34" s="79" t="inlineStr">
        <is>
          <t>STL</t>
        </is>
      </c>
      <c r="B34" s="77" t="inlineStr">
        <is>
          <t>Starlink</t>
        </is>
      </c>
      <c r="C34" s="78" t="inlineStr">
        <is>
          <t>https://www.starlink.com</t>
        </is>
      </c>
      <c r="D34" s="77" t="b">
        <v>1</v>
      </c>
      <c r="E34" s="77" t="n"/>
      <c r="H34" s="65" t="n"/>
      <c r="I34" s="65" t="n"/>
    </row>
    <row r="35">
      <c r="A35" s="79" t="inlineStr">
        <is>
          <t>XIA</t>
        </is>
      </c>
      <c r="B35" s="77" t="inlineStr">
        <is>
          <t>Xiaomi</t>
        </is>
      </c>
      <c r="C35" s="78" t="inlineStr">
        <is>
          <t>https://www.mi.com</t>
        </is>
      </c>
      <c r="D35" s="77" t="b">
        <v>1</v>
      </c>
      <c r="E35" s="77" t="n"/>
      <c r="H35" s="65" t="n"/>
      <c r="I35" s="65" t="n"/>
    </row>
    <row r="36">
      <c r="A36" s="79" t="inlineStr">
        <is>
          <t>VAL</t>
        </is>
      </c>
      <c r="B36" s="77" t="inlineStr">
        <is>
          <t>Valve</t>
        </is>
      </c>
      <c r="C36" s="78" t="inlineStr">
        <is>
          <t>https://www.valvesoftware.com</t>
        </is>
      </c>
      <c r="D36" s="77" t="b">
        <v>1</v>
      </c>
      <c r="E36" s="77" t="n"/>
      <c r="H36" s="65" t="n"/>
      <c r="I36" s="65" t="n"/>
    </row>
    <row r="37">
      <c r="A37" s="79" t="inlineStr">
        <is>
          <t>VIV</t>
        </is>
      </c>
      <c r="B37" s="77" t="inlineStr">
        <is>
          <t>Vivo</t>
        </is>
      </c>
      <c r="C37" s="78" t="inlineStr">
        <is>
          <t>https://www.vivo.com</t>
        </is>
      </c>
      <c r="D37" s="77" t="b">
        <v>1</v>
      </c>
      <c r="E37" s="77" t="n"/>
      <c r="H37" s="65" t="n"/>
      <c r="I37" s="65" t="n"/>
    </row>
    <row r="38">
      <c r="A38" s="79" t="inlineStr">
        <is>
          <t>ZTE</t>
        </is>
      </c>
      <c r="B38" s="77" t="inlineStr">
        <is>
          <t>ZTE</t>
        </is>
      </c>
      <c r="C38" s="78" t="inlineStr">
        <is>
          <t>https://www.zte.com.cn</t>
        </is>
      </c>
      <c r="D38" s="77" t="b">
        <v>1</v>
      </c>
      <c r="E38" s="77" t="n"/>
      <c r="H38" s="65" t="n"/>
      <c r="I38" s="65" t="n"/>
    </row>
  </sheetData>
  <dataValidations count="1">
    <dataValidation sqref="D4:D38" showDropDown="0" showInputMessage="1" showErrorMessage="1" allowBlank="1" type="list">
      <formula1>IstBoolean</formula1>
    </dataValidation>
  </dataValidations>
  <hyperlinks>
    <hyperlink xmlns:r="http://schemas.openxmlformats.org/officeDocument/2006/relationships" ref="C4" display="https://www.acer.com/" r:id="rId1"/>
    <hyperlink xmlns:r="http://schemas.openxmlformats.org/officeDocument/2006/relationships" ref="C5" display="https://www.apple.com/" r:id="rId2"/>
    <hyperlink xmlns:r="http://schemas.openxmlformats.org/officeDocument/2006/relationships" ref="C6" display="https://www.alienware.com/" r:id="rId3"/>
    <hyperlink xmlns:r="http://schemas.openxmlformats.org/officeDocument/2006/relationships" ref="C7" display="https://www.amazon.com/" r:id="rId4"/>
    <hyperlink xmlns:r="http://schemas.openxmlformats.org/officeDocument/2006/relationships" ref="C8" display="https://www.asus.com/" r:id="rId5"/>
    <hyperlink xmlns:r="http://schemas.openxmlformats.org/officeDocument/2006/relationships" ref="C9" display="https://www.dell.com/" r:id="rId6"/>
    <hyperlink xmlns:r="http://schemas.openxmlformats.org/officeDocument/2006/relationships" ref="C10" display="https://www.fitbit.com/" r:id="rId7"/>
    <hyperlink xmlns:r="http://schemas.openxmlformats.org/officeDocument/2006/relationships" ref="C11" display="https://frame.work/" r:id="rId8"/>
    <hyperlink xmlns:r="http://schemas.openxmlformats.org/officeDocument/2006/relationships" ref="C12" display="https://www.garmin.com/" r:id="rId9"/>
    <hyperlink xmlns:r="http://schemas.openxmlformats.org/officeDocument/2006/relationships" ref="C13" display="https://store.google.com/" r:id="rId10"/>
    <hyperlink xmlns:r="http://schemas.openxmlformats.org/officeDocument/2006/relationships" ref="C14" display="https://www.hmd.com/" r:id="rId11"/>
    <hyperlink xmlns:r="http://schemas.openxmlformats.org/officeDocument/2006/relationships" ref="C15" display="https://www.honor.com/" r:id="rId12"/>
    <hyperlink xmlns:r="http://schemas.openxmlformats.org/officeDocument/2006/relationships" ref="C16" display="https://www.hp.com/" r:id="rId13"/>
    <hyperlink xmlns:r="http://schemas.openxmlformats.org/officeDocument/2006/relationships" ref="C17" display="https://consumer.huawei.com/" r:id="rId14"/>
    <hyperlink xmlns:r="http://schemas.openxmlformats.org/officeDocument/2006/relationships" ref="C18" display="https://www.iqoo.com/" r:id="rId15"/>
    <hyperlink xmlns:r="http://schemas.openxmlformats.org/officeDocument/2006/relationships" ref="C19" display="https://www.lenovo.com/" r:id="rId16"/>
    <hyperlink xmlns:r="http://schemas.openxmlformats.org/officeDocument/2006/relationships" ref="C20" display="https://www.lg.com/" r:id="rId17"/>
    <hyperlink xmlns:r="http://schemas.openxmlformats.org/officeDocument/2006/relationships" ref="C21" display="https://www.microsoft.com/" r:id="rId18"/>
    <hyperlink xmlns:r="http://schemas.openxmlformats.org/officeDocument/2006/relationships" ref="C22" display="https://www.motorola.com/" r:id="rId19"/>
    <hyperlink xmlns:r="http://schemas.openxmlformats.org/officeDocument/2006/relationships" ref="C23" display="https://www.msi.com/" r:id="rId20"/>
    <hyperlink xmlns:r="http://schemas.openxmlformats.org/officeDocument/2006/relationships" ref="C24" display="https://www.nintendo.com/" r:id="rId21"/>
    <hyperlink xmlns:r="http://schemas.openxmlformats.org/officeDocument/2006/relationships" ref="C25" display="https://www.nokia.com/" r:id="rId22"/>
    <hyperlink xmlns:r="http://schemas.openxmlformats.org/officeDocument/2006/relationships" ref="C26" display="https://nothing.tech/" r:id="rId23"/>
    <hyperlink xmlns:r="http://schemas.openxmlformats.org/officeDocument/2006/relationships" ref="C27" display="https://global.nubia.com/" r:id="rId24"/>
    <hyperlink xmlns:r="http://schemas.openxmlformats.org/officeDocument/2006/relationships" ref="C28" display="https://www.oneplus.com/" r:id="rId25"/>
    <hyperlink xmlns:r="http://schemas.openxmlformats.org/officeDocument/2006/relationships" ref="C29" display="https://www.oppo.com/" r:id="rId26"/>
    <hyperlink xmlns:r="http://schemas.openxmlformats.org/officeDocument/2006/relationships" ref="C30" display="https://www.razer.com/" r:id="rId27"/>
    <hyperlink xmlns:r="http://schemas.openxmlformats.org/officeDocument/2006/relationships" ref="C31" display="https://www.realme.com/" r:id="rId28"/>
    <hyperlink xmlns:r="http://schemas.openxmlformats.org/officeDocument/2006/relationships" ref="C32" display="https://www.samsung.com/" r:id="rId29"/>
    <hyperlink xmlns:r="http://schemas.openxmlformats.org/officeDocument/2006/relationships" ref="C33" display="https://www.sony.com/" r:id="rId30"/>
    <hyperlink xmlns:r="http://schemas.openxmlformats.org/officeDocument/2006/relationships" ref="C34" display="https://www.starlink.com/" r:id="rId31"/>
    <hyperlink xmlns:r="http://schemas.openxmlformats.org/officeDocument/2006/relationships" ref="C35" display="https://www.mi.com/" r:id="rId32"/>
    <hyperlink xmlns:r="http://schemas.openxmlformats.org/officeDocument/2006/relationships" ref="C36" display="https://www.valvesoftware.com/" r:id="rId33"/>
    <hyperlink xmlns:r="http://schemas.openxmlformats.org/officeDocument/2006/relationships" ref="C37" display="https://www.vivo.com/" r:id="rId34"/>
    <hyperlink xmlns:r="http://schemas.openxmlformats.org/officeDocument/2006/relationships" ref="C38" display="https://www.zte.com.cn/" r:id="rId35"/>
  </hyperlinks>
  <pageMargins left="0.7" right="0.7" top="0.75" bottom="0.75" header="0.3" footer="0.3"/>
  <tableParts count="1">
    <tablePart xmlns:r="http://schemas.openxmlformats.org/officeDocument/2006/relationships" r:id="rId36"/>
  </tableParts>
</worksheet>
</file>

<file path=xl/worksheets/sheet21.xml><?xml version="1.0" encoding="utf-8"?>
<worksheet xmlns="http://schemas.openxmlformats.org/spreadsheetml/2006/main">
  <sheetPr>
    <tabColor rgb="FFFFFF00"/>
    <outlinePr summaryBelow="1" summaryRight="1"/>
    <pageSetUpPr/>
  </sheetPr>
  <dimension ref="A1:D15"/>
  <sheetViews>
    <sheetView workbookViewId="0">
      <selection activeCell="A4" sqref="A4"/>
    </sheetView>
  </sheetViews>
  <sheetFormatPr baseColWidth="8" defaultRowHeight="14.5"/>
  <cols>
    <col width="19.26953125" customWidth="1" style="125" min="1" max="1"/>
    <col width="16.6328125" bestFit="1" customWidth="1" style="125" min="2" max="2"/>
    <col width="38.08984375" bestFit="1" customWidth="1" style="125" min="3" max="3"/>
    <col width="17.54296875" customWidth="1" style="125" min="5" max="5"/>
    <col width="17.08984375" customWidth="1" style="125" min="6" max="6"/>
    <col width="38.08984375" bestFit="1" customWidth="1" style="125" min="7" max="7"/>
  </cols>
  <sheetData>
    <row r="1">
      <c r="A1" t="inlineStr">
        <is>
          <t>02. Device Families</t>
        </is>
      </c>
    </row>
    <row r="2" ht="72.5" customHeight="1" s="125">
      <c r="A2" s="82" t="inlineStr">
        <is>
          <t>This table defines the major device classifications used throughout your entire system.</t>
        </is>
      </c>
    </row>
    <row r="3">
      <c r="A3" t="inlineStr">
        <is>
          <t>Device Family Code</t>
        </is>
      </c>
      <c r="B3" t="inlineStr">
        <is>
          <t>Device Family</t>
        </is>
      </c>
      <c r="C3" t="inlineStr">
        <is>
          <t>Description</t>
        </is>
      </c>
      <c r="D3" t="inlineStr">
        <is>
          <t>Active</t>
        </is>
      </c>
    </row>
    <row r="4">
      <c r="A4" t="inlineStr">
        <is>
          <t>PHN</t>
        </is>
      </c>
      <c r="B4" t="inlineStr">
        <is>
          <t>Phone</t>
        </is>
      </c>
      <c r="C4" t="inlineStr">
        <is>
          <t>Smartphones and Mobile Phones</t>
        </is>
      </c>
      <c r="D4" t="b">
        <v>1</v>
      </c>
    </row>
    <row r="5">
      <c r="A5" t="inlineStr">
        <is>
          <t>TAB</t>
        </is>
      </c>
      <c r="B5" t="inlineStr">
        <is>
          <t>Tablet</t>
        </is>
      </c>
      <c r="C5" t="inlineStr">
        <is>
          <t>Tablets and eReaders</t>
        </is>
      </c>
      <c r="D5" t="b">
        <v>1</v>
      </c>
    </row>
    <row r="6">
      <c r="A6" t="inlineStr">
        <is>
          <t>CMP</t>
        </is>
      </c>
      <c r="B6" t="inlineStr">
        <is>
          <t>Computer</t>
        </is>
      </c>
      <c r="C6" t="inlineStr">
        <is>
          <t>Laptops, desktops, AIOs</t>
        </is>
      </c>
      <c r="D6" t="b">
        <v>1</v>
      </c>
    </row>
    <row r="7">
      <c r="A7" t="inlineStr">
        <is>
          <t>WEAR</t>
        </is>
      </c>
      <c r="B7" t="inlineStr">
        <is>
          <t>Wearable</t>
        </is>
      </c>
      <c r="C7" t="inlineStr">
        <is>
          <t>Smartwatches and wearables</t>
        </is>
      </c>
      <c r="D7" t="b">
        <v>1</v>
      </c>
    </row>
    <row r="8">
      <c r="A8" t="inlineStr">
        <is>
          <t>GAM</t>
        </is>
      </c>
      <c r="B8" t="inlineStr">
        <is>
          <t>Gaming</t>
        </is>
      </c>
      <c r="C8" t="inlineStr">
        <is>
          <t>Consoles, and handheld gaming</t>
        </is>
      </c>
      <c r="D8" t="b">
        <v>1</v>
      </c>
    </row>
    <row r="9">
      <c r="A9" t="inlineStr">
        <is>
          <t>ACC</t>
        </is>
      </c>
      <c r="B9" t="inlineStr">
        <is>
          <t>Accessory</t>
        </is>
      </c>
      <c r="C9" t="inlineStr">
        <is>
          <t>Chargers, docks, keyboards, etc.</t>
        </is>
      </c>
      <c r="D9" t="b">
        <v>1</v>
      </c>
    </row>
    <row r="10">
      <c r="A10" t="inlineStr">
        <is>
          <t>OTH</t>
        </is>
      </c>
      <c r="B10" t="inlineStr">
        <is>
          <t>Other</t>
        </is>
      </c>
      <c r="C10" t="inlineStr">
        <is>
          <t>TV Devices, Other hardware devices not listed</t>
        </is>
      </c>
      <c r="D10" t="b">
        <v>1</v>
      </c>
    </row>
    <row r="11">
      <c r="B11" s="57" t="n"/>
      <c r="C11" s="57" t="n"/>
    </row>
    <row r="12">
      <c r="B12" s="57" t="n"/>
      <c r="C12" s="57" t="n"/>
    </row>
    <row r="13">
      <c r="B13" s="57" t="n"/>
      <c r="C13" s="57" t="n"/>
    </row>
    <row r="14">
      <c r="B14" s="57" t="n"/>
      <c r="C14" s="57" t="n"/>
    </row>
    <row r="15">
      <c r="B15" s="57" t="n"/>
      <c r="C15" s="57" t="n"/>
    </row>
  </sheetData>
  <dataValidations count="1">
    <dataValidation sqref="D4:D10" showDropDown="0" showInputMessage="1" showErrorMessage="1" allowBlank="1" type="list">
      <formula1>IstBoolean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2.xml><?xml version="1.0" encoding="utf-8"?>
<worksheet xmlns="http://schemas.openxmlformats.org/spreadsheetml/2006/main">
  <sheetPr>
    <tabColor rgb="FFFFFF00"/>
    <outlinePr summaryBelow="1" summaryRight="1"/>
    <pageSetUpPr/>
  </sheetPr>
  <dimension ref="A1:I843"/>
  <sheetViews>
    <sheetView workbookViewId="0">
      <selection activeCell="A2" sqref="A2:D53"/>
    </sheetView>
  </sheetViews>
  <sheetFormatPr baseColWidth="8" defaultRowHeight="14.5"/>
  <cols>
    <col width="11" bestFit="1" customWidth="1" style="125" min="1" max="1"/>
    <col width="19.453125" customWidth="1" style="59" min="2" max="2"/>
    <col width="22" bestFit="1" customWidth="1" style="59" min="3" max="3"/>
    <col width="36.90625" bestFit="1" customWidth="1" style="125" min="4" max="4"/>
    <col width="32.26953125" customWidth="1" style="125" min="5" max="5"/>
    <col width="28.81640625" customWidth="1" style="125" min="6" max="6"/>
    <col width="18.81640625" customWidth="1" style="125" min="7" max="7"/>
    <col width="19.26953125" customWidth="1" style="125" min="8" max="8"/>
    <col width="36.90625" bestFit="1" customWidth="1" style="125" min="9" max="9"/>
    <col width="15" customWidth="1" style="125" min="10" max="10"/>
    <col width="13.54296875" customWidth="1" style="125" min="11" max="11"/>
    <col width="15" customWidth="1" style="125" min="12" max="12"/>
  </cols>
  <sheetData>
    <row r="1">
      <c r="A1" t="inlineStr">
        <is>
          <t>Device ID</t>
        </is>
      </c>
      <c r="B1" s="59" t="inlineStr">
        <is>
          <t>Manufacturer Code</t>
        </is>
      </c>
      <c r="C1" s="59" t="inlineStr">
        <is>
          <t>Device Family Code</t>
        </is>
      </c>
      <c r="D1" t="inlineStr">
        <is>
          <t>Device Model</t>
        </is>
      </c>
      <c r="E1" t="inlineStr">
        <is>
          <t>Model Number</t>
        </is>
      </c>
      <c r="F1" t="inlineStr">
        <is>
          <t>Release Year</t>
        </is>
      </c>
      <c r="G1" t="inlineStr">
        <is>
          <t>End of Support</t>
        </is>
      </c>
      <c r="H1" t="inlineStr">
        <is>
          <t>Active</t>
        </is>
      </c>
      <c r="I1" t="inlineStr">
        <is>
          <t>Notes</t>
        </is>
      </c>
    </row>
    <row r="2" ht="21.5" customHeight="1" s="125">
      <c r="A2" t="inlineStr">
        <is>
          <t>DEV000001</t>
        </is>
      </c>
      <c r="B2" s="59" t="inlineStr">
        <is>
          <t>APL</t>
        </is>
      </c>
      <c r="C2" s="59" t="inlineStr">
        <is>
          <t>PHN</t>
        </is>
      </c>
      <c r="D2" s="60" t="inlineStr">
        <is>
          <t>iPhone (2G)</t>
        </is>
      </c>
      <c r="E2">
        <f>_xlfn.XLOOKUP(D2,'[2]8A. Master Device Catalog'!$F$5:$F$914,'[2]8A. Master Device Catalog'!$G$5:$G$914,"")</f>
        <v/>
      </c>
      <c r="F2">
        <f>_xlfn.XLOOKUP(D2,'[2]8A. Master Device Catalog'!$F$5:$F$914,'[2]8A. Master Device Catalog'!$H$5:$H$914,"")</f>
        <v/>
      </c>
    </row>
    <row r="3" ht="21.5" customHeight="1" s="125">
      <c r="A3" t="inlineStr">
        <is>
          <t>DEV000002</t>
        </is>
      </c>
      <c r="B3" s="59" t="inlineStr">
        <is>
          <t>APL</t>
        </is>
      </c>
      <c r="C3" s="59" t="inlineStr">
        <is>
          <t>PHN</t>
        </is>
      </c>
      <c r="D3" s="60" t="inlineStr">
        <is>
          <t>iPhone 3G</t>
        </is>
      </c>
      <c r="E3">
        <f>_xlfn.XLOOKUP(D3,'[2]8A. Master Device Catalog'!$F$5:$F$914,'[2]8A. Master Device Catalog'!$G$5:$G$914,"")</f>
        <v/>
      </c>
      <c r="F3">
        <f>_xlfn.XLOOKUP(D3,'[2]8A. Master Device Catalog'!$F$5:$F$914,'[2]8A. Master Device Catalog'!$H$5:$H$914,"")</f>
        <v/>
      </c>
    </row>
    <row r="4" ht="21.5" customHeight="1" s="125">
      <c r="A4" t="inlineStr">
        <is>
          <t>DEV000003</t>
        </is>
      </c>
      <c r="B4" s="59" t="inlineStr">
        <is>
          <t>APL</t>
        </is>
      </c>
      <c r="C4" s="59" t="inlineStr">
        <is>
          <t>PHN</t>
        </is>
      </c>
      <c r="D4" s="60" t="inlineStr">
        <is>
          <t>iPhone 3GS</t>
        </is>
      </c>
      <c r="E4">
        <f>_xlfn.XLOOKUP(D4,'[2]8A. Master Device Catalog'!$F$5:$F$914,'[2]8A. Master Device Catalog'!$G$5:$G$914,"")</f>
        <v/>
      </c>
      <c r="F4">
        <f>_xlfn.XLOOKUP(D4,'[2]8A. Master Device Catalog'!$F$5:$F$914,'[2]8A. Master Device Catalog'!$H$5:$H$914,"")</f>
        <v/>
      </c>
    </row>
    <row r="5" ht="21.5" customHeight="1" s="125">
      <c r="A5" t="inlineStr">
        <is>
          <t>DEV000004</t>
        </is>
      </c>
      <c r="B5" s="59" t="inlineStr">
        <is>
          <t>APL</t>
        </is>
      </c>
      <c r="C5" s="59" t="inlineStr">
        <is>
          <t>PHN</t>
        </is>
      </c>
      <c r="D5" s="60" t="inlineStr">
        <is>
          <t>iPhone 4</t>
        </is>
      </c>
      <c r="E5">
        <f>_xlfn.XLOOKUP(D5,'[2]8A. Master Device Catalog'!$F$5:$F$914,'[2]8A. Master Device Catalog'!$G$5:$G$914,"")</f>
        <v/>
      </c>
      <c r="F5">
        <f>_xlfn.XLOOKUP(D5,'[2]8A. Master Device Catalog'!$F$5:$F$914,'[2]8A. Master Device Catalog'!$H$5:$H$914,"")</f>
        <v/>
      </c>
    </row>
    <row r="6" ht="21.5" customHeight="1" s="125">
      <c r="A6" t="inlineStr">
        <is>
          <t>DEV000005</t>
        </is>
      </c>
      <c r="B6" s="59" t="inlineStr">
        <is>
          <t>APL</t>
        </is>
      </c>
      <c r="C6" s="59" t="inlineStr">
        <is>
          <t>PHN</t>
        </is>
      </c>
      <c r="D6" s="60" t="inlineStr">
        <is>
          <t>iPhone 4s</t>
        </is>
      </c>
      <c r="E6">
        <f>_xlfn.XLOOKUP(D6,'[2]8A. Master Device Catalog'!$F$5:$F$914,'[2]8A. Master Device Catalog'!$G$5:$G$914,"")</f>
        <v/>
      </c>
      <c r="F6">
        <f>_xlfn.XLOOKUP(D6,'[2]8A. Master Device Catalog'!$F$5:$F$914,'[2]8A. Master Device Catalog'!$H$5:$H$914,"")</f>
        <v/>
      </c>
    </row>
    <row r="7" ht="21.5" customHeight="1" s="125">
      <c r="A7" t="inlineStr">
        <is>
          <t>DEV000006</t>
        </is>
      </c>
      <c r="B7" s="59" t="inlineStr">
        <is>
          <t>APL</t>
        </is>
      </c>
      <c r="C7" s="59" t="inlineStr">
        <is>
          <t>PHN</t>
        </is>
      </c>
      <c r="D7" s="60" t="inlineStr">
        <is>
          <t>iPhone 5</t>
        </is>
      </c>
      <c r="E7">
        <f>_xlfn.XLOOKUP(D7,'[2]8A. Master Device Catalog'!$F$5:$F$914,'[2]8A. Master Device Catalog'!$G$5:$G$914,"")</f>
        <v/>
      </c>
      <c r="F7">
        <f>_xlfn.XLOOKUP(D7,'[2]8A. Master Device Catalog'!$F$5:$F$914,'[2]8A. Master Device Catalog'!$H$5:$H$914,"")</f>
        <v/>
      </c>
    </row>
    <row r="8" ht="21.5" customHeight="1" s="125">
      <c r="A8" t="inlineStr">
        <is>
          <t>DEV000007</t>
        </is>
      </c>
      <c r="B8" s="59" t="inlineStr">
        <is>
          <t>APL</t>
        </is>
      </c>
      <c r="C8" s="59" t="inlineStr">
        <is>
          <t>PHN</t>
        </is>
      </c>
      <c r="D8" s="60" t="inlineStr">
        <is>
          <t>iPhone 5c</t>
        </is>
      </c>
      <c r="E8">
        <f>_xlfn.XLOOKUP(D8,'[2]8A. Master Device Catalog'!$F$5:$F$914,'[2]8A. Master Device Catalog'!$G$5:$G$914,"")</f>
        <v/>
      </c>
      <c r="F8">
        <f>_xlfn.XLOOKUP(D8,'[2]8A. Master Device Catalog'!$F$5:$F$914,'[2]8A. Master Device Catalog'!$H$5:$H$914,"")</f>
        <v/>
      </c>
    </row>
    <row r="9" ht="21.5" customHeight="1" s="125">
      <c r="A9" t="inlineStr">
        <is>
          <t>DEV000008</t>
        </is>
      </c>
      <c r="B9" s="59" t="inlineStr">
        <is>
          <t>APL</t>
        </is>
      </c>
      <c r="C9" s="59" t="inlineStr">
        <is>
          <t>PHN</t>
        </is>
      </c>
      <c r="D9" s="60" t="inlineStr">
        <is>
          <t>iPhone 5s</t>
        </is>
      </c>
      <c r="E9">
        <f>_xlfn.XLOOKUP(D9,'[2]8A. Master Device Catalog'!$F$5:$F$914,'[2]8A. Master Device Catalog'!$G$5:$G$914,"")</f>
        <v/>
      </c>
      <c r="F9">
        <f>_xlfn.XLOOKUP(D9,'[2]8A. Master Device Catalog'!$F$5:$F$914,'[2]8A. Master Device Catalog'!$H$5:$H$914,"")</f>
        <v/>
      </c>
    </row>
    <row r="10" ht="21.5" customHeight="1" s="125">
      <c r="A10" t="inlineStr">
        <is>
          <t>DEV000009</t>
        </is>
      </c>
      <c r="B10" s="59" t="inlineStr">
        <is>
          <t>APL</t>
        </is>
      </c>
      <c r="C10" s="59" t="inlineStr">
        <is>
          <t>PHN</t>
        </is>
      </c>
      <c r="D10" s="60" t="inlineStr">
        <is>
          <t>iPhone 6</t>
        </is>
      </c>
      <c r="E10">
        <f>_xlfn.XLOOKUP(D10,'[2]8A. Master Device Catalog'!$F$5:$F$914,'[2]8A. Master Device Catalog'!$G$5:$G$914,"")</f>
        <v/>
      </c>
      <c r="F10">
        <f>_xlfn.XLOOKUP(D10,'[2]8A. Master Device Catalog'!$F$5:$F$914,'[2]8A. Master Device Catalog'!$H$5:$H$914,"")</f>
        <v/>
      </c>
    </row>
    <row r="11" ht="21.5" customHeight="1" s="125">
      <c r="A11" t="inlineStr">
        <is>
          <t>DEV000010</t>
        </is>
      </c>
      <c r="B11" s="59" t="inlineStr">
        <is>
          <t>APL</t>
        </is>
      </c>
      <c r="C11" s="59" t="inlineStr">
        <is>
          <t>PHN</t>
        </is>
      </c>
      <c r="D11" s="60" t="inlineStr">
        <is>
          <t>iPhone 6 Plus</t>
        </is>
      </c>
      <c r="E11">
        <f>_xlfn.XLOOKUP(D11,'[2]8A. Master Device Catalog'!$F$5:$F$914,'[2]8A. Master Device Catalog'!$G$5:$G$914,"")</f>
        <v/>
      </c>
      <c r="F11">
        <f>_xlfn.XLOOKUP(D11,'[2]8A. Master Device Catalog'!$F$5:$F$914,'[2]8A. Master Device Catalog'!$H$5:$H$914,"")</f>
        <v/>
      </c>
    </row>
    <row r="12" ht="21.5" customHeight="1" s="125">
      <c r="A12" t="inlineStr">
        <is>
          <t>DEV000011</t>
        </is>
      </c>
      <c r="B12" s="59" t="inlineStr">
        <is>
          <t>APL</t>
        </is>
      </c>
      <c r="C12" s="59" t="inlineStr">
        <is>
          <t>PHN</t>
        </is>
      </c>
      <c r="D12" s="60" t="inlineStr">
        <is>
          <t>iPhone 6s</t>
        </is>
      </c>
      <c r="E12">
        <f>_xlfn.XLOOKUP(D12,'[2]8A. Master Device Catalog'!$F$5:$F$914,'[2]8A. Master Device Catalog'!$G$5:$G$914,"")</f>
        <v/>
      </c>
      <c r="F12">
        <f>_xlfn.XLOOKUP(D12,'[2]8A. Master Device Catalog'!$F$5:$F$914,'[2]8A. Master Device Catalog'!$H$5:$H$914,"")</f>
        <v/>
      </c>
    </row>
    <row r="13" ht="21.5" customHeight="1" s="125">
      <c r="A13" t="inlineStr">
        <is>
          <t>DEV000012</t>
        </is>
      </c>
      <c r="B13" s="59" t="inlineStr">
        <is>
          <t>APL</t>
        </is>
      </c>
      <c r="C13" s="59" t="inlineStr">
        <is>
          <t>PHN</t>
        </is>
      </c>
      <c r="D13" s="60" t="inlineStr">
        <is>
          <t>iPhone 6s Plus</t>
        </is>
      </c>
      <c r="E13">
        <f>_xlfn.XLOOKUP(D13,'[2]8A. Master Device Catalog'!$F$5:$F$914,'[2]8A. Master Device Catalog'!$G$5:$G$914,"")</f>
        <v/>
      </c>
      <c r="F13">
        <f>_xlfn.XLOOKUP(D13,'[2]8A. Master Device Catalog'!$F$5:$F$914,'[2]8A. Master Device Catalog'!$H$5:$H$914,"")</f>
        <v/>
      </c>
    </row>
    <row r="14" ht="21.5" customHeight="1" s="125">
      <c r="A14" t="inlineStr">
        <is>
          <t>DEV000013</t>
        </is>
      </c>
      <c r="B14" s="59" t="inlineStr">
        <is>
          <t>APL</t>
        </is>
      </c>
      <c r="C14" s="59" t="inlineStr">
        <is>
          <t>PHN</t>
        </is>
      </c>
      <c r="D14" s="60" t="inlineStr">
        <is>
          <t>iPhone SE (1st Gen)</t>
        </is>
      </c>
      <c r="E14">
        <f>_xlfn.XLOOKUP(D14,'[2]8A. Master Device Catalog'!$F$5:$F$914,'[2]8A. Master Device Catalog'!$G$5:$G$914,"")</f>
        <v/>
      </c>
      <c r="F14">
        <f>_xlfn.XLOOKUP(D14,'[2]8A. Master Device Catalog'!$F$5:$F$914,'[2]8A. Master Device Catalog'!$H$5:$H$914,"")</f>
        <v/>
      </c>
    </row>
    <row r="15" ht="21.5" customHeight="1" s="125">
      <c r="A15" t="inlineStr">
        <is>
          <t>DEV000014</t>
        </is>
      </c>
      <c r="B15" s="59" t="inlineStr">
        <is>
          <t>APL</t>
        </is>
      </c>
      <c r="C15" s="59" t="inlineStr">
        <is>
          <t>PHN</t>
        </is>
      </c>
      <c r="D15" s="60" t="inlineStr">
        <is>
          <t>iPhone 7</t>
        </is>
      </c>
      <c r="E15">
        <f>_xlfn.XLOOKUP(D15,'[2]8A. Master Device Catalog'!$F$5:$F$914,'[2]8A. Master Device Catalog'!$G$5:$G$914,"")</f>
        <v/>
      </c>
      <c r="F15">
        <f>_xlfn.XLOOKUP(D15,'[2]8A. Master Device Catalog'!$F$5:$F$914,'[2]8A. Master Device Catalog'!$H$5:$H$914,"")</f>
        <v/>
      </c>
    </row>
    <row r="16" ht="21.5" customHeight="1" s="125">
      <c r="A16" t="inlineStr">
        <is>
          <t>DEV000015</t>
        </is>
      </c>
      <c r="B16" s="59" t="inlineStr">
        <is>
          <t>APL</t>
        </is>
      </c>
      <c r="C16" s="59" t="inlineStr">
        <is>
          <t>PHN</t>
        </is>
      </c>
      <c r="D16" s="60" t="inlineStr">
        <is>
          <t>iPhone 7 Plus</t>
        </is>
      </c>
      <c r="E16">
        <f>_xlfn.XLOOKUP(D16,'[2]8A. Master Device Catalog'!$F$5:$F$914,'[2]8A. Master Device Catalog'!$G$5:$G$914,"")</f>
        <v/>
      </c>
      <c r="F16">
        <f>_xlfn.XLOOKUP(D16,'[2]8A. Master Device Catalog'!$F$5:$F$914,'[2]8A. Master Device Catalog'!$H$5:$H$914,"")</f>
        <v/>
      </c>
    </row>
    <row r="17" ht="21.5" customHeight="1" s="125">
      <c r="A17" t="inlineStr">
        <is>
          <t>DEV000016</t>
        </is>
      </c>
      <c r="B17" s="59" t="inlineStr">
        <is>
          <t>APL</t>
        </is>
      </c>
      <c r="C17" s="59" t="inlineStr">
        <is>
          <t>PHN</t>
        </is>
      </c>
      <c r="D17" s="60" t="inlineStr">
        <is>
          <t>iPhone 8</t>
        </is>
      </c>
      <c r="E17">
        <f>_xlfn.XLOOKUP(D17,'[2]8A. Master Device Catalog'!$F$5:$F$914,'[2]8A. Master Device Catalog'!$G$5:$G$914,"")</f>
        <v/>
      </c>
      <c r="F17">
        <f>_xlfn.XLOOKUP(D17,'[2]8A. Master Device Catalog'!$F$5:$F$914,'[2]8A. Master Device Catalog'!$H$5:$H$914,"")</f>
        <v/>
      </c>
    </row>
    <row r="18" ht="21.5" customHeight="1" s="125">
      <c r="A18" t="inlineStr">
        <is>
          <t>DEV000017</t>
        </is>
      </c>
      <c r="B18" s="59" t="inlineStr">
        <is>
          <t>APL</t>
        </is>
      </c>
      <c r="C18" s="59" t="inlineStr">
        <is>
          <t>PHN</t>
        </is>
      </c>
      <c r="D18" s="60" t="inlineStr">
        <is>
          <t>iPhone 8 Plus</t>
        </is>
      </c>
      <c r="E18">
        <f>_xlfn.XLOOKUP(D18,'[2]8A. Master Device Catalog'!$F$5:$F$914,'[2]8A. Master Device Catalog'!$G$5:$G$914,"")</f>
        <v/>
      </c>
      <c r="F18">
        <f>_xlfn.XLOOKUP(D18,'[2]8A. Master Device Catalog'!$F$5:$F$914,'[2]8A. Master Device Catalog'!$H$5:$H$914,"")</f>
        <v/>
      </c>
    </row>
    <row r="19" ht="21.5" customHeight="1" s="125">
      <c r="A19" t="inlineStr">
        <is>
          <t>DEV000018</t>
        </is>
      </c>
      <c r="B19" s="59" t="inlineStr">
        <is>
          <t>APL</t>
        </is>
      </c>
      <c r="C19" s="59" t="inlineStr">
        <is>
          <t>PHN</t>
        </is>
      </c>
      <c r="D19" s="60" t="inlineStr">
        <is>
          <t>iPhone X</t>
        </is>
      </c>
      <c r="E19">
        <f>_xlfn.XLOOKUP(D19,'[2]8A. Master Device Catalog'!$F$5:$F$914,'[2]8A. Master Device Catalog'!$G$5:$G$914,"")</f>
        <v/>
      </c>
      <c r="F19">
        <f>_xlfn.XLOOKUP(D19,'[2]8A. Master Device Catalog'!$F$5:$F$914,'[2]8A. Master Device Catalog'!$H$5:$H$914,"")</f>
        <v/>
      </c>
    </row>
    <row r="20" ht="21.5" customHeight="1" s="125">
      <c r="A20" t="inlineStr">
        <is>
          <t>DEV000019</t>
        </is>
      </c>
      <c r="B20" s="59" t="inlineStr">
        <is>
          <t>APL</t>
        </is>
      </c>
      <c r="C20" s="59" t="inlineStr">
        <is>
          <t>PHN</t>
        </is>
      </c>
      <c r="D20" s="60" t="inlineStr">
        <is>
          <t>iPhone XR</t>
        </is>
      </c>
      <c r="E20">
        <f>_xlfn.XLOOKUP(D20,'[2]8A. Master Device Catalog'!$F$5:$F$914,'[2]8A. Master Device Catalog'!$G$5:$G$914,"")</f>
        <v/>
      </c>
      <c r="F20">
        <f>_xlfn.XLOOKUP(D20,'[2]8A. Master Device Catalog'!$F$5:$F$914,'[2]8A. Master Device Catalog'!$H$5:$H$914,"")</f>
        <v/>
      </c>
    </row>
    <row r="21" ht="21.5" customHeight="1" s="125">
      <c r="A21" t="inlineStr">
        <is>
          <t>DEV000020</t>
        </is>
      </c>
      <c r="B21" s="59" t="inlineStr">
        <is>
          <t>APL</t>
        </is>
      </c>
      <c r="C21" s="59" t="inlineStr">
        <is>
          <t>PHN</t>
        </is>
      </c>
      <c r="D21" s="60" t="inlineStr">
        <is>
          <t>iPhone XS</t>
        </is>
      </c>
      <c r="E21">
        <f>_xlfn.XLOOKUP(D21,'[2]8A. Master Device Catalog'!$F$5:$F$914,'[2]8A. Master Device Catalog'!$G$5:$G$914,"")</f>
        <v/>
      </c>
      <c r="F21">
        <f>_xlfn.XLOOKUP(D21,'[2]8A. Master Device Catalog'!$F$5:$F$914,'[2]8A. Master Device Catalog'!$H$5:$H$914,"")</f>
        <v/>
      </c>
    </row>
    <row r="22" ht="21.5" customHeight="1" s="125">
      <c r="A22" t="inlineStr">
        <is>
          <t>DEV000021</t>
        </is>
      </c>
      <c r="B22" s="59" t="inlineStr">
        <is>
          <t>APL</t>
        </is>
      </c>
      <c r="C22" s="59" t="inlineStr">
        <is>
          <t>PHN</t>
        </is>
      </c>
      <c r="D22" s="60" t="inlineStr">
        <is>
          <t>iPhone XS Max</t>
        </is>
      </c>
      <c r="E22">
        <f>_xlfn.XLOOKUP(D22,'[2]8A. Master Device Catalog'!$F$5:$F$914,'[2]8A. Master Device Catalog'!$G$5:$G$914,"")</f>
        <v/>
      </c>
      <c r="F22">
        <f>_xlfn.XLOOKUP(D22,'[2]8A. Master Device Catalog'!$F$5:$F$914,'[2]8A. Master Device Catalog'!$H$5:$H$914,"")</f>
        <v/>
      </c>
    </row>
    <row r="23" ht="21.5" customHeight="1" s="125">
      <c r="A23" t="inlineStr">
        <is>
          <t>DEV000022</t>
        </is>
      </c>
      <c r="B23" s="59" t="inlineStr">
        <is>
          <t>APL</t>
        </is>
      </c>
      <c r="C23" s="59" t="inlineStr">
        <is>
          <t>PHN</t>
        </is>
      </c>
      <c r="D23" s="60" t="inlineStr">
        <is>
          <t>iPhone 11</t>
        </is>
      </c>
      <c r="E23">
        <f>_xlfn.XLOOKUP(D23,'[2]8A. Master Device Catalog'!$F$5:$F$914,'[2]8A. Master Device Catalog'!$G$5:$G$914,"")</f>
        <v/>
      </c>
      <c r="F23">
        <f>_xlfn.XLOOKUP(D23,'[2]8A. Master Device Catalog'!$F$5:$F$914,'[2]8A. Master Device Catalog'!$H$5:$H$914,"")</f>
        <v/>
      </c>
    </row>
    <row r="24" ht="21.5" customHeight="1" s="125">
      <c r="A24" t="inlineStr">
        <is>
          <t>DEV000023</t>
        </is>
      </c>
      <c r="B24" s="59" t="inlineStr">
        <is>
          <t>APL</t>
        </is>
      </c>
      <c r="C24" s="59" t="inlineStr">
        <is>
          <t>PHN</t>
        </is>
      </c>
      <c r="D24" s="60" t="inlineStr">
        <is>
          <t>iPhone 11 Pro</t>
        </is>
      </c>
      <c r="E24">
        <f>_xlfn.XLOOKUP(D24,'[2]8A. Master Device Catalog'!$F$5:$F$914,'[2]8A. Master Device Catalog'!$G$5:$G$914,"")</f>
        <v/>
      </c>
      <c r="F24">
        <f>_xlfn.XLOOKUP(D24,'[2]8A. Master Device Catalog'!$F$5:$F$914,'[2]8A. Master Device Catalog'!$H$5:$H$914,"")</f>
        <v/>
      </c>
    </row>
    <row r="25" ht="21.5" customHeight="1" s="125">
      <c r="A25" t="inlineStr">
        <is>
          <t>DEV000024</t>
        </is>
      </c>
      <c r="B25" s="59" t="inlineStr">
        <is>
          <t>APL</t>
        </is>
      </c>
      <c r="C25" s="59" t="inlineStr">
        <is>
          <t>PHN</t>
        </is>
      </c>
      <c r="D25" s="60" t="inlineStr">
        <is>
          <t>iPhone 11 Pro Max</t>
        </is>
      </c>
      <c r="E25">
        <f>_xlfn.XLOOKUP(D25,'[2]8A. Master Device Catalog'!$F$5:$F$914,'[2]8A. Master Device Catalog'!$G$5:$G$914,"")</f>
        <v/>
      </c>
      <c r="F25">
        <f>_xlfn.XLOOKUP(D25,'[2]8A. Master Device Catalog'!$F$5:$F$914,'[2]8A. Master Device Catalog'!$H$5:$H$914,"")</f>
        <v/>
      </c>
    </row>
    <row r="26" ht="21.5" customHeight="1" s="125">
      <c r="A26" t="inlineStr">
        <is>
          <t>DEV000025</t>
        </is>
      </c>
      <c r="B26" s="59" t="inlineStr">
        <is>
          <t>APL</t>
        </is>
      </c>
      <c r="C26" s="59" t="inlineStr">
        <is>
          <t>PHN</t>
        </is>
      </c>
      <c r="D26" s="60" t="inlineStr">
        <is>
          <t>iPhone SE (2nd Generation)</t>
        </is>
      </c>
      <c r="E26">
        <f>_xlfn.XLOOKUP(D26,'[2]8A. Master Device Catalog'!$F$5:$F$914,'[2]8A. Master Device Catalog'!$G$5:$G$914,"")</f>
        <v/>
      </c>
      <c r="F26">
        <f>_xlfn.XLOOKUP(D26,'[2]8A. Master Device Catalog'!$F$5:$F$914,'[2]8A. Master Device Catalog'!$H$5:$H$914,"")</f>
        <v/>
      </c>
    </row>
    <row r="27" ht="21.5" customHeight="1" s="125">
      <c r="A27" t="inlineStr">
        <is>
          <t>DEV000026</t>
        </is>
      </c>
      <c r="B27" s="59" t="inlineStr">
        <is>
          <t>APL</t>
        </is>
      </c>
      <c r="C27" s="59" t="inlineStr">
        <is>
          <t>PHN</t>
        </is>
      </c>
      <c r="D27" s="60" t="inlineStr">
        <is>
          <t>iPhone 12 mini</t>
        </is>
      </c>
      <c r="E27">
        <f>_xlfn.XLOOKUP(D27,'[2]8A. Master Device Catalog'!$F$5:$F$914,'[2]8A. Master Device Catalog'!$G$5:$G$914,"")</f>
        <v/>
      </c>
      <c r="F27">
        <f>_xlfn.XLOOKUP(D27,'[2]8A. Master Device Catalog'!$F$5:$F$914,'[2]8A. Master Device Catalog'!$H$5:$H$914,"")</f>
        <v/>
      </c>
    </row>
    <row r="28" ht="21.5" customHeight="1" s="125">
      <c r="A28" t="inlineStr">
        <is>
          <t>DEV000027</t>
        </is>
      </c>
      <c r="B28" s="59" t="inlineStr">
        <is>
          <t>APL</t>
        </is>
      </c>
      <c r="C28" s="59" t="inlineStr">
        <is>
          <t>PHN</t>
        </is>
      </c>
      <c r="D28" s="60" t="inlineStr">
        <is>
          <t>iPhone 12</t>
        </is>
      </c>
      <c r="E28">
        <f>_xlfn.XLOOKUP(D28,'[2]8A. Master Device Catalog'!$F$5:$F$914,'[2]8A. Master Device Catalog'!$G$5:$G$914,"")</f>
        <v/>
      </c>
      <c r="F28">
        <f>_xlfn.XLOOKUP(D28,'[2]8A. Master Device Catalog'!$F$5:$F$914,'[2]8A. Master Device Catalog'!$H$5:$H$914,"")</f>
        <v/>
      </c>
    </row>
    <row r="29" ht="21.5" customHeight="1" s="125">
      <c r="A29" t="inlineStr">
        <is>
          <t>DEV000028</t>
        </is>
      </c>
      <c r="B29" s="59" t="inlineStr">
        <is>
          <t>APL</t>
        </is>
      </c>
      <c r="C29" s="59" t="inlineStr">
        <is>
          <t>PHN</t>
        </is>
      </c>
      <c r="D29" s="60" t="inlineStr">
        <is>
          <t>iPhone 12 Pro</t>
        </is>
      </c>
      <c r="E29">
        <f>_xlfn.XLOOKUP(D29,'[2]8A. Master Device Catalog'!$F$5:$F$914,'[2]8A. Master Device Catalog'!$G$5:$G$914,"")</f>
        <v/>
      </c>
      <c r="F29">
        <f>_xlfn.XLOOKUP(D29,'[2]8A. Master Device Catalog'!$F$5:$F$914,'[2]8A. Master Device Catalog'!$H$5:$H$914,"")</f>
        <v/>
      </c>
    </row>
    <row r="30" ht="21.5" customHeight="1" s="125">
      <c r="A30" t="inlineStr">
        <is>
          <t>DEV000029</t>
        </is>
      </c>
      <c r="B30" s="59" t="inlineStr">
        <is>
          <t>APL</t>
        </is>
      </c>
      <c r="C30" s="59" t="inlineStr">
        <is>
          <t>PHN</t>
        </is>
      </c>
      <c r="D30" s="60" t="inlineStr">
        <is>
          <t>iPhone 12 Pro Max</t>
        </is>
      </c>
      <c r="E30">
        <f>_xlfn.XLOOKUP(D30,'[2]8A. Master Device Catalog'!$F$5:$F$914,'[2]8A. Master Device Catalog'!$G$5:$G$914,"")</f>
        <v/>
      </c>
      <c r="F30">
        <f>_xlfn.XLOOKUP(D30,'[2]8A. Master Device Catalog'!$F$5:$F$914,'[2]8A. Master Device Catalog'!$H$5:$H$914,"")</f>
        <v/>
      </c>
    </row>
    <row r="31" ht="21.5" customHeight="1" s="125">
      <c r="A31" t="inlineStr">
        <is>
          <t>DEV000030</t>
        </is>
      </c>
      <c r="B31" s="59" t="inlineStr">
        <is>
          <t>APL</t>
        </is>
      </c>
      <c r="C31" s="59" t="inlineStr">
        <is>
          <t>PHN</t>
        </is>
      </c>
      <c r="D31" s="60" t="inlineStr">
        <is>
          <t>iPhone 13 mini</t>
        </is>
      </c>
      <c r="E31">
        <f>_xlfn.XLOOKUP(D31,'[2]8A. Master Device Catalog'!$F$5:$F$914,'[2]8A. Master Device Catalog'!$G$5:$G$914,"")</f>
        <v/>
      </c>
      <c r="F31">
        <f>_xlfn.XLOOKUP(D31,'[2]8A. Master Device Catalog'!$F$5:$F$914,'[2]8A. Master Device Catalog'!$H$5:$H$914,"")</f>
        <v/>
      </c>
    </row>
    <row r="32" ht="21.5" customHeight="1" s="125">
      <c r="A32" t="inlineStr">
        <is>
          <t>DEV000031</t>
        </is>
      </c>
      <c r="B32" s="59" t="inlineStr">
        <is>
          <t>APL</t>
        </is>
      </c>
      <c r="C32" s="59" t="inlineStr">
        <is>
          <t>PHN</t>
        </is>
      </c>
      <c r="D32" s="60" t="inlineStr">
        <is>
          <t>iPhone 13</t>
        </is>
      </c>
      <c r="E32">
        <f>_xlfn.XLOOKUP(D32,'[2]8A. Master Device Catalog'!$F$5:$F$914,'[2]8A. Master Device Catalog'!$G$5:$G$914,"")</f>
        <v/>
      </c>
      <c r="F32">
        <f>_xlfn.XLOOKUP(D32,'[2]8A. Master Device Catalog'!$F$5:$F$914,'[2]8A. Master Device Catalog'!$H$5:$H$914,"")</f>
        <v/>
      </c>
    </row>
    <row r="33" ht="21.5" customHeight="1" s="125">
      <c r="A33" t="inlineStr">
        <is>
          <t>DEV000032</t>
        </is>
      </c>
      <c r="B33" s="59" t="inlineStr">
        <is>
          <t>APL</t>
        </is>
      </c>
      <c r="C33" s="59" t="inlineStr">
        <is>
          <t>PHN</t>
        </is>
      </c>
      <c r="D33" s="60" t="inlineStr">
        <is>
          <t>iPhone 13 Pro</t>
        </is>
      </c>
      <c r="E33">
        <f>_xlfn.XLOOKUP(D33,'[2]8A. Master Device Catalog'!$F$5:$F$914,'[2]8A. Master Device Catalog'!$G$5:$G$914,"")</f>
        <v/>
      </c>
      <c r="F33">
        <f>_xlfn.XLOOKUP(D33,'[2]8A. Master Device Catalog'!$F$5:$F$914,'[2]8A. Master Device Catalog'!$H$5:$H$914,"")</f>
        <v/>
      </c>
    </row>
    <row r="34" ht="21.5" customHeight="1" s="125">
      <c r="A34" t="inlineStr">
        <is>
          <t>DEV000033</t>
        </is>
      </c>
      <c r="B34" s="59" t="inlineStr">
        <is>
          <t>APL</t>
        </is>
      </c>
      <c r="C34" s="59" t="inlineStr">
        <is>
          <t>PHN</t>
        </is>
      </c>
      <c r="D34" s="60" t="inlineStr">
        <is>
          <t>iPhone 13 Pro Max</t>
        </is>
      </c>
      <c r="E34">
        <f>_xlfn.XLOOKUP(D34,'[2]8A. Master Device Catalog'!$F$5:$F$914,'[2]8A. Master Device Catalog'!$G$5:$G$914,"")</f>
        <v/>
      </c>
      <c r="F34">
        <f>_xlfn.XLOOKUP(D34,'[2]8A. Master Device Catalog'!$F$5:$F$914,'[2]8A. Master Device Catalog'!$H$5:$H$914,"")</f>
        <v/>
      </c>
    </row>
    <row r="35" ht="21.5" customHeight="1" s="125">
      <c r="A35" t="inlineStr">
        <is>
          <t>DEV000034</t>
        </is>
      </c>
      <c r="B35" s="59" t="inlineStr">
        <is>
          <t>APL</t>
        </is>
      </c>
      <c r="C35" s="59" t="inlineStr">
        <is>
          <t>PHN</t>
        </is>
      </c>
      <c r="D35" s="60" t="inlineStr">
        <is>
          <t>iPhone SE (3rd Generation)</t>
        </is>
      </c>
      <c r="E35">
        <f>_xlfn.XLOOKUP(D35,'[2]8A. Master Device Catalog'!$F$5:$F$914,'[2]8A. Master Device Catalog'!$G$5:$G$914,"")</f>
        <v/>
      </c>
      <c r="F35">
        <f>_xlfn.XLOOKUP(D35,'[2]8A. Master Device Catalog'!$F$5:$F$914,'[2]8A. Master Device Catalog'!$H$5:$H$914,"")</f>
        <v/>
      </c>
    </row>
    <row r="36" ht="21.5" customHeight="1" s="125">
      <c r="A36" t="inlineStr">
        <is>
          <t>DEV000035</t>
        </is>
      </c>
      <c r="B36" s="59" t="inlineStr">
        <is>
          <t>APL</t>
        </is>
      </c>
      <c r="C36" s="59" t="inlineStr">
        <is>
          <t>PHN</t>
        </is>
      </c>
      <c r="D36" s="60" t="inlineStr">
        <is>
          <t>iPhone 14</t>
        </is>
      </c>
      <c r="E36">
        <f>_xlfn.XLOOKUP(D36,'[2]8A. Master Device Catalog'!$F$5:$F$914,'[2]8A. Master Device Catalog'!$G$5:$G$914,"")</f>
        <v/>
      </c>
      <c r="F36">
        <f>_xlfn.XLOOKUP(D36,'[2]8A. Master Device Catalog'!$F$5:$F$914,'[2]8A. Master Device Catalog'!$H$5:$H$914,"")</f>
        <v/>
      </c>
    </row>
    <row r="37" ht="21.5" customHeight="1" s="125">
      <c r="A37" t="inlineStr">
        <is>
          <t>DEV000036</t>
        </is>
      </c>
      <c r="B37" s="59" t="inlineStr">
        <is>
          <t>APL</t>
        </is>
      </c>
      <c r="C37" s="59" t="inlineStr">
        <is>
          <t>PHN</t>
        </is>
      </c>
      <c r="D37" s="60" t="inlineStr">
        <is>
          <t>iPhone 14 Plus</t>
        </is>
      </c>
      <c r="E37">
        <f>_xlfn.XLOOKUP(D37,'[2]8A. Master Device Catalog'!$F$5:$F$914,'[2]8A. Master Device Catalog'!$G$5:$G$914,"")</f>
        <v/>
      </c>
      <c r="F37">
        <f>_xlfn.XLOOKUP(D37,'[2]8A. Master Device Catalog'!$F$5:$F$914,'[2]8A. Master Device Catalog'!$H$5:$H$914,"")</f>
        <v/>
      </c>
    </row>
    <row r="38" ht="21.5" customHeight="1" s="125">
      <c r="A38" t="inlineStr">
        <is>
          <t>DEV000037</t>
        </is>
      </c>
      <c r="B38" s="59" t="inlineStr">
        <is>
          <t>APL</t>
        </is>
      </c>
      <c r="C38" s="59" t="inlineStr">
        <is>
          <t>PHN</t>
        </is>
      </c>
      <c r="D38" s="60" t="inlineStr">
        <is>
          <t>iPhone 14 Pro</t>
        </is>
      </c>
      <c r="E38">
        <f>_xlfn.XLOOKUP(D38,'[2]8A. Master Device Catalog'!$F$5:$F$914,'[2]8A. Master Device Catalog'!$G$5:$G$914,"")</f>
        <v/>
      </c>
      <c r="F38">
        <f>_xlfn.XLOOKUP(D38,'[2]8A. Master Device Catalog'!$F$5:$F$914,'[2]8A. Master Device Catalog'!$H$5:$H$914,"")</f>
        <v/>
      </c>
    </row>
    <row r="39" ht="21.5" customHeight="1" s="125">
      <c r="A39" t="inlineStr">
        <is>
          <t>DEV000038</t>
        </is>
      </c>
      <c r="B39" s="59" t="inlineStr">
        <is>
          <t>APL</t>
        </is>
      </c>
      <c r="C39" s="59" t="inlineStr">
        <is>
          <t>PHN</t>
        </is>
      </c>
      <c r="D39" s="60" t="inlineStr">
        <is>
          <t>iPhone 14 Pro Max</t>
        </is>
      </c>
      <c r="E39">
        <f>_xlfn.XLOOKUP(D39,'[2]8A. Master Device Catalog'!$F$5:$F$914,'[2]8A. Master Device Catalog'!$G$5:$G$914,"")</f>
        <v/>
      </c>
      <c r="F39">
        <f>_xlfn.XLOOKUP(D39,'[2]8A. Master Device Catalog'!$F$5:$F$914,'[2]8A. Master Device Catalog'!$H$5:$H$914,"")</f>
        <v/>
      </c>
    </row>
    <row r="40" ht="21.5" customHeight="1" s="125">
      <c r="A40" t="inlineStr">
        <is>
          <t>DEV000039</t>
        </is>
      </c>
      <c r="B40" s="59" t="inlineStr">
        <is>
          <t>APL</t>
        </is>
      </c>
      <c r="C40" s="59" t="inlineStr">
        <is>
          <t>PHN</t>
        </is>
      </c>
      <c r="D40" s="60" t="inlineStr">
        <is>
          <t>iPhone 15</t>
        </is>
      </c>
      <c r="E40">
        <f>_xlfn.XLOOKUP(D40,'[2]8A. Master Device Catalog'!$F$5:$F$914,'[2]8A. Master Device Catalog'!$G$5:$G$914,"")</f>
        <v/>
      </c>
      <c r="F40">
        <f>_xlfn.XLOOKUP(D40,'[2]8A. Master Device Catalog'!$F$5:$F$914,'[2]8A. Master Device Catalog'!$H$5:$H$914,"")</f>
        <v/>
      </c>
    </row>
    <row r="41" ht="21.5" customHeight="1" s="125">
      <c r="A41" t="inlineStr">
        <is>
          <t>DEV000040</t>
        </is>
      </c>
      <c r="B41" s="59" t="inlineStr">
        <is>
          <t>APL</t>
        </is>
      </c>
      <c r="C41" s="59" t="inlineStr">
        <is>
          <t>PHN</t>
        </is>
      </c>
      <c r="D41" s="60" t="inlineStr">
        <is>
          <t>iPhone 15 Plus</t>
        </is>
      </c>
      <c r="E41">
        <f>_xlfn.XLOOKUP(D41,'[2]8A. Master Device Catalog'!$F$5:$F$914,'[2]8A. Master Device Catalog'!$G$5:$G$914,"")</f>
        <v/>
      </c>
      <c r="F41">
        <f>_xlfn.XLOOKUP(D41,'[2]8A. Master Device Catalog'!$F$5:$F$914,'[2]8A. Master Device Catalog'!$H$5:$H$914,"")</f>
        <v/>
      </c>
    </row>
    <row r="42" ht="21.5" customHeight="1" s="125">
      <c r="A42" t="inlineStr">
        <is>
          <t>DEV000041</t>
        </is>
      </c>
      <c r="B42" s="59" t="inlineStr">
        <is>
          <t>APL</t>
        </is>
      </c>
      <c r="C42" s="59" t="inlineStr">
        <is>
          <t>PHN</t>
        </is>
      </c>
      <c r="D42" s="60" t="inlineStr">
        <is>
          <t>iPhone 15 Pro</t>
        </is>
      </c>
      <c r="E42">
        <f>_xlfn.XLOOKUP(D42,'[2]8A. Master Device Catalog'!$F$5:$F$914,'[2]8A. Master Device Catalog'!$G$5:$G$914,"")</f>
        <v/>
      </c>
      <c r="F42">
        <f>_xlfn.XLOOKUP(D42,'[2]8A. Master Device Catalog'!$F$5:$F$914,'[2]8A. Master Device Catalog'!$H$5:$H$914,"")</f>
        <v/>
      </c>
    </row>
    <row r="43" ht="21.5" customHeight="1" s="125">
      <c r="A43" t="inlineStr">
        <is>
          <t>DEV000042</t>
        </is>
      </c>
      <c r="B43" s="59" t="inlineStr">
        <is>
          <t>APL</t>
        </is>
      </c>
      <c r="C43" s="59" t="inlineStr">
        <is>
          <t>PHN</t>
        </is>
      </c>
      <c r="D43" s="60" t="inlineStr">
        <is>
          <t>iPhone 15 Pro Max</t>
        </is>
      </c>
      <c r="E43">
        <f>_xlfn.XLOOKUP(D43,'[2]8A. Master Device Catalog'!$F$5:$F$914,'[2]8A. Master Device Catalog'!$G$5:$G$914,"")</f>
        <v/>
      </c>
      <c r="F43">
        <f>_xlfn.XLOOKUP(D43,'[2]8A. Master Device Catalog'!$F$5:$F$914,'[2]8A. Master Device Catalog'!$H$5:$H$914,"")</f>
        <v/>
      </c>
    </row>
    <row r="44" ht="21.5" customHeight="1" s="125">
      <c r="A44" t="inlineStr">
        <is>
          <t>DEV000043</t>
        </is>
      </c>
      <c r="B44" s="59" t="inlineStr">
        <is>
          <t>APL</t>
        </is>
      </c>
      <c r="C44" s="59" t="inlineStr">
        <is>
          <t>PHN</t>
        </is>
      </c>
      <c r="D44" s="60" t="inlineStr">
        <is>
          <t>iPhone 16</t>
        </is>
      </c>
      <c r="E44">
        <f>_xlfn.XLOOKUP(D44,'[2]8A. Master Device Catalog'!$F$5:$F$914,'[2]8A. Master Device Catalog'!$G$5:$G$914,"")</f>
        <v/>
      </c>
      <c r="F44">
        <f>_xlfn.XLOOKUP(D44,'[2]8A. Master Device Catalog'!$F$5:$F$914,'[2]8A. Master Device Catalog'!$H$5:$H$914,"")</f>
        <v/>
      </c>
    </row>
    <row r="45" ht="21.5" customHeight="1" s="125">
      <c r="A45" t="inlineStr">
        <is>
          <t>DEV000044</t>
        </is>
      </c>
      <c r="B45" s="59" t="inlineStr">
        <is>
          <t>APL</t>
        </is>
      </c>
      <c r="C45" s="59" t="inlineStr">
        <is>
          <t>PHN</t>
        </is>
      </c>
      <c r="D45" s="60" t="inlineStr">
        <is>
          <t>iPhone 16 Plus</t>
        </is>
      </c>
      <c r="E45">
        <f>_xlfn.XLOOKUP(D45,'[2]8A. Master Device Catalog'!$F$5:$F$914,'[2]8A. Master Device Catalog'!$G$5:$G$914,"")</f>
        <v/>
      </c>
      <c r="F45">
        <f>_xlfn.XLOOKUP(D45,'[2]8A. Master Device Catalog'!$F$5:$F$914,'[2]8A. Master Device Catalog'!$H$5:$H$914,"")</f>
        <v/>
      </c>
    </row>
    <row r="46" ht="21.5" customHeight="1" s="125">
      <c r="A46" t="inlineStr">
        <is>
          <t>DEV000045</t>
        </is>
      </c>
      <c r="B46" s="59" t="inlineStr">
        <is>
          <t>APL</t>
        </is>
      </c>
      <c r="C46" s="59" t="inlineStr">
        <is>
          <t>PHN</t>
        </is>
      </c>
      <c r="D46" s="60" t="inlineStr">
        <is>
          <t>iPhone 16 Pro</t>
        </is>
      </c>
      <c r="E46">
        <f>_xlfn.XLOOKUP(D46,'[2]8A. Master Device Catalog'!$F$5:$F$914,'[2]8A. Master Device Catalog'!$G$5:$G$914,"")</f>
        <v/>
      </c>
      <c r="F46">
        <f>_xlfn.XLOOKUP(D46,'[2]8A. Master Device Catalog'!$F$5:$F$914,'[2]8A. Master Device Catalog'!$H$5:$H$914,"")</f>
        <v/>
      </c>
    </row>
    <row r="47" ht="21.5" customHeight="1" s="125">
      <c r="A47" t="inlineStr">
        <is>
          <t>DEV000046</t>
        </is>
      </c>
      <c r="B47" s="59" t="inlineStr">
        <is>
          <t>APL</t>
        </is>
      </c>
      <c r="C47" s="59" t="inlineStr">
        <is>
          <t>PHN</t>
        </is>
      </c>
      <c r="D47" s="60" t="inlineStr">
        <is>
          <t>iPhone 16 Pro Max</t>
        </is>
      </c>
      <c r="E47">
        <f>_xlfn.XLOOKUP(D47,'[2]8A. Master Device Catalog'!$F$5:$F$914,'[2]8A. Master Device Catalog'!$G$5:$G$914,"")</f>
        <v/>
      </c>
      <c r="F47">
        <f>_xlfn.XLOOKUP(D47,'[2]8A. Master Device Catalog'!$F$5:$F$914,'[2]8A. Master Device Catalog'!$H$5:$H$914,"")</f>
        <v/>
      </c>
    </row>
    <row r="48" ht="21.5" customHeight="1" s="125">
      <c r="A48" t="inlineStr">
        <is>
          <t>DEV000047</t>
        </is>
      </c>
      <c r="B48" s="59" t="inlineStr">
        <is>
          <t>APL</t>
        </is>
      </c>
      <c r="C48" s="59" t="inlineStr">
        <is>
          <t>PHN</t>
        </is>
      </c>
      <c r="D48" s="60" t="inlineStr">
        <is>
          <t>iPhone 16e</t>
        </is>
      </c>
      <c r="E48">
        <f>_xlfn.XLOOKUP(D48,'[2]8A. Master Device Catalog'!$F$5:$F$914,'[2]8A. Master Device Catalog'!$G$5:$G$914,"")</f>
        <v/>
      </c>
      <c r="F48">
        <f>_xlfn.XLOOKUP(D48,'[2]8A. Master Device Catalog'!$F$5:$F$914,'[2]8A. Master Device Catalog'!$H$5:$H$914,"")</f>
        <v/>
      </c>
    </row>
    <row r="49" ht="21.5" customHeight="1" s="125">
      <c r="A49" t="inlineStr">
        <is>
          <t>DEV000048</t>
        </is>
      </c>
      <c r="B49" s="59" t="inlineStr">
        <is>
          <t>APL</t>
        </is>
      </c>
      <c r="C49" s="59" t="inlineStr">
        <is>
          <t>PHN</t>
        </is>
      </c>
      <c r="D49" s="60" t="inlineStr">
        <is>
          <t>iPhone 17</t>
        </is>
      </c>
      <c r="E49" t="inlineStr">
        <is>
          <t>A3258</t>
        </is>
      </c>
      <c r="F49" t="n">
        <v>2026</v>
      </c>
    </row>
    <row r="50" ht="21.5" customHeight="1" s="125">
      <c r="A50" t="inlineStr">
        <is>
          <t>DEV000049</t>
        </is>
      </c>
      <c r="B50" s="59" t="inlineStr">
        <is>
          <t>APL</t>
        </is>
      </c>
      <c r="C50" s="59" t="inlineStr">
        <is>
          <t>PHN</t>
        </is>
      </c>
      <c r="D50" s="60" t="inlineStr">
        <is>
          <t>iPhone 17 Pro</t>
        </is>
      </c>
      <c r="E50" t="inlineStr">
        <is>
          <t>A3256</t>
        </is>
      </c>
      <c r="F50" t="n">
        <v>2026</v>
      </c>
    </row>
    <row r="51" ht="21.5" customHeight="1" s="125">
      <c r="A51" t="inlineStr">
        <is>
          <t>DEV000050</t>
        </is>
      </c>
      <c r="B51" s="59" t="inlineStr">
        <is>
          <t>APL</t>
        </is>
      </c>
      <c r="C51" s="59" t="inlineStr">
        <is>
          <t>PHN</t>
        </is>
      </c>
      <c r="D51" s="60" t="inlineStr">
        <is>
          <t>iPhone 17 Pro Max</t>
        </is>
      </c>
      <c r="E51" t="inlineStr">
        <is>
          <t>A3257</t>
        </is>
      </c>
      <c r="F51" t="n">
        <v>2026</v>
      </c>
    </row>
    <row r="52" ht="21.5" customHeight="1" s="125">
      <c r="A52" t="inlineStr">
        <is>
          <t>DEV000051</t>
        </is>
      </c>
      <c r="B52" s="59" t="inlineStr">
        <is>
          <t>APL</t>
        </is>
      </c>
      <c r="C52" s="59" t="inlineStr">
        <is>
          <t>PHN</t>
        </is>
      </c>
      <c r="D52" s="60" t="inlineStr">
        <is>
          <t>iPhone Air</t>
        </is>
      </c>
      <c r="E52" t="inlineStr">
        <is>
          <t>A3260</t>
        </is>
      </c>
      <c r="F52" t="n">
        <v>2026</v>
      </c>
    </row>
    <row r="53" ht="21.5" customHeight="1" s="125">
      <c r="A53" t="inlineStr">
        <is>
          <t>DEV000052</t>
        </is>
      </c>
      <c r="B53" s="59" t="inlineStr">
        <is>
          <t>APL</t>
        </is>
      </c>
      <c r="C53" s="59" t="inlineStr">
        <is>
          <t>PHN</t>
        </is>
      </c>
      <c r="D53" s="60" t="inlineStr">
        <is>
          <t>iPhone 17e</t>
        </is>
      </c>
      <c r="E53" t="inlineStr">
        <is>
          <t>A3575</t>
        </is>
      </c>
      <c r="F53" t="n">
        <v>2026</v>
      </c>
    </row>
    <row r="54" hidden="1" ht="21.5" customHeight="1" s="125">
      <c r="A54" t="inlineStr">
        <is>
          <t>DEV000053</t>
        </is>
      </c>
      <c r="B54" s="59" t="inlineStr">
        <is>
          <t>ASU</t>
        </is>
      </c>
      <c r="C54" s="59" t="inlineStr">
        <is>
          <t>PHN</t>
        </is>
      </c>
      <c r="D54" s="60" t="inlineStr">
        <is>
          <t>Zenfone 5</t>
        </is>
      </c>
      <c r="E54">
        <f>_xlfn.XLOOKUP(D54,'[2]8A. Master Device Catalog'!$F$5:$F$914,'[2]8A. Master Device Catalog'!$G$5:$G$914,"")</f>
        <v/>
      </c>
      <c r="F54">
        <f>_xlfn.XLOOKUP(D54,'[2]8A. Master Device Catalog'!$F$5:$F$914,'[2]8A. Master Device Catalog'!$H$5:$H$914,"")</f>
        <v/>
      </c>
    </row>
    <row r="55" hidden="1" ht="21.5" customHeight="1" s="125">
      <c r="A55" t="inlineStr">
        <is>
          <t>DEV000054</t>
        </is>
      </c>
      <c r="B55" s="59" t="inlineStr">
        <is>
          <t>ASU</t>
        </is>
      </c>
      <c r="C55" s="59" t="inlineStr">
        <is>
          <t>PHN</t>
        </is>
      </c>
      <c r="D55" s="60" t="inlineStr">
        <is>
          <t>Zenfone 6</t>
        </is>
      </c>
      <c r="E55">
        <f>_xlfn.XLOOKUP(D55,'[2]8A. Master Device Catalog'!$F$5:$F$914,'[2]8A. Master Device Catalog'!$G$5:$G$914,"")</f>
        <v/>
      </c>
      <c r="F55">
        <f>_xlfn.XLOOKUP(D55,'[2]8A. Master Device Catalog'!$F$5:$F$914,'[2]8A. Master Device Catalog'!$H$5:$H$914,"")</f>
        <v/>
      </c>
    </row>
    <row r="56" hidden="1" ht="21.5" customHeight="1" s="125">
      <c r="A56" t="inlineStr">
        <is>
          <t>DEV000055</t>
        </is>
      </c>
      <c r="B56" s="59" t="inlineStr">
        <is>
          <t>ASU</t>
        </is>
      </c>
      <c r="C56" s="59" t="inlineStr">
        <is>
          <t>PHN</t>
        </is>
      </c>
      <c r="D56" s="60" t="inlineStr">
        <is>
          <t>Zenfone 7</t>
        </is>
      </c>
      <c r="E56">
        <f>_xlfn.XLOOKUP(D56,'[2]8A. Master Device Catalog'!$F$5:$F$914,'[2]8A. Master Device Catalog'!$G$5:$G$914,"")</f>
        <v/>
      </c>
      <c r="F56">
        <f>_xlfn.XLOOKUP(D56,'[2]8A. Master Device Catalog'!$F$5:$F$914,'[2]8A. Master Device Catalog'!$H$5:$H$914,"")</f>
        <v/>
      </c>
    </row>
    <row r="57" hidden="1" ht="21.5" customHeight="1" s="125">
      <c r="A57" t="inlineStr">
        <is>
          <t>DEV000056</t>
        </is>
      </c>
      <c r="B57" s="59" t="inlineStr">
        <is>
          <t>ASU</t>
        </is>
      </c>
      <c r="C57" s="59" t="inlineStr">
        <is>
          <t>PHN</t>
        </is>
      </c>
      <c r="D57" s="60" t="inlineStr">
        <is>
          <t>Zenfone 8</t>
        </is>
      </c>
      <c r="E57">
        <f>_xlfn.XLOOKUP(D57,'[2]8A. Master Device Catalog'!$F$5:$F$914,'[2]8A. Master Device Catalog'!$G$5:$G$914,"")</f>
        <v/>
      </c>
      <c r="F57">
        <f>_xlfn.XLOOKUP(D57,'[2]8A. Master Device Catalog'!$F$5:$F$914,'[2]8A. Master Device Catalog'!$H$5:$H$914,"")</f>
        <v/>
      </c>
    </row>
    <row r="58" hidden="1" ht="21.5" customHeight="1" s="125">
      <c r="A58" t="inlineStr">
        <is>
          <t>DEV000057</t>
        </is>
      </c>
      <c r="B58" s="59" t="inlineStr">
        <is>
          <t>ASU</t>
        </is>
      </c>
      <c r="C58" s="59" t="inlineStr">
        <is>
          <t>PHN</t>
        </is>
      </c>
      <c r="D58" s="60" t="inlineStr">
        <is>
          <t>Zenfone 9</t>
        </is>
      </c>
      <c r="E58">
        <f>_xlfn.XLOOKUP(D58,'[2]8A. Master Device Catalog'!$F$5:$F$914,'[2]8A. Master Device Catalog'!$G$5:$G$914,"")</f>
        <v/>
      </c>
      <c r="F58">
        <f>_xlfn.XLOOKUP(D58,'[2]8A. Master Device Catalog'!$F$5:$F$914,'[2]8A. Master Device Catalog'!$H$5:$H$914,"")</f>
        <v/>
      </c>
    </row>
    <row r="59" hidden="1" ht="21.5" customHeight="1" s="125">
      <c r="A59" t="inlineStr">
        <is>
          <t>DEV000058</t>
        </is>
      </c>
      <c r="B59" s="59" t="inlineStr">
        <is>
          <t>ASU</t>
        </is>
      </c>
      <c r="C59" s="59" t="inlineStr">
        <is>
          <t>PHN</t>
        </is>
      </c>
      <c r="D59" s="60" t="inlineStr">
        <is>
          <t>Zenfone 10</t>
        </is>
      </c>
      <c r="E59">
        <f>_xlfn.XLOOKUP(D59,'[2]8A. Master Device Catalog'!$F$5:$F$914,'[2]8A. Master Device Catalog'!$G$5:$G$914,"")</f>
        <v/>
      </c>
      <c r="F59">
        <f>_xlfn.XLOOKUP(D59,'[2]8A. Master Device Catalog'!$F$5:$F$914,'[2]8A. Master Device Catalog'!$H$5:$H$914,"")</f>
        <v/>
      </c>
    </row>
    <row r="60" hidden="1" ht="21.5" customHeight="1" s="125">
      <c r="A60" t="inlineStr">
        <is>
          <t>DEV000059</t>
        </is>
      </c>
      <c r="B60" s="59" t="inlineStr">
        <is>
          <t>ASU</t>
        </is>
      </c>
      <c r="C60" s="59" t="inlineStr">
        <is>
          <t>PHN</t>
        </is>
      </c>
      <c r="D60" s="60" t="inlineStr">
        <is>
          <t>ROG Phone</t>
        </is>
      </c>
      <c r="E60">
        <f>_xlfn.XLOOKUP(D60,'[2]8A. Master Device Catalog'!$F$5:$F$914,'[2]8A. Master Device Catalog'!$G$5:$G$914,"")</f>
        <v/>
      </c>
      <c r="F60">
        <f>_xlfn.XLOOKUP(D60,'[2]8A. Master Device Catalog'!$F$5:$F$914,'[2]8A. Master Device Catalog'!$H$5:$H$914,"")</f>
        <v/>
      </c>
    </row>
    <row r="61" hidden="1" ht="21.5" customHeight="1" s="125">
      <c r="A61" t="inlineStr">
        <is>
          <t>DEV000060</t>
        </is>
      </c>
      <c r="B61" s="59" t="inlineStr">
        <is>
          <t>ASU</t>
        </is>
      </c>
      <c r="C61" s="59" t="inlineStr">
        <is>
          <t>PHN</t>
        </is>
      </c>
      <c r="D61" s="60" t="inlineStr">
        <is>
          <t>ROG Phone II</t>
        </is>
      </c>
      <c r="E61">
        <f>_xlfn.XLOOKUP(D61,'[2]8A. Master Device Catalog'!$F$5:$F$914,'[2]8A. Master Device Catalog'!$G$5:$G$914,"")</f>
        <v/>
      </c>
      <c r="F61">
        <f>_xlfn.XLOOKUP(D61,'[2]8A. Master Device Catalog'!$F$5:$F$914,'[2]8A. Master Device Catalog'!$H$5:$H$914,"")</f>
        <v/>
      </c>
    </row>
    <row r="62" hidden="1" ht="21.5" customHeight="1" s="125">
      <c r="A62" t="inlineStr">
        <is>
          <t>DEV000061</t>
        </is>
      </c>
      <c r="B62" s="59" t="inlineStr">
        <is>
          <t>ASU</t>
        </is>
      </c>
      <c r="C62" s="59" t="inlineStr">
        <is>
          <t>PHN</t>
        </is>
      </c>
      <c r="D62" s="60" t="inlineStr">
        <is>
          <t>ROG Phone 5</t>
        </is>
      </c>
      <c r="E62">
        <f>_xlfn.XLOOKUP(D62,'[2]8A. Master Device Catalog'!$F$5:$F$914,'[2]8A. Master Device Catalog'!$G$5:$G$914,"")</f>
        <v/>
      </c>
      <c r="F62">
        <f>_xlfn.XLOOKUP(D62,'[2]8A. Master Device Catalog'!$F$5:$F$914,'[2]8A. Master Device Catalog'!$H$5:$H$914,"")</f>
        <v/>
      </c>
    </row>
    <row r="63" hidden="1" ht="21.5" customHeight="1" s="125">
      <c r="A63" t="inlineStr">
        <is>
          <t>DEV000062</t>
        </is>
      </c>
      <c r="B63" s="59" t="inlineStr">
        <is>
          <t>ASU</t>
        </is>
      </c>
      <c r="C63" s="59" t="inlineStr">
        <is>
          <t>PHN</t>
        </is>
      </c>
      <c r="D63" s="60" t="inlineStr">
        <is>
          <t>ROG Phone 8 Pro</t>
        </is>
      </c>
      <c r="E63">
        <f>_xlfn.XLOOKUP(D63,'[2]8A. Master Device Catalog'!$F$5:$F$914,'[2]8A. Master Device Catalog'!$G$5:$G$914,"")</f>
        <v/>
      </c>
      <c r="F63">
        <f>_xlfn.XLOOKUP(D63,'[2]8A. Master Device Catalog'!$F$5:$F$914,'[2]8A. Master Device Catalog'!$H$5:$H$914,"")</f>
        <v/>
      </c>
    </row>
    <row r="64" hidden="1" ht="21.5" customHeight="1" s="125">
      <c r="A64" t="inlineStr">
        <is>
          <t>DEV000063</t>
        </is>
      </c>
      <c r="B64" s="59" t="inlineStr">
        <is>
          <t>ASU</t>
        </is>
      </c>
      <c r="C64" s="59" t="inlineStr">
        <is>
          <t>PHN</t>
        </is>
      </c>
      <c r="D64" s="60" t="inlineStr">
        <is>
          <t>ROG Phone 3</t>
        </is>
      </c>
      <c r="E64">
        <f>_xlfn.XLOOKUP(D64,'[2]8A. Master Device Catalog'!$F$5:$F$914,'[2]8A. Master Device Catalog'!$G$5:$G$914,"")</f>
        <v/>
      </c>
      <c r="F64">
        <f>_xlfn.XLOOKUP(D64,'[2]8A. Master Device Catalog'!$F$5:$F$914,'[2]8A. Master Device Catalog'!$H$5:$H$914,"")</f>
        <v/>
      </c>
    </row>
    <row r="65" hidden="1" ht="21.5" customHeight="1" s="125">
      <c r="A65" t="inlineStr">
        <is>
          <t>DEV000064</t>
        </is>
      </c>
      <c r="B65" s="59" t="inlineStr">
        <is>
          <t>ASU</t>
        </is>
      </c>
      <c r="C65" s="59" t="inlineStr">
        <is>
          <t>PHN</t>
        </is>
      </c>
      <c r="D65" s="60" t="inlineStr">
        <is>
          <t>ROG Phone 5s</t>
        </is>
      </c>
      <c r="E65">
        <f>_xlfn.XLOOKUP(D65,'[2]8A. Master Device Catalog'!$F$5:$F$914,'[2]8A. Master Device Catalog'!$G$5:$G$914,"")</f>
        <v/>
      </c>
      <c r="F65">
        <f>_xlfn.XLOOKUP(D65,'[2]8A. Master Device Catalog'!$F$5:$F$914,'[2]8A. Master Device Catalog'!$H$5:$H$914,"")</f>
        <v/>
      </c>
    </row>
    <row r="66" hidden="1" ht="21.5" customHeight="1" s="125">
      <c r="A66" t="inlineStr">
        <is>
          <t>DEV000065</t>
        </is>
      </c>
      <c r="B66" s="59" t="inlineStr">
        <is>
          <t>ASU</t>
        </is>
      </c>
      <c r="C66" s="59" t="inlineStr">
        <is>
          <t>PHN</t>
        </is>
      </c>
      <c r="D66" s="60" t="inlineStr">
        <is>
          <t>ROG Phone 6</t>
        </is>
      </c>
      <c r="E66">
        <f>_xlfn.XLOOKUP(D66,'[2]8A. Master Device Catalog'!$F$5:$F$914,'[2]8A. Master Device Catalog'!$G$5:$G$914,"")</f>
        <v/>
      </c>
      <c r="F66">
        <f>_xlfn.XLOOKUP(D66,'[2]8A. Master Device Catalog'!$F$5:$F$914,'[2]8A. Master Device Catalog'!$H$5:$H$914,"")</f>
        <v/>
      </c>
    </row>
    <row r="67" hidden="1" ht="21.5" customHeight="1" s="125">
      <c r="A67" t="inlineStr">
        <is>
          <t>DEV000066</t>
        </is>
      </c>
      <c r="B67" s="59" t="inlineStr">
        <is>
          <t>ASU</t>
        </is>
      </c>
      <c r="C67" s="59" t="inlineStr">
        <is>
          <t>PHN</t>
        </is>
      </c>
      <c r="D67" s="60" t="inlineStr">
        <is>
          <t>ROG Phone 6 Pro</t>
        </is>
      </c>
      <c r="E67">
        <f>_xlfn.XLOOKUP(D67,'[2]8A. Master Device Catalog'!$F$5:$F$914,'[2]8A. Master Device Catalog'!$G$5:$G$914,"")</f>
        <v/>
      </c>
      <c r="F67">
        <f>_xlfn.XLOOKUP(D67,'[2]8A. Master Device Catalog'!$F$5:$F$914,'[2]8A. Master Device Catalog'!$H$5:$H$914,"")</f>
        <v/>
      </c>
    </row>
    <row r="68" hidden="1" ht="21.5" customHeight="1" s="125">
      <c r="A68" t="inlineStr">
        <is>
          <t>DEV000067</t>
        </is>
      </c>
      <c r="B68" s="59" t="inlineStr">
        <is>
          <t>ASU</t>
        </is>
      </c>
      <c r="C68" s="59" t="inlineStr">
        <is>
          <t>PHN</t>
        </is>
      </c>
      <c r="D68" s="60" t="inlineStr">
        <is>
          <t>ROG Phone 7</t>
        </is>
      </c>
      <c r="E68">
        <f>_xlfn.XLOOKUP(D68,'[2]8A. Master Device Catalog'!$F$5:$F$914,'[2]8A. Master Device Catalog'!$G$5:$G$914,"")</f>
        <v/>
      </c>
      <c r="F68">
        <f>_xlfn.XLOOKUP(D68,'[2]8A. Master Device Catalog'!$F$5:$F$914,'[2]8A. Master Device Catalog'!$H$5:$H$914,"")</f>
        <v/>
      </c>
    </row>
    <row r="69" hidden="1" ht="21.5" customHeight="1" s="125">
      <c r="A69" t="inlineStr">
        <is>
          <t>DEV000068</t>
        </is>
      </c>
      <c r="B69" s="59" t="inlineStr">
        <is>
          <t>ASU</t>
        </is>
      </c>
      <c r="C69" s="59" t="inlineStr">
        <is>
          <t>PHN</t>
        </is>
      </c>
      <c r="D69" s="60" t="inlineStr">
        <is>
          <t>ROG Phone 7 Ultimate</t>
        </is>
      </c>
      <c r="E69">
        <f>_xlfn.XLOOKUP(D69,'[2]8A. Master Device Catalog'!$F$5:$F$914,'[2]8A. Master Device Catalog'!$G$5:$G$914,"")</f>
        <v/>
      </c>
      <c r="F69">
        <f>_xlfn.XLOOKUP(D69,'[2]8A. Master Device Catalog'!$F$5:$F$914,'[2]8A. Master Device Catalog'!$H$5:$H$914,"")</f>
        <v/>
      </c>
    </row>
    <row r="70" hidden="1" ht="21.5" customHeight="1" s="125">
      <c r="A70" t="inlineStr">
        <is>
          <t>DEV000069</t>
        </is>
      </c>
      <c r="B70" s="59" t="inlineStr">
        <is>
          <t>ASU</t>
        </is>
      </c>
      <c r="C70" s="59" t="inlineStr">
        <is>
          <t>PHN</t>
        </is>
      </c>
      <c r="D70" s="60" t="inlineStr">
        <is>
          <t>ROG Phone 8</t>
        </is>
      </c>
      <c r="E70">
        <f>_xlfn.XLOOKUP(D70,'[2]8A. Master Device Catalog'!$F$5:$F$914,'[2]8A. Master Device Catalog'!$G$5:$G$914,"")</f>
        <v/>
      </c>
      <c r="F70">
        <f>_xlfn.XLOOKUP(D70,'[2]8A. Master Device Catalog'!$F$5:$F$914,'[2]8A. Master Device Catalog'!$H$5:$H$914,"")</f>
        <v/>
      </c>
    </row>
    <row r="71" hidden="1" ht="21.5" customHeight="1" s="125">
      <c r="A71" t="inlineStr">
        <is>
          <t>DEV000070</t>
        </is>
      </c>
      <c r="B71" s="59" t="inlineStr">
        <is>
          <t>ASU</t>
        </is>
      </c>
      <c r="C71" s="59" t="inlineStr">
        <is>
          <t>PHN</t>
        </is>
      </c>
      <c r="D71" s="60" t="inlineStr">
        <is>
          <t>Zenfone 11 Ultra</t>
        </is>
      </c>
      <c r="E71">
        <f>_xlfn.XLOOKUP(D71,'[2]8A. Master Device Catalog'!$F$5:$F$914,'[2]8A. Master Device Catalog'!$G$5:$G$914,"")</f>
        <v/>
      </c>
      <c r="F71">
        <f>_xlfn.XLOOKUP(D71,'[2]8A. Master Device Catalog'!$F$5:$F$914,'[2]8A. Master Device Catalog'!$H$5:$H$914,"")</f>
        <v/>
      </c>
    </row>
    <row r="72" hidden="1" ht="21.5" customHeight="1" s="125">
      <c r="A72" t="inlineStr">
        <is>
          <t>DEV000071</t>
        </is>
      </c>
      <c r="B72" s="59" t="inlineStr">
        <is>
          <t>GOO</t>
        </is>
      </c>
      <c r="C72" s="59" t="inlineStr">
        <is>
          <t>PHN</t>
        </is>
      </c>
      <c r="D72" s="60" t="inlineStr">
        <is>
          <t>Pixel</t>
        </is>
      </c>
      <c r="E72">
        <f>_xlfn.XLOOKUP(D72,'[2]8A. Master Device Catalog'!$F$5:$F$914,'[2]8A. Master Device Catalog'!$G$5:$G$914,"")</f>
        <v/>
      </c>
      <c r="F72">
        <f>_xlfn.XLOOKUP(D72,'[2]8A. Master Device Catalog'!$F$5:$F$914,'[2]8A. Master Device Catalog'!$H$5:$H$914,"")</f>
        <v/>
      </c>
    </row>
    <row r="73" hidden="1" ht="21.5" customHeight="1" s="125">
      <c r="A73" t="inlineStr">
        <is>
          <t>DEV000072</t>
        </is>
      </c>
      <c r="B73" s="59" t="inlineStr">
        <is>
          <t>GOO</t>
        </is>
      </c>
      <c r="C73" s="59" t="inlineStr">
        <is>
          <t>PHN</t>
        </is>
      </c>
      <c r="D73" s="60" t="inlineStr">
        <is>
          <t>Pixel XL</t>
        </is>
      </c>
      <c r="E73">
        <f>_xlfn.XLOOKUP(D73,'[2]8A. Master Device Catalog'!$F$5:$F$914,'[2]8A. Master Device Catalog'!$G$5:$G$914,"")</f>
        <v/>
      </c>
      <c r="F73">
        <f>_xlfn.XLOOKUP(D73,'[2]8A. Master Device Catalog'!$F$5:$F$914,'[2]8A. Master Device Catalog'!$H$5:$H$914,"")</f>
        <v/>
      </c>
    </row>
    <row r="74" hidden="1" ht="21.5" customHeight="1" s="125">
      <c r="A74" t="inlineStr">
        <is>
          <t>DEV000073</t>
        </is>
      </c>
      <c r="B74" s="59" t="inlineStr">
        <is>
          <t>GOO</t>
        </is>
      </c>
      <c r="C74" s="59" t="inlineStr">
        <is>
          <t>PHN</t>
        </is>
      </c>
      <c r="D74" s="60" t="inlineStr">
        <is>
          <t>Pixel 2</t>
        </is>
      </c>
      <c r="E74">
        <f>_xlfn.XLOOKUP(D74,'[2]8A. Master Device Catalog'!$F$5:$F$914,'[2]8A. Master Device Catalog'!$G$5:$G$914,"")</f>
        <v/>
      </c>
      <c r="F74">
        <f>_xlfn.XLOOKUP(D74,'[2]8A. Master Device Catalog'!$F$5:$F$914,'[2]8A. Master Device Catalog'!$H$5:$H$914,"")</f>
        <v/>
      </c>
    </row>
    <row r="75" hidden="1" ht="21.5" customHeight="1" s="125">
      <c r="A75" t="inlineStr">
        <is>
          <t>DEV000074</t>
        </is>
      </c>
      <c r="B75" s="59" t="inlineStr">
        <is>
          <t>GOO</t>
        </is>
      </c>
      <c r="C75" s="59" t="inlineStr">
        <is>
          <t>PHN</t>
        </is>
      </c>
      <c r="D75" s="60" t="inlineStr">
        <is>
          <t>Pixel 2 XL</t>
        </is>
      </c>
      <c r="E75">
        <f>_xlfn.XLOOKUP(D75,'[2]8A. Master Device Catalog'!$F$5:$F$914,'[2]8A. Master Device Catalog'!$G$5:$G$914,"")</f>
        <v/>
      </c>
      <c r="F75">
        <f>_xlfn.XLOOKUP(D75,'[2]8A. Master Device Catalog'!$F$5:$F$914,'[2]8A. Master Device Catalog'!$H$5:$H$914,"")</f>
        <v/>
      </c>
    </row>
    <row r="76" hidden="1" ht="21.5" customHeight="1" s="125">
      <c r="A76" t="inlineStr">
        <is>
          <t>DEV000075</t>
        </is>
      </c>
      <c r="B76" s="59" t="inlineStr">
        <is>
          <t>GOO</t>
        </is>
      </c>
      <c r="C76" s="59" t="inlineStr">
        <is>
          <t>PHN</t>
        </is>
      </c>
      <c r="D76" s="60" t="inlineStr">
        <is>
          <t>Pixel 3</t>
        </is>
      </c>
      <c r="E76">
        <f>_xlfn.XLOOKUP(D76,'[2]8A. Master Device Catalog'!$F$5:$F$914,'[2]8A. Master Device Catalog'!$G$5:$G$914,"")</f>
        <v/>
      </c>
      <c r="F76">
        <f>_xlfn.XLOOKUP(D76,'[2]8A. Master Device Catalog'!$F$5:$F$914,'[2]8A. Master Device Catalog'!$H$5:$H$914,"")</f>
        <v/>
      </c>
    </row>
    <row r="77" hidden="1" ht="21.5" customHeight="1" s="125">
      <c r="A77" t="inlineStr">
        <is>
          <t>DEV000076</t>
        </is>
      </c>
      <c r="B77" s="59" t="inlineStr">
        <is>
          <t>GOO</t>
        </is>
      </c>
      <c r="C77" s="59" t="inlineStr">
        <is>
          <t>PHN</t>
        </is>
      </c>
      <c r="D77" s="60" t="inlineStr">
        <is>
          <t>Pixel 3 XL</t>
        </is>
      </c>
      <c r="E77">
        <f>_xlfn.XLOOKUP(D77,'[2]8A. Master Device Catalog'!$F$5:$F$914,'[2]8A. Master Device Catalog'!$G$5:$G$914,"")</f>
        <v/>
      </c>
      <c r="F77">
        <f>_xlfn.XLOOKUP(D77,'[2]8A. Master Device Catalog'!$F$5:$F$914,'[2]8A. Master Device Catalog'!$H$5:$H$914,"")</f>
        <v/>
      </c>
    </row>
    <row r="78" hidden="1" ht="21.5" customHeight="1" s="125">
      <c r="A78" t="inlineStr">
        <is>
          <t>DEV000077</t>
        </is>
      </c>
      <c r="B78" s="59" t="inlineStr">
        <is>
          <t>GOO</t>
        </is>
      </c>
      <c r="C78" s="59" t="inlineStr">
        <is>
          <t>PHN</t>
        </is>
      </c>
      <c r="D78" s="60" t="inlineStr">
        <is>
          <t>Pixel 3a</t>
        </is>
      </c>
      <c r="E78">
        <f>_xlfn.XLOOKUP(D78,'[2]8A. Master Device Catalog'!$F$5:$F$914,'[2]8A. Master Device Catalog'!$G$5:$G$914,"")</f>
        <v/>
      </c>
      <c r="F78">
        <f>_xlfn.XLOOKUP(D78,'[2]8A. Master Device Catalog'!$F$5:$F$914,'[2]8A. Master Device Catalog'!$H$5:$H$914,"")</f>
        <v/>
      </c>
    </row>
    <row r="79" hidden="1" ht="21.5" customHeight="1" s="125">
      <c r="A79" t="inlineStr">
        <is>
          <t>DEV000078</t>
        </is>
      </c>
      <c r="B79" s="59" t="inlineStr">
        <is>
          <t>GOO</t>
        </is>
      </c>
      <c r="C79" s="59" t="inlineStr">
        <is>
          <t>PHN</t>
        </is>
      </c>
      <c r="D79" s="60" t="inlineStr">
        <is>
          <t>Pixel 3a XL</t>
        </is>
      </c>
      <c r="E79">
        <f>_xlfn.XLOOKUP(D79,'[2]8A. Master Device Catalog'!$F$5:$F$914,'[2]8A. Master Device Catalog'!$G$5:$G$914,"")</f>
        <v/>
      </c>
      <c r="F79">
        <f>_xlfn.XLOOKUP(D79,'[2]8A. Master Device Catalog'!$F$5:$F$914,'[2]8A. Master Device Catalog'!$H$5:$H$914,"")</f>
        <v/>
      </c>
    </row>
    <row r="80" hidden="1" ht="21.5" customHeight="1" s="125">
      <c r="A80" t="inlineStr">
        <is>
          <t>DEV000079</t>
        </is>
      </c>
      <c r="B80" s="59" t="inlineStr">
        <is>
          <t>GOO</t>
        </is>
      </c>
      <c r="C80" s="59" t="inlineStr">
        <is>
          <t>PHN</t>
        </is>
      </c>
      <c r="D80" s="60" t="inlineStr">
        <is>
          <t>Pixel 4</t>
        </is>
      </c>
      <c r="E80">
        <f>_xlfn.XLOOKUP(D80,'[2]8A. Master Device Catalog'!$F$5:$F$914,'[2]8A. Master Device Catalog'!$G$5:$G$914,"")</f>
        <v/>
      </c>
      <c r="F80">
        <f>_xlfn.XLOOKUP(D80,'[2]8A. Master Device Catalog'!$F$5:$F$914,'[2]8A. Master Device Catalog'!$H$5:$H$914,"")</f>
        <v/>
      </c>
    </row>
    <row r="81" hidden="1" ht="21.5" customHeight="1" s="125">
      <c r="A81" t="inlineStr">
        <is>
          <t>DEV000080</t>
        </is>
      </c>
      <c r="B81" s="59" t="inlineStr">
        <is>
          <t>GOO</t>
        </is>
      </c>
      <c r="C81" s="59" t="inlineStr">
        <is>
          <t>PHN</t>
        </is>
      </c>
      <c r="D81" s="60" t="inlineStr">
        <is>
          <t>Pixel 4 XL</t>
        </is>
      </c>
      <c r="E81">
        <f>_xlfn.XLOOKUP(D81,'[2]8A. Master Device Catalog'!$F$5:$F$914,'[2]8A. Master Device Catalog'!$G$5:$G$914,"")</f>
        <v/>
      </c>
      <c r="F81">
        <f>_xlfn.XLOOKUP(D81,'[2]8A. Master Device Catalog'!$F$5:$F$914,'[2]8A. Master Device Catalog'!$H$5:$H$914,"")</f>
        <v/>
      </c>
    </row>
    <row r="82" hidden="1" ht="21.5" customHeight="1" s="125">
      <c r="A82" t="inlineStr">
        <is>
          <t>DEV000081</t>
        </is>
      </c>
      <c r="B82" s="59" t="inlineStr">
        <is>
          <t>GOO</t>
        </is>
      </c>
      <c r="C82" s="59" t="inlineStr">
        <is>
          <t>PHN</t>
        </is>
      </c>
      <c r="D82" s="60" t="inlineStr">
        <is>
          <t>Pixel 4a</t>
        </is>
      </c>
      <c r="E82">
        <f>_xlfn.XLOOKUP(D82,'[2]8A. Master Device Catalog'!$F$5:$F$914,'[2]8A. Master Device Catalog'!$G$5:$G$914,"")</f>
        <v/>
      </c>
      <c r="F82">
        <f>_xlfn.XLOOKUP(D82,'[2]8A. Master Device Catalog'!$F$5:$F$914,'[2]8A. Master Device Catalog'!$H$5:$H$914,"")</f>
        <v/>
      </c>
    </row>
    <row r="83" hidden="1" ht="21.5" customHeight="1" s="125">
      <c r="A83" t="inlineStr">
        <is>
          <t>DEV000082</t>
        </is>
      </c>
      <c r="B83" s="59" t="inlineStr">
        <is>
          <t>GOO</t>
        </is>
      </c>
      <c r="C83" s="59" t="inlineStr">
        <is>
          <t>PHN</t>
        </is>
      </c>
      <c r="D83" s="60" t="inlineStr">
        <is>
          <t>Pixel 4a (5G)</t>
        </is>
      </c>
      <c r="E83">
        <f>_xlfn.XLOOKUP(D83,'[2]8A. Master Device Catalog'!$F$5:$F$914,'[2]8A. Master Device Catalog'!$G$5:$G$914,"")</f>
        <v/>
      </c>
      <c r="F83">
        <f>_xlfn.XLOOKUP(D83,'[2]8A. Master Device Catalog'!$F$5:$F$914,'[2]8A. Master Device Catalog'!$H$5:$H$914,"")</f>
        <v/>
      </c>
    </row>
    <row r="84" hidden="1" ht="21.5" customHeight="1" s="125">
      <c r="A84" t="inlineStr">
        <is>
          <t>DEV000083</t>
        </is>
      </c>
      <c r="B84" s="59" t="inlineStr">
        <is>
          <t>GOO</t>
        </is>
      </c>
      <c r="C84" s="59" t="inlineStr">
        <is>
          <t>PHN</t>
        </is>
      </c>
      <c r="D84" s="60" t="inlineStr">
        <is>
          <t>Pixel 5</t>
        </is>
      </c>
      <c r="E84">
        <f>_xlfn.XLOOKUP(D84,'[2]8A. Master Device Catalog'!$F$5:$F$914,'[2]8A. Master Device Catalog'!$G$5:$G$914,"")</f>
        <v/>
      </c>
      <c r="F84">
        <f>_xlfn.XLOOKUP(D84,'[2]8A. Master Device Catalog'!$F$5:$F$914,'[2]8A. Master Device Catalog'!$H$5:$H$914,"")</f>
        <v/>
      </c>
    </row>
    <row r="85" hidden="1" ht="21.5" customHeight="1" s="125">
      <c r="A85" t="inlineStr">
        <is>
          <t>DEV000084</t>
        </is>
      </c>
      <c r="B85" s="59" t="inlineStr">
        <is>
          <t>GOO</t>
        </is>
      </c>
      <c r="C85" s="59" t="inlineStr">
        <is>
          <t>PHN</t>
        </is>
      </c>
      <c r="D85" s="60" t="inlineStr">
        <is>
          <t>Pixel 5a</t>
        </is>
      </c>
      <c r="E85">
        <f>_xlfn.XLOOKUP(D85,'[2]8A. Master Device Catalog'!$F$5:$F$914,'[2]8A. Master Device Catalog'!$G$5:$G$914,"")</f>
        <v/>
      </c>
      <c r="F85">
        <f>_xlfn.XLOOKUP(D85,'[2]8A. Master Device Catalog'!$F$5:$F$914,'[2]8A. Master Device Catalog'!$H$5:$H$914,"")</f>
        <v/>
      </c>
    </row>
    <row r="86" hidden="1" ht="21.5" customHeight="1" s="125">
      <c r="A86" t="inlineStr">
        <is>
          <t>DEV000085</t>
        </is>
      </c>
      <c r="B86" s="59" t="inlineStr">
        <is>
          <t>GOO</t>
        </is>
      </c>
      <c r="C86" s="59" t="inlineStr">
        <is>
          <t>PHN</t>
        </is>
      </c>
      <c r="D86" s="60" t="inlineStr">
        <is>
          <t>Pixel 6</t>
        </is>
      </c>
      <c r="E86">
        <f>_xlfn.XLOOKUP(D86,'[2]8A. Master Device Catalog'!$F$5:$F$914,'[2]8A. Master Device Catalog'!$G$5:$G$914,"")</f>
        <v/>
      </c>
      <c r="F86">
        <f>_xlfn.XLOOKUP(D86,'[2]8A. Master Device Catalog'!$F$5:$F$914,'[2]8A. Master Device Catalog'!$H$5:$H$914,"")</f>
        <v/>
      </c>
    </row>
    <row r="87" hidden="1" ht="21.5" customHeight="1" s="125">
      <c r="A87" t="inlineStr">
        <is>
          <t>DEV000086</t>
        </is>
      </c>
      <c r="B87" s="59" t="inlineStr">
        <is>
          <t>GOO</t>
        </is>
      </c>
      <c r="C87" s="59" t="inlineStr">
        <is>
          <t>PHN</t>
        </is>
      </c>
      <c r="D87" s="60" t="inlineStr">
        <is>
          <t>Pixel 6 Pro</t>
        </is>
      </c>
      <c r="E87">
        <f>_xlfn.XLOOKUP(D87,'[2]8A. Master Device Catalog'!$F$5:$F$914,'[2]8A. Master Device Catalog'!$G$5:$G$914,"")</f>
        <v/>
      </c>
      <c r="F87">
        <f>_xlfn.XLOOKUP(D87,'[2]8A. Master Device Catalog'!$F$5:$F$914,'[2]8A. Master Device Catalog'!$H$5:$H$914,"")</f>
        <v/>
      </c>
    </row>
    <row r="88" hidden="1" ht="21.5" customHeight="1" s="125">
      <c r="A88" t="inlineStr">
        <is>
          <t>DEV000087</t>
        </is>
      </c>
      <c r="B88" s="59" t="inlineStr">
        <is>
          <t>GOO</t>
        </is>
      </c>
      <c r="C88" s="59" t="inlineStr">
        <is>
          <t>PHN</t>
        </is>
      </c>
      <c r="D88" s="60" t="inlineStr">
        <is>
          <t>Pixel 6a</t>
        </is>
      </c>
      <c r="E88">
        <f>_xlfn.XLOOKUP(D88,'[2]8A. Master Device Catalog'!$F$5:$F$914,'[2]8A. Master Device Catalog'!$G$5:$G$914,"")</f>
        <v/>
      </c>
      <c r="F88">
        <f>_xlfn.XLOOKUP(D88,'[2]8A. Master Device Catalog'!$F$5:$F$914,'[2]8A. Master Device Catalog'!$H$5:$H$914,"")</f>
        <v/>
      </c>
    </row>
    <row r="89" hidden="1" ht="21.5" customHeight="1" s="125">
      <c r="A89" t="inlineStr">
        <is>
          <t>DEV000088</t>
        </is>
      </c>
      <c r="B89" s="59" t="inlineStr">
        <is>
          <t>GOO</t>
        </is>
      </c>
      <c r="C89" s="59" t="inlineStr">
        <is>
          <t>PHN</t>
        </is>
      </c>
      <c r="D89" s="60" t="inlineStr">
        <is>
          <t>Pixel 7</t>
        </is>
      </c>
      <c r="E89">
        <f>_xlfn.XLOOKUP(D89,'[2]8A. Master Device Catalog'!$F$5:$F$914,'[2]8A. Master Device Catalog'!$G$5:$G$914,"")</f>
        <v/>
      </c>
      <c r="F89">
        <f>_xlfn.XLOOKUP(D89,'[2]8A. Master Device Catalog'!$F$5:$F$914,'[2]8A. Master Device Catalog'!$H$5:$H$914,"")</f>
        <v/>
      </c>
    </row>
    <row r="90" hidden="1" ht="21.5" customHeight="1" s="125">
      <c r="A90" t="inlineStr">
        <is>
          <t>DEV000089</t>
        </is>
      </c>
      <c r="B90" s="59" t="inlineStr">
        <is>
          <t>GOO</t>
        </is>
      </c>
      <c r="C90" s="59" t="inlineStr">
        <is>
          <t>PHN</t>
        </is>
      </c>
      <c r="D90" s="60" t="inlineStr">
        <is>
          <t>Pixel 7 Pro</t>
        </is>
      </c>
      <c r="E90">
        <f>_xlfn.XLOOKUP(D90,'[2]8A. Master Device Catalog'!$F$5:$F$914,'[2]8A. Master Device Catalog'!$G$5:$G$914,"")</f>
        <v/>
      </c>
      <c r="F90">
        <f>_xlfn.XLOOKUP(D90,'[2]8A. Master Device Catalog'!$F$5:$F$914,'[2]8A. Master Device Catalog'!$H$5:$H$914,"")</f>
        <v/>
      </c>
    </row>
    <row r="91" hidden="1" ht="21.5" customHeight="1" s="125">
      <c r="A91" t="inlineStr">
        <is>
          <t>DEV000090</t>
        </is>
      </c>
      <c r="B91" s="59" t="inlineStr">
        <is>
          <t>GOO</t>
        </is>
      </c>
      <c r="C91" s="59" t="inlineStr">
        <is>
          <t>PHN</t>
        </is>
      </c>
      <c r="D91" s="60" t="inlineStr">
        <is>
          <t>Pixel 7a</t>
        </is>
      </c>
      <c r="E91">
        <f>_xlfn.XLOOKUP(D91,'[2]8A. Master Device Catalog'!$F$5:$F$914,'[2]8A. Master Device Catalog'!$G$5:$G$914,"")</f>
        <v/>
      </c>
      <c r="F91">
        <f>_xlfn.XLOOKUP(D91,'[2]8A. Master Device Catalog'!$F$5:$F$914,'[2]8A. Master Device Catalog'!$H$5:$H$914,"")</f>
        <v/>
      </c>
    </row>
    <row r="92" hidden="1" ht="21.5" customHeight="1" s="125">
      <c r="A92" t="inlineStr">
        <is>
          <t>DEV000091</t>
        </is>
      </c>
      <c r="B92" s="59" t="inlineStr">
        <is>
          <t>GOO</t>
        </is>
      </c>
      <c r="C92" s="59" t="inlineStr">
        <is>
          <t>PHN</t>
        </is>
      </c>
      <c r="D92" s="60" t="inlineStr">
        <is>
          <t>Pixel Fold</t>
        </is>
      </c>
      <c r="E92">
        <f>_xlfn.XLOOKUP(D92,'[2]8A. Master Device Catalog'!$F$5:$F$914,'[2]8A. Master Device Catalog'!$G$5:$G$914,"")</f>
        <v/>
      </c>
      <c r="F92">
        <f>_xlfn.XLOOKUP(D92,'[2]8A. Master Device Catalog'!$F$5:$F$914,'[2]8A. Master Device Catalog'!$H$5:$H$914,"")</f>
        <v/>
      </c>
    </row>
    <row r="93" hidden="1" ht="21.5" customHeight="1" s="125">
      <c r="A93" t="inlineStr">
        <is>
          <t>DEV000092</t>
        </is>
      </c>
      <c r="B93" s="59" t="inlineStr">
        <is>
          <t>GOO</t>
        </is>
      </c>
      <c r="C93" s="59" t="inlineStr">
        <is>
          <t>PHN</t>
        </is>
      </c>
      <c r="D93" s="60" t="inlineStr">
        <is>
          <t>Pixel 8</t>
        </is>
      </c>
      <c r="E93">
        <f>_xlfn.XLOOKUP(D93,'[2]8A. Master Device Catalog'!$F$5:$F$914,'[2]8A. Master Device Catalog'!$G$5:$G$914,"")</f>
        <v/>
      </c>
      <c r="F93">
        <f>_xlfn.XLOOKUP(D93,'[2]8A. Master Device Catalog'!$F$5:$F$914,'[2]8A. Master Device Catalog'!$H$5:$H$914,"")</f>
        <v/>
      </c>
    </row>
    <row r="94" hidden="1" ht="21.5" customHeight="1" s="125">
      <c r="A94" t="inlineStr">
        <is>
          <t>DEV000093</t>
        </is>
      </c>
      <c r="B94" s="59" t="inlineStr">
        <is>
          <t>GOO</t>
        </is>
      </c>
      <c r="C94" s="59" t="inlineStr">
        <is>
          <t>PHN</t>
        </is>
      </c>
      <c r="D94" s="60" t="inlineStr">
        <is>
          <t>Pixel 8 Pro</t>
        </is>
      </c>
      <c r="E94">
        <f>_xlfn.XLOOKUP(D94,'[2]8A. Master Device Catalog'!$F$5:$F$914,'[2]8A. Master Device Catalog'!$G$5:$G$914,"")</f>
        <v/>
      </c>
      <c r="F94">
        <f>_xlfn.XLOOKUP(D94,'[2]8A. Master Device Catalog'!$F$5:$F$914,'[2]8A. Master Device Catalog'!$H$5:$H$914,"")</f>
        <v/>
      </c>
    </row>
    <row r="95" hidden="1" ht="21.5" customHeight="1" s="125">
      <c r="A95" t="inlineStr">
        <is>
          <t>DEV000094</t>
        </is>
      </c>
      <c r="B95" s="59" t="inlineStr">
        <is>
          <t>GOO</t>
        </is>
      </c>
      <c r="C95" s="59" t="inlineStr">
        <is>
          <t>PHN</t>
        </is>
      </c>
      <c r="D95" s="60" t="inlineStr">
        <is>
          <t>Pixel 8a</t>
        </is>
      </c>
      <c r="E95">
        <f>_xlfn.XLOOKUP(D95,'[2]8A. Master Device Catalog'!$F$5:$F$914,'[2]8A. Master Device Catalog'!$G$5:$G$914,"")</f>
        <v/>
      </c>
      <c r="F95">
        <f>_xlfn.XLOOKUP(D95,'[2]8A. Master Device Catalog'!$F$5:$F$914,'[2]8A. Master Device Catalog'!$H$5:$H$914,"")</f>
        <v/>
      </c>
    </row>
    <row r="96" hidden="1" ht="21.5" customHeight="1" s="125">
      <c r="A96" t="inlineStr">
        <is>
          <t>DEV000095</t>
        </is>
      </c>
      <c r="B96" s="59" t="inlineStr">
        <is>
          <t>GOO</t>
        </is>
      </c>
      <c r="C96" s="59" t="inlineStr">
        <is>
          <t>PHN</t>
        </is>
      </c>
      <c r="D96" s="60" t="inlineStr">
        <is>
          <t>Pixel 9</t>
        </is>
      </c>
      <c r="E96">
        <f>_xlfn.XLOOKUP(D96,'[2]8A. Master Device Catalog'!$F$5:$F$914,'[2]8A. Master Device Catalog'!$G$5:$G$914,"")</f>
        <v/>
      </c>
      <c r="F96">
        <f>_xlfn.XLOOKUP(D96,'[2]8A. Master Device Catalog'!$F$5:$F$914,'[2]8A. Master Device Catalog'!$H$5:$H$914,"")</f>
        <v/>
      </c>
    </row>
    <row r="97" hidden="1" ht="21.5" customHeight="1" s="125">
      <c r="A97" t="inlineStr">
        <is>
          <t>DEV000096</t>
        </is>
      </c>
      <c r="B97" s="59" t="inlineStr">
        <is>
          <t>GOO</t>
        </is>
      </c>
      <c r="C97" s="59" t="inlineStr">
        <is>
          <t>PHN</t>
        </is>
      </c>
      <c r="D97" s="60" t="inlineStr">
        <is>
          <t>Pixel 9 Pro</t>
        </is>
      </c>
      <c r="E97">
        <f>_xlfn.XLOOKUP(D97,'[2]8A. Master Device Catalog'!$F$5:$F$914,'[2]8A. Master Device Catalog'!$G$5:$G$914,"")</f>
        <v/>
      </c>
      <c r="F97">
        <f>_xlfn.XLOOKUP(D97,'[2]8A. Master Device Catalog'!$F$5:$F$914,'[2]8A. Master Device Catalog'!$H$5:$H$914,"")</f>
        <v/>
      </c>
    </row>
    <row r="98" hidden="1" ht="21.5" customHeight="1" s="125">
      <c r="A98" t="inlineStr">
        <is>
          <t>DEV000097</t>
        </is>
      </c>
      <c r="B98" s="59" t="inlineStr">
        <is>
          <t>GOO</t>
        </is>
      </c>
      <c r="C98" s="59" t="inlineStr">
        <is>
          <t>PHN</t>
        </is>
      </c>
      <c r="D98" s="60" t="inlineStr">
        <is>
          <t>Pixel 9 Pro XL</t>
        </is>
      </c>
      <c r="E98">
        <f>_xlfn.XLOOKUP(D98,'[2]8A. Master Device Catalog'!$F$5:$F$914,'[2]8A. Master Device Catalog'!$G$5:$G$914,"")</f>
        <v/>
      </c>
      <c r="F98">
        <f>_xlfn.XLOOKUP(D98,'[2]8A. Master Device Catalog'!$F$5:$F$914,'[2]8A. Master Device Catalog'!$H$5:$H$914,"")</f>
        <v/>
      </c>
    </row>
    <row r="99" hidden="1" ht="21.5" customHeight="1" s="125">
      <c r="A99" t="inlineStr">
        <is>
          <t>DEV000098</t>
        </is>
      </c>
      <c r="B99" s="59" t="inlineStr">
        <is>
          <t>GOO</t>
        </is>
      </c>
      <c r="C99" s="59" t="inlineStr">
        <is>
          <t>PHN</t>
        </is>
      </c>
      <c r="D99" s="60" t="inlineStr">
        <is>
          <t>Pixel 9 Pro Fold</t>
        </is>
      </c>
      <c r="E99">
        <f>_xlfn.XLOOKUP(D99,'[2]8A. Master Device Catalog'!$F$5:$F$914,'[2]8A. Master Device Catalog'!$G$5:$G$914,"")</f>
        <v/>
      </c>
      <c r="F99">
        <f>_xlfn.XLOOKUP(D99,'[2]8A. Master Device Catalog'!$F$5:$F$914,'[2]8A. Master Device Catalog'!$H$5:$H$914,"")</f>
        <v/>
      </c>
    </row>
    <row r="100" hidden="1" ht="21.5" customHeight="1" s="125">
      <c r="A100" t="inlineStr">
        <is>
          <t>DEV000099</t>
        </is>
      </c>
      <c r="B100" s="59" t="inlineStr">
        <is>
          <t>GOO</t>
        </is>
      </c>
      <c r="C100" s="59" t="inlineStr">
        <is>
          <t>PHN</t>
        </is>
      </c>
      <c r="D100" s="60" t="inlineStr">
        <is>
          <t>Pixel 9a</t>
        </is>
      </c>
      <c r="E100">
        <f>_xlfn.XLOOKUP(D100,'[2]8A. Master Device Catalog'!$F$5:$F$914,'[2]8A. Master Device Catalog'!$G$5:$G$914,"")</f>
        <v/>
      </c>
      <c r="F100">
        <f>_xlfn.XLOOKUP(D100,'[2]8A. Master Device Catalog'!$F$5:$F$914,'[2]8A. Master Device Catalog'!$H$5:$H$914,"")</f>
        <v/>
      </c>
    </row>
    <row r="101" hidden="1" ht="21.5" customHeight="1" s="125">
      <c r="A101" t="inlineStr">
        <is>
          <t>DEV000100</t>
        </is>
      </c>
      <c r="B101" s="59" t="inlineStr">
        <is>
          <t>HMD</t>
        </is>
      </c>
      <c r="C101" s="59" t="inlineStr">
        <is>
          <t>PHN</t>
        </is>
      </c>
      <c r="D101" s="60" t="inlineStr">
        <is>
          <t>HMD Skyline</t>
        </is>
      </c>
      <c r="E101">
        <f>_xlfn.XLOOKUP(D101,'[2]8A. Master Device Catalog'!$F$5:$F$914,'[2]8A. Master Device Catalog'!$G$5:$G$914,"")</f>
        <v/>
      </c>
      <c r="F101">
        <f>_xlfn.XLOOKUP(D101,'[2]8A. Master Device Catalog'!$F$5:$F$914,'[2]8A. Master Device Catalog'!$H$5:$H$914,"")</f>
        <v/>
      </c>
    </row>
    <row r="102" hidden="1" ht="21.5" customHeight="1" s="125">
      <c r="A102" t="inlineStr">
        <is>
          <t>DEV000101</t>
        </is>
      </c>
      <c r="B102" s="59" t="inlineStr">
        <is>
          <t>HON</t>
        </is>
      </c>
      <c r="C102" s="59" t="inlineStr">
        <is>
          <t>PHN</t>
        </is>
      </c>
      <c r="D102" s="60" t="inlineStr">
        <is>
          <t>HONOR Magic6</t>
        </is>
      </c>
      <c r="E102">
        <f>_xlfn.XLOOKUP(D102,'[2]8A. Master Device Catalog'!$F$5:$F$914,'[2]8A. Master Device Catalog'!$G$5:$G$914,"")</f>
        <v/>
      </c>
      <c r="F102">
        <f>_xlfn.XLOOKUP(D102,'[2]8A. Master Device Catalog'!$F$5:$F$914,'[2]8A. Master Device Catalog'!$H$5:$H$914,"")</f>
        <v/>
      </c>
    </row>
    <row r="103" hidden="1" ht="21.5" customHeight="1" s="125">
      <c r="A103" t="inlineStr">
        <is>
          <t>DEV000102</t>
        </is>
      </c>
      <c r="B103" s="59" t="inlineStr">
        <is>
          <t>HON</t>
        </is>
      </c>
      <c r="C103" s="59" t="inlineStr">
        <is>
          <t>PHN</t>
        </is>
      </c>
      <c r="D103" s="60" t="inlineStr">
        <is>
          <t>HONOR Magic6 Pro</t>
        </is>
      </c>
      <c r="E103">
        <f>_xlfn.XLOOKUP(D103,'[2]8A. Master Device Catalog'!$F$5:$F$914,'[2]8A. Master Device Catalog'!$G$5:$G$914,"")</f>
        <v/>
      </c>
      <c r="F103">
        <f>_xlfn.XLOOKUP(D103,'[2]8A. Master Device Catalog'!$F$5:$F$914,'[2]8A. Master Device Catalog'!$H$5:$H$914,"")</f>
        <v/>
      </c>
    </row>
    <row r="104" hidden="1" ht="21.5" customHeight="1" s="125">
      <c r="A104" t="inlineStr">
        <is>
          <t>DEV000103</t>
        </is>
      </c>
      <c r="B104" s="59" t="inlineStr">
        <is>
          <t>HON</t>
        </is>
      </c>
      <c r="C104" s="59" t="inlineStr">
        <is>
          <t>PHN</t>
        </is>
      </c>
      <c r="D104" s="60" t="inlineStr">
        <is>
          <t>HONOR Magic V2</t>
        </is>
      </c>
      <c r="E104">
        <f>_xlfn.XLOOKUP(D104,'[2]8A. Master Device Catalog'!$F$5:$F$914,'[2]8A. Master Device Catalog'!$G$5:$G$914,"")</f>
        <v/>
      </c>
      <c r="F104">
        <f>_xlfn.XLOOKUP(D104,'[2]8A. Master Device Catalog'!$F$5:$F$914,'[2]8A. Master Device Catalog'!$H$5:$H$914,"")</f>
        <v/>
      </c>
    </row>
    <row r="105" hidden="1" ht="21.5" customHeight="1" s="125">
      <c r="A105" t="inlineStr">
        <is>
          <t>DEV000104</t>
        </is>
      </c>
      <c r="B105" s="59" t="inlineStr">
        <is>
          <t>HON</t>
        </is>
      </c>
      <c r="C105" s="59" t="inlineStr">
        <is>
          <t>PHN</t>
        </is>
      </c>
      <c r="D105" s="60" t="inlineStr">
        <is>
          <t>HONOR Magic V3</t>
        </is>
      </c>
      <c r="E105">
        <f>_xlfn.XLOOKUP(D105,'[2]8A. Master Device Catalog'!$F$5:$F$914,'[2]8A. Master Device Catalog'!$G$5:$G$914,"")</f>
        <v/>
      </c>
      <c r="F105">
        <f>_xlfn.XLOOKUP(D105,'[2]8A. Master Device Catalog'!$F$5:$F$914,'[2]8A. Master Device Catalog'!$H$5:$H$914,"")</f>
        <v/>
      </c>
    </row>
    <row r="106" hidden="1" ht="21.5" customHeight="1" s="125">
      <c r="A106" t="inlineStr">
        <is>
          <t>DEV000105</t>
        </is>
      </c>
      <c r="B106" s="59" t="inlineStr">
        <is>
          <t>HON</t>
        </is>
      </c>
      <c r="C106" s="59" t="inlineStr">
        <is>
          <t>PHN</t>
        </is>
      </c>
      <c r="D106" s="60" t="inlineStr">
        <is>
          <t>HONOR 200</t>
        </is>
      </c>
      <c r="E106">
        <f>_xlfn.XLOOKUP(D106,'[2]8A. Master Device Catalog'!$F$5:$F$914,'[2]8A. Master Device Catalog'!$G$5:$G$914,"")</f>
        <v/>
      </c>
      <c r="F106">
        <f>_xlfn.XLOOKUP(D106,'[2]8A. Master Device Catalog'!$F$5:$F$914,'[2]8A. Master Device Catalog'!$H$5:$H$914,"")</f>
        <v/>
      </c>
    </row>
    <row r="107" hidden="1" ht="21.5" customHeight="1" s="125">
      <c r="A107" t="inlineStr">
        <is>
          <t>DEV000106</t>
        </is>
      </c>
      <c r="B107" s="59" t="inlineStr">
        <is>
          <t>HON</t>
        </is>
      </c>
      <c r="C107" s="59" t="inlineStr">
        <is>
          <t>PHN</t>
        </is>
      </c>
      <c r="D107" s="60" t="inlineStr">
        <is>
          <t>HONOR X9b</t>
        </is>
      </c>
      <c r="E107">
        <f>_xlfn.XLOOKUP(D107,'[2]8A. Master Device Catalog'!$F$5:$F$914,'[2]8A. Master Device Catalog'!$G$5:$G$914,"")</f>
        <v/>
      </c>
      <c r="F107">
        <f>_xlfn.XLOOKUP(D107,'[2]8A. Master Device Catalog'!$F$5:$F$914,'[2]8A. Master Device Catalog'!$H$5:$H$914,"")</f>
        <v/>
      </c>
    </row>
    <row r="108" hidden="1" ht="21.5" customHeight="1" s="125">
      <c r="A108" t="inlineStr">
        <is>
          <t>DEV000107</t>
        </is>
      </c>
      <c r="B108" s="59" t="inlineStr">
        <is>
          <t>HUA</t>
        </is>
      </c>
      <c r="C108" s="59" t="inlineStr">
        <is>
          <t>PHN</t>
        </is>
      </c>
      <c r="D108" s="60" t="inlineStr">
        <is>
          <t>Huawei Mate 60 Pro</t>
        </is>
      </c>
      <c r="E108">
        <f>_xlfn.XLOOKUP(D108,'[2]8A. Master Device Catalog'!$F$5:$F$914,'[2]8A. Master Device Catalog'!$G$5:$G$914,"")</f>
        <v/>
      </c>
      <c r="F108">
        <f>_xlfn.XLOOKUP(D108,'[2]8A. Master Device Catalog'!$F$5:$F$914,'[2]8A. Master Device Catalog'!$H$5:$H$914,"")</f>
        <v/>
      </c>
    </row>
    <row r="109" hidden="1" ht="21.5" customHeight="1" s="125">
      <c r="A109" t="inlineStr">
        <is>
          <t>DEV000108</t>
        </is>
      </c>
      <c r="B109" s="59" t="inlineStr">
        <is>
          <t>HUA</t>
        </is>
      </c>
      <c r="C109" s="59" t="inlineStr">
        <is>
          <t>PHN</t>
        </is>
      </c>
      <c r="D109" s="60" t="inlineStr">
        <is>
          <t>Huawei Mate X5</t>
        </is>
      </c>
      <c r="E109">
        <f>_xlfn.XLOOKUP(D109,'[2]8A. Master Device Catalog'!$F$5:$F$914,'[2]8A. Master Device Catalog'!$G$5:$G$914,"")</f>
        <v/>
      </c>
      <c r="F109">
        <f>_xlfn.XLOOKUP(D109,'[2]8A. Master Device Catalog'!$F$5:$F$914,'[2]8A. Master Device Catalog'!$H$5:$H$914,"")</f>
        <v/>
      </c>
    </row>
    <row r="110" hidden="1" ht="21.5" customHeight="1" s="125">
      <c r="A110" t="inlineStr">
        <is>
          <t>DEV000109</t>
        </is>
      </c>
      <c r="B110" s="59" t="inlineStr">
        <is>
          <t>HUA</t>
        </is>
      </c>
      <c r="C110" s="59" t="inlineStr">
        <is>
          <t>PHN</t>
        </is>
      </c>
      <c r="D110" s="60" t="inlineStr">
        <is>
          <t>Huawei P60 Pro</t>
        </is>
      </c>
      <c r="E110">
        <f>_xlfn.XLOOKUP(D110,'[2]8A. Master Device Catalog'!$F$5:$F$914,'[2]8A. Master Device Catalog'!$G$5:$G$914,"")</f>
        <v/>
      </c>
      <c r="F110">
        <f>_xlfn.XLOOKUP(D110,'[2]8A. Master Device Catalog'!$F$5:$F$914,'[2]8A. Master Device Catalog'!$H$5:$H$914,"")</f>
        <v/>
      </c>
    </row>
    <row r="111" hidden="1" ht="21.5" customHeight="1" s="125">
      <c r="A111" t="inlineStr">
        <is>
          <t>DEV000110</t>
        </is>
      </c>
      <c r="B111" s="59" t="inlineStr">
        <is>
          <t>HUA</t>
        </is>
      </c>
      <c r="C111" s="59" t="inlineStr">
        <is>
          <t>PHN</t>
        </is>
      </c>
      <c r="D111" s="60" t="inlineStr">
        <is>
          <t>Huawei Pura 70 Ultra</t>
        </is>
      </c>
      <c r="E111">
        <f>_xlfn.XLOOKUP(D111,'[2]8A. Master Device Catalog'!$F$5:$F$914,'[2]8A. Master Device Catalog'!$G$5:$G$914,"")</f>
        <v/>
      </c>
      <c r="F111">
        <f>_xlfn.XLOOKUP(D111,'[2]8A. Master Device Catalog'!$F$5:$F$914,'[2]8A. Master Device Catalog'!$H$5:$H$914,"")</f>
        <v/>
      </c>
    </row>
    <row r="112" hidden="1" ht="21.5" customHeight="1" s="125">
      <c r="A112" t="inlineStr">
        <is>
          <t>DEV000111</t>
        </is>
      </c>
      <c r="B112" s="59" t="inlineStr">
        <is>
          <t>HUA</t>
        </is>
      </c>
      <c r="C112" s="59" t="inlineStr">
        <is>
          <t>PHN</t>
        </is>
      </c>
      <c r="D112" s="60" t="inlineStr">
        <is>
          <t>Huawei Nova 12</t>
        </is>
      </c>
      <c r="E112">
        <f>_xlfn.XLOOKUP(D112,'[2]8A. Master Device Catalog'!$F$5:$F$914,'[2]8A. Master Device Catalog'!$G$5:$G$914,"")</f>
        <v/>
      </c>
      <c r="F112">
        <f>_xlfn.XLOOKUP(D112,'[2]8A. Master Device Catalog'!$F$5:$F$914,'[2]8A. Master Device Catalog'!$H$5:$H$914,"")</f>
        <v/>
      </c>
    </row>
    <row r="113" hidden="1" ht="21.5" customHeight="1" s="125">
      <c r="A113" t="inlineStr">
        <is>
          <t>DEV000112</t>
        </is>
      </c>
      <c r="B113" s="59" t="inlineStr">
        <is>
          <t>IQO</t>
        </is>
      </c>
      <c r="C113" s="59" t="inlineStr">
        <is>
          <t>PHN</t>
        </is>
      </c>
      <c r="D113" s="60" t="inlineStr">
        <is>
          <t>iQOO 12 Pro</t>
        </is>
      </c>
      <c r="E113">
        <f>_xlfn.XLOOKUP(D113,'[2]8A. Master Device Catalog'!$F$5:$F$914,'[2]8A. Master Device Catalog'!$G$5:$G$914,"")</f>
        <v/>
      </c>
      <c r="F113">
        <f>_xlfn.XLOOKUP(D113,'[2]8A. Master Device Catalog'!$F$5:$F$914,'[2]8A. Master Device Catalog'!$H$5:$H$914,"")</f>
        <v/>
      </c>
    </row>
    <row r="114" hidden="1" ht="21.5" customHeight="1" s="125">
      <c r="A114" t="inlineStr">
        <is>
          <t>DEV000113</t>
        </is>
      </c>
      <c r="B114" s="59" t="inlineStr">
        <is>
          <t xml:space="preserve">LGE </t>
        </is>
      </c>
      <c r="C114" s="59" t="inlineStr">
        <is>
          <t>PHN</t>
        </is>
      </c>
      <c r="D114" s="60" t="inlineStr">
        <is>
          <t>LG G2</t>
        </is>
      </c>
      <c r="E114">
        <f>_xlfn.XLOOKUP(D114,'[2]8A. Master Device Catalog'!$F$5:$F$914,'[2]8A. Master Device Catalog'!$G$5:$G$914,"")</f>
        <v/>
      </c>
      <c r="F114">
        <f>_xlfn.XLOOKUP(D114,'[2]8A. Master Device Catalog'!$F$5:$F$914,'[2]8A. Master Device Catalog'!$H$5:$H$914,"")</f>
        <v/>
      </c>
    </row>
    <row r="115" hidden="1" ht="21.5" customHeight="1" s="125">
      <c r="A115" t="inlineStr">
        <is>
          <t>DEV000114</t>
        </is>
      </c>
      <c r="B115" s="59" t="inlineStr">
        <is>
          <t xml:space="preserve">LGE </t>
        </is>
      </c>
      <c r="C115" s="59" t="inlineStr">
        <is>
          <t>PHN</t>
        </is>
      </c>
      <c r="D115" s="60" t="inlineStr">
        <is>
          <t>LG G3</t>
        </is>
      </c>
      <c r="E115">
        <f>_xlfn.XLOOKUP(D115,'[2]8A. Master Device Catalog'!$F$5:$F$914,'[2]8A. Master Device Catalog'!$G$5:$G$914,"")</f>
        <v/>
      </c>
      <c r="F115">
        <f>_xlfn.XLOOKUP(D115,'[2]8A. Master Device Catalog'!$F$5:$F$914,'[2]8A. Master Device Catalog'!$H$5:$H$914,"")</f>
        <v/>
      </c>
    </row>
    <row r="116" hidden="1" ht="21.5" customHeight="1" s="125">
      <c r="A116" t="inlineStr">
        <is>
          <t>DEV000115</t>
        </is>
      </c>
      <c r="B116" s="59" t="inlineStr">
        <is>
          <t xml:space="preserve">LGE </t>
        </is>
      </c>
      <c r="C116" s="59" t="inlineStr">
        <is>
          <t>PHN</t>
        </is>
      </c>
      <c r="D116" s="60" t="inlineStr">
        <is>
          <t>LG G4</t>
        </is>
      </c>
      <c r="E116">
        <f>_xlfn.XLOOKUP(D116,'[2]8A. Master Device Catalog'!$F$5:$F$914,'[2]8A. Master Device Catalog'!$G$5:$G$914,"")</f>
        <v/>
      </c>
      <c r="F116">
        <f>_xlfn.XLOOKUP(D116,'[2]8A. Master Device Catalog'!$F$5:$F$914,'[2]8A. Master Device Catalog'!$H$5:$H$914,"")</f>
        <v/>
      </c>
    </row>
    <row r="117" hidden="1" ht="21.5" customHeight="1" s="125">
      <c r="A117" t="inlineStr">
        <is>
          <t>DEV000116</t>
        </is>
      </c>
      <c r="B117" s="59" t="inlineStr">
        <is>
          <t xml:space="preserve">LGE </t>
        </is>
      </c>
      <c r="C117" s="59" t="inlineStr">
        <is>
          <t>PHN</t>
        </is>
      </c>
      <c r="D117" s="60" t="inlineStr">
        <is>
          <t>LG G5</t>
        </is>
      </c>
      <c r="E117">
        <f>_xlfn.XLOOKUP(D117,'[2]8A. Master Device Catalog'!$F$5:$F$914,'[2]8A. Master Device Catalog'!$G$5:$G$914,"")</f>
        <v/>
      </c>
      <c r="F117">
        <f>_xlfn.XLOOKUP(D117,'[2]8A. Master Device Catalog'!$F$5:$F$914,'[2]8A. Master Device Catalog'!$H$5:$H$914,"")</f>
        <v/>
      </c>
    </row>
    <row r="118" hidden="1" ht="21.5" customHeight="1" s="125">
      <c r="A118" t="inlineStr">
        <is>
          <t>DEV000117</t>
        </is>
      </c>
      <c r="B118" s="59" t="inlineStr">
        <is>
          <t xml:space="preserve">LGE </t>
        </is>
      </c>
      <c r="C118" s="59" t="inlineStr">
        <is>
          <t>PHN</t>
        </is>
      </c>
      <c r="D118" s="60" t="inlineStr">
        <is>
          <t>LG G6</t>
        </is>
      </c>
      <c r="E118">
        <f>_xlfn.XLOOKUP(D118,'[2]8A. Master Device Catalog'!$F$5:$F$914,'[2]8A. Master Device Catalog'!$G$5:$G$914,"")</f>
        <v/>
      </c>
      <c r="F118">
        <f>_xlfn.XLOOKUP(D118,'[2]8A. Master Device Catalog'!$F$5:$F$914,'[2]8A. Master Device Catalog'!$H$5:$H$914,"")</f>
        <v/>
      </c>
    </row>
    <row r="119" hidden="1" ht="21.5" customHeight="1" s="125">
      <c r="A119" t="inlineStr">
        <is>
          <t>DEV000118</t>
        </is>
      </c>
      <c r="B119" s="59" t="inlineStr">
        <is>
          <t xml:space="preserve">LGE </t>
        </is>
      </c>
      <c r="C119" s="59" t="inlineStr">
        <is>
          <t>PHN</t>
        </is>
      </c>
      <c r="D119" s="60" t="inlineStr">
        <is>
          <t>LG G7 ThinQ</t>
        </is>
      </c>
      <c r="E119">
        <f>_xlfn.XLOOKUP(D119,'[2]8A. Master Device Catalog'!$F$5:$F$914,'[2]8A. Master Device Catalog'!$G$5:$G$914,"")</f>
        <v/>
      </c>
      <c r="F119">
        <f>_xlfn.XLOOKUP(D119,'[2]8A. Master Device Catalog'!$F$5:$F$914,'[2]8A. Master Device Catalog'!$H$5:$H$914,"")</f>
        <v/>
      </c>
    </row>
    <row r="120" hidden="1" ht="21.5" customHeight="1" s="125">
      <c r="A120" t="inlineStr">
        <is>
          <t>DEV000119</t>
        </is>
      </c>
      <c r="B120" s="59" t="inlineStr">
        <is>
          <t xml:space="preserve">LGE </t>
        </is>
      </c>
      <c r="C120" s="59" t="inlineStr">
        <is>
          <t>PHN</t>
        </is>
      </c>
      <c r="D120" s="60" t="inlineStr">
        <is>
          <t>LG G8 ThinQ</t>
        </is>
      </c>
      <c r="E120">
        <f>_xlfn.XLOOKUP(D120,'[2]8A. Master Device Catalog'!$F$5:$F$914,'[2]8A. Master Device Catalog'!$G$5:$G$914,"")</f>
        <v/>
      </c>
      <c r="F120">
        <f>_xlfn.XLOOKUP(D120,'[2]8A. Master Device Catalog'!$F$5:$F$914,'[2]8A. Master Device Catalog'!$H$5:$H$914,"")</f>
        <v/>
      </c>
    </row>
    <row r="121" hidden="1" ht="21.5" customHeight="1" s="125">
      <c r="A121" t="inlineStr">
        <is>
          <t>DEV000120</t>
        </is>
      </c>
      <c r="B121" s="59" t="inlineStr">
        <is>
          <t xml:space="preserve">LGE </t>
        </is>
      </c>
      <c r="C121" s="59" t="inlineStr">
        <is>
          <t>PHN</t>
        </is>
      </c>
      <c r="D121" s="60" t="inlineStr">
        <is>
          <t>LG V20</t>
        </is>
      </c>
      <c r="E121">
        <f>_xlfn.XLOOKUP(D121,'[2]8A. Master Device Catalog'!$F$5:$F$914,'[2]8A. Master Device Catalog'!$G$5:$G$914,"")</f>
        <v/>
      </c>
      <c r="F121">
        <f>_xlfn.XLOOKUP(D121,'[2]8A. Master Device Catalog'!$F$5:$F$914,'[2]8A. Master Device Catalog'!$H$5:$H$914,"")</f>
        <v/>
      </c>
    </row>
    <row r="122" hidden="1" ht="21.5" customHeight="1" s="125">
      <c r="A122" t="inlineStr">
        <is>
          <t>DEV000121</t>
        </is>
      </c>
      <c r="B122" s="59" t="inlineStr">
        <is>
          <t xml:space="preserve">LGE </t>
        </is>
      </c>
      <c r="C122" s="59" t="inlineStr">
        <is>
          <t>PHN</t>
        </is>
      </c>
      <c r="D122" s="60" t="inlineStr">
        <is>
          <t>LG V30</t>
        </is>
      </c>
      <c r="E122">
        <f>_xlfn.XLOOKUP(D122,'[2]8A. Master Device Catalog'!$F$5:$F$914,'[2]8A. Master Device Catalog'!$G$5:$G$914,"")</f>
        <v/>
      </c>
      <c r="F122">
        <f>_xlfn.XLOOKUP(D122,'[2]8A. Master Device Catalog'!$F$5:$F$914,'[2]8A. Master Device Catalog'!$H$5:$H$914,"")</f>
        <v/>
      </c>
    </row>
    <row r="123" hidden="1" ht="21.5" customHeight="1" s="125">
      <c r="A123" t="inlineStr">
        <is>
          <t>DEV000122</t>
        </is>
      </c>
      <c r="B123" s="59" t="inlineStr">
        <is>
          <t xml:space="preserve">LGE </t>
        </is>
      </c>
      <c r="C123" s="59" t="inlineStr">
        <is>
          <t>PHN</t>
        </is>
      </c>
      <c r="D123" s="60" t="inlineStr">
        <is>
          <t>LG V60 ThinQ 5G</t>
        </is>
      </c>
      <c r="E123">
        <f>_xlfn.XLOOKUP(D123,'[2]8A. Master Device Catalog'!$F$5:$F$914,'[2]8A. Master Device Catalog'!$G$5:$G$914,"")</f>
        <v/>
      </c>
      <c r="F123">
        <f>_xlfn.XLOOKUP(D123,'[2]8A. Master Device Catalog'!$F$5:$F$914,'[2]8A. Master Device Catalog'!$H$5:$H$914,"")</f>
        <v/>
      </c>
    </row>
    <row r="124" hidden="1" ht="21.5" customHeight="1" s="125">
      <c r="A124" t="inlineStr">
        <is>
          <t>DEV000123</t>
        </is>
      </c>
      <c r="B124" s="59" t="inlineStr">
        <is>
          <t xml:space="preserve">LGE </t>
        </is>
      </c>
      <c r="C124" s="59" t="inlineStr">
        <is>
          <t>PHN</t>
        </is>
      </c>
      <c r="D124" s="60" t="inlineStr">
        <is>
          <t>LG Velvet</t>
        </is>
      </c>
      <c r="E124">
        <f>_xlfn.XLOOKUP(D124,'[2]8A. Master Device Catalog'!$F$5:$F$914,'[2]8A. Master Device Catalog'!$G$5:$G$914,"")</f>
        <v/>
      </c>
      <c r="F124">
        <f>_xlfn.XLOOKUP(D124,'[2]8A. Master Device Catalog'!$F$5:$F$914,'[2]8A. Master Device Catalog'!$H$5:$H$914,"")</f>
        <v/>
      </c>
    </row>
    <row r="125" hidden="1" ht="21.5" customHeight="1" s="125">
      <c r="A125" t="inlineStr">
        <is>
          <t>DEV000124</t>
        </is>
      </c>
      <c r="B125" s="59" t="inlineStr">
        <is>
          <t xml:space="preserve">LGE </t>
        </is>
      </c>
      <c r="C125" s="59" t="inlineStr">
        <is>
          <t>PHN</t>
        </is>
      </c>
      <c r="D125" s="60" t="inlineStr">
        <is>
          <t>LG Wing</t>
        </is>
      </c>
      <c r="E125">
        <f>_xlfn.XLOOKUP(D125,'[2]8A. Master Device Catalog'!$F$5:$F$914,'[2]8A. Master Device Catalog'!$G$5:$G$914,"")</f>
        <v/>
      </c>
      <c r="F125">
        <f>_xlfn.XLOOKUP(D125,'[2]8A. Master Device Catalog'!$F$5:$F$914,'[2]8A. Master Device Catalog'!$H$5:$H$914,"")</f>
        <v/>
      </c>
    </row>
    <row r="126" hidden="1" ht="21.5" customHeight="1" s="125">
      <c r="A126" t="inlineStr">
        <is>
          <t>DEV000125</t>
        </is>
      </c>
      <c r="B126" s="59" t="inlineStr">
        <is>
          <t xml:space="preserve">LGE </t>
        </is>
      </c>
      <c r="C126" s="59" t="inlineStr">
        <is>
          <t>PHN</t>
        </is>
      </c>
      <c r="D126" s="60" t="inlineStr">
        <is>
          <t>LG Stylo 5</t>
        </is>
      </c>
      <c r="E126">
        <f>_xlfn.XLOOKUP(D126,'[2]8A. Master Device Catalog'!$F$5:$F$914,'[2]8A. Master Device Catalog'!$G$5:$G$914,"")</f>
        <v/>
      </c>
      <c r="F126">
        <f>_xlfn.XLOOKUP(D126,'[2]8A. Master Device Catalog'!$F$5:$F$914,'[2]8A. Master Device Catalog'!$H$5:$H$914,"")</f>
        <v/>
      </c>
    </row>
    <row r="127" hidden="1" ht="21.5" customHeight="1" s="125">
      <c r="A127" t="inlineStr">
        <is>
          <t>DEV000126</t>
        </is>
      </c>
      <c r="B127" s="59" t="inlineStr">
        <is>
          <t xml:space="preserve">LGE </t>
        </is>
      </c>
      <c r="C127" s="59" t="inlineStr">
        <is>
          <t>PHN</t>
        </is>
      </c>
      <c r="D127" s="60" t="inlineStr">
        <is>
          <t>LG Stylo 6</t>
        </is>
      </c>
      <c r="E127">
        <f>_xlfn.XLOOKUP(D127,'[2]8A. Master Device Catalog'!$F$5:$F$914,'[2]8A. Master Device Catalog'!$G$5:$G$914,"")</f>
        <v/>
      </c>
      <c r="F127">
        <f>_xlfn.XLOOKUP(D127,'[2]8A. Master Device Catalog'!$F$5:$F$914,'[2]8A. Master Device Catalog'!$H$5:$H$914,"")</f>
        <v/>
      </c>
    </row>
    <row r="128" hidden="1" ht="21.5" customHeight="1" s="125">
      <c r="A128" t="inlineStr">
        <is>
          <t>DEV000127</t>
        </is>
      </c>
      <c r="B128" s="59" t="inlineStr">
        <is>
          <t xml:space="preserve">LGE </t>
        </is>
      </c>
      <c r="C128" s="59" t="inlineStr">
        <is>
          <t>PHN</t>
        </is>
      </c>
      <c r="D128" s="60" t="inlineStr">
        <is>
          <t>LG Stylo 7</t>
        </is>
      </c>
      <c r="E128">
        <f>_xlfn.XLOOKUP(D128,'[2]8A. Master Device Catalog'!$F$5:$F$914,'[2]8A. Master Device Catalog'!$G$5:$G$914,"")</f>
        <v/>
      </c>
      <c r="F128">
        <f>_xlfn.XLOOKUP(D128,'[2]8A. Master Device Catalog'!$F$5:$F$914,'[2]8A. Master Device Catalog'!$H$5:$H$914,"")</f>
        <v/>
      </c>
    </row>
    <row r="129" hidden="1" ht="21.5" customHeight="1" s="125">
      <c r="A129" t="inlineStr">
        <is>
          <t>DEV000128</t>
        </is>
      </c>
      <c r="B129" s="59" t="inlineStr">
        <is>
          <t xml:space="preserve">LGE </t>
        </is>
      </c>
      <c r="C129" s="59" t="inlineStr">
        <is>
          <t>PHN</t>
        </is>
      </c>
      <c r="D129" s="60" t="inlineStr">
        <is>
          <t>LG K51</t>
        </is>
      </c>
      <c r="E129">
        <f>_xlfn.XLOOKUP(D129,'[2]8A. Master Device Catalog'!$F$5:$F$914,'[2]8A. Master Device Catalog'!$G$5:$G$914,"")</f>
        <v/>
      </c>
      <c r="F129">
        <f>_xlfn.XLOOKUP(D129,'[2]8A. Master Device Catalog'!$F$5:$F$914,'[2]8A. Master Device Catalog'!$H$5:$H$914,"")</f>
        <v/>
      </c>
    </row>
    <row r="130" hidden="1" ht="21.5" customHeight="1" s="125">
      <c r="A130" t="inlineStr">
        <is>
          <t>DEV000129</t>
        </is>
      </c>
      <c r="B130" s="59" t="inlineStr">
        <is>
          <t xml:space="preserve">LGE </t>
        </is>
      </c>
      <c r="C130" s="59" t="inlineStr">
        <is>
          <t>PHN</t>
        </is>
      </c>
      <c r="D130" s="60" t="inlineStr">
        <is>
          <t>LG K61</t>
        </is>
      </c>
      <c r="E130">
        <f>_xlfn.XLOOKUP(D130,'[2]8A. Master Device Catalog'!$F$5:$F$914,'[2]8A. Master Device Catalog'!$G$5:$G$914,"")</f>
        <v/>
      </c>
      <c r="F130">
        <f>_xlfn.XLOOKUP(D130,'[2]8A. Master Device Catalog'!$F$5:$F$914,'[2]8A. Master Device Catalog'!$H$5:$H$914,"")</f>
        <v/>
      </c>
    </row>
    <row r="131" hidden="1" ht="21.5" customHeight="1" s="125">
      <c r="A131" t="inlineStr">
        <is>
          <t>DEV000130</t>
        </is>
      </c>
      <c r="B131" s="59" t="inlineStr">
        <is>
          <t xml:space="preserve">LGE </t>
        </is>
      </c>
      <c r="C131" s="59" t="inlineStr">
        <is>
          <t>PHN</t>
        </is>
      </c>
      <c r="D131" s="60" t="inlineStr">
        <is>
          <t>LG Q60</t>
        </is>
      </c>
      <c r="E131">
        <f>_xlfn.XLOOKUP(D131,'[2]8A. Master Device Catalog'!$F$5:$F$914,'[2]8A. Master Device Catalog'!$G$5:$G$914,"")</f>
        <v/>
      </c>
      <c r="F131">
        <f>_xlfn.XLOOKUP(D131,'[2]8A. Master Device Catalog'!$F$5:$F$914,'[2]8A. Master Device Catalog'!$H$5:$H$914,"")</f>
        <v/>
      </c>
    </row>
    <row r="132" hidden="1" ht="21.5" customHeight="1" s="125">
      <c r="A132" t="inlineStr">
        <is>
          <t>DEV000131</t>
        </is>
      </c>
      <c r="B132" s="59" t="inlineStr">
        <is>
          <t xml:space="preserve">LGE </t>
        </is>
      </c>
      <c r="C132" s="59" t="inlineStr">
        <is>
          <t>PHN</t>
        </is>
      </c>
      <c r="D132" s="60" t="inlineStr">
        <is>
          <t>LG Q92 5G</t>
        </is>
      </c>
      <c r="E132">
        <f>_xlfn.XLOOKUP(D132,'[2]8A. Master Device Catalog'!$F$5:$F$914,'[2]8A. Master Device Catalog'!$G$5:$G$914,"")</f>
        <v/>
      </c>
      <c r="F132">
        <f>_xlfn.XLOOKUP(D132,'[2]8A. Master Device Catalog'!$F$5:$F$914,'[2]8A. Master Device Catalog'!$H$5:$H$914,"")</f>
        <v/>
      </c>
    </row>
    <row r="133" hidden="1" ht="21.5" customHeight="1" s="125">
      <c r="A133" t="inlineStr">
        <is>
          <t>DEV000132</t>
        </is>
      </c>
      <c r="B133" s="59" t="inlineStr">
        <is>
          <t xml:space="preserve">LGE </t>
        </is>
      </c>
      <c r="C133" s="59" t="inlineStr">
        <is>
          <t>PHN</t>
        </is>
      </c>
      <c r="D133" s="60" t="inlineStr">
        <is>
          <t>LG K92 5G</t>
        </is>
      </c>
      <c r="E133">
        <f>_xlfn.XLOOKUP(D133,'[2]8A. Master Device Catalog'!$F$5:$F$914,'[2]8A. Master Device Catalog'!$G$5:$G$914,"")</f>
        <v/>
      </c>
      <c r="F133">
        <f>_xlfn.XLOOKUP(D133,'[2]8A. Master Device Catalog'!$F$5:$F$914,'[2]8A. Master Device Catalog'!$H$5:$H$914,"")</f>
        <v/>
      </c>
    </row>
    <row r="134" hidden="1" ht="21.5" customHeight="1" s="125">
      <c r="A134" t="inlineStr">
        <is>
          <t>DEV000133</t>
        </is>
      </c>
      <c r="B134" s="59" t="inlineStr">
        <is>
          <t>MOT</t>
        </is>
      </c>
      <c r="C134" s="59" t="inlineStr">
        <is>
          <t>PHN</t>
        </is>
      </c>
      <c r="D134" s="60" t="inlineStr">
        <is>
          <t>Moto G</t>
        </is>
      </c>
      <c r="E134">
        <f>_xlfn.XLOOKUP(D134,'[2]8A. Master Device Catalog'!$F$5:$F$914,'[2]8A. Master Device Catalog'!$G$5:$G$914,"")</f>
        <v/>
      </c>
      <c r="F134">
        <f>_xlfn.XLOOKUP(D134,'[2]8A. Master Device Catalog'!$F$5:$F$914,'[2]8A. Master Device Catalog'!$H$5:$H$914,"")</f>
        <v/>
      </c>
    </row>
    <row r="135" hidden="1" ht="21.5" customHeight="1" s="125">
      <c r="A135" t="inlineStr">
        <is>
          <t>DEV000134</t>
        </is>
      </c>
      <c r="B135" s="59" t="inlineStr">
        <is>
          <t>MOT</t>
        </is>
      </c>
      <c r="C135" s="59" t="inlineStr">
        <is>
          <t>PHN</t>
        </is>
      </c>
      <c r="D135" s="60" t="inlineStr">
        <is>
          <t>Moto G (2nd Gen)</t>
        </is>
      </c>
      <c r="E135">
        <f>_xlfn.XLOOKUP(D135,'[2]8A. Master Device Catalog'!$F$5:$F$914,'[2]8A. Master Device Catalog'!$G$5:$G$914,"")</f>
        <v/>
      </c>
      <c r="F135">
        <f>_xlfn.XLOOKUP(D135,'[2]8A. Master Device Catalog'!$F$5:$F$914,'[2]8A. Master Device Catalog'!$H$5:$H$914,"")</f>
        <v/>
      </c>
    </row>
    <row r="136" hidden="1" ht="21.5" customHeight="1" s="125">
      <c r="A136" t="inlineStr">
        <is>
          <t>DEV000135</t>
        </is>
      </c>
      <c r="B136" s="59" t="inlineStr">
        <is>
          <t>MOT</t>
        </is>
      </c>
      <c r="C136" s="59" t="inlineStr">
        <is>
          <t>PHN</t>
        </is>
      </c>
      <c r="D136" s="60" t="inlineStr">
        <is>
          <t>Moto G3</t>
        </is>
      </c>
      <c r="E136">
        <f>_xlfn.XLOOKUP(D136,'[2]8A. Master Device Catalog'!$F$5:$F$914,'[2]8A. Master Device Catalog'!$G$5:$G$914,"")</f>
        <v/>
      </c>
      <c r="F136">
        <f>_xlfn.XLOOKUP(D136,'[2]8A. Master Device Catalog'!$F$5:$F$914,'[2]8A. Master Device Catalog'!$H$5:$H$914,"")</f>
        <v/>
      </c>
    </row>
    <row r="137" hidden="1" ht="21.5" customHeight="1" s="125">
      <c r="A137" t="inlineStr">
        <is>
          <t>DEV000136</t>
        </is>
      </c>
      <c r="B137" s="59" t="inlineStr">
        <is>
          <t>MOT</t>
        </is>
      </c>
      <c r="C137" s="59" t="inlineStr">
        <is>
          <t>PHN</t>
        </is>
      </c>
      <c r="D137" s="60" t="inlineStr">
        <is>
          <t>Moto G4</t>
        </is>
      </c>
      <c r="E137">
        <f>_xlfn.XLOOKUP(D137,'[2]8A. Master Device Catalog'!$F$5:$F$914,'[2]8A. Master Device Catalog'!$G$5:$G$914,"")</f>
        <v/>
      </c>
      <c r="F137">
        <f>_xlfn.XLOOKUP(D137,'[2]8A. Master Device Catalog'!$F$5:$F$914,'[2]8A. Master Device Catalog'!$H$5:$H$914,"")</f>
        <v/>
      </c>
    </row>
    <row r="138" hidden="1" ht="21.5" customHeight="1" s="125">
      <c r="A138" t="inlineStr">
        <is>
          <t>DEV000137</t>
        </is>
      </c>
      <c r="B138" s="59" t="inlineStr">
        <is>
          <t>MOT</t>
        </is>
      </c>
      <c r="C138" s="59" t="inlineStr">
        <is>
          <t>PHN</t>
        </is>
      </c>
      <c r="D138" s="60" t="inlineStr">
        <is>
          <t>Moto G5</t>
        </is>
      </c>
      <c r="E138">
        <f>_xlfn.XLOOKUP(D138,'[2]8A. Master Device Catalog'!$F$5:$F$914,'[2]8A. Master Device Catalog'!$G$5:$G$914,"")</f>
        <v/>
      </c>
      <c r="F138">
        <f>_xlfn.XLOOKUP(D138,'[2]8A. Master Device Catalog'!$F$5:$F$914,'[2]8A. Master Device Catalog'!$H$5:$H$914,"")</f>
        <v/>
      </c>
    </row>
    <row r="139" hidden="1" ht="21.5" customHeight="1" s="125">
      <c r="A139" t="inlineStr">
        <is>
          <t>DEV000138</t>
        </is>
      </c>
      <c r="B139" s="59" t="inlineStr">
        <is>
          <t>MOT</t>
        </is>
      </c>
      <c r="C139" s="59" t="inlineStr">
        <is>
          <t>PHN</t>
        </is>
      </c>
      <c r="D139" s="60" t="inlineStr">
        <is>
          <t>Moto G6</t>
        </is>
      </c>
      <c r="E139">
        <f>_xlfn.XLOOKUP(D139,'[2]8A. Master Device Catalog'!$F$5:$F$914,'[2]8A. Master Device Catalog'!$G$5:$G$914,"")</f>
        <v/>
      </c>
      <c r="F139">
        <f>_xlfn.XLOOKUP(D139,'[2]8A. Master Device Catalog'!$F$5:$F$914,'[2]8A. Master Device Catalog'!$H$5:$H$914,"")</f>
        <v/>
      </c>
    </row>
    <row r="140" hidden="1" ht="21.5" customHeight="1" s="125">
      <c r="A140" t="inlineStr">
        <is>
          <t>DEV000139</t>
        </is>
      </c>
      <c r="B140" s="59" t="inlineStr">
        <is>
          <t>MOT</t>
        </is>
      </c>
      <c r="C140" s="59" t="inlineStr">
        <is>
          <t>PHN</t>
        </is>
      </c>
      <c r="D140" s="60" t="inlineStr">
        <is>
          <t>Moto G7</t>
        </is>
      </c>
      <c r="E140">
        <f>_xlfn.XLOOKUP(D140,'[2]8A. Master Device Catalog'!$F$5:$F$914,'[2]8A. Master Device Catalog'!$G$5:$G$914,"")</f>
        <v/>
      </c>
      <c r="F140">
        <f>_xlfn.XLOOKUP(D140,'[2]8A. Master Device Catalog'!$F$5:$F$914,'[2]8A. Master Device Catalog'!$H$5:$H$914,"")</f>
        <v/>
      </c>
    </row>
    <row r="141" hidden="1" ht="21.5" customHeight="1" s="125">
      <c r="A141" t="inlineStr">
        <is>
          <t>DEV000140</t>
        </is>
      </c>
      <c r="B141" s="59" t="inlineStr">
        <is>
          <t>MOT</t>
        </is>
      </c>
      <c r="C141" s="59" t="inlineStr">
        <is>
          <t>PHN</t>
        </is>
      </c>
      <c r="D141" s="60" t="inlineStr">
        <is>
          <t>Moto G Power</t>
        </is>
      </c>
      <c r="E141">
        <f>_xlfn.XLOOKUP(D141,'[2]8A. Master Device Catalog'!$F$5:$F$914,'[2]8A. Master Device Catalog'!$G$5:$G$914,"")</f>
        <v/>
      </c>
      <c r="F141">
        <f>_xlfn.XLOOKUP(D141,'[2]8A. Master Device Catalog'!$F$5:$F$914,'[2]8A. Master Device Catalog'!$H$5:$H$914,"")</f>
        <v/>
      </c>
    </row>
    <row r="142" hidden="1" ht="21.5" customHeight="1" s="125">
      <c r="A142" t="inlineStr">
        <is>
          <t>DEV000141</t>
        </is>
      </c>
      <c r="B142" s="59" t="inlineStr">
        <is>
          <t>MOT</t>
        </is>
      </c>
      <c r="C142" s="59" t="inlineStr">
        <is>
          <t>PHN</t>
        </is>
      </c>
      <c r="D142" s="60" t="inlineStr">
        <is>
          <t>Moto G Stylus</t>
        </is>
      </c>
      <c r="E142">
        <f>_xlfn.XLOOKUP(D142,'[2]8A. Master Device Catalog'!$F$5:$F$914,'[2]8A. Master Device Catalog'!$G$5:$G$914,"")</f>
        <v/>
      </c>
      <c r="F142">
        <f>_xlfn.XLOOKUP(D142,'[2]8A. Master Device Catalog'!$F$5:$F$914,'[2]8A. Master Device Catalog'!$H$5:$H$914,"")</f>
        <v/>
      </c>
    </row>
    <row r="143" hidden="1" ht="21.5" customHeight="1" s="125">
      <c r="A143" t="inlineStr">
        <is>
          <t>DEV000142</t>
        </is>
      </c>
      <c r="B143" s="59" t="inlineStr">
        <is>
          <t>MOT</t>
        </is>
      </c>
      <c r="C143" s="59" t="inlineStr">
        <is>
          <t>PHN</t>
        </is>
      </c>
      <c r="D143" s="60" t="inlineStr">
        <is>
          <t>Moto G 5G</t>
        </is>
      </c>
      <c r="E143">
        <f>_xlfn.XLOOKUP(D143,'[2]8A. Master Device Catalog'!$F$5:$F$914,'[2]8A. Master Device Catalog'!$G$5:$G$914,"")</f>
        <v/>
      </c>
      <c r="F143">
        <f>_xlfn.XLOOKUP(D143,'[2]8A. Master Device Catalog'!$F$5:$F$914,'[2]8A. Master Device Catalog'!$H$5:$H$914,"")</f>
        <v/>
      </c>
    </row>
    <row r="144" hidden="1" ht="21.5" customHeight="1" s="125">
      <c r="A144" t="inlineStr">
        <is>
          <t>DEV000143</t>
        </is>
      </c>
      <c r="B144" s="59" t="inlineStr">
        <is>
          <t>MOT</t>
        </is>
      </c>
      <c r="C144" s="59" t="inlineStr">
        <is>
          <t>PHN</t>
        </is>
      </c>
      <c r="D144" s="60" t="inlineStr">
        <is>
          <t>Moto G Power (2021)</t>
        </is>
      </c>
      <c r="E144">
        <f>_xlfn.XLOOKUP(D144,'[2]8A. Master Device Catalog'!$F$5:$F$914,'[2]8A. Master Device Catalog'!$G$5:$G$914,"")</f>
        <v/>
      </c>
      <c r="F144">
        <f>_xlfn.XLOOKUP(D144,'[2]8A. Master Device Catalog'!$F$5:$F$914,'[2]8A. Master Device Catalog'!$H$5:$H$914,"")</f>
        <v/>
      </c>
    </row>
    <row r="145" hidden="1" ht="21.5" customHeight="1" s="125">
      <c r="A145" t="inlineStr">
        <is>
          <t>DEV000144</t>
        </is>
      </c>
      <c r="B145" s="59" t="inlineStr">
        <is>
          <t>MOT</t>
        </is>
      </c>
      <c r="C145" s="59" t="inlineStr">
        <is>
          <t>PHN</t>
        </is>
      </c>
      <c r="D145" s="60" t="inlineStr">
        <is>
          <t>Moto G Stylus 5G</t>
        </is>
      </c>
      <c r="E145">
        <f>_xlfn.XLOOKUP(D145,'[2]8A. Master Device Catalog'!$F$5:$F$914,'[2]8A. Master Device Catalog'!$G$5:$G$914,"")</f>
        <v/>
      </c>
      <c r="F145">
        <f>_xlfn.XLOOKUP(D145,'[2]8A. Master Device Catalog'!$F$5:$F$914,'[2]8A. Master Device Catalog'!$H$5:$H$914,"")</f>
        <v/>
      </c>
    </row>
    <row r="146" hidden="1" ht="21.5" customHeight="1" s="125">
      <c r="A146" t="inlineStr">
        <is>
          <t>DEV000145</t>
        </is>
      </c>
      <c r="B146" s="59" t="inlineStr">
        <is>
          <t>MOT</t>
        </is>
      </c>
      <c r="C146" s="59" t="inlineStr">
        <is>
          <t>PHN</t>
        </is>
      </c>
      <c r="D146" s="60" t="inlineStr">
        <is>
          <t>Moto E7</t>
        </is>
      </c>
      <c r="E146">
        <f>_xlfn.XLOOKUP(D146,'[2]8A. Master Device Catalog'!$F$5:$F$914,'[2]8A. Master Device Catalog'!$G$5:$G$914,"")</f>
        <v/>
      </c>
      <c r="F146">
        <f>_xlfn.XLOOKUP(D146,'[2]8A. Master Device Catalog'!$F$5:$F$914,'[2]8A. Master Device Catalog'!$H$5:$H$914,"")</f>
        <v/>
      </c>
    </row>
    <row r="147" hidden="1" ht="21.5" customHeight="1" s="125">
      <c r="A147" t="inlineStr">
        <is>
          <t>DEV000146</t>
        </is>
      </c>
      <c r="B147" s="59" t="inlineStr">
        <is>
          <t>MOT</t>
        </is>
      </c>
      <c r="C147" s="59" t="inlineStr">
        <is>
          <t>PHN</t>
        </is>
      </c>
      <c r="D147" s="60" t="inlineStr">
        <is>
          <t>Moto E13</t>
        </is>
      </c>
      <c r="E147">
        <f>_xlfn.XLOOKUP(D147,'[2]8A. Master Device Catalog'!$F$5:$F$914,'[2]8A. Master Device Catalog'!$G$5:$G$914,"")</f>
        <v/>
      </c>
      <c r="F147">
        <f>_xlfn.XLOOKUP(D147,'[2]8A. Master Device Catalog'!$F$5:$F$914,'[2]8A. Master Device Catalog'!$H$5:$H$914,"")</f>
        <v/>
      </c>
    </row>
    <row r="148" hidden="1" ht="21.5" customHeight="1" s="125">
      <c r="A148" t="inlineStr">
        <is>
          <t>DEV000147</t>
        </is>
      </c>
      <c r="B148" s="59" t="inlineStr">
        <is>
          <t>MOT</t>
        </is>
      </c>
      <c r="C148" s="59" t="inlineStr">
        <is>
          <t>PHN</t>
        </is>
      </c>
      <c r="D148" s="60" t="inlineStr">
        <is>
          <t>Motorola One 5G</t>
        </is>
      </c>
      <c r="E148">
        <f>_xlfn.XLOOKUP(D148,'[2]8A. Master Device Catalog'!$F$5:$F$914,'[2]8A. Master Device Catalog'!$G$5:$G$914,"")</f>
        <v/>
      </c>
      <c r="F148">
        <f>_xlfn.XLOOKUP(D148,'[2]8A. Master Device Catalog'!$F$5:$F$914,'[2]8A. Master Device Catalog'!$H$5:$H$914,"")</f>
        <v/>
      </c>
    </row>
    <row r="149" hidden="1" ht="21.5" customHeight="1" s="125">
      <c r="A149" t="inlineStr">
        <is>
          <t>DEV000148</t>
        </is>
      </c>
      <c r="B149" s="59" t="inlineStr">
        <is>
          <t>MOT</t>
        </is>
      </c>
      <c r="C149" s="59" t="inlineStr">
        <is>
          <t>PHN</t>
        </is>
      </c>
      <c r="D149" s="60" t="inlineStr">
        <is>
          <t>Motorola Edge</t>
        </is>
      </c>
      <c r="E149">
        <f>_xlfn.XLOOKUP(D149,'[2]8A. Master Device Catalog'!$F$5:$F$914,'[2]8A. Master Device Catalog'!$G$5:$G$914,"")</f>
        <v/>
      </c>
      <c r="F149">
        <f>_xlfn.XLOOKUP(D149,'[2]8A. Master Device Catalog'!$F$5:$F$914,'[2]8A. Master Device Catalog'!$H$5:$H$914,"")</f>
        <v/>
      </c>
    </row>
    <row r="150" hidden="1" ht="21.5" customHeight="1" s="125">
      <c r="A150" t="inlineStr">
        <is>
          <t>DEV000149</t>
        </is>
      </c>
      <c r="B150" s="59" t="inlineStr">
        <is>
          <t>MOT</t>
        </is>
      </c>
      <c r="C150" s="59" t="inlineStr">
        <is>
          <t>PHN</t>
        </is>
      </c>
      <c r="D150" s="60" t="inlineStr">
        <is>
          <t>Motorola Edge+</t>
        </is>
      </c>
      <c r="E150">
        <f>_xlfn.XLOOKUP(D150,'[2]8A. Master Device Catalog'!$F$5:$F$914,'[2]8A. Master Device Catalog'!$G$5:$G$914,"")</f>
        <v/>
      </c>
      <c r="F150">
        <f>_xlfn.XLOOKUP(D150,'[2]8A. Master Device Catalog'!$F$5:$F$914,'[2]8A. Master Device Catalog'!$H$5:$H$914,"")</f>
        <v/>
      </c>
    </row>
    <row r="151" hidden="1" ht="21.5" customHeight="1" s="125">
      <c r="A151" t="inlineStr">
        <is>
          <t>DEV000150</t>
        </is>
      </c>
      <c r="B151" s="59" t="inlineStr">
        <is>
          <t>MOT</t>
        </is>
      </c>
      <c r="C151" s="59" t="inlineStr">
        <is>
          <t>PHN</t>
        </is>
      </c>
      <c r="D151" s="60" t="inlineStr">
        <is>
          <t>Motorola Razr 5G</t>
        </is>
      </c>
      <c r="E151">
        <f>_xlfn.XLOOKUP(D151,'[2]8A. Master Device Catalog'!$F$5:$F$914,'[2]8A. Master Device Catalog'!$G$5:$G$914,"")</f>
        <v/>
      </c>
      <c r="F151">
        <f>_xlfn.XLOOKUP(D151,'[2]8A. Master Device Catalog'!$F$5:$F$914,'[2]8A. Master Device Catalog'!$H$5:$H$914,"")</f>
        <v/>
      </c>
    </row>
    <row r="152" hidden="1" ht="21.5" customHeight="1" s="125">
      <c r="A152" t="inlineStr">
        <is>
          <t>DEV000151</t>
        </is>
      </c>
      <c r="B152" s="59" t="inlineStr">
        <is>
          <t>MOT</t>
        </is>
      </c>
      <c r="C152" s="59" t="inlineStr">
        <is>
          <t>PHN</t>
        </is>
      </c>
      <c r="D152" s="60" t="inlineStr">
        <is>
          <t>Motorola Razr 2023</t>
        </is>
      </c>
      <c r="E152">
        <f>_xlfn.XLOOKUP(D152,'[2]8A. Master Device Catalog'!$F$5:$F$914,'[2]8A. Master Device Catalog'!$G$5:$G$914,"")</f>
        <v/>
      </c>
      <c r="F152">
        <f>_xlfn.XLOOKUP(D152,'[2]8A. Master Device Catalog'!$F$5:$F$914,'[2]8A. Master Device Catalog'!$H$5:$H$914,"")</f>
        <v/>
      </c>
    </row>
    <row r="153" hidden="1" ht="21.5" customHeight="1" s="125">
      <c r="A153" t="inlineStr">
        <is>
          <t>DEV000152</t>
        </is>
      </c>
      <c r="B153" s="59" t="inlineStr">
        <is>
          <t>MOT</t>
        </is>
      </c>
      <c r="C153" s="59" t="inlineStr">
        <is>
          <t>PHN</t>
        </is>
      </c>
      <c r="D153" s="60" t="inlineStr">
        <is>
          <t>Moto G54 5G</t>
        </is>
      </c>
      <c r="E153">
        <f>_xlfn.XLOOKUP(D153,'[2]8A. Master Device Catalog'!$F$5:$F$914,'[2]8A. Master Device Catalog'!$G$5:$G$914,"")</f>
        <v/>
      </c>
      <c r="F153">
        <f>_xlfn.XLOOKUP(D153,'[2]8A. Master Device Catalog'!$F$5:$F$914,'[2]8A. Master Device Catalog'!$H$5:$H$914,"")</f>
        <v/>
      </c>
    </row>
    <row r="154" hidden="1" ht="21.5" customHeight="1" s="125">
      <c r="A154" t="inlineStr">
        <is>
          <t>DEV000153</t>
        </is>
      </c>
      <c r="B154" s="59" t="inlineStr">
        <is>
          <t>MOT</t>
        </is>
      </c>
      <c r="C154" s="59" t="inlineStr">
        <is>
          <t>PHN</t>
        </is>
      </c>
      <c r="D154" s="60" t="inlineStr">
        <is>
          <t>Moto G84 5G</t>
        </is>
      </c>
      <c r="E154">
        <f>_xlfn.XLOOKUP(D154,'[2]8A. Master Device Catalog'!$F$5:$F$914,'[2]8A. Master Device Catalog'!$G$5:$G$914,"")</f>
        <v/>
      </c>
      <c r="F154">
        <f>_xlfn.XLOOKUP(D154,'[2]8A. Master Device Catalog'!$F$5:$F$914,'[2]8A. Master Device Catalog'!$H$5:$H$914,"")</f>
        <v/>
      </c>
    </row>
    <row r="155" hidden="1" ht="21.5" customHeight="1" s="125">
      <c r="A155" t="inlineStr">
        <is>
          <t>DEV000154</t>
        </is>
      </c>
      <c r="B155" s="59" t="inlineStr">
        <is>
          <t>MOT</t>
        </is>
      </c>
      <c r="C155" s="59" t="inlineStr">
        <is>
          <t>PHN</t>
        </is>
      </c>
      <c r="D155" s="60" t="inlineStr">
        <is>
          <t>Moto G85 5G</t>
        </is>
      </c>
      <c r="E155">
        <f>_xlfn.XLOOKUP(D155,'[2]8A. Master Device Catalog'!$F$5:$F$914,'[2]8A. Master Device Catalog'!$G$5:$G$914,"")</f>
        <v/>
      </c>
      <c r="F155">
        <f>_xlfn.XLOOKUP(D155,'[2]8A. Master Device Catalog'!$F$5:$F$914,'[2]8A. Master Device Catalog'!$H$5:$H$914,"")</f>
        <v/>
      </c>
    </row>
    <row r="156" hidden="1" ht="21.5" customHeight="1" s="125">
      <c r="A156" t="inlineStr">
        <is>
          <t>DEV000155</t>
        </is>
      </c>
      <c r="B156" s="59" t="inlineStr">
        <is>
          <t>MOT</t>
        </is>
      </c>
      <c r="C156" s="59" t="inlineStr">
        <is>
          <t>PHN</t>
        </is>
      </c>
      <c r="D156" s="60" t="inlineStr">
        <is>
          <t>Motorola Edge 40</t>
        </is>
      </c>
      <c r="E156">
        <f>_xlfn.XLOOKUP(D156,'[2]8A. Master Device Catalog'!$F$5:$F$914,'[2]8A. Master Device Catalog'!$G$5:$G$914,"")</f>
        <v/>
      </c>
      <c r="F156">
        <f>_xlfn.XLOOKUP(D156,'[2]8A. Master Device Catalog'!$F$5:$F$914,'[2]8A. Master Device Catalog'!$H$5:$H$914,"")</f>
        <v/>
      </c>
    </row>
    <row r="157" hidden="1" ht="21.5" customHeight="1" s="125">
      <c r="A157" t="inlineStr">
        <is>
          <t>DEV000156</t>
        </is>
      </c>
      <c r="B157" s="59" t="inlineStr">
        <is>
          <t>MOT</t>
        </is>
      </c>
      <c r="C157" s="59" t="inlineStr">
        <is>
          <t>PHN</t>
        </is>
      </c>
      <c r="D157" s="60" t="inlineStr">
        <is>
          <t>Motorola Edge 40 Pro</t>
        </is>
      </c>
      <c r="E157">
        <f>_xlfn.XLOOKUP(D157,'[2]8A. Master Device Catalog'!$F$5:$F$914,'[2]8A. Master Device Catalog'!$G$5:$G$914,"")</f>
        <v/>
      </c>
      <c r="F157">
        <f>_xlfn.XLOOKUP(D157,'[2]8A. Master Device Catalog'!$F$5:$F$914,'[2]8A. Master Device Catalog'!$H$5:$H$914,"")</f>
        <v/>
      </c>
    </row>
    <row r="158" hidden="1" ht="21.5" customHeight="1" s="125">
      <c r="A158" t="inlineStr">
        <is>
          <t>DEV000157</t>
        </is>
      </c>
      <c r="B158" s="59" t="inlineStr">
        <is>
          <t>MOT</t>
        </is>
      </c>
      <c r="C158" s="59" t="inlineStr">
        <is>
          <t>PHN</t>
        </is>
      </c>
      <c r="D158" s="60" t="inlineStr">
        <is>
          <t>Motorola Edge 50 Pro</t>
        </is>
      </c>
      <c r="E158">
        <f>_xlfn.XLOOKUP(D158,'[2]8A. Master Device Catalog'!$F$5:$F$914,'[2]8A. Master Device Catalog'!$G$5:$G$914,"")</f>
        <v/>
      </c>
      <c r="F158">
        <f>_xlfn.XLOOKUP(D158,'[2]8A. Master Device Catalog'!$F$5:$F$914,'[2]8A. Master Device Catalog'!$H$5:$H$914,"")</f>
        <v/>
      </c>
    </row>
    <row r="159" hidden="1" ht="21.5" customHeight="1" s="125">
      <c r="A159" t="inlineStr">
        <is>
          <t>DEV000158</t>
        </is>
      </c>
      <c r="B159" s="59" t="inlineStr">
        <is>
          <t>MOT</t>
        </is>
      </c>
      <c r="C159" s="59" t="inlineStr">
        <is>
          <t>PHN</t>
        </is>
      </c>
      <c r="D159" s="60" t="inlineStr">
        <is>
          <t>Motorola Edge 50 Ultra</t>
        </is>
      </c>
      <c r="E159">
        <f>_xlfn.XLOOKUP(D159,'[2]8A. Master Device Catalog'!$F$5:$F$914,'[2]8A. Master Device Catalog'!$G$5:$G$914,"")</f>
        <v/>
      </c>
      <c r="F159">
        <f>_xlfn.XLOOKUP(D159,'[2]8A. Master Device Catalog'!$F$5:$F$914,'[2]8A. Master Device Catalog'!$H$5:$H$914,"")</f>
        <v/>
      </c>
    </row>
    <row r="160" hidden="1" ht="21.5" customHeight="1" s="125">
      <c r="A160" t="inlineStr">
        <is>
          <t>DEV000159</t>
        </is>
      </c>
      <c r="B160" s="59" t="inlineStr">
        <is>
          <t>MOT</t>
        </is>
      </c>
      <c r="C160" s="59" t="inlineStr">
        <is>
          <t>PHN</t>
        </is>
      </c>
      <c r="D160" s="60" t="inlineStr">
        <is>
          <t>Motorola Razr+ (2024)</t>
        </is>
      </c>
      <c r="E160">
        <f>_xlfn.XLOOKUP(D160,'[2]8A. Master Device Catalog'!$F$5:$F$914,'[2]8A. Master Device Catalog'!$G$5:$G$914,"")</f>
        <v/>
      </c>
      <c r="F160">
        <f>_xlfn.XLOOKUP(D160,'[2]8A. Master Device Catalog'!$F$5:$F$914,'[2]8A. Master Device Catalog'!$H$5:$H$914,"")</f>
        <v/>
      </c>
    </row>
    <row r="161" hidden="1" ht="21.5" customHeight="1" s="125">
      <c r="A161" t="inlineStr">
        <is>
          <t>DEV000160</t>
        </is>
      </c>
      <c r="B161" s="59" t="inlineStr">
        <is>
          <t>MOT</t>
        </is>
      </c>
      <c r="C161" s="59" t="inlineStr">
        <is>
          <t>PHN</t>
        </is>
      </c>
      <c r="D161" s="60" t="inlineStr">
        <is>
          <t>ThinkPhone</t>
        </is>
      </c>
      <c r="E161">
        <f>_xlfn.XLOOKUP(D161,'[2]8A. Master Device Catalog'!$F$5:$F$914,'[2]8A. Master Device Catalog'!$G$5:$G$914,"")</f>
        <v/>
      </c>
      <c r="F161">
        <f>_xlfn.XLOOKUP(D161,'[2]8A. Master Device Catalog'!$F$5:$F$914,'[2]8A. Master Device Catalog'!$H$5:$H$914,"")</f>
        <v/>
      </c>
    </row>
    <row r="162" hidden="1" ht="21.5" customHeight="1" s="125">
      <c r="A162" t="inlineStr">
        <is>
          <t>DEV000161</t>
        </is>
      </c>
      <c r="B162" s="59" t="inlineStr">
        <is>
          <t>MOT</t>
        </is>
      </c>
      <c r="C162" s="59" t="inlineStr">
        <is>
          <t>PHN</t>
        </is>
      </c>
      <c r="D162" s="60" t="inlineStr">
        <is>
          <t>ThinkPhone 25</t>
        </is>
      </c>
      <c r="E162">
        <f>_xlfn.XLOOKUP(D162,'[2]8A. Master Device Catalog'!$F$5:$F$914,'[2]8A. Master Device Catalog'!$G$5:$G$914,"")</f>
        <v/>
      </c>
      <c r="F162">
        <f>_xlfn.XLOOKUP(D162,'[2]8A. Master Device Catalog'!$F$5:$F$914,'[2]8A. Master Device Catalog'!$H$5:$H$914,"")</f>
        <v/>
      </c>
    </row>
    <row r="163" hidden="1" ht="21.5" customHeight="1" s="125">
      <c r="A163" t="inlineStr">
        <is>
          <t>DEV000162</t>
        </is>
      </c>
      <c r="B163" s="59" t="inlineStr">
        <is>
          <t>MSI</t>
        </is>
      </c>
      <c r="C163" s="59" t="inlineStr">
        <is>
          <t>PHN</t>
        </is>
      </c>
      <c r="D163" s="60" t="inlineStr">
        <is>
          <t>MSI Stealth 16 AI</t>
        </is>
      </c>
      <c r="E163">
        <f>_xlfn.XLOOKUP(D163,'[2]8A. Master Device Catalog'!$F$5:$F$914,'[2]8A. Master Device Catalog'!$G$5:$G$914,"")</f>
        <v/>
      </c>
      <c r="F163">
        <f>_xlfn.XLOOKUP(D163,'[2]8A. Master Device Catalog'!$F$5:$F$914,'[2]8A. Master Device Catalog'!$H$5:$H$914,"")</f>
        <v/>
      </c>
    </row>
    <row r="164" hidden="1" ht="21.5" customHeight="1" s="125">
      <c r="A164" t="inlineStr">
        <is>
          <t>DEV000163</t>
        </is>
      </c>
      <c r="B164" s="59" t="inlineStr">
        <is>
          <t>NOK</t>
        </is>
      </c>
      <c r="C164" s="59" t="inlineStr">
        <is>
          <t>PHN</t>
        </is>
      </c>
      <c r="D164" s="60" t="inlineStr">
        <is>
          <t>Nokia 6</t>
        </is>
      </c>
      <c r="E164">
        <f>_xlfn.XLOOKUP(D164,'[2]8A. Master Device Catalog'!$F$5:$F$914,'[2]8A. Master Device Catalog'!$G$5:$G$914,"")</f>
        <v/>
      </c>
      <c r="F164">
        <f>_xlfn.XLOOKUP(D164,'[2]8A. Master Device Catalog'!$F$5:$F$914,'[2]8A. Master Device Catalog'!$H$5:$H$914,"")</f>
        <v/>
      </c>
    </row>
    <row r="165" hidden="1" ht="21.5" customHeight="1" s="125">
      <c r="A165" t="inlineStr">
        <is>
          <t>DEV000164</t>
        </is>
      </c>
      <c r="B165" s="59" t="inlineStr">
        <is>
          <t>NOK</t>
        </is>
      </c>
      <c r="C165" s="59" t="inlineStr">
        <is>
          <t>PHN</t>
        </is>
      </c>
      <c r="D165" s="60" t="inlineStr">
        <is>
          <t>Nokia 6.1</t>
        </is>
      </c>
      <c r="E165">
        <f>_xlfn.XLOOKUP(D165,'[2]8A. Master Device Catalog'!$F$5:$F$914,'[2]8A. Master Device Catalog'!$G$5:$G$914,"")</f>
        <v/>
      </c>
      <c r="F165">
        <f>_xlfn.XLOOKUP(D165,'[2]8A. Master Device Catalog'!$F$5:$F$914,'[2]8A. Master Device Catalog'!$H$5:$H$914,"")</f>
        <v/>
      </c>
    </row>
    <row r="166" hidden="1" ht="21.5" customHeight="1" s="125">
      <c r="A166" t="inlineStr">
        <is>
          <t>DEV000165</t>
        </is>
      </c>
      <c r="B166" s="59" t="inlineStr">
        <is>
          <t>NOK</t>
        </is>
      </c>
      <c r="C166" s="59" t="inlineStr">
        <is>
          <t>PHN</t>
        </is>
      </c>
      <c r="D166" s="60" t="inlineStr">
        <is>
          <t>Nokia 7 Plus</t>
        </is>
      </c>
      <c r="E166">
        <f>_xlfn.XLOOKUP(D166,'[2]8A. Master Device Catalog'!$F$5:$F$914,'[2]8A. Master Device Catalog'!$G$5:$G$914,"")</f>
        <v/>
      </c>
      <c r="F166">
        <f>_xlfn.XLOOKUP(D166,'[2]8A. Master Device Catalog'!$F$5:$F$914,'[2]8A. Master Device Catalog'!$H$5:$H$914,"")</f>
        <v/>
      </c>
    </row>
    <row r="167" hidden="1" ht="21.5" customHeight="1" s="125">
      <c r="A167" t="inlineStr">
        <is>
          <t>DEV000166</t>
        </is>
      </c>
      <c r="B167" s="59" t="inlineStr">
        <is>
          <t>NOK</t>
        </is>
      </c>
      <c r="C167" s="59" t="inlineStr">
        <is>
          <t>PHN</t>
        </is>
      </c>
      <c r="D167" s="60" t="inlineStr">
        <is>
          <t>Nokia 7.2</t>
        </is>
      </c>
      <c r="E167">
        <f>_xlfn.XLOOKUP(D167,'[2]8A. Master Device Catalog'!$F$5:$F$914,'[2]8A. Master Device Catalog'!$G$5:$G$914,"")</f>
        <v/>
      </c>
      <c r="F167">
        <f>_xlfn.XLOOKUP(D167,'[2]8A. Master Device Catalog'!$F$5:$F$914,'[2]8A. Master Device Catalog'!$H$5:$H$914,"")</f>
        <v/>
      </c>
    </row>
    <row r="168" hidden="1" ht="21.5" customHeight="1" s="125">
      <c r="A168" t="inlineStr">
        <is>
          <t>DEV000167</t>
        </is>
      </c>
      <c r="B168" s="59" t="inlineStr">
        <is>
          <t>NOK</t>
        </is>
      </c>
      <c r="C168" s="59" t="inlineStr">
        <is>
          <t>PHN</t>
        </is>
      </c>
      <c r="D168" s="60" t="inlineStr">
        <is>
          <t>Nokia 8.3 5G</t>
        </is>
      </c>
      <c r="E168">
        <f>_xlfn.XLOOKUP(D168,'[2]8A. Master Device Catalog'!$F$5:$F$914,'[2]8A. Master Device Catalog'!$G$5:$G$914,"")</f>
        <v/>
      </c>
      <c r="F168">
        <f>_xlfn.XLOOKUP(D168,'[2]8A. Master Device Catalog'!$F$5:$F$914,'[2]8A. Master Device Catalog'!$H$5:$H$914,"")</f>
        <v/>
      </c>
    </row>
    <row r="169" hidden="1" ht="21.5" customHeight="1" s="125">
      <c r="A169" t="inlineStr">
        <is>
          <t>DEV000168</t>
        </is>
      </c>
      <c r="B169" s="59" t="inlineStr">
        <is>
          <t>NOK</t>
        </is>
      </c>
      <c r="C169" s="59" t="inlineStr">
        <is>
          <t>PHN</t>
        </is>
      </c>
      <c r="D169" s="60" t="inlineStr">
        <is>
          <t>Nokia G20</t>
        </is>
      </c>
      <c r="E169">
        <f>_xlfn.XLOOKUP(D169,'[2]8A. Master Device Catalog'!$F$5:$F$914,'[2]8A. Master Device Catalog'!$G$5:$G$914,"")</f>
        <v/>
      </c>
      <c r="F169">
        <f>_xlfn.XLOOKUP(D169,'[2]8A. Master Device Catalog'!$F$5:$F$914,'[2]8A. Master Device Catalog'!$H$5:$H$914,"")</f>
        <v/>
      </c>
    </row>
    <row r="170" hidden="1" ht="21.5" customHeight="1" s="125">
      <c r="A170" t="inlineStr">
        <is>
          <t>DEV000169</t>
        </is>
      </c>
      <c r="B170" s="59" t="inlineStr">
        <is>
          <t>NOK</t>
        </is>
      </c>
      <c r="C170" s="59" t="inlineStr">
        <is>
          <t>PHN</t>
        </is>
      </c>
      <c r="D170" s="60" t="inlineStr">
        <is>
          <t>Nokia G21</t>
        </is>
      </c>
      <c r="E170">
        <f>_xlfn.XLOOKUP(D170,'[2]8A. Master Device Catalog'!$F$5:$F$914,'[2]8A. Master Device Catalog'!$G$5:$G$914,"")</f>
        <v/>
      </c>
      <c r="F170">
        <f>_xlfn.XLOOKUP(D170,'[2]8A. Master Device Catalog'!$F$5:$F$914,'[2]8A. Master Device Catalog'!$H$5:$H$914,"")</f>
        <v/>
      </c>
    </row>
    <row r="171" hidden="1" ht="21.5" customHeight="1" s="125">
      <c r="A171" t="inlineStr">
        <is>
          <t>DEV000170</t>
        </is>
      </c>
      <c r="B171" s="59" t="inlineStr">
        <is>
          <t>NOK</t>
        </is>
      </c>
      <c r="C171" s="59" t="inlineStr">
        <is>
          <t>PHN</t>
        </is>
      </c>
      <c r="D171" s="60" t="inlineStr">
        <is>
          <t>Nokia G42 5G</t>
        </is>
      </c>
      <c r="E171">
        <f>_xlfn.XLOOKUP(D171,'[2]8A. Master Device Catalog'!$F$5:$F$914,'[2]8A. Master Device Catalog'!$G$5:$G$914,"")</f>
        <v/>
      </c>
      <c r="F171">
        <f>_xlfn.XLOOKUP(D171,'[2]8A. Master Device Catalog'!$F$5:$F$914,'[2]8A. Master Device Catalog'!$H$5:$H$914,"")</f>
        <v/>
      </c>
    </row>
    <row r="172" hidden="1" ht="21.5" customHeight="1" s="125">
      <c r="A172" t="inlineStr">
        <is>
          <t>DEV000171</t>
        </is>
      </c>
      <c r="B172" s="59" t="inlineStr">
        <is>
          <t>NOK</t>
        </is>
      </c>
      <c r="C172" s="59" t="inlineStr">
        <is>
          <t>PHN</t>
        </is>
      </c>
      <c r="D172" s="60" t="inlineStr">
        <is>
          <t>Nokia XR20</t>
        </is>
      </c>
      <c r="E172">
        <f>_xlfn.XLOOKUP(D172,'[2]8A. Master Device Catalog'!$F$5:$F$914,'[2]8A. Master Device Catalog'!$G$5:$G$914,"")</f>
        <v/>
      </c>
      <c r="F172">
        <f>_xlfn.XLOOKUP(D172,'[2]8A. Master Device Catalog'!$F$5:$F$914,'[2]8A. Master Device Catalog'!$H$5:$H$914,"")</f>
        <v/>
      </c>
    </row>
    <row r="173" hidden="1" ht="21.5" customHeight="1" s="125">
      <c r="A173" t="inlineStr">
        <is>
          <t>DEV000172</t>
        </is>
      </c>
      <c r="B173" s="59" t="inlineStr">
        <is>
          <t>NOK</t>
        </is>
      </c>
      <c r="C173" s="59" t="inlineStr">
        <is>
          <t>PHN</t>
        </is>
      </c>
      <c r="D173" s="60" t="inlineStr">
        <is>
          <t>Nokia XR21</t>
        </is>
      </c>
      <c r="E173">
        <f>_xlfn.XLOOKUP(D173,'[2]8A. Master Device Catalog'!$F$5:$F$914,'[2]8A. Master Device Catalog'!$G$5:$G$914,"")</f>
        <v/>
      </c>
      <c r="F173">
        <f>_xlfn.XLOOKUP(D173,'[2]8A. Master Device Catalog'!$F$5:$F$914,'[2]8A. Master Device Catalog'!$H$5:$H$914,"")</f>
        <v/>
      </c>
    </row>
    <row r="174" hidden="1" ht="21.5" customHeight="1" s="125">
      <c r="A174" t="inlineStr">
        <is>
          <t>DEV000173</t>
        </is>
      </c>
      <c r="B174" s="59" t="inlineStr">
        <is>
          <t>NOK</t>
        </is>
      </c>
      <c r="C174" s="59" t="inlineStr">
        <is>
          <t>PHN</t>
        </is>
      </c>
      <c r="D174" s="60" t="inlineStr">
        <is>
          <t>Nokia X10</t>
        </is>
      </c>
      <c r="E174">
        <f>_xlfn.XLOOKUP(D174,'[2]8A. Master Device Catalog'!$F$5:$F$914,'[2]8A. Master Device Catalog'!$G$5:$G$914,"")</f>
        <v/>
      </c>
      <c r="F174">
        <f>_xlfn.XLOOKUP(D174,'[2]8A. Master Device Catalog'!$F$5:$F$914,'[2]8A. Master Device Catalog'!$H$5:$H$914,"")</f>
        <v/>
      </c>
    </row>
    <row r="175" hidden="1" ht="21.5" customHeight="1" s="125">
      <c r="A175" t="inlineStr">
        <is>
          <t>DEV000174</t>
        </is>
      </c>
      <c r="B175" s="59" t="inlineStr">
        <is>
          <t>NOK</t>
        </is>
      </c>
      <c r="C175" s="59" t="inlineStr">
        <is>
          <t>PHN</t>
        </is>
      </c>
      <c r="D175" s="60" t="inlineStr">
        <is>
          <t>Nokia X20</t>
        </is>
      </c>
      <c r="E175">
        <f>_xlfn.XLOOKUP(D175,'[2]8A. Master Device Catalog'!$F$5:$F$914,'[2]8A. Master Device Catalog'!$G$5:$G$914,"")</f>
        <v/>
      </c>
      <c r="F175">
        <f>_xlfn.XLOOKUP(D175,'[2]8A. Master Device Catalog'!$F$5:$F$914,'[2]8A. Master Device Catalog'!$H$5:$H$914,"")</f>
        <v/>
      </c>
    </row>
    <row r="176" hidden="1" ht="21.5" customHeight="1" s="125">
      <c r="A176" t="inlineStr">
        <is>
          <t>DEV000175</t>
        </is>
      </c>
      <c r="B176" s="59" t="inlineStr">
        <is>
          <t>NOK</t>
        </is>
      </c>
      <c r="C176" s="59" t="inlineStr">
        <is>
          <t>PHN</t>
        </is>
      </c>
      <c r="D176" s="60" t="inlineStr">
        <is>
          <t>Nokia X30 5G</t>
        </is>
      </c>
      <c r="E176">
        <f>_xlfn.XLOOKUP(D176,'[2]8A. Master Device Catalog'!$F$5:$F$914,'[2]8A. Master Device Catalog'!$G$5:$G$914,"")</f>
        <v/>
      </c>
      <c r="F176">
        <f>_xlfn.XLOOKUP(D176,'[2]8A. Master Device Catalog'!$F$5:$F$914,'[2]8A. Master Device Catalog'!$H$5:$H$914,"")</f>
        <v/>
      </c>
    </row>
    <row r="177" hidden="1" ht="21.5" customHeight="1" s="125">
      <c r="A177" t="inlineStr">
        <is>
          <t>DEV000176</t>
        </is>
      </c>
      <c r="B177" s="59" t="inlineStr">
        <is>
          <t>NOK</t>
        </is>
      </c>
      <c r="C177" s="59" t="inlineStr">
        <is>
          <t>PHN</t>
        </is>
      </c>
      <c r="D177" s="60" t="inlineStr">
        <is>
          <t>Nokia C21</t>
        </is>
      </c>
      <c r="E177">
        <f>_xlfn.XLOOKUP(D177,'[2]8A. Master Device Catalog'!$F$5:$F$914,'[2]8A. Master Device Catalog'!$G$5:$G$914,"")</f>
        <v/>
      </c>
      <c r="F177">
        <f>_xlfn.XLOOKUP(D177,'[2]8A. Master Device Catalog'!$F$5:$F$914,'[2]8A. Master Device Catalog'!$H$5:$H$914,"")</f>
        <v/>
      </c>
    </row>
    <row r="178" hidden="1" ht="21.5" customHeight="1" s="125">
      <c r="A178" t="inlineStr">
        <is>
          <t>DEV000177</t>
        </is>
      </c>
      <c r="B178" s="59" t="inlineStr">
        <is>
          <t>NOK</t>
        </is>
      </c>
      <c r="C178" s="59" t="inlineStr">
        <is>
          <t>PHN</t>
        </is>
      </c>
      <c r="D178" s="60" t="inlineStr">
        <is>
          <t>Nokia C32</t>
        </is>
      </c>
      <c r="E178">
        <f>_xlfn.XLOOKUP(D178,'[2]8A. Master Device Catalog'!$F$5:$F$914,'[2]8A. Master Device Catalog'!$G$5:$G$914,"")</f>
        <v/>
      </c>
      <c r="F178">
        <f>_xlfn.XLOOKUP(D178,'[2]8A. Master Device Catalog'!$F$5:$F$914,'[2]8A. Master Device Catalog'!$H$5:$H$914,"")</f>
        <v/>
      </c>
    </row>
    <row r="179" hidden="1" ht="21.5" customHeight="1" s="125">
      <c r="A179" t="inlineStr">
        <is>
          <t>DEV000178</t>
        </is>
      </c>
      <c r="B179" s="59" t="inlineStr">
        <is>
          <t>NOK</t>
        </is>
      </c>
      <c r="C179" s="59" t="inlineStr">
        <is>
          <t>PHN</t>
        </is>
      </c>
      <c r="D179" s="60" t="inlineStr">
        <is>
          <t>Nokia G60 5G</t>
        </is>
      </c>
      <c r="E179">
        <f>_xlfn.XLOOKUP(D179,'[2]8A. Master Device Catalog'!$F$5:$F$914,'[2]8A. Master Device Catalog'!$G$5:$G$914,"")</f>
        <v/>
      </c>
      <c r="F179">
        <f>_xlfn.XLOOKUP(D179,'[2]8A. Master Device Catalog'!$F$5:$F$914,'[2]8A. Master Device Catalog'!$H$5:$H$914,"")</f>
        <v/>
      </c>
    </row>
    <row r="180" hidden="1" ht="21.5" customHeight="1" s="125">
      <c r="A180" t="inlineStr">
        <is>
          <t>DEV000179</t>
        </is>
      </c>
      <c r="B180" s="59" t="inlineStr">
        <is>
          <t>NOK</t>
        </is>
      </c>
      <c r="C180" s="59" t="inlineStr">
        <is>
          <t>PHN</t>
        </is>
      </c>
      <c r="D180" s="60" t="inlineStr">
        <is>
          <t>Nokia G310 5G</t>
        </is>
      </c>
      <c r="E180">
        <f>_xlfn.XLOOKUP(D180,'[2]8A. Master Device Catalog'!$F$5:$F$914,'[2]8A. Master Device Catalog'!$G$5:$G$914,"")</f>
        <v/>
      </c>
      <c r="F180">
        <f>_xlfn.XLOOKUP(D180,'[2]8A. Master Device Catalog'!$F$5:$F$914,'[2]8A. Master Device Catalog'!$H$5:$H$914,"")</f>
        <v/>
      </c>
    </row>
    <row r="181" hidden="1" ht="21.5" customHeight="1" s="125">
      <c r="A181" t="inlineStr">
        <is>
          <t>DEV000180</t>
        </is>
      </c>
      <c r="B181" s="59" t="inlineStr">
        <is>
          <t>NTH</t>
        </is>
      </c>
      <c r="C181" s="59" t="inlineStr">
        <is>
          <t>PHN</t>
        </is>
      </c>
      <c r="D181" s="60" t="inlineStr">
        <is>
          <t>Nothing Phone (2)</t>
        </is>
      </c>
      <c r="E181">
        <f>_xlfn.XLOOKUP(D181,'[2]8A. Master Device Catalog'!$F$5:$F$914,'[2]8A. Master Device Catalog'!$G$5:$G$914,"")</f>
        <v/>
      </c>
      <c r="F181">
        <f>_xlfn.XLOOKUP(D181,'[2]8A. Master Device Catalog'!$F$5:$F$914,'[2]8A. Master Device Catalog'!$H$5:$H$914,"")</f>
        <v/>
      </c>
    </row>
    <row r="182" hidden="1" ht="21.5" customHeight="1" s="125">
      <c r="A182" t="inlineStr">
        <is>
          <t>DEV000181</t>
        </is>
      </c>
      <c r="B182" s="59" t="inlineStr">
        <is>
          <t>NTH</t>
        </is>
      </c>
      <c r="C182" s="59" t="inlineStr">
        <is>
          <t>PHN</t>
        </is>
      </c>
      <c r="D182" s="60" t="inlineStr">
        <is>
          <t>Nothing Phone (2a)</t>
        </is>
      </c>
      <c r="E182">
        <f>_xlfn.XLOOKUP(D182,'[2]8A. Master Device Catalog'!$F$5:$F$914,'[2]8A. Master Device Catalog'!$G$5:$G$914,"")</f>
        <v/>
      </c>
      <c r="F182">
        <f>_xlfn.XLOOKUP(D182,'[2]8A. Master Device Catalog'!$F$5:$F$914,'[2]8A. Master Device Catalog'!$H$5:$H$914,"")</f>
        <v/>
      </c>
    </row>
    <row r="183" hidden="1" ht="21.5" customHeight="1" s="125">
      <c r="A183" t="inlineStr">
        <is>
          <t>DEV000182</t>
        </is>
      </c>
      <c r="B183" s="59" t="inlineStr">
        <is>
          <t>NTH</t>
        </is>
      </c>
      <c r="C183" s="59" t="inlineStr">
        <is>
          <t>PHN</t>
        </is>
      </c>
      <c r="D183" s="60" t="inlineStr">
        <is>
          <t>Nothing Phone (3a)</t>
        </is>
      </c>
      <c r="E183">
        <f>_xlfn.XLOOKUP(D183,'[2]8A. Master Device Catalog'!$F$5:$F$914,'[2]8A. Master Device Catalog'!$G$5:$G$914,"")</f>
        <v/>
      </c>
      <c r="F183">
        <f>_xlfn.XLOOKUP(D183,'[2]8A. Master Device Catalog'!$F$5:$F$914,'[2]8A. Master Device Catalog'!$H$5:$H$914,"")</f>
        <v/>
      </c>
    </row>
    <row r="184" hidden="1" ht="21.5" customHeight="1" s="125">
      <c r="A184" t="inlineStr">
        <is>
          <t>DEV000183</t>
        </is>
      </c>
      <c r="B184" s="59" t="inlineStr">
        <is>
          <t>NUB</t>
        </is>
      </c>
      <c r="C184" s="59" t="inlineStr">
        <is>
          <t>PHN</t>
        </is>
      </c>
      <c r="D184" s="60" t="inlineStr">
        <is>
          <t>nubia Z60 Ultra</t>
        </is>
      </c>
      <c r="E184">
        <f>_xlfn.XLOOKUP(D184,'[2]8A. Master Device Catalog'!$F$5:$F$914,'[2]8A. Master Device Catalog'!$G$5:$G$914,"")</f>
        <v/>
      </c>
      <c r="F184">
        <f>_xlfn.XLOOKUP(D184,'[2]8A. Master Device Catalog'!$F$5:$F$914,'[2]8A. Master Device Catalog'!$H$5:$H$914,"")</f>
        <v/>
      </c>
    </row>
    <row r="185" hidden="1" ht="21.5" customHeight="1" s="125">
      <c r="A185" t="inlineStr">
        <is>
          <t>DEV000184</t>
        </is>
      </c>
      <c r="B185" s="59" t="inlineStr">
        <is>
          <t>ONE</t>
        </is>
      </c>
      <c r="C185" s="59" t="inlineStr">
        <is>
          <t>PHN</t>
        </is>
      </c>
      <c r="D185" s="60" t="inlineStr">
        <is>
          <t>OnePlus One</t>
        </is>
      </c>
      <c r="E185">
        <f>_xlfn.XLOOKUP(D185,'[2]8A. Master Device Catalog'!$F$5:$F$914,'[2]8A. Master Device Catalog'!$G$5:$G$914,"")</f>
        <v/>
      </c>
      <c r="F185">
        <f>_xlfn.XLOOKUP(D185,'[2]8A. Master Device Catalog'!$F$5:$F$914,'[2]8A. Master Device Catalog'!$H$5:$H$914,"")</f>
        <v/>
      </c>
    </row>
    <row r="186" hidden="1" ht="21.5" customHeight="1" s="125">
      <c r="A186" t="inlineStr">
        <is>
          <t>DEV000185</t>
        </is>
      </c>
      <c r="B186" s="59" t="inlineStr">
        <is>
          <t>ONE</t>
        </is>
      </c>
      <c r="C186" s="59" t="inlineStr">
        <is>
          <t>PHN</t>
        </is>
      </c>
      <c r="D186" s="60" t="inlineStr">
        <is>
          <t>OnePlus 2</t>
        </is>
      </c>
      <c r="E186">
        <f>_xlfn.XLOOKUP(D186,'[2]8A. Master Device Catalog'!$F$5:$F$914,'[2]8A. Master Device Catalog'!$G$5:$G$914,"")</f>
        <v/>
      </c>
      <c r="F186">
        <f>_xlfn.XLOOKUP(D186,'[2]8A. Master Device Catalog'!$F$5:$F$914,'[2]8A. Master Device Catalog'!$H$5:$H$914,"")</f>
        <v/>
      </c>
    </row>
    <row r="187" hidden="1" ht="21.5" customHeight="1" s="125">
      <c r="A187" t="inlineStr">
        <is>
          <t>DEV000186</t>
        </is>
      </c>
      <c r="B187" s="59" t="inlineStr">
        <is>
          <t>ONE</t>
        </is>
      </c>
      <c r="C187" s="59" t="inlineStr">
        <is>
          <t>PHN</t>
        </is>
      </c>
      <c r="D187" s="60" t="inlineStr">
        <is>
          <t>OnePlus 3</t>
        </is>
      </c>
      <c r="E187">
        <f>_xlfn.XLOOKUP(D187,'[2]8A. Master Device Catalog'!$F$5:$F$914,'[2]8A. Master Device Catalog'!$G$5:$G$914,"")</f>
        <v/>
      </c>
      <c r="F187">
        <f>_xlfn.XLOOKUP(D187,'[2]8A. Master Device Catalog'!$F$5:$F$914,'[2]8A. Master Device Catalog'!$H$5:$H$914,"")</f>
        <v/>
      </c>
    </row>
    <row r="188" hidden="1" ht="21.5" customHeight="1" s="125">
      <c r="A188" t="inlineStr">
        <is>
          <t>DEV000187</t>
        </is>
      </c>
      <c r="B188" s="59" t="inlineStr">
        <is>
          <t>ONE</t>
        </is>
      </c>
      <c r="C188" s="59" t="inlineStr">
        <is>
          <t>PHN</t>
        </is>
      </c>
      <c r="D188" s="60" t="inlineStr">
        <is>
          <t>OnePlus 3T</t>
        </is>
      </c>
      <c r="E188">
        <f>_xlfn.XLOOKUP(D188,'[2]8A. Master Device Catalog'!$F$5:$F$914,'[2]8A. Master Device Catalog'!$G$5:$G$914,"")</f>
        <v/>
      </c>
      <c r="F188">
        <f>_xlfn.XLOOKUP(D188,'[2]8A. Master Device Catalog'!$F$5:$F$914,'[2]8A. Master Device Catalog'!$H$5:$H$914,"")</f>
        <v/>
      </c>
    </row>
    <row r="189" hidden="1" ht="21.5" customHeight="1" s="125">
      <c r="A189" t="inlineStr">
        <is>
          <t>DEV000188</t>
        </is>
      </c>
      <c r="B189" s="59" t="inlineStr">
        <is>
          <t>ONE</t>
        </is>
      </c>
      <c r="C189" s="59" t="inlineStr">
        <is>
          <t>PHN</t>
        </is>
      </c>
      <c r="D189" s="60" t="inlineStr">
        <is>
          <t>OnePlus 5</t>
        </is>
      </c>
      <c r="E189">
        <f>_xlfn.XLOOKUP(D189,'[2]8A. Master Device Catalog'!$F$5:$F$914,'[2]8A. Master Device Catalog'!$G$5:$G$914,"")</f>
        <v/>
      </c>
      <c r="F189">
        <f>_xlfn.XLOOKUP(D189,'[2]8A. Master Device Catalog'!$F$5:$F$914,'[2]8A. Master Device Catalog'!$H$5:$H$914,"")</f>
        <v/>
      </c>
    </row>
    <row r="190" hidden="1" ht="21.5" customHeight="1" s="125">
      <c r="A190" t="inlineStr">
        <is>
          <t>DEV000189</t>
        </is>
      </c>
      <c r="B190" s="59" t="inlineStr">
        <is>
          <t>ONE</t>
        </is>
      </c>
      <c r="C190" s="59" t="inlineStr">
        <is>
          <t>PHN</t>
        </is>
      </c>
      <c r="D190" s="60" t="inlineStr">
        <is>
          <t>OnePlus 5T</t>
        </is>
      </c>
      <c r="E190">
        <f>_xlfn.XLOOKUP(D190,'[2]8A. Master Device Catalog'!$F$5:$F$914,'[2]8A. Master Device Catalog'!$G$5:$G$914,"")</f>
        <v/>
      </c>
      <c r="F190">
        <f>_xlfn.XLOOKUP(D190,'[2]8A. Master Device Catalog'!$F$5:$F$914,'[2]8A. Master Device Catalog'!$H$5:$H$914,"")</f>
        <v/>
      </c>
    </row>
    <row r="191" hidden="1" ht="21.5" customHeight="1" s="125">
      <c r="A191" t="inlineStr">
        <is>
          <t>DEV000190</t>
        </is>
      </c>
      <c r="B191" s="59" t="inlineStr">
        <is>
          <t>ONE</t>
        </is>
      </c>
      <c r="C191" s="59" t="inlineStr">
        <is>
          <t>PHN</t>
        </is>
      </c>
      <c r="D191" s="60" t="inlineStr">
        <is>
          <t>OnePlus 6</t>
        </is>
      </c>
      <c r="E191">
        <f>_xlfn.XLOOKUP(D191,'[2]8A. Master Device Catalog'!$F$5:$F$914,'[2]8A. Master Device Catalog'!$G$5:$G$914,"")</f>
        <v/>
      </c>
      <c r="F191">
        <f>_xlfn.XLOOKUP(D191,'[2]8A. Master Device Catalog'!$F$5:$F$914,'[2]8A. Master Device Catalog'!$H$5:$H$914,"")</f>
        <v/>
      </c>
    </row>
    <row r="192" hidden="1" ht="21.5" customHeight="1" s="125">
      <c r="A192" t="inlineStr">
        <is>
          <t>DEV000191</t>
        </is>
      </c>
      <c r="B192" s="59" t="inlineStr">
        <is>
          <t>ONE</t>
        </is>
      </c>
      <c r="C192" s="59" t="inlineStr">
        <is>
          <t>PHN</t>
        </is>
      </c>
      <c r="D192" s="60" t="inlineStr">
        <is>
          <t>OnePlus 6T</t>
        </is>
      </c>
      <c r="E192">
        <f>_xlfn.XLOOKUP(D192,'[2]8A. Master Device Catalog'!$F$5:$F$914,'[2]8A. Master Device Catalog'!$G$5:$G$914,"")</f>
        <v/>
      </c>
      <c r="F192">
        <f>_xlfn.XLOOKUP(D192,'[2]8A. Master Device Catalog'!$F$5:$F$914,'[2]8A. Master Device Catalog'!$H$5:$H$914,"")</f>
        <v/>
      </c>
    </row>
    <row r="193" hidden="1" ht="21.5" customHeight="1" s="125">
      <c r="A193" t="inlineStr">
        <is>
          <t>DEV000192</t>
        </is>
      </c>
      <c r="B193" s="59" t="inlineStr">
        <is>
          <t>ONE</t>
        </is>
      </c>
      <c r="C193" s="59" t="inlineStr">
        <is>
          <t>PHN</t>
        </is>
      </c>
      <c r="D193" s="60" t="inlineStr">
        <is>
          <t>OnePlus 7</t>
        </is>
      </c>
      <c r="E193">
        <f>_xlfn.XLOOKUP(D193,'[2]8A. Master Device Catalog'!$F$5:$F$914,'[2]8A. Master Device Catalog'!$G$5:$G$914,"")</f>
        <v/>
      </c>
      <c r="F193">
        <f>_xlfn.XLOOKUP(D193,'[2]8A. Master Device Catalog'!$F$5:$F$914,'[2]8A. Master Device Catalog'!$H$5:$H$914,"")</f>
        <v/>
      </c>
    </row>
    <row r="194" hidden="1" ht="21.5" customHeight="1" s="125">
      <c r="A194" t="inlineStr">
        <is>
          <t>DEV000193</t>
        </is>
      </c>
      <c r="B194" s="59" t="inlineStr">
        <is>
          <t>ONE</t>
        </is>
      </c>
      <c r="C194" s="59" t="inlineStr">
        <is>
          <t>PHN</t>
        </is>
      </c>
      <c r="D194" s="60" t="inlineStr">
        <is>
          <t>OnePlus 7 Pro</t>
        </is>
      </c>
      <c r="E194">
        <f>_xlfn.XLOOKUP(D194,'[2]8A. Master Device Catalog'!$F$5:$F$914,'[2]8A. Master Device Catalog'!$G$5:$G$914,"")</f>
        <v/>
      </c>
      <c r="F194">
        <f>_xlfn.XLOOKUP(D194,'[2]8A. Master Device Catalog'!$F$5:$F$914,'[2]8A. Master Device Catalog'!$H$5:$H$914,"")</f>
        <v/>
      </c>
    </row>
    <row r="195" hidden="1" ht="21.5" customHeight="1" s="125">
      <c r="A195" t="inlineStr">
        <is>
          <t>DEV000194</t>
        </is>
      </c>
      <c r="B195" s="59" t="inlineStr">
        <is>
          <t>ONE</t>
        </is>
      </c>
      <c r="C195" s="59" t="inlineStr">
        <is>
          <t>PHN</t>
        </is>
      </c>
      <c r="D195" s="60" t="inlineStr">
        <is>
          <t>OnePlus 7T</t>
        </is>
      </c>
      <c r="E195">
        <f>_xlfn.XLOOKUP(D195,'[2]8A. Master Device Catalog'!$F$5:$F$914,'[2]8A. Master Device Catalog'!$G$5:$G$914,"")</f>
        <v/>
      </c>
      <c r="F195">
        <f>_xlfn.XLOOKUP(D195,'[2]8A. Master Device Catalog'!$F$5:$F$914,'[2]8A. Master Device Catalog'!$H$5:$H$914,"")</f>
        <v/>
      </c>
    </row>
    <row r="196" hidden="1" ht="21.5" customHeight="1" s="125">
      <c r="A196" t="inlineStr">
        <is>
          <t>DEV000195</t>
        </is>
      </c>
      <c r="B196" s="59" t="inlineStr">
        <is>
          <t>ONE</t>
        </is>
      </c>
      <c r="C196" s="59" t="inlineStr">
        <is>
          <t>PHN</t>
        </is>
      </c>
      <c r="D196" s="60" t="inlineStr">
        <is>
          <t>OnePlus 7T Pro</t>
        </is>
      </c>
      <c r="E196">
        <f>_xlfn.XLOOKUP(D196,'[2]8A. Master Device Catalog'!$F$5:$F$914,'[2]8A. Master Device Catalog'!$G$5:$G$914,"")</f>
        <v/>
      </c>
      <c r="F196">
        <f>_xlfn.XLOOKUP(D196,'[2]8A. Master Device Catalog'!$F$5:$F$914,'[2]8A. Master Device Catalog'!$H$5:$H$914,"")</f>
        <v/>
      </c>
    </row>
    <row r="197" hidden="1" ht="21.5" customHeight="1" s="125">
      <c r="A197" t="inlineStr">
        <is>
          <t>DEV000196</t>
        </is>
      </c>
      <c r="B197" s="59" t="inlineStr">
        <is>
          <t>ONE</t>
        </is>
      </c>
      <c r="C197" s="59" t="inlineStr">
        <is>
          <t>PHN</t>
        </is>
      </c>
      <c r="D197" s="60" t="inlineStr">
        <is>
          <t>OnePlus 8</t>
        </is>
      </c>
      <c r="E197">
        <f>_xlfn.XLOOKUP(D197,'[2]8A. Master Device Catalog'!$F$5:$F$914,'[2]8A. Master Device Catalog'!$G$5:$G$914,"")</f>
        <v/>
      </c>
      <c r="F197">
        <f>_xlfn.XLOOKUP(D197,'[2]8A. Master Device Catalog'!$F$5:$F$914,'[2]8A. Master Device Catalog'!$H$5:$H$914,"")</f>
        <v/>
      </c>
    </row>
    <row r="198" hidden="1" ht="21.5" customHeight="1" s="125">
      <c r="A198" t="inlineStr">
        <is>
          <t>DEV000197</t>
        </is>
      </c>
      <c r="B198" s="59" t="inlineStr">
        <is>
          <t>ONE</t>
        </is>
      </c>
      <c r="C198" s="59" t="inlineStr">
        <is>
          <t>PHN</t>
        </is>
      </c>
      <c r="D198" s="60" t="inlineStr">
        <is>
          <t>OnePlus 8 Pro</t>
        </is>
      </c>
      <c r="E198">
        <f>_xlfn.XLOOKUP(D198,'[2]8A. Master Device Catalog'!$F$5:$F$914,'[2]8A. Master Device Catalog'!$G$5:$G$914,"")</f>
        <v/>
      </c>
      <c r="F198">
        <f>_xlfn.XLOOKUP(D198,'[2]8A. Master Device Catalog'!$F$5:$F$914,'[2]8A. Master Device Catalog'!$H$5:$H$914,"")</f>
        <v/>
      </c>
    </row>
    <row r="199" hidden="1" ht="21.5" customHeight="1" s="125">
      <c r="A199" t="inlineStr">
        <is>
          <t>DEV000198</t>
        </is>
      </c>
      <c r="B199" s="59" t="inlineStr">
        <is>
          <t>ONE</t>
        </is>
      </c>
      <c r="C199" s="59" t="inlineStr">
        <is>
          <t>PHN</t>
        </is>
      </c>
      <c r="D199" s="60" t="inlineStr">
        <is>
          <t>OnePlus 8T</t>
        </is>
      </c>
      <c r="E199">
        <f>_xlfn.XLOOKUP(D199,'[2]8A. Master Device Catalog'!$F$5:$F$914,'[2]8A. Master Device Catalog'!$G$5:$G$914,"")</f>
        <v/>
      </c>
      <c r="F199">
        <f>_xlfn.XLOOKUP(D199,'[2]8A. Master Device Catalog'!$F$5:$F$914,'[2]8A. Master Device Catalog'!$H$5:$H$914,"")</f>
        <v/>
      </c>
    </row>
    <row r="200" hidden="1" ht="21.5" customHeight="1" s="125">
      <c r="A200" t="inlineStr">
        <is>
          <t>DEV000199</t>
        </is>
      </c>
      <c r="B200" s="59" t="inlineStr">
        <is>
          <t>ONE</t>
        </is>
      </c>
      <c r="C200" s="59" t="inlineStr">
        <is>
          <t>PHN</t>
        </is>
      </c>
      <c r="D200" s="60" t="inlineStr">
        <is>
          <t>OnePlus 9</t>
        </is>
      </c>
      <c r="E200">
        <f>_xlfn.XLOOKUP(D200,'[2]8A. Master Device Catalog'!$F$5:$F$914,'[2]8A. Master Device Catalog'!$G$5:$G$914,"")</f>
        <v/>
      </c>
      <c r="F200">
        <f>_xlfn.XLOOKUP(D200,'[2]8A. Master Device Catalog'!$F$5:$F$914,'[2]8A. Master Device Catalog'!$H$5:$H$914,"")</f>
        <v/>
      </c>
    </row>
    <row r="201" hidden="1" ht="21.5" customHeight="1" s="125">
      <c r="A201" t="inlineStr">
        <is>
          <t>DEV000200</t>
        </is>
      </c>
      <c r="B201" s="59" t="inlineStr">
        <is>
          <t>ONE</t>
        </is>
      </c>
      <c r="C201" s="59" t="inlineStr">
        <is>
          <t>PHN</t>
        </is>
      </c>
      <c r="D201" s="60" t="inlineStr">
        <is>
          <t>OnePlus 9 Pro</t>
        </is>
      </c>
      <c r="E201">
        <f>_xlfn.XLOOKUP(D201,'[2]8A. Master Device Catalog'!$F$5:$F$914,'[2]8A. Master Device Catalog'!$G$5:$G$914,"")</f>
        <v/>
      </c>
      <c r="F201">
        <f>_xlfn.XLOOKUP(D201,'[2]8A. Master Device Catalog'!$F$5:$F$914,'[2]8A. Master Device Catalog'!$H$5:$H$914,"")</f>
        <v/>
      </c>
    </row>
    <row r="202" hidden="1" ht="21.5" customHeight="1" s="125">
      <c r="A202" t="inlineStr">
        <is>
          <t>DEV000201</t>
        </is>
      </c>
      <c r="B202" s="59" t="inlineStr">
        <is>
          <t>ONE</t>
        </is>
      </c>
      <c r="C202" s="59" t="inlineStr">
        <is>
          <t>PHN</t>
        </is>
      </c>
      <c r="D202" s="60" t="inlineStr">
        <is>
          <t>OnePlus 9R</t>
        </is>
      </c>
      <c r="E202">
        <f>_xlfn.XLOOKUP(D202,'[2]8A. Master Device Catalog'!$F$5:$F$914,'[2]8A. Master Device Catalog'!$G$5:$G$914,"")</f>
        <v/>
      </c>
      <c r="F202">
        <f>_xlfn.XLOOKUP(D202,'[2]8A. Master Device Catalog'!$F$5:$F$914,'[2]8A. Master Device Catalog'!$H$5:$H$914,"")</f>
        <v/>
      </c>
    </row>
    <row r="203" hidden="1" ht="21.5" customHeight="1" s="125">
      <c r="A203" t="inlineStr">
        <is>
          <t>DEV000202</t>
        </is>
      </c>
      <c r="B203" s="59" t="inlineStr">
        <is>
          <t>ONE</t>
        </is>
      </c>
      <c r="C203" s="59" t="inlineStr">
        <is>
          <t>PHN</t>
        </is>
      </c>
      <c r="D203" s="60" t="inlineStr">
        <is>
          <t>OnePlus 10 Pro</t>
        </is>
      </c>
      <c r="E203">
        <f>_xlfn.XLOOKUP(D203,'[2]8A. Master Device Catalog'!$F$5:$F$914,'[2]8A. Master Device Catalog'!$G$5:$G$914,"")</f>
        <v/>
      </c>
      <c r="F203">
        <f>_xlfn.XLOOKUP(D203,'[2]8A. Master Device Catalog'!$F$5:$F$914,'[2]8A. Master Device Catalog'!$H$5:$H$914,"")</f>
        <v/>
      </c>
    </row>
    <row r="204" hidden="1" ht="21.5" customHeight="1" s="125">
      <c r="A204" t="inlineStr">
        <is>
          <t>DEV000203</t>
        </is>
      </c>
      <c r="B204" s="59" t="inlineStr">
        <is>
          <t>ONE</t>
        </is>
      </c>
      <c r="C204" s="59" t="inlineStr">
        <is>
          <t>PHN</t>
        </is>
      </c>
      <c r="D204" s="60" t="inlineStr">
        <is>
          <t>OnePlus 10T</t>
        </is>
      </c>
      <c r="E204">
        <f>_xlfn.XLOOKUP(D204,'[2]8A. Master Device Catalog'!$F$5:$F$914,'[2]8A. Master Device Catalog'!$G$5:$G$914,"")</f>
        <v/>
      </c>
      <c r="F204">
        <f>_xlfn.XLOOKUP(D204,'[2]8A. Master Device Catalog'!$F$5:$F$914,'[2]8A. Master Device Catalog'!$H$5:$H$914,"")</f>
        <v/>
      </c>
    </row>
    <row r="205" hidden="1" ht="21.5" customHeight="1" s="125">
      <c r="A205" t="inlineStr">
        <is>
          <t>DEV000204</t>
        </is>
      </c>
      <c r="B205" s="59" t="inlineStr">
        <is>
          <t>ONE</t>
        </is>
      </c>
      <c r="C205" s="59" t="inlineStr">
        <is>
          <t>PHN</t>
        </is>
      </c>
      <c r="D205" s="60" t="inlineStr">
        <is>
          <t>OnePlus 11</t>
        </is>
      </c>
      <c r="E205">
        <f>_xlfn.XLOOKUP(D205,'[2]8A. Master Device Catalog'!$F$5:$F$914,'[2]8A. Master Device Catalog'!$G$5:$G$914,"")</f>
        <v/>
      </c>
      <c r="F205">
        <f>_xlfn.XLOOKUP(D205,'[2]8A. Master Device Catalog'!$F$5:$F$914,'[2]8A. Master Device Catalog'!$H$5:$H$914,"")</f>
        <v/>
      </c>
    </row>
    <row r="206" hidden="1" ht="21.5" customHeight="1" s="125">
      <c r="A206" t="inlineStr">
        <is>
          <t>DEV000205</t>
        </is>
      </c>
      <c r="B206" s="59" t="inlineStr">
        <is>
          <t>ONE</t>
        </is>
      </c>
      <c r="C206" s="59" t="inlineStr">
        <is>
          <t>PHN</t>
        </is>
      </c>
      <c r="D206" s="60" t="inlineStr">
        <is>
          <t>OnePlus 12</t>
        </is>
      </c>
      <c r="E206">
        <f>_xlfn.XLOOKUP(D206,'[2]8A. Master Device Catalog'!$F$5:$F$914,'[2]8A. Master Device Catalog'!$G$5:$G$914,"")</f>
        <v/>
      </c>
      <c r="F206">
        <f>_xlfn.XLOOKUP(D206,'[2]8A. Master Device Catalog'!$F$5:$F$914,'[2]8A. Master Device Catalog'!$H$5:$H$914,"")</f>
        <v/>
      </c>
    </row>
    <row r="207" hidden="1" ht="21.5" customHeight="1" s="125">
      <c r="A207" t="inlineStr">
        <is>
          <t>DEV000206</t>
        </is>
      </c>
      <c r="B207" s="59" t="inlineStr">
        <is>
          <t>ONE</t>
        </is>
      </c>
      <c r="C207" s="59" t="inlineStr">
        <is>
          <t>PHN</t>
        </is>
      </c>
      <c r="D207" s="60" t="inlineStr">
        <is>
          <t>OnePlus 12R</t>
        </is>
      </c>
      <c r="E207">
        <f>_xlfn.XLOOKUP(D207,'[2]8A. Master Device Catalog'!$F$5:$F$914,'[2]8A. Master Device Catalog'!$G$5:$G$914,"")</f>
        <v/>
      </c>
      <c r="F207">
        <f>_xlfn.XLOOKUP(D207,'[2]8A. Master Device Catalog'!$F$5:$F$914,'[2]8A. Master Device Catalog'!$H$5:$H$914,"")</f>
        <v/>
      </c>
    </row>
    <row r="208" hidden="1" ht="21.5" customHeight="1" s="125">
      <c r="A208" t="inlineStr">
        <is>
          <t>DEV000207</t>
        </is>
      </c>
      <c r="B208" s="59" t="inlineStr">
        <is>
          <t>ONE</t>
        </is>
      </c>
      <c r="C208" s="59" t="inlineStr">
        <is>
          <t>PHN</t>
        </is>
      </c>
      <c r="D208" s="60" t="inlineStr">
        <is>
          <t>OnePlus 13</t>
        </is>
      </c>
      <c r="E208">
        <f>_xlfn.XLOOKUP(D208,'[2]8A. Master Device Catalog'!$F$5:$F$914,'[2]8A. Master Device Catalog'!$G$5:$G$914,"")</f>
        <v/>
      </c>
      <c r="F208">
        <f>_xlfn.XLOOKUP(D208,'[2]8A. Master Device Catalog'!$F$5:$F$914,'[2]8A. Master Device Catalog'!$H$5:$H$914,"")</f>
        <v/>
      </c>
    </row>
    <row r="209" hidden="1" ht="21.5" customHeight="1" s="125">
      <c r="A209" t="inlineStr">
        <is>
          <t>DEV000208</t>
        </is>
      </c>
      <c r="B209" s="59" t="inlineStr">
        <is>
          <t>ONE</t>
        </is>
      </c>
      <c r="C209" s="59" t="inlineStr">
        <is>
          <t>PHN</t>
        </is>
      </c>
      <c r="D209" s="60" t="inlineStr">
        <is>
          <t>OnePlus Nord</t>
        </is>
      </c>
      <c r="E209">
        <f>_xlfn.XLOOKUP(D209,'[2]8A. Master Device Catalog'!$F$5:$F$914,'[2]8A. Master Device Catalog'!$G$5:$G$914,"")</f>
        <v/>
      </c>
      <c r="F209">
        <f>_xlfn.XLOOKUP(D209,'[2]8A. Master Device Catalog'!$F$5:$F$914,'[2]8A. Master Device Catalog'!$H$5:$H$914,"")</f>
        <v/>
      </c>
    </row>
    <row r="210" hidden="1" ht="21.5" customHeight="1" s="125">
      <c r="A210" t="inlineStr">
        <is>
          <t>DEV000209</t>
        </is>
      </c>
      <c r="B210" s="59" t="inlineStr">
        <is>
          <t>ONE</t>
        </is>
      </c>
      <c r="C210" s="59" t="inlineStr">
        <is>
          <t>PHN</t>
        </is>
      </c>
      <c r="D210" s="60" t="inlineStr">
        <is>
          <t>OnePlus Nord CE 3 Lite</t>
        </is>
      </c>
      <c r="E210">
        <f>_xlfn.XLOOKUP(D210,'[2]8A. Master Device Catalog'!$F$5:$F$914,'[2]8A. Master Device Catalog'!$G$5:$G$914,"")</f>
        <v/>
      </c>
      <c r="F210">
        <f>_xlfn.XLOOKUP(D210,'[2]8A. Master Device Catalog'!$F$5:$F$914,'[2]8A. Master Device Catalog'!$H$5:$H$914,"")</f>
        <v/>
      </c>
    </row>
    <row r="211" hidden="1" ht="21.5" customHeight="1" s="125">
      <c r="A211" t="inlineStr">
        <is>
          <t>DEV000210</t>
        </is>
      </c>
      <c r="B211" s="59" t="inlineStr">
        <is>
          <t>ONE</t>
        </is>
      </c>
      <c r="C211" s="59" t="inlineStr">
        <is>
          <t>PHN</t>
        </is>
      </c>
      <c r="D211" s="60" t="inlineStr">
        <is>
          <t>OnePlus Nord N30 5G</t>
        </is>
      </c>
      <c r="E211">
        <f>_xlfn.XLOOKUP(D211,'[2]8A. Master Device Catalog'!$F$5:$F$914,'[2]8A. Master Device Catalog'!$G$5:$G$914,"")</f>
        <v/>
      </c>
      <c r="F211">
        <f>_xlfn.XLOOKUP(D211,'[2]8A. Master Device Catalog'!$F$5:$F$914,'[2]8A. Master Device Catalog'!$H$5:$H$914,"")</f>
        <v/>
      </c>
    </row>
    <row r="212" hidden="1" ht="21.5" customHeight="1" s="125">
      <c r="A212" t="inlineStr">
        <is>
          <t>DEV000211</t>
        </is>
      </c>
      <c r="B212" s="59" t="inlineStr">
        <is>
          <t>ONE</t>
        </is>
      </c>
      <c r="C212" s="59" t="inlineStr">
        <is>
          <t>PHN</t>
        </is>
      </c>
      <c r="D212" s="60" t="inlineStr">
        <is>
          <t>OnePlus Open</t>
        </is>
      </c>
      <c r="E212">
        <f>_xlfn.XLOOKUP(D212,'[2]8A. Master Device Catalog'!$F$5:$F$914,'[2]8A. Master Device Catalog'!$G$5:$G$914,"")</f>
        <v/>
      </c>
      <c r="F212">
        <f>_xlfn.XLOOKUP(D212,'[2]8A. Master Device Catalog'!$F$5:$F$914,'[2]8A. Master Device Catalog'!$H$5:$H$914,"")</f>
        <v/>
      </c>
    </row>
    <row r="213" hidden="1" ht="21.5" customHeight="1" s="125">
      <c r="A213" t="inlineStr">
        <is>
          <t>DEV000212</t>
        </is>
      </c>
      <c r="B213" s="59" t="inlineStr">
        <is>
          <t>OPP</t>
        </is>
      </c>
      <c r="C213" s="59" t="inlineStr">
        <is>
          <t>PHN</t>
        </is>
      </c>
      <c r="D213" s="60" t="inlineStr">
        <is>
          <t>OPPO Find X8 Pro</t>
        </is>
      </c>
      <c r="E213">
        <f>_xlfn.XLOOKUP(D213,'[2]8A. Master Device Catalog'!$F$5:$F$914,'[2]8A. Master Device Catalog'!$G$5:$G$914,"")</f>
        <v/>
      </c>
      <c r="F213">
        <f>_xlfn.XLOOKUP(D213,'[2]8A. Master Device Catalog'!$F$5:$F$914,'[2]8A. Master Device Catalog'!$H$5:$H$914,"")</f>
        <v/>
      </c>
    </row>
    <row r="214" hidden="1" ht="21.5" customHeight="1" s="125">
      <c r="A214" t="inlineStr">
        <is>
          <t>DEV000213</t>
        </is>
      </c>
      <c r="B214" s="59" t="inlineStr">
        <is>
          <t>OPP</t>
        </is>
      </c>
      <c r="C214" s="59" t="inlineStr">
        <is>
          <t>PHN</t>
        </is>
      </c>
      <c r="D214" s="60" t="inlineStr">
        <is>
          <t>OPPO Find X7</t>
        </is>
      </c>
      <c r="E214">
        <f>_xlfn.XLOOKUP(D214,'[2]8A. Master Device Catalog'!$F$5:$F$914,'[2]8A. Master Device Catalog'!$G$5:$G$914,"")</f>
        <v/>
      </c>
      <c r="F214">
        <f>_xlfn.XLOOKUP(D214,'[2]8A. Master Device Catalog'!$F$5:$F$914,'[2]8A. Master Device Catalog'!$H$5:$H$914,"")</f>
        <v/>
      </c>
    </row>
    <row r="215" hidden="1" ht="21.5" customHeight="1" s="125">
      <c r="A215" t="inlineStr">
        <is>
          <t>DEV000214</t>
        </is>
      </c>
      <c r="B215" s="59" t="inlineStr">
        <is>
          <t>OPP</t>
        </is>
      </c>
      <c r="C215" s="59" t="inlineStr">
        <is>
          <t>PHN</t>
        </is>
      </c>
      <c r="D215" s="60" t="inlineStr">
        <is>
          <t>OPPO Find X7 Ultra</t>
        </is>
      </c>
      <c r="E215">
        <f>_xlfn.XLOOKUP(D215,'[2]8A. Master Device Catalog'!$F$5:$F$914,'[2]8A. Master Device Catalog'!$G$5:$G$914,"")</f>
        <v/>
      </c>
      <c r="F215">
        <f>_xlfn.XLOOKUP(D215,'[2]8A. Master Device Catalog'!$F$5:$F$914,'[2]8A. Master Device Catalog'!$H$5:$H$914,"")</f>
        <v/>
      </c>
    </row>
    <row r="216" hidden="1" ht="21.5" customHeight="1" s="125">
      <c r="A216" t="inlineStr">
        <is>
          <t>DEV000215</t>
        </is>
      </c>
      <c r="B216" s="59" t="inlineStr">
        <is>
          <t>OPP</t>
        </is>
      </c>
      <c r="C216" s="59" t="inlineStr">
        <is>
          <t>PHN</t>
        </is>
      </c>
      <c r="D216" s="60" t="inlineStr">
        <is>
          <t>OPPO Reno12</t>
        </is>
      </c>
      <c r="E216">
        <f>_xlfn.XLOOKUP(D216,'[2]8A. Master Device Catalog'!$F$5:$F$914,'[2]8A. Master Device Catalog'!$G$5:$G$914,"")</f>
        <v/>
      </c>
      <c r="F216">
        <f>_xlfn.XLOOKUP(D216,'[2]8A. Master Device Catalog'!$F$5:$F$914,'[2]8A. Master Device Catalog'!$H$5:$H$914,"")</f>
        <v/>
      </c>
    </row>
    <row r="217" hidden="1" ht="21.5" customHeight="1" s="125">
      <c r="A217" t="inlineStr">
        <is>
          <t>DEV000216</t>
        </is>
      </c>
      <c r="B217" s="59" t="inlineStr">
        <is>
          <t>OPP</t>
        </is>
      </c>
      <c r="C217" s="59" t="inlineStr">
        <is>
          <t>PHN</t>
        </is>
      </c>
      <c r="D217" s="60" t="inlineStr">
        <is>
          <t>OPPO Reno12 Pro</t>
        </is>
      </c>
      <c r="E217">
        <f>_xlfn.XLOOKUP(D217,'[2]8A. Master Device Catalog'!$F$5:$F$914,'[2]8A. Master Device Catalog'!$G$5:$G$914,"")</f>
        <v/>
      </c>
      <c r="F217">
        <f>_xlfn.XLOOKUP(D217,'[2]8A. Master Device Catalog'!$F$5:$F$914,'[2]8A. Master Device Catalog'!$H$5:$H$914,"")</f>
        <v/>
      </c>
    </row>
    <row r="218" hidden="1" ht="21.5" customHeight="1" s="125">
      <c r="A218" t="inlineStr">
        <is>
          <t>DEV000217</t>
        </is>
      </c>
      <c r="B218" s="59" t="inlineStr">
        <is>
          <t>OPP</t>
        </is>
      </c>
      <c r="C218" s="59" t="inlineStr">
        <is>
          <t>PHN</t>
        </is>
      </c>
      <c r="D218" s="60" t="inlineStr">
        <is>
          <t>OPPO A98 5G</t>
        </is>
      </c>
      <c r="E218">
        <f>_xlfn.XLOOKUP(D218,'[2]8A. Master Device Catalog'!$F$5:$F$914,'[2]8A. Master Device Catalog'!$G$5:$G$914,"")</f>
        <v/>
      </c>
      <c r="F218">
        <f>_xlfn.XLOOKUP(D218,'[2]8A. Master Device Catalog'!$F$5:$F$914,'[2]8A. Master Device Catalog'!$H$5:$H$914,"")</f>
        <v/>
      </c>
    </row>
    <row r="219" hidden="1" ht="21.5" customHeight="1" s="125">
      <c r="A219" t="inlineStr">
        <is>
          <t>DEV000218</t>
        </is>
      </c>
      <c r="B219" s="59" t="inlineStr">
        <is>
          <t>OPP</t>
        </is>
      </c>
      <c r="C219" s="59" t="inlineStr">
        <is>
          <t>PHN</t>
        </is>
      </c>
      <c r="D219" s="60" t="inlineStr">
        <is>
          <t>OPPO A79 5G</t>
        </is>
      </c>
      <c r="E219">
        <f>_xlfn.XLOOKUP(D219,'[2]8A. Master Device Catalog'!$F$5:$F$914,'[2]8A. Master Device Catalog'!$G$5:$G$914,"")</f>
        <v/>
      </c>
      <c r="F219">
        <f>_xlfn.XLOOKUP(D219,'[2]8A. Master Device Catalog'!$F$5:$F$914,'[2]8A. Master Device Catalog'!$H$5:$H$914,"")</f>
        <v/>
      </c>
    </row>
    <row r="220" hidden="1" ht="21.5" customHeight="1" s="125">
      <c r="A220" t="inlineStr">
        <is>
          <t>DEV000219</t>
        </is>
      </c>
      <c r="B220" s="59" t="inlineStr">
        <is>
          <t>OPP</t>
        </is>
      </c>
      <c r="C220" s="59" t="inlineStr">
        <is>
          <t>PHN</t>
        </is>
      </c>
      <c r="D220" s="60" t="inlineStr">
        <is>
          <t>OPPO A60</t>
        </is>
      </c>
      <c r="E220">
        <f>_xlfn.XLOOKUP(D220,'[2]8A. Master Device Catalog'!$F$5:$F$914,'[2]8A. Master Device Catalog'!$G$5:$G$914,"")</f>
        <v/>
      </c>
      <c r="F220">
        <f>_xlfn.XLOOKUP(D220,'[2]8A. Master Device Catalog'!$F$5:$F$914,'[2]8A. Master Device Catalog'!$H$5:$H$914,"")</f>
        <v/>
      </c>
    </row>
    <row r="221" hidden="1" ht="21.5" customHeight="1" s="125">
      <c r="A221" t="inlineStr">
        <is>
          <t>DEV000220</t>
        </is>
      </c>
      <c r="B221" s="59" t="inlineStr">
        <is>
          <t>OPP</t>
        </is>
      </c>
      <c r="C221" s="59" t="inlineStr">
        <is>
          <t>PHN</t>
        </is>
      </c>
      <c r="D221" s="60" t="inlineStr">
        <is>
          <t>OPPO Find N3</t>
        </is>
      </c>
      <c r="E221">
        <f>_xlfn.XLOOKUP(D221,'[2]8A. Master Device Catalog'!$F$5:$F$914,'[2]8A. Master Device Catalog'!$G$5:$G$914,"")</f>
        <v/>
      </c>
      <c r="F221">
        <f>_xlfn.XLOOKUP(D221,'[2]8A. Master Device Catalog'!$F$5:$F$914,'[2]8A. Master Device Catalog'!$H$5:$H$914,"")</f>
        <v/>
      </c>
    </row>
    <row r="222" hidden="1" ht="21.5" customHeight="1" s="125">
      <c r="A222" t="inlineStr">
        <is>
          <t>DEV000221</t>
        </is>
      </c>
      <c r="B222" s="59" t="inlineStr">
        <is>
          <t>OPP</t>
        </is>
      </c>
      <c r="C222" s="59" t="inlineStr">
        <is>
          <t>PHN</t>
        </is>
      </c>
      <c r="D222" s="60" t="inlineStr">
        <is>
          <t>OPPO Find N3 Flip</t>
        </is>
      </c>
      <c r="E222">
        <f>_xlfn.XLOOKUP(D222,'[2]8A. Master Device Catalog'!$F$5:$F$914,'[2]8A. Master Device Catalog'!$G$5:$G$914,"")</f>
        <v/>
      </c>
      <c r="F222">
        <f>_xlfn.XLOOKUP(D222,'[2]8A. Master Device Catalog'!$F$5:$F$914,'[2]8A. Master Device Catalog'!$H$5:$H$914,"")</f>
        <v/>
      </c>
    </row>
    <row r="223" hidden="1" ht="21.5" customHeight="1" s="125">
      <c r="A223" t="inlineStr">
        <is>
          <t>DEV000222</t>
        </is>
      </c>
      <c r="B223" s="59" t="inlineStr">
        <is>
          <t>OPP</t>
        </is>
      </c>
      <c r="C223" s="59" t="inlineStr">
        <is>
          <t>PHN</t>
        </is>
      </c>
      <c r="D223" s="60" t="inlineStr">
        <is>
          <t>OPPO Reno11</t>
        </is>
      </c>
      <c r="E223">
        <f>_xlfn.XLOOKUP(D223,'[2]8A. Master Device Catalog'!$F$5:$F$914,'[2]8A. Master Device Catalog'!$G$5:$G$914,"")</f>
        <v/>
      </c>
      <c r="F223">
        <f>_xlfn.XLOOKUP(D223,'[2]8A. Master Device Catalog'!$F$5:$F$914,'[2]8A. Master Device Catalog'!$H$5:$H$914,"")</f>
        <v/>
      </c>
    </row>
    <row r="224" hidden="1" ht="21.5" customHeight="1" s="125">
      <c r="A224" t="inlineStr">
        <is>
          <t>DEV000223</t>
        </is>
      </c>
      <c r="B224" s="59" t="inlineStr">
        <is>
          <t>OPP</t>
        </is>
      </c>
      <c r="C224" s="59" t="inlineStr">
        <is>
          <t>PHN</t>
        </is>
      </c>
      <c r="D224" s="60" t="inlineStr">
        <is>
          <t>OPPO Reno11 Pro</t>
        </is>
      </c>
      <c r="E224">
        <f>_xlfn.XLOOKUP(D224,'[2]8A. Master Device Catalog'!$F$5:$F$914,'[2]8A. Master Device Catalog'!$G$5:$G$914,"")</f>
        <v/>
      </c>
      <c r="F224">
        <f>_xlfn.XLOOKUP(D224,'[2]8A. Master Device Catalog'!$F$5:$F$914,'[2]8A. Master Device Catalog'!$H$5:$H$914,"")</f>
        <v/>
      </c>
    </row>
    <row r="225" hidden="1" ht="21.5" customHeight="1" s="125">
      <c r="A225" t="inlineStr">
        <is>
          <t>DEV000224</t>
        </is>
      </c>
      <c r="B225" s="59" t="inlineStr">
        <is>
          <t>OPP</t>
        </is>
      </c>
      <c r="C225" s="59" t="inlineStr">
        <is>
          <t>PHN</t>
        </is>
      </c>
      <c r="D225" s="60" t="inlineStr">
        <is>
          <t>OPPO A58</t>
        </is>
      </c>
      <c r="E225">
        <f>_xlfn.XLOOKUP(D225,'[2]8A. Master Device Catalog'!$F$5:$F$914,'[2]8A. Master Device Catalog'!$G$5:$G$914,"")</f>
        <v/>
      </c>
      <c r="F225">
        <f>_xlfn.XLOOKUP(D225,'[2]8A. Master Device Catalog'!$F$5:$F$914,'[2]8A. Master Device Catalog'!$H$5:$H$914,"")</f>
        <v/>
      </c>
    </row>
    <row r="226" hidden="1" ht="21.5" customHeight="1" s="125">
      <c r="A226" t="inlineStr">
        <is>
          <t>DEV000225</t>
        </is>
      </c>
      <c r="B226" s="59" t="inlineStr">
        <is>
          <t>OPP</t>
        </is>
      </c>
      <c r="C226" s="59" t="inlineStr">
        <is>
          <t>PHN</t>
        </is>
      </c>
      <c r="D226" s="60" t="inlineStr">
        <is>
          <t>OPPO A78 5G</t>
        </is>
      </c>
      <c r="E226">
        <f>_xlfn.XLOOKUP(D226,'[2]8A. Master Device Catalog'!$F$5:$F$914,'[2]8A. Master Device Catalog'!$G$5:$G$914,"")</f>
        <v/>
      </c>
      <c r="F226">
        <f>_xlfn.XLOOKUP(D226,'[2]8A. Master Device Catalog'!$F$5:$F$914,'[2]8A. Master Device Catalog'!$H$5:$H$914,"")</f>
        <v/>
      </c>
    </row>
    <row r="227" hidden="1" ht="21.5" customHeight="1" s="125">
      <c r="A227" t="inlineStr">
        <is>
          <t>DEV000226</t>
        </is>
      </c>
      <c r="B227" s="59" t="inlineStr">
        <is>
          <t>RLM</t>
        </is>
      </c>
      <c r="C227" s="59" t="inlineStr">
        <is>
          <t>PHN</t>
        </is>
      </c>
      <c r="D227" s="60" t="inlineStr">
        <is>
          <t>realme GT 6</t>
        </is>
      </c>
      <c r="E227">
        <f>_xlfn.XLOOKUP(D227,'[2]8A. Master Device Catalog'!$F$5:$F$914,'[2]8A. Master Device Catalog'!$G$5:$G$914,"")</f>
        <v/>
      </c>
      <c r="F227">
        <f>_xlfn.XLOOKUP(D227,'[2]8A. Master Device Catalog'!$F$5:$F$914,'[2]8A. Master Device Catalog'!$H$5:$H$914,"")</f>
        <v/>
      </c>
    </row>
    <row r="228" hidden="1" ht="21.5" customHeight="1" s="125">
      <c r="A228" t="inlineStr">
        <is>
          <t>DEV000227</t>
        </is>
      </c>
      <c r="B228" s="59" t="inlineStr">
        <is>
          <t>RLM</t>
        </is>
      </c>
      <c r="C228" s="59" t="inlineStr">
        <is>
          <t>PHN</t>
        </is>
      </c>
      <c r="D228" s="60" t="inlineStr">
        <is>
          <t>realme GT 6T</t>
        </is>
      </c>
      <c r="E228">
        <f>_xlfn.XLOOKUP(D228,'[2]8A. Master Device Catalog'!$F$5:$F$914,'[2]8A. Master Device Catalog'!$G$5:$G$914,"")</f>
        <v/>
      </c>
      <c r="F228">
        <f>_xlfn.XLOOKUP(D228,'[2]8A. Master Device Catalog'!$F$5:$F$914,'[2]8A. Master Device Catalog'!$H$5:$H$914,"")</f>
        <v/>
      </c>
    </row>
    <row r="229" hidden="1" ht="21.5" customHeight="1" s="125">
      <c r="A229" t="inlineStr">
        <is>
          <t>DEV000228</t>
        </is>
      </c>
      <c r="B229" s="59" t="inlineStr">
        <is>
          <t>RLM</t>
        </is>
      </c>
      <c r="C229" s="59" t="inlineStr">
        <is>
          <t>PHN</t>
        </is>
      </c>
      <c r="D229" s="60" t="inlineStr">
        <is>
          <t>realme 12 Pro+</t>
        </is>
      </c>
      <c r="E229">
        <f>_xlfn.XLOOKUP(D229,'[2]8A. Master Device Catalog'!$F$5:$F$914,'[2]8A. Master Device Catalog'!$G$5:$G$914,"")</f>
        <v/>
      </c>
      <c r="F229">
        <f>_xlfn.XLOOKUP(D229,'[2]8A. Master Device Catalog'!$F$5:$F$914,'[2]8A. Master Device Catalog'!$H$5:$H$914,"")</f>
        <v/>
      </c>
    </row>
    <row r="230" hidden="1" ht="21.5" customHeight="1" s="125">
      <c r="A230" t="inlineStr">
        <is>
          <t>DEV000229</t>
        </is>
      </c>
      <c r="B230" s="59" t="inlineStr">
        <is>
          <t>RLM</t>
        </is>
      </c>
      <c r="C230" s="59" t="inlineStr">
        <is>
          <t>PHN</t>
        </is>
      </c>
      <c r="D230" s="60" t="inlineStr">
        <is>
          <t>realme Narzo 70 Pro</t>
        </is>
      </c>
      <c r="E230">
        <f>_xlfn.XLOOKUP(D230,'[2]8A. Master Device Catalog'!$F$5:$F$914,'[2]8A. Master Device Catalog'!$G$5:$G$914,"")</f>
        <v/>
      </c>
      <c r="F230">
        <f>_xlfn.XLOOKUP(D230,'[2]8A. Master Device Catalog'!$F$5:$F$914,'[2]8A. Master Device Catalog'!$H$5:$H$914,"")</f>
        <v/>
      </c>
    </row>
    <row r="231" hidden="1" ht="21.5" customHeight="1" s="125">
      <c r="A231" t="inlineStr">
        <is>
          <t>DEV000230</t>
        </is>
      </c>
      <c r="B231" s="59" t="inlineStr">
        <is>
          <t>RLM</t>
        </is>
      </c>
      <c r="C231" s="59" t="inlineStr">
        <is>
          <t>PHN</t>
        </is>
      </c>
      <c r="D231" s="60" t="inlineStr">
        <is>
          <t>realme GT Neo 6</t>
        </is>
      </c>
      <c r="E231">
        <f>_xlfn.XLOOKUP(D231,'[2]8A. Master Device Catalog'!$F$5:$F$914,'[2]8A. Master Device Catalog'!$G$5:$G$914,"")</f>
        <v/>
      </c>
      <c r="F231">
        <f>_xlfn.XLOOKUP(D231,'[2]8A. Master Device Catalog'!$F$5:$F$914,'[2]8A. Master Device Catalog'!$H$5:$H$914,"")</f>
        <v/>
      </c>
    </row>
    <row r="232" hidden="1" ht="21.5" customHeight="1" s="125">
      <c r="A232" t="inlineStr">
        <is>
          <t>DEV000231</t>
        </is>
      </c>
      <c r="B232" s="59" t="inlineStr">
        <is>
          <t>RLM</t>
        </is>
      </c>
      <c r="C232" s="59" t="inlineStr">
        <is>
          <t>PHN</t>
        </is>
      </c>
      <c r="D232" s="60" t="inlineStr">
        <is>
          <t>realme 12 Pro</t>
        </is>
      </c>
      <c r="E232">
        <f>_xlfn.XLOOKUP(D232,'[2]8A. Master Device Catalog'!$F$5:$F$914,'[2]8A. Master Device Catalog'!$G$5:$G$914,"")</f>
        <v/>
      </c>
      <c r="F232">
        <f>_xlfn.XLOOKUP(D232,'[2]8A. Master Device Catalog'!$F$5:$F$914,'[2]8A. Master Device Catalog'!$H$5:$H$914,"")</f>
        <v/>
      </c>
    </row>
    <row r="233" hidden="1" ht="21.5" customHeight="1" s="125">
      <c r="A233" t="inlineStr">
        <is>
          <t>DEV000232</t>
        </is>
      </c>
      <c r="B233" s="59" t="inlineStr">
        <is>
          <t>RLM</t>
        </is>
      </c>
      <c r="C233" s="59" t="inlineStr">
        <is>
          <t>PHN</t>
        </is>
      </c>
      <c r="D233" s="60" t="inlineStr">
        <is>
          <t>realme C67</t>
        </is>
      </c>
      <c r="E233">
        <f>_xlfn.XLOOKUP(D233,'[2]8A. Master Device Catalog'!$F$5:$F$914,'[2]8A. Master Device Catalog'!$G$5:$G$914,"")</f>
        <v/>
      </c>
      <c r="F233">
        <f>_xlfn.XLOOKUP(D233,'[2]8A. Master Device Catalog'!$F$5:$F$914,'[2]8A. Master Device Catalog'!$H$5:$H$914,"")</f>
        <v/>
      </c>
    </row>
    <row r="234" hidden="1" ht="21.5" customHeight="1" s="125">
      <c r="A234" t="inlineStr">
        <is>
          <t>DEV000233</t>
        </is>
      </c>
      <c r="B234" s="59" t="inlineStr">
        <is>
          <t>RLM</t>
        </is>
      </c>
      <c r="C234" s="59" t="inlineStr">
        <is>
          <t>PHN</t>
        </is>
      </c>
      <c r="D234" s="60" t="inlineStr">
        <is>
          <t>realme C65</t>
        </is>
      </c>
      <c r="E234">
        <f>_xlfn.XLOOKUP(D234,'[2]8A. Master Device Catalog'!$F$5:$F$914,'[2]8A. Master Device Catalog'!$G$5:$G$914,"")</f>
        <v/>
      </c>
      <c r="F234">
        <f>_xlfn.XLOOKUP(D234,'[2]8A. Master Device Catalog'!$F$5:$F$914,'[2]8A. Master Device Catalog'!$H$5:$H$914,"")</f>
        <v/>
      </c>
    </row>
    <row r="235" hidden="1" ht="21.5" customHeight="1" s="125">
      <c r="A235" t="inlineStr">
        <is>
          <t>DEV000234</t>
        </is>
      </c>
      <c r="B235" s="59" t="inlineStr">
        <is>
          <t>SAM</t>
        </is>
      </c>
      <c r="C235" s="59" t="inlineStr">
        <is>
          <t>PHN</t>
        </is>
      </c>
      <c r="D235" s="60" t="inlineStr">
        <is>
          <t>Galaxy S</t>
        </is>
      </c>
      <c r="E235">
        <f>_xlfn.XLOOKUP(D235,'[2]8A. Master Device Catalog'!$F$5:$F$914,'[2]8A. Master Device Catalog'!$G$5:$G$914,"")</f>
        <v/>
      </c>
      <c r="F235">
        <f>_xlfn.XLOOKUP(D235,'[2]8A. Master Device Catalog'!$F$5:$F$914,'[2]8A. Master Device Catalog'!$H$5:$H$914,"")</f>
        <v/>
      </c>
    </row>
    <row r="236" hidden="1" ht="21.5" customHeight="1" s="125">
      <c r="A236" t="inlineStr">
        <is>
          <t>DEV000235</t>
        </is>
      </c>
      <c r="B236" s="59" t="inlineStr">
        <is>
          <t>SAM</t>
        </is>
      </c>
      <c r="C236" s="59" t="inlineStr">
        <is>
          <t>PHN</t>
        </is>
      </c>
      <c r="D236" s="60" t="inlineStr">
        <is>
          <t>Galaxy S II</t>
        </is>
      </c>
      <c r="E236">
        <f>_xlfn.XLOOKUP(D236,'[2]8A. Master Device Catalog'!$F$5:$F$914,'[2]8A. Master Device Catalog'!$G$5:$G$914,"")</f>
        <v/>
      </c>
      <c r="F236">
        <f>_xlfn.XLOOKUP(D236,'[2]8A. Master Device Catalog'!$F$5:$F$914,'[2]8A. Master Device Catalog'!$H$5:$H$914,"")</f>
        <v/>
      </c>
    </row>
    <row r="237" hidden="1" ht="21.5" customHeight="1" s="125">
      <c r="A237" t="inlineStr">
        <is>
          <t>DEV000236</t>
        </is>
      </c>
      <c r="B237" s="59" t="inlineStr">
        <is>
          <t>SAM</t>
        </is>
      </c>
      <c r="C237" s="59" t="inlineStr">
        <is>
          <t>PHN</t>
        </is>
      </c>
      <c r="D237" s="60" t="inlineStr">
        <is>
          <t>Galaxy S III</t>
        </is>
      </c>
      <c r="E237">
        <f>_xlfn.XLOOKUP(D237,'[2]8A. Master Device Catalog'!$F$5:$F$914,'[2]8A. Master Device Catalog'!$G$5:$G$914,"")</f>
        <v/>
      </c>
      <c r="F237">
        <f>_xlfn.XLOOKUP(D237,'[2]8A. Master Device Catalog'!$F$5:$F$914,'[2]8A. Master Device Catalog'!$H$5:$H$914,"")</f>
        <v/>
      </c>
    </row>
    <row r="238" hidden="1" ht="21.5" customHeight="1" s="125">
      <c r="A238" t="inlineStr">
        <is>
          <t>DEV000237</t>
        </is>
      </c>
      <c r="B238" s="59" t="inlineStr">
        <is>
          <t>SAM</t>
        </is>
      </c>
      <c r="C238" s="59" t="inlineStr">
        <is>
          <t>PHN</t>
        </is>
      </c>
      <c r="D238" s="60" t="inlineStr">
        <is>
          <t>Galaxy S4</t>
        </is>
      </c>
      <c r="E238">
        <f>_xlfn.XLOOKUP(D238,'[2]8A. Master Device Catalog'!$F$5:$F$914,'[2]8A. Master Device Catalog'!$G$5:$G$914,"")</f>
        <v/>
      </c>
      <c r="F238">
        <f>_xlfn.XLOOKUP(D238,'[2]8A. Master Device Catalog'!$F$5:$F$914,'[2]8A. Master Device Catalog'!$H$5:$H$914,"")</f>
        <v/>
      </c>
    </row>
    <row r="239" hidden="1" ht="21.5" customHeight="1" s="125">
      <c r="A239" t="inlineStr">
        <is>
          <t>DEV000238</t>
        </is>
      </c>
      <c r="B239" s="59" t="inlineStr">
        <is>
          <t>SAM</t>
        </is>
      </c>
      <c r="C239" s="59" t="inlineStr">
        <is>
          <t>PHN</t>
        </is>
      </c>
      <c r="D239" s="60" t="inlineStr">
        <is>
          <t>Galaxy S5</t>
        </is>
      </c>
      <c r="E239">
        <f>_xlfn.XLOOKUP(D239,'[2]8A. Master Device Catalog'!$F$5:$F$914,'[2]8A. Master Device Catalog'!$G$5:$G$914,"")</f>
        <v/>
      </c>
      <c r="F239">
        <f>_xlfn.XLOOKUP(D239,'[2]8A. Master Device Catalog'!$F$5:$F$914,'[2]8A. Master Device Catalog'!$H$5:$H$914,"")</f>
        <v/>
      </c>
    </row>
    <row r="240" hidden="1" ht="21.5" customHeight="1" s="125">
      <c r="A240" t="inlineStr">
        <is>
          <t>DEV000239</t>
        </is>
      </c>
      <c r="B240" s="59" t="inlineStr">
        <is>
          <t>SAM</t>
        </is>
      </c>
      <c r="C240" s="59" t="inlineStr">
        <is>
          <t>PHN</t>
        </is>
      </c>
      <c r="D240" s="60" t="inlineStr">
        <is>
          <t>Galaxy S6</t>
        </is>
      </c>
      <c r="E240">
        <f>_xlfn.XLOOKUP(D240,'[2]8A. Master Device Catalog'!$F$5:$F$914,'[2]8A. Master Device Catalog'!$G$5:$G$914,"")</f>
        <v/>
      </c>
      <c r="F240">
        <f>_xlfn.XLOOKUP(D240,'[2]8A. Master Device Catalog'!$F$5:$F$914,'[2]8A. Master Device Catalog'!$H$5:$H$914,"")</f>
        <v/>
      </c>
    </row>
    <row r="241" hidden="1" ht="21.5" customHeight="1" s="125">
      <c r="A241" t="inlineStr">
        <is>
          <t>DEV000240</t>
        </is>
      </c>
      <c r="B241" s="59" t="inlineStr">
        <is>
          <t>SAM</t>
        </is>
      </c>
      <c r="C241" s="59" t="inlineStr">
        <is>
          <t>PHN</t>
        </is>
      </c>
      <c r="D241" s="60" t="inlineStr">
        <is>
          <t>Galaxy S6 edge</t>
        </is>
      </c>
      <c r="E241">
        <f>_xlfn.XLOOKUP(D241,'[2]8A. Master Device Catalog'!$F$5:$F$914,'[2]8A. Master Device Catalog'!$G$5:$G$914,"")</f>
        <v/>
      </c>
      <c r="F241">
        <f>_xlfn.XLOOKUP(D241,'[2]8A. Master Device Catalog'!$F$5:$F$914,'[2]8A. Master Device Catalog'!$H$5:$H$914,"")</f>
        <v/>
      </c>
    </row>
    <row r="242" hidden="1" ht="21.5" customHeight="1" s="125">
      <c r="A242" t="inlineStr">
        <is>
          <t>DEV000241</t>
        </is>
      </c>
      <c r="B242" s="59" t="inlineStr">
        <is>
          <t>SAM</t>
        </is>
      </c>
      <c r="C242" s="59" t="inlineStr">
        <is>
          <t>PHN</t>
        </is>
      </c>
      <c r="D242" s="60" t="inlineStr">
        <is>
          <t>Galaxy S6 edge+</t>
        </is>
      </c>
      <c r="E242">
        <f>_xlfn.XLOOKUP(D242,'[2]8A. Master Device Catalog'!$F$5:$F$914,'[2]8A. Master Device Catalog'!$G$5:$G$914,"")</f>
        <v/>
      </c>
      <c r="F242">
        <f>_xlfn.XLOOKUP(D242,'[2]8A. Master Device Catalog'!$F$5:$F$914,'[2]8A. Master Device Catalog'!$H$5:$H$914,"")</f>
        <v/>
      </c>
    </row>
    <row r="243" hidden="1" ht="21.5" customHeight="1" s="125">
      <c r="A243" t="inlineStr">
        <is>
          <t>DEV000242</t>
        </is>
      </c>
      <c r="B243" s="59" t="inlineStr">
        <is>
          <t>SAM</t>
        </is>
      </c>
      <c r="C243" s="59" t="inlineStr">
        <is>
          <t>PHN</t>
        </is>
      </c>
      <c r="D243" s="60" t="inlineStr">
        <is>
          <t>Galaxy S6 Active</t>
        </is>
      </c>
      <c r="E243">
        <f>_xlfn.XLOOKUP(D243,'[2]8A. Master Device Catalog'!$F$5:$F$914,'[2]8A. Master Device Catalog'!$G$5:$G$914,"")</f>
        <v/>
      </c>
      <c r="F243">
        <f>_xlfn.XLOOKUP(D243,'[2]8A. Master Device Catalog'!$F$5:$F$914,'[2]8A. Master Device Catalog'!$H$5:$H$914,"")</f>
        <v/>
      </c>
    </row>
    <row r="244" hidden="1" ht="21.5" customHeight="1" s="125">
      <c r="A244" t="inlineStr">
        <is>
          <t>DEV000243</t>
        </is>
      </c>
      <c r="B244" s="59" t="inlineStr">
        <is>
          <t>SAM</t>
        </is>
      </c>
      <c r="C244" s="59" t="inlineStr">
        <is>
          <t>PHN</t>
        </is>
      </c>
      <c r="D244" s="60" t="inlineStr">
        <is>
          <t>Galaxy S7</t>
        </is>
      </c>
      <c r="E244">
        <f>_xlfn.XLOOKUP(D244,'[2]8A. Master Device Catalog'!$F$5:$F$914,'[2]8A. Master Device Catalog'!$G$5:$G$914,"")</f>
        <v/>
      </c>
      <c r="F244">
        <f>_xlfn.XLOOKUP(D244,'[2]8A. Master Device Catalog'!$F$5:$F$914,'[2]8A. Master Device Catalog'!$H$5:$H$914,"")</f>
        <v/>
      </c>
    </row>
    <row r="245" hidden="1" ht="21.5" customHeight="1" s="125">
      <c r="A245" t="inlineStr">
        <is>
          <t>DEV000244</t>
        </is>
      </c>
      <c r="B245" s="59" t="inlineStr">
        <is>
          <t>SAM</t>
        </is>
      </c>
      <c r="C245" s="59" t="inlineStr">
        <is>
          <t>PHN</t>
        </is>
      </c>
      <c r="D245" s="60" t="inlineStr">
        <is>
          <t>Galaxy S7 edge</t>
        </is>
      </c>
      <c r="E245">
        <f>_xlfn.XLOOKUP(D245,'[2]8A. Master Device Catalog'!$F$5:$F$914,'[2]8A. Master Device Catalog'!$G$5:$G$914,"")</f>
        <v/>
      </c>
      <c r="F245">
        <f>_xlfn.XLOOKUP(D245,'[2]8A. Master Device Catalog'!$F$5:$F$914,'[2]8A. Master Device Catalog'!$H$5:$H$914,"")</f>
        <v/>
      </c>
    </row>
    <row r="246" hidden="1" ht="21.5" customHeight="1" s="125">
      <c r="A246" t="inlineStr">
        <is>
          <t>DEV000245</t>
        </is>
      </c>
      <c r="B246" s="59" t="inlineStr">
        <is>
          <t>SAM</t>
        </is>
      </c>
      <c r="C246" s="59" t="inlineStr">
        <is>
          <t>PHN</t>
        </is>
      </c>
      <c r="D246" s="60" t="inlineStr">
        <is>
          <t>Galaxy S8</t>
        </is>
      </c>
      <c r="E246">
        <f>_xlfn.XLOOKUP(D246,'[2]8A. Master Device Catalog'!$F$5:$F$914,'[2]8A. Master Device Catalog'!$G$5:$G$914,"")</f>
        <v/>
      </c>
      <c r="F246">
        <f>_xlfn.XLOOKUP(D246,'[2]8A. Master Device Catalog'!$F$5:$F$914,'[2]8A. Master Device Catalog'!$H$5:$H$914,"")</f>
        <v/>
      </c>
    </row>
    <row r="247" hidden="1" ht="21.5" customHeight="1" s="125">
      <c r="A247" t="inlineStr">
        <is>
          <t>DEV000246</t>
        </is>
      </c>
      <c r="B247" s="59" t="inlineStr">
        <is>
          <t>SAM</t>
        </is>
      </c>
      <c r="C247" s="59" t="inlineStr">
        <is>
          <t>PHN</t>
        </is>
      </c>
      <c r="D247" s="60" t="inlineStr">
        <is>
          <t>Galaxy S8+</t>
        </is>
      </c>
      <c r="E247">
        <f>_xlfn.XLOOKUP(D247,'[2]8A. Master Device Catalog'!$F$5:$F$914,'[2]8A. Master Device Catalog'!$G$5:$G$914,"")</f>
        <v/>
      </c>
      <c r="F247">
        <f>_xlfn.XLOOKUP(D247,'[2]8A. Master Device Catalog'!$F$5:$F$914,'[2]8A. Master Device Catalog'!$H$5:$H$914,"")</f>
        <v/>
      </c>
    </row>
    <row r="248" hidden="1" ht="21.5" customHeight="1" s="125">
      <c r="A248" t="inlineStr">
        <is>
          <t>DEV000247</t>
        </is>
      </c>
      <c r="B248" s="59" t="inlineStr">
        <is>
          <t>SAM</t>
        </is>
      </c>
      <c r="C248" s="59" t="inlineStr">
        <is>
          <t>PHN</t>
        </is>
      </c>
      <c r="D248" s="60" t="inlineStr">
        <is>
          <t>Galaxy S9</t>
        </is>
      </c>
      <c r="E248">
        <f>_xlfn.XLOOKUP(D248,'[2]8A. Master Device Catalog'!$F$5:$F$914,'[2]8A. Master Device Catalog'!$G$5:$G$914,"")</f>
        <v/>
      </c>
      <c r="F248">
        <f>_xlfn.XLOOKUP(D248,'[2]8A. Master Device Catalog'!$F$5:$F$914,'[2]8A. Master Device Catalog'!$H$5:$H$914,"")</f>
        <v/>
      </c>
    </row>
    <row r="249" hidden="1" ht="21.5" customHeight="1" s="125">
      <c r="A249" t="inlineStr">
        <is>
          <t>DEV000248</t>
        </is>
      </c>
      <c r="B249" s="59" t="inlineStr">
        <is>
          <t>SAM</t>
        </is>
      </c>
      <c r="C249" s="59" t="inlineStr">
        <is>
          <t>PHN</t>
        </is>
      </c>
      <c r="D249" s="60" t="inlineStr">
        <is>
          <t>Galaxy S9+</t>
        </is>
      </c>
      <c r="E249">
        <f>_xlfn.XLOOKUP(D249,'[2]8A. Master Device Catalog'!$F$5:$F$914,'[2]8A. Master Device Catalog'!$G$5:$G$914,"")</f>
        <v/>
      </c>
      <c r="F249">
        <f>_xlfn.XLOOKUP(D249,'[2]8A. Master Device Catalog'!$F$5:$F$914,'[2]8A. Master Device Catalog'!$H$5:$H$914,"")</f>
        <v/>
      </c>
    </row>
    <row r="250" hidden="1" ht="21.5" customHeight="1" s="125">
      <c r="A250" t="inlineStr">
        <is>
          <t>DEV000249</t>
        </is>
      </c>
      <c r="B250" s="59" t="inlineStr">
        <is>
          <t>SAM</t>
        </is>
      </c>
      <c r="C250" s="59" t="inlineStr">
        <is>
          <t>PHN</t>
        </is>
      </c>
      <c r="D250" s="60" t="inlineStr">
        <is>
          <t>Galaxy S10e</t>
        </is>
      </c>
      <c r="E250">
        <f>_xlfn.XLOOKUP(D250,'[2]8A. Master Device Catalog'!$F$5:$F$914,'[2]8A. Master Device Catalog'!$G$5:$G$914,"")</f>
        <v/>
      </c>
      <c r="F250">
        <f>_xlfn.XLOOKUP(D250,'[2]8A. Master Device Catalog'!$F$5:$F$914,'[2]8A. Master Device Catalog'!$H$5:$H$914,"")</f>
        <v/>
      </c>
    </row>
    <row r="251" hidden="1" ht="21.5" customHeight="1" s="125">
      <c r="A251" t="inlineStr">
        <is>
          <t>DEV000250</t>
        </is>
      </c>
      <c r="B251" s="59" t="inlineStr">
        <is>
          <t>SAM</t>
        </is>
      </c>
      <c r="C251" s="59" t="inlineStr">
        <is>
          <t>PHN</t>
        </is>
      </c>
      <c r="D251" s="60" t="inlineStr">
        <is>
          <t>Galaxy S10</t>
        </is>
      </c>
      <c r="E251">
        <f>_xlfn.XLOOKUP(D251,'[2]8A. Master Device Catalog'!$F$5:$F$914,'[2]8A. Master Device Catalog'!$G$5:$G$914,"")</f>
        <v/>
      </c>
      <c r="F251">
        <f>_xlfn.XLOOKUP(D251,'[2]8A. Master Device Catalog'!$F$5:$F$914,'[2]8A. Master Device Catalog'!$H$5:$H$914,"")</f>
        <v/>
      </c>
    </row>
    <row r="252" hidden="1" ht="21.5" customHeight="1" s="125">
      <c r="A252" t="inlineStr">
        <is>
          <t>DEV000251</t>
        </is>
      </c>
      <c r="B252" s="59" t="inlineStr">
        <is>
          <t>SAM</t>
        </is>
      </c>
      <c r="C252" s="59" t="inlineStr">
        <is>
          <t>PHN</t>
        </is>
      </c>
      <c r="D252" s="60" t="inlineStr">
        <is>
          <t>Galaxy S10+</t>
        </is>
      </c>
      <c r="E252">
        <f>_xlfn.XLOOKUP(D252,'[2]8A. Master Device Catalog'!$F$5:$F$914,'[2]8A. Master Device Catalog'!$G$5:$G$914,"")</f>
        <v/>
      </c>
      <c r="F252">
        <f>_xlfn.XLOOKUP(D252,'[2]8A. Master Device Catalog'!$F$5:$F$914,'[2]8A. Master Device Catalog'!$H$5:$H$914,"")</f>
        <v/>
      </c>
    </row>
    <row r="253" hidden="1" ht="21.5" customHeight="1" s="125">
      <c r="A253" t="inlineStr">
        <is>
          <t>DEV000252</t>
        </is>
      </c>
      <c r="B253" s="59" t="inlineStr">
        <is>
          <t>SAM</t>
        </is>
      </c>
      <c r="C253" s="59" t="inlineStr">
        <is>
          <t>PHN</t>
        </is>
      </c>
      <c r="D253" s="60" t="inlineStr">
        <is>
          <t>Galaxy S10 5G</t>
        </is>
      </c>
      <c r="E253">
        <f>_xlfn.XLOOKUP(D253,'[2]8A. Master Device Catalog'!$F$5:$F$914,'[2]8A. Master Device Catalog'!$G$5:$G$914,"")</f>
        <v/>
      </c>
      <c r="F253">
        <f>_xlfn.XLOOKUP(D253,'[2]8A. Master Device Catalog'!$F$5:$F$914,'[2]8A. Master Device Catalog'!$H$5:$H$914,"")</f>
        <v/>
      </c>
    </row>
    <row r="254" hidden="1" ht="21.5" customHeight="1" s="125">
      <c r="A254" t="inlineStr">
        <is>
          <t>DEV000253</t>
        </is>
      </c>
      <c r="B254" s="59" t="inlineStr">
        <is>
          <t>SAM</t>
        </is>
      </c>
      <c r="C254" s="59" t="inlineStr">
        <is>
          <t>PHN</t>
        </is>
      </c>
      <c r="D254" s="60" t="inlineStr">
        <is>
          <t>Galaxy S20</t>
        </is>
      </c>
      <c r="E254">
        <f>_xlfn.XLOOKUP(D254,'[2]8A. Master Device Catalog'!$F$5:$F$914,'[2]8A. Master Device Catalog'!$G$5:$G$914,"")</f>
        <v/>
      </c>
      <c r="F254">
        <f>_xlfn.XLOOKUP(D254,'[2]8A. Master Device Catalog'!$F$5:$F$914,'[2]8A. Master Device Catalog'!$H$5:$H$914,"")</f>
        <v/>
      </c>
    </row>
    <row r="255" hidden="1" ht="21.5" customHeight="1" s="125">
      <c r="A255" t="inlineStr">
        <is>
          <t>DEV000254</t>
        </is>
      </c>
      <c r="B255" s="59" t="inlineStr">
        <is>
          <t>SAM</t>
        </is>
      </c>
      <c r="C255" s="59" t="inlineStr">
        <is>
          <t>PHN</t>
        </is>
      </c>
      <c r="D255" s="60" t="inlineStr">
        <is>
          <t>Galaxy S20+</t>
        </is>
      </c>
      <c r="E255">
        <f>_xlfn.XLOOKUP(D255,'[2]8A. Master Device Catalog'!$F$5:$F$914,'[2]8A. Master Device Catalog'!$G$5:$G$914,"")</f>
        <v/>
      </c>
      <c r="F255">
        <f>_xlfn.XLOOKUP(D255,'[2]8A. Master Device Catalog'!$F$5:$F$914,'[2]8A. Master Device Catalog'!$H$5:$H$914,"")</f>
        <v/>
      </c>
    </row>
    <row r="256" hidden="1" ht="21.5" customHeight="1" s="125">
      <c r="A256" t="inlineStr">
        <is>
          <t>DEV000255</t>
        </is>
      </c>
      <c r="B256" s="59" t="inlineStr">
        <is>
          <t>SAM</t>
        </is>
      </c>
      <c r="C256" s="59" t="inlineStr">
        <is>
          <t>PHN</t>
        </is>
      </c>
      <c r="D256" s="60" t="inlineStr">
        <is>
          <t>Galaxy S20 Ultra</t>
        </is>
      </c>
      <c r="E256">
        <f>_xlfn.XLOOKUP(D256,'[2]8A. Master Device Catalog'!$F$5:$F$914,'[2]8A. Master Device Catalog'!$G$5:$G$914,"")</f>
        <v/>
      </c>
      <c r="F256">
        <f>_xlfn.XLOOKUP(D256,'[2]8A. Master Device Catalog'!$F$5:$F$914,'[2]8A. Master Device Catalog'!$H$5:$H$914,"")</f>
        <v/>
      </c>
    </row>
    <row r="257" hidden="1" ht="21.5" customHeight="1" s="125">
      <c r="A257" t="inlineStr">
        <is>
          <t>DEV000256</t>
        </is>
      </c>
      <c r="B257" s="59" t="inlineStr">
        <is>
          <t>SAM</t>
        </is>
      </c>
      <c r="C257" s="59" t="inlineStr">
        <is>
          <t>PHN</t>
        </is>
      </c>
      <c r="D257" s="60" t="inlineStr">
        <is>
          <t>Galaxy S20 FE</t>
        </is>
      </c>
      <c r="E257">
        <f>_xlfn.XLOOKUP(D257,'[2]8A. Master Device Catalog'!$F$5:$F$914,'[2]8A. Master Device Catalog'!$G$5:$G$914,"")</f>
        <v/>
      </c>
      <c r="F257">
        <f>_xlfn.XLOOKUP(D257,'[2]8A. Master Device Catalog'!$F$5:$F$914,'[2]8A. Master Device Catalog'!$H$5:$H$914,"")</f>
        <v/>
      </c>
    </row>
    <row r="258" hidden="1" ht="21.5" customHeight="1" s="125">
      <c r="A258" t="inlineStr">
        <is>
          <t>DEV000257</t>
        </is>
      </c>
      <c r="B258" s="59" t="inlineStr">
        <is>
          <t>SAM</t>
        </is>
      </c>
      <c r="C258" s="59" t="inlineStr">
        <is>
          <t>PHN</t>
        </is>
      </c>
      <c r="D258" s="60" t="inlineStr">
        <is>
          <t>Galaxy S21</t>
        </is>
      </c>
      <c r="E258">
        <f>_xlfn.XLOOKUP(D258,'[2]8A. Master Device Catalog'!$F$5:$F$914,'[2]8A. Master Device Catalog'!$G$5:$G$914,"")</f>
        <v/>
      </c>
      <c r="F258">
        <f>_xlfn.XLOOKUP(D258,'[2]8A. Master Device Catalog'!$F$5:$F$914,'[2]8A. Master Device Catalog'!$H$5:$H$914,"")</f>
        <v/>
      </c>
    </row>
    <row r="259" hidden="1" ht="21.5" customHeight="1" s="125">
      <c r="A259" t="inlineStr">
        <is>
          <t>DEV000258</t>
        </is>
      </c>
      <c r="B259" s="59" t="inlineStr">
        <is>
          <t>SAM</t>
        </is>
      </c>
      <c r="C259" s="59" t="inlineStr">
        <is>
          <t>PHN</t>
        </is>
      </c>
      <c r="D259" s="60" t="inlineStr">
        <is>
          <t>Galaxy S21+</t>
        </is>
      </c>
      <c r="E259">
        <f>_xlfn.XLOOKUP(D259,'[2]8A. Master Device Catalog'!$F$5:$F$914,'[2]8A. Master Device Catalog'!$G$5:$G$914,"")</f>
        <v/>
      </c>
      <c r="F259">
        <f>_xlfn.XLOOKUP(D259,'[2]8A. Master Device Catalog'!$F$5:$F$914,'[2]8A. Master Device Catalog'!$H$5:$H$914,"")</f>
        <v/>
      </c>
    </row>
    <row r="260" hidden="1" ht="21.5" customHeight="1" s="125">
      <c r="A260" t="inlineStr">
        <is>
          <t>DEV000259</t>
        </is>
      </c>
      <c r="B260" s="59" t="inlineStr">
        <is>
          <t>SAM</t>
        </is>
      </c>
      <c r="C260" s="59" t="inlineStr">
        <is>
          <t>PHN</t>
        </is>
      </c>
      <c r="D260" s="60" t="inlineStr">
        <is>
          <t>Galaxy S21 Ultra</t>
        </is>
      </c>
      <c r="E260">
        <f>_xlfn.XLOOKUP(D260,'[2]8A. Master Device Catalog'!$F$5:$F$914,'[2]8A. Master Device Catalog'!$G$5:$G$914,"")</f>
        <v/>
      </c>
      <c r="F260">
        <f>_xlfn.XLOOKUP(D260,'[2]8A. Master Device Catalog'!$F$5:$F$914,'[2]8A. Master Device Catalog'!$H$5:$H$914,"")</f>
        <v/>
      </c>
    </row>
    <row r="261" hidden="1" ht="21.5" customHeight="1" s="125">
      <c r="A261" t="inlineStr">
        <is>
          <t>DEV000260</t>
        </is>
      </c>
      <c r="B261" s="59" t="inlineStr">
        <is>
          <t>SAM</t>
        </is>
      </c>
      <c r="C261" s="59" t="inlineStr">
        <is>
          <t>PHN</t>
        </is>
      </c>
      <c r="D261" s="60" t="inlineStr">
        <is>
          <t>Galaxy S21 FE</t>
        </is>
      </c>
      <c r="E261">
        <f>_xlfn.XLOOKUP(D261,'[2]8A. Master Device Catalog'!$F$5:$F$914,'[2]8A. Master Device Catalog'!$G$5:$G$914,"")</f>
        <v/>
      </c>
      <c r="F261">
        <f>_xlfn.XLOOKUP(D261,'[2]8A. Master Device Catalog'!$F$5:$F$914,'[2]8A. Master Device Catalog'!$H$5:$H$914,"")</f>
        <v/>
      </c>
    </row>
    <row r="262" hidden="1" ht="21.5" customHeight="1" s="125">
      <c r="A262" t="inlineStr">
        <is>
          <t>DEV000261</t>
        </is>
      </c>
      <c r="B262" s="59" t="inlineStr">
        <is>
          <t>SAM</t>
        </is>
      </c>
      <c r="C262" s="59" t="inlineStr">
        <is>
          <t>PHN</t>
        </is>
      </c>
      <c r="D262" s="60" t="inlineStr">
        <is>
          <t>Galaxy S22</t>
        </is>
      </c>
      <c r="E262">
        <f>_xlfn.XLOOKUP(D262,'[2]8A. Master Device Catalog'!$F$5:$F$914,'[2]8A. Master Device Catalog'!$G$5:$G$914,"")</f>
        <v/>
      </c>
      <c r="F262">
        <f>_xlfn.XLOOKUP(D262,'[2]8A. Master Device Catalog'!$F$5:$F$914,'[2]8A. Master Device Catalog'!$H$5:$H$914,"")</f>
        <v/>
      </c>
    </row>
    <row r="263" hidden="1" ht="21.5" customHeight="1" s="125">
      <c r="A263" t="inlineStr">
        <is>
          <t>DEV000262</t>
        </is>
      </c>
      <c r="B263" s="59" t="inlineStr">
        <is>
          <t>SAM</t>
        </is>
      </c>
      <c r="C263" s="59" t="inlineStr">
        <is>
          <t>PHN</t>
        </is>
      </c>
      <c r="D263" s="60" t="inlineStr">
        <is>
          <t>Galaxy S22+</t>
        </is>
      </c>
      <c r="E263">
        <f>_xlfn.XLOOKUP(D263,'[2]8A. Master Device Catalog'!$F$5:$F$914,'[2]8A. Master Device Catalog'!$G$5:$G$914,"")</f>
        <v/>
      </c>
      <c r="F263">
        <f>_xlfn.XLOOKUP(D263,'[2]8A. Master Device Catalog'!$F$5:$F$914,'[2]8A. Master Device Catalog'!$H$5:$H$914,"")</f>
        <v/>
      </c>
    </row>
    <row r="264" hidden="1" ht="21.5" customHeight="1" s="125">
      <c r="A264" t="inlineStr">
        <is>
          <t>DEV000263</t>
        </is>
      </c>
      <c r="B264" s="59" t="inlineStr">
        <is>
          <t>SAM</t>
        </is>
      </c>
      <c r="C264" s="59" t="inlineStr">
        <is>
          <t>PHN</t>
        </is>
      </c>
      <c r="D264" s="60" t="inlineStr">
        <is>
          <t>Galaxy S22 Ultra</t>
        </is>
      </c>
      <c r="E264">
        <f>_xlfn.XLOOKUP(D264,'[2]8A. Master Device Catalog'!$F$5:$F$914,'[2]8A. Master Device Catalog'!$G$5:$G$914,"")</f>
        <v/>
      </c>
      <c r="F264">
        <f>_xlfn.XLOOKUP(D264,'[2]8A. Master Device Catalog'!$F$5:$F$914,'[2]8A. Master Device Catalog'!$H$5:$H$914,"")</f>
        <v/>
      </c>
    </row>
    <row r="265" hidden="1" ht="21.5" customHeight="1" s="125">
      <c r="A265" t="inlineStr">
        <is>
          <t>DEV000264</t>
        </is>
      </c>
      <c r="B265" s="59" t="inlineStr">
        <is>
          <t>SAM</t>
        </is>
      </c>
      <c r="C265" s="59" t="inlineStr">
        <is>
          <t>PHN</t>
        </is>
      </c>
      <c r="D265" s="60" t="inlineStr">
        <is>
          <t>Galaxy S23</t>
        </is>
      </c>
      <c r="E265">
        <f>_xlfn.XLOOKUP(D265,'[2]8A. Master Device Catalog'!$F$5:$F$914,'[2]8A. Master Device Catalog'!$G$5:$G$914,"")</f>
        <v/>
      </c>
      <c r="F265">
        <f>_xlfn.XLOOKUP(D265,'[2]8A. Master Device Catalog'!$F$5:$F$914,'[2]8A. Master Device Catalog'!$H$5:$H$914,"")</f>
        <v/>
      </c>
    </row>
    <row r="266" hidden="1" ht="21.5" customHeight="1" s="125">
      <c r="A266" t="inlineStr">
        <is>
          <t>DEV000265</t>
        </is>
      </c>
      <c r="B266" s="59" t="inlineStr">
        <is>
          <t>SAM</t>
        </is>
      </c>
      <c r="C266" s="59" t="inlineStr">
        <is>
          <t>PHN</t>
        </is>
      </c>
      <c r="D266" s="60" t="inlineStr">
        <is>
          <t>Galaxy S23+</t>
        </is>
      </c>
      <c r="E266">
        <f>_xlfn.XLOOKUP(D266,'[2]8A. Master Device Catalog'!$F$5:$F$914,'[2]8A. Master Device Catalog'!$G$5:$G$914,"")</f>
        <v/>
      </c>
      <c r="F266">
        <f>_xlfn.XLOOKUP(D266,'[2]8A. Master Device Catalog'!$F$5:$F$914,'[2]8A. Master Device Catalog'!$H$5:$H$914,"")</f>
        <v/>
      </c>
    </row>
    <row r="267" hidden="1" ht="21.5" customHeight="1" s="125">
      <c r="A267" t="inlineStr">
        <is>
          <t>DEV000266</t>
        </is>
      </c>
      <c r="B267" s="59" t="inlineStr">
        <is>
          <t>SAM</t>
        </is>
      </c>
      <c r="C267" s="59" t="inlineStr">
        <is>
          <t>PHN</t>
        </is>
      </c>
      <c r="D267" s="60" t="inlineStr">
        <is>
          <t>Galaxy S23 Ultra</t>
        </is>
      </c>
      <c r="E267">
        <f>_xlfn.XLOOKUP(D267,'[2]8A. Master Device Catalog'!$F$5:$F$914,'[2]8A. Master Device Catalog'!$G$5:$G$914,"")</f>
        <v/>
      </c>
      <c r="F267">
        <f>_xlfn.XLOOKUP(D267,'[2]8A. Master Device Catalog'!$F$5:$F$914,'[2]8A. Master Device Catalog'!$H$5:$H$914,"")</f>
        <v/>
      </c>
    </row>
    <row r="268" hidden="1" ht="21.5" customHeight="1" s="125">
      <c r="A268" t="inlineStr">
        <is>
          <t>DEV000267</t>
        </is>
      </c>
      <c r="B268" s="59" t="inlineStr">
        <is>
          <t>SAM</t>
        </is>
      </c>
      <c r="C268" s="59" t="inlineStr">
        <is>
          <t>PHN</t>
        </is>
      </c>
      <c r="D268" s="60" t="inlineStr">
        <is>
          <t>Galaxy S23 FE</t>
        </is>
      </c>
      <c r="E268">
        <f>_xlfn.XLOOKUP(D268,'[2]8A. Master Device Catalog'!$F$5:$F$914,'[2]8A. Master Device Catalog'!$G$5:$G$914,"")</f>
        <v/>
      </c>
      <c r="F268">
        <f>_xlfn.XLOOKUP(D268,'[2]8A. Master Device Catalog'!$F$5:$F$914,'[2]8A. Master Device Catalog'!$H$5:$H$914,"")</f>
        <v/>
      </c>
    </row>
    <row r="269" hidden="1" ht="21.5" customHeight="1" s="125">
      <c r="A269" t="inlineStr">
        <is>
          <t>DEV000268</t>
        </is>
      </c>
      <c r="B269" s="59" t="inlineStr">
        <is>
          <t>SAM</t>
        </is>
      </c>
      <c r="C269" s="59" t="inlineStr">
        <is>
          <t>PHN</t>
        </is>
      </c>
      <c r="D269" s="60" t="inlineStr">
        <is>
          <t>Galaxy S24</t>
        </is>
      </c>
      <c r="E269">
        <f>_xlfn.XLOOKUP(D269,'[2]8A. Master Device Catalog'!$F$5:$F$914,'[2]8A. Master Device Catalog'!$G$5:$G$914,"")</f>
        <v/>
      </c>
      <c r="F269">
        <f>_xlfn.XLOOKUP(D269,'[2]8A. Master Device Catalog'!$F$5:$F$914,'[2]8A. Master Device Catalog'!$H$5:$H$914,"")</f>
        <v/>
      </c>
    </row>
    <row r="270" hidden="1" ht="21.5" customHeight="1" s="125">
      <c r="A270" t="inlineStr">
        <is>
          <t>DEV000269</t>
        </is>
      </c>
      <c r="B270" s="59" t="inlineStr">
        <is>
          <t>SAM</t>
        </is>
      </c>
      <c r="C270" s="59" t="inlineStr">
        <is>
          <t>PHN</t>
        </is>
      </c>
      <c r="D270" s="60" t="inlineStr">
        <is>
          <t>Galaxy S24+</t>
        </is>
      </c>
      <c r="E270">
        <f>_xlfn.XLOOKUP(D270,'[2]8A. Master Device Catalog'!$F$5:$F$914,'[2]8A. Master Device Catalog'!$G$5:$G$914,"")</f>
        <v/>
      </c>
      <c r="F270">
        <f>_xlfn.XLOOKUP(D270,'[2]8A. Master Device Catalog'!$F$5:$F$914,'[2]8A. Master Device Catalog'!$H$5:$H$914,"")</f>
        <v/>
      </c>
    </row>
    <row r="271" hidden="1" ht="21.5" customHeight="1" s="125">
      <c r="A271" t="inlineStr">
        <is>
          <t>DEV000270</t>
        </is>
      </c>
      <c r="B271" s="59" t="inlineStr">
        <is>
          <t>SAM</t>
        </is>
      </c>
      <c r="C271" s="59" t="inlineStr">
        <is>
          <t>PHN</t>
        </is>
      </c>
      <c r="D271" s="60" t="inlineStr">
        <is>
          <t>Galaxy S24 Ultra</t>
        </is>
      </c>
      <c r="E271">
        <f>_xlfn.XLOOKUP(D271,'[2]8A. Master Device Catalog'!$F$5:$F$914,'[2]8A. Master Device Catalog'!$G$5:$G$914,"")</f>
        <v/>
      </c>
      <c r="F271">
        <f>_xlfn.XLOOKUP(D271,'[2]8A. Master Device Catalog'!$F$5:$F$914,'[2]8A. Master Device Catalog'!$H$5:$H$914,"")</f>
        <v/>
      </c>
    </row>
    <row r="272" hidden="1" ht="21.5" customHeight="1" s="125">
      <c r="A272" t="inlineStr">
        <is>
          <t>DEV000271</t>
        </is>
      </c>
      <c r="B272" s="59" t="inlineStr">
        <is>
          <t>SAM</t>
        </is>
      </c>
      <c r="C272" s="59" t="inlineStr">
        <is>
          <t>PHN</t>
        </is>
      </c>
      <c r="D272" s="60" t="inlineStr">
        <is>
          <t>Galaxy S24 FE</t>
        </is>
      </c>
      <c r="E272">
        <f>_xlfn.XLOOKUP(D272,'[2]8A. Master Device Catalog'!$F$5:$F$914,'[2]8A. Master Device Catalog'!$G$5:$G$914,"")</f>
        <v/>
      </c>
      <c r="F272">
        <f>_xlfn.XLOOKUP(D272,'[2]8A. Master Device Catalog'!$F$5:$F$914,'[2]8A. Master Device Catalog'!$H$5:$H$914,"")</f>
        <v/>
      </c>
    </row>
    <row r="273" hidden="1" ht="21.5" customHeight="1" s="125">
      <c r="A273" t="inlineStr">
        <is>
          <t>DEV000272</t>
        </is>
      </c>
      <c r="B273" s="59" t="inlineStr">
        <is>
          <t>SAM</t>
        </is>
      </c>
      <c r="C273" s="59" t="inlineStr">
        <is>
          <t>PHN</t>
        </is>
      </c>
      <c r="D273" s="60" t="inlineStr">
        <is>
          <t>Galaxy S25</t>
        </is>
      </c>
      <c r="E273">
        <f>_xlfn.XLOOKUP(D273,'[2]8A. Master Device Catalog'!$F$5:$F$914,'[2]8A. Master Device Catalog'!$G$5:$G$914,"")</f>
        <v/>
      </c>
      <c r="F273">
        <f>_xlfn.XLOOKUP(D273,'[2]8A. Master Device Catalog'!$F$5:$F$914,'[2]8A. Master Device Catalog'!$H$5:$H$914,"")</f>
        <v/>
      </c>
    </row>
    <row r="274" hidden="1" ht="21.5" customHeight="1" s="125">
      <c r="A274" t="inlineStr">
        <is>
          <t>DEV000273</t>
        </is>
      </c>
      <c r="B274" s="59" t="inlineStr">
        <is>
          <t>SAM</t>
        </is>
      </c>
      <c r="C274" s="59" t="inlineStr">
        <is>
          <t>PHN</t>
        </is>
      </c>
      <c r="D274" s="60" t="inlineStr">
        <is>
          <t>Galaxy S25+</t>
        </is>
      </c>
      <c r="E274">
        <f>_xlfn.XLOOKUP(D274,'[2]8A. Master Device Catalog'!$F$5:$F$914,'[2]8A. Master Device Catalog'!$G$5:$G$914,"")</f>
        <v/>
      </c>
      <c r="F274">
        <f>_xlfn.XLOOKUP(D274,'[2]8A. Master Device Catalog'!$F$5:$F$914,'[2]8A. Master Device Catalog'!$H$5:$H$914,"")</f>
        <v/>
      </c>
    </row>
    <row r="275" hidden="1" ht="21.5" customHeight="1" s="125">
      <c r="A275" t="inlineStr">
        <is>
          <t>DEV000274</t>
        </is>
      </c>
      <c r="B275" s="59" t="inlineStr">
        <is>
          <t>SAM</t>
        </is>
      </c>
      <c r="C275" s="59" t="inlineStr">
        <is>
          <t>PHN</t>
        </is>
      </c>
      <c r="D275" s="60" t="inlineStr">
        <is>
          <t>Galaxy S25 Ultra</t>
        </is>
      </c>
      <c r="E275">
        <f>_xlfn.XLOOKUP(D275,'[2]8A. Master Device Catalog'!$F$5:$F$914,'[2]8A. Master Device Catalog'!$G$5:$G$914,"")</f>
        <v/>
      </c>
      <c r="F275">
        <f>_xlfn.XLOOKUP(D275,'[2]8A. Master Device Catalog'!$F$5:$F$914,'[2]8A. Master Device Catalog'!$H$5:$H$914,"")</f>
        <v/>
      </c>
    </row>
    <row r="276" hidden="1" ht="21.5" customHeight="1" s="125">
      <c r="A276" t="inlineStr">
        <is>
          <t>DEV000275</t>
        </is>
      </c>
      <c r="B276" s="59" t="inlineStr">
        <is>
          <t>SAM</t>
        </is>
      </c>
      <c r="C276" s="59" t="inlineStr">
        <is>
          <t>PHN</t>
        </is>
      </c>
      <c r="D276" s="60" t="inlineStr">
        <is>
          <t>Galaxy S25 Edge</t>
        </is>
      </c>
      <c r="E276">
        <f>_xlfn.XLOOKUP(D276,'[2]8A. Master Device Catalog'!$F$5:$F$914,'[2]8A. Master Device Catalog'!$G$5:$G$914,"")</f>
        <v/>
      </c>
      <c r="F276">
        <f>_xlfn.XLOOKUP(D276,'[2]8A. Master Device Catalog'!$F$5:$F$914,'[2]8A. Master Device Catalog'!$H$5:$H$914,"")</f>
        <v/>
      </c>
    </row>
    <row r="277" hidden="1" ht="21.5" customHeight="1" s="125">
      <c r="A277" t="inlineStr">
        <is>
          <t>DEV000276</t>
        </is>
      </c>
      <c r="B277" s="59" t="inlineStr">
        <is>
          <t>SAM</t>
        </is>
      </c>
      <c r="C277" s="59" t="inlineStr">
        <is>
          <t>PHN</t>
        </is>
      </c>
      <c r="D277" s="60" t="inlineStr">
        <is>
          <t>Galaxy Note</t>
        </is>
      </c>
      <c r="E277">
        <f>_xlfn.XLOOKUP(D277,'[2]8A. Master Device Catalog'!$F$5:$F$914,'[2]8A. Master Device Catalog'!$G$5:$G$914,"")</f>
        <v/>
      </c>
      <c r="F277">
        <f>_xlfn.XLOOKUP(D277,'[2]8A. Master Device Catalog'!$F$5:$F$914,'[2]8A. Master Device Catalog'!$H$5:$H$914,"")</f>
        <v/>
      </c>
    </row>
    <row r="278" hidden="1" ht="21.5" customHeight="1" s="125">
      <c r="A278" t="inlineStr">
        <is>
          <t>DEV000277</t>
        </is>
      </c>
      <c r="B278" s="59" t="inlineStr">
        <is>
          <t>SAM</t>
        </is>
      </c>
      <c r="C278" s="59" t="inlineStr">
        <is>
          <t>PHN</t>
        </is>
      </c>
      <c r="D278" s="60" t="inlineStr">
        <is>
          <t>Galaxy Note II</t>
        </is>
      </c>
      <c r="E278">
        <f>_xlfn.XLOOKUP(D278,'[2]8A. Master Device Catalog'!$F$5:$F$914,'[2]8A. Master Device Catalog'!$G$5:$G$914,"")</f>
        <v/>
      </c>
      <c r="F278">
        <f>_xlfn.XLOOKUP(D278,'[2]8A. Master Device Catalog'!$F$5:$F$914,'[2]8A. Master Device Catalog'!$H$5:$H$914,"")</f>
        <v/>
      </c>
    </row>
    <row r="279" hidden="1" ht="21.5" customHeight="1" s="125">
      <c r="A279" t="inlineStr">
        <is>
          <t>DEV000278</t>
        </is>
      </c>
      <c r="B279" s="59" t="inlineStr">
        <is>
          <t>SAM</t>
        </is>
      </c>
      <c r="C279" s="59" t="inlineStr">
        <is>
          <t>PHN</t>
        </is>
      </c>
      <c r="D279" s="60" t="inlineStr">
        <is>
          <t>Galaxy Note 3</t>
        </is>
      </c>
      <c r="E279">
        <f>_xlfn.XLOOKUP(D279,'[2]8A. Master Device Catalog'!$F$5:$F$914,'[2]8A. Master Device Catalog'!$G$5:$G$914,"")</f>
        <v/>
      </c>
      <c r="F279">
        <f>_xlfn.XLOOKUP(D279,'[2]8A. Master Device Catalog'!$F$5:$F$914,'[2]8A. Master Device Catalog'!$H$5:$H$914,"")</f>
        <v/>
      </c>
    </row>
    <row r="280" hidden="1" ht="21.5" customHeight="1" s="125">
      <c r="A280" t="inlineStr">
        <is>
          <t>DEV000279</t>
        </is>
      </c>
      <c r="B280" s="59" t="inlineStr">
        <is>
          <t>SAM</t>
        </is>
      </c>
      <c r="C280" s="59" t="inlineStr">
        <is>
          <t>PHN</t>
        </is>
      </c>
      <c r="D280" s="60" t="inlineStr">
        <is>
          <t>Galaxy Note 4</t>
        </is>
      </c>
      <c r="E280">
        <f>_xlfn.XLOOKUP(D280,'[2]8A. Master Device Catalog'!$F$5:$F$914,'[2]8A. Master Device Catalog'!$G$5:$G$914,"")</f>
        <v/>
      </c>
      <c r="F280">
        <f>_xlfn.XLOOKUP(D280,'[2]8A. Master Device Catalog'!$F$5:$F$914,'[2]8A. Master Device Catalog'!$H$5:$H$914,"")</f>
        <v/>
      </c>
    </row>
    <row r="281" hidden="1" ht="21.5" customHeight="1" s="125">
      <c r="A281" t="inlineStr">
        <is>
          <t>DEV000280</t>
        </is>
      </c>
      <c r="B281" s="59" t="inlineStr">
        <is>
          <t>SAM</t>
        </is>
      </c>
      <c r="C281" s="59" t="inlineStr">
        <is>
          <t>PHN</t>
        </is>
      </c>
      <c r="D281" s="60" t="inlineStr">
        <is>
          <t>Galaxy Note Edge</t>
        </is>
      </c>
      <c r="E281">
        <f>_xlfn.XLOOKUP(D281,'[2]8A. Master Device Catalog'!$F$5:$F$914,'[2]8A. Master Device Catalog'!$G$5:$G$914,"")</f>
        <v/>
      </c>
      <c r="F281">
        <f>_xlfn.XLOOKUP(D281,'[2]8A. Master Device Catalog'!$F$5:$F$914,'[2]8A. Master Device Catalog'!$H$5:$H$914,"")</f>
        <v/>
      </c>
    </row>
    <row r="282" hidden="1" ht="21.5" customHeight="1" s="125">
      <c r="A282" t="inlineStr">
        <is>
          <t>DEV000281</t>
        </is>
      </c>
      <c r="B282" s="59" t="inlineStr">
        <is>
          <t>SAM</t>
        </is>
      </c>
      <c r="C282" s="59" t="inlineStr">
        <is>
          <t>PHN</t>
        </is>
      </c>
      <c r="D282" s="60" t="inlineStr">
        <is>
          <t>Galaxy Note5</t>
        </is>
      </c>
      <c r="E282">
        <f>_xlfn.XLOOKUP(D282,'[2]8A. Master Device Catalog'!$F$5:$F$914,'[2]8A. Master Device Catalog'!$G$5:$G$914,"")</f>
        <v/>
      </c>
      <c r="F282">
        <f>_xlfn.XLOOKUP(D282,'[2]8A. Master Device Catalog'!$F$5:$F$914,'[2]8A. Master Device Catalog'!$H$5:$H$914,"")</f>
        <v/>
      </c>
    </row>
    <row r="283" hidden="1" ht="21.5" customHeight="1" s="125">
      <c r="A283" t="inlineStr">
        <is>
          <t>DEV000282</t>
        </is>
      </c>
      <c r="B283" s="59" t="inlineStr">
        <is>
          <t>SAM</t>
        </is>
      </c>
      <c r="C283" s="59" t="inlineStr">
        <is>
          <t>PHN</t>
        </is>
      </c>
      <c r="D283" s="60" t="inlineStr">
        <is>
          <t>Galaxy Note FE</t>
        </is>
      </c>
      <c r="E283">
        <f>_xlfn.XLOOKUP(D283,'[2]8A. Master Device Catalog'!$F$5:$F$914,'[2]8A. Master Device Catalog'!$G$5:$G$914,"")</f>
        <v/>
      </c>
      <c r="F283">
        <f>_xlfn.XLOOKUP(D283,'[2]8A. Master Device Catalog'!$F$5:$F$914,'[2]8A. Master Device Catalog'!$H$5:$H$914,"")</f>
        <v/>
      </c>
    </row>
    <row r="284" hidden="1" ht="21.5" customHeight="1" s="125">
      <c r="A284" t="inlineStr">
        <is>
          <t>DEV000283</t>
        </is>
      </c>
      <c r="B284" s="59" t="inlineStr">
        <is>
          <t>SAM</t>
        </is>
      </c>
      <c r="C284" s="59" t="inlineStr">
        <is>
          <t>PHN</t>
        </is>
      </c>
      <c r="D284" s="60" t="inlineStr">
        <is>
          <t>Galaxy Note8</t>
        </is>
      </c>
      <c r="E284">
        <f>_xlfn.XLOOKUP(D284,'[2]8A. Master Device Catalog'!$F$5:$F$914,'[2]8A. Master Device Catalog'!$G$5:$G$914,"")</f>
        <v/>
      </c>
      <c r="F284">
        <f>_xlfn.XLOOKUP(D284,'[2]8A. Master Device Catalog'!$F$5:$F$914,'[2]8A. Master Device Catalog'!$H$5:$H$914,"")</f>
        <v/>
      </c>
    </row>
    <row r="285" hidden="1" ht="21.5" customHeight="1" s="125">
      <c r="A285" t="inlineStr">
        <is>
          <t>DEV000284</t>
        </is>
      </c>
      <c r="B285" s="59" t="inlineStr">
        <is>
          <t>SAM</t>
        </is>
      </c>
      <c r="C285" s="59" t="inlineStr">
        <is>
          <t>PHN</t>
        </is>
      </c>
      <c r="D285" s="60" t="inlineStr">
        <is>
          <t>Galaxy Note9</t>
        </is>
      </c>
      <c r="E285">
        <f>_xlfn.XLOOKUP(D285,'[2]8A. Master Device Catalog'!$F$5:$F$914,'[2]8A. Master Device Catalog'!$G$5:$G$914,"")</f>
        <v/>
      </c>
      <c r="F285">
        <f>_xlfn.XLOOKUP(D285,'[2]8A. Master Device Catalog'!$F$5:$F$914,'[2]8A. Master Device Catalog'!$H$5:$H$914,"")</f>
        <v/>
      </c>
    </row>
    <row r="286" hidden="1" ht="21.5" customHeight="1" s="125">
      <c r="A286" t="inlineStr">
        <is>
          <t>DEV000285</t>
        </is>
      </c>
      <c r="B286" s="59" t="inlineStr">
        <is>
          <t>SAM</t>
        </is>
      </c>
      <c r="C286" s="59" t="inlineStr">
        <is>
          <t>PHN</t>
        </is>
      </c>
      <c r="D286" s="60" t="inlineStr">
        <is>
          <t>Galaxy Note10</t>
        </is>
      </c>
      <c r="E286">
        <f>_xlfn.XLOOKUP(D286,'[2]8A. Master Device Catalog'!$F$5:$F$914,'[2]8A. Master Device Catalog'!$G$5:$G$914,"")</f>
        <v/>
      </c>
      <c r="F286">
        <f>_xlfn.XLOOKUP(D286,'[2]8A. Master Device Catalog'!$F$5:$F$914,'[2]8A. Master Device Catalog'!$H$5:$H$914,"")</f>
        <v/>
      </c>
    </row>
    <row r="287" hidden="1" ht="21.5" customHeight="1" s="125">
      <c r="A287" t="inlineStr">
        <is>
          <t>DEV000286</t>
        </is>
      </c>
      <c r="B287" s="59" t="inlineStr">
        <is>
          <t>SAM</t>
        </is>
      </c>
      <c r="C287" s="59" t="inlineStr">
        <is>
          <t>PHN</t>
        </is>
      </c>
      <c r="D287" s="60" t="inlineStr">
        <is>
          <t>Galaxy Note10+</t>
        </is>
      </c>
      <c r="E287">
        <f>_xlfn.XLOOKUP(D287,'[2]8A. Master Device Catalog'!$F$5:$F$914,'[2]8A. Master Device Catalog'!$G$5:$G$914,"")</f>
        <v/>
      </c>
      <c r="F287">
        <f>_xlfn.XLOOKUP(D287,'[2]8A. Master Device Catalog'!$F$5:$F$914,'[2]8A. Master Device Catalog'!$H$5:$H$914,"")</f>
        <v/>
      </c>
    </row>
    <row r="288" hidden="1" ht="21.5" customHeight="1" s="125">
      <c r="A288" t="inlineStr">
        <is>
          <t>DEV000287</t>
        </is>
      </c>
      <c r="B288" s="59" t="inlineStr">
        <is>
          <t>SAM</t>
        </is>
      </c>
      <c r="C288" s="59" t="inlineStr">
        <is>
          <t>PHN</t>
        </is>
      </c>
      <c r="D288" s="60" t="inlineStr">
        <is>
          <t>Galaxy Note10+ 5G</t>
        </is>
      </c>
      <c r="E288">
        <f>_xlfn.XLOOKUP(D288,'[2]8A. Master Device Catalog'!$F$5:$F$914,'[2]8A. Master Device Catalog'!$G$5:$G$914,"")</f>
        <v/>
      </c>
      <c r="F288">
        <f>_xlfn.XLOOKUP(D288,'[2]8A. Master Device Catalog'!$F$5:$F$914,'[2]8A. Master Device Catalog'!$H$5:$H$914,"")</f>
        <v/>
      </c>
    </row>
    <row r="289" hidden="1" ht="21.5" customHeight="1" s="125">
      <c r="A289" t="inlineStr">
        <is>
          <t>DEV000288</t>
        </is>
      </c>
      <c r="B289" s="59" t="inlineStr">
        <is>
          <t>SAM</t>
        </is>
      </c>
      <c r="C289" s="59" t="inlineStr">
        <is>
          <t>PHN</t>
        </is>
      </c>
      <c r="D289" s="60" t="inlineStr">
        <is>
          <t>Galaxy Note20</t>
        </is>
      </c>
      <c r="E289">
        <f>_xlfn.XLOOKUP(D289,'[2]8A. Master Device Catalog'!$F$5:$F$914,'[2]8A. Master Device Catalog'!$G$5:$G$914,"")</f>
        <v/>
      </c>
      <c r="F289">
        <f>_xlfn.XLOOKUP(D289,'[2]8A. Master Device Catalog'!$F$5:$F$914,'[2]8A. Master Device Catalog'!$H$5:$H$914,"")</f>
        <v/>
      </c>
    </row>
    <row r="290" hidden="1" ht="21.5" customHeight="1" s="125">
      <c r="A290" t="inlineStr">
        <is>
          <t>DEV000289</t>
        </is>
      </c>
      <c r="B290" s="59" t="inlineStr">
        <is>
          <t>SAM</t>
        </is>
      </c>
      <c r="C290" s="59" t="inlineStr">
        <is>
          <t>PHN</t>
        </is>
      </c>
      <c r="D290" s="60" t="inlineStr">
        <is>
          <t>Galaxy Note20 Ultra</t>
        </is>
      </c>
      <c r="E290">
        <f>_xlfn.XLOOKUP(D290,'[2]8A. Master Device Catalog'!$F$5:$F$914,'[2]8A. Master Device Catalog'!$G$5:$G$914,"")</f>
        <v/>
      </c>
      <c r="F290">
        <f>_xlfn.XLOOKUP(D290,'[2]8A. Master Device Catalog'!$F$5:$F$914,'[2]8A. Master Device Catalog'!$H$5:$H$914,"")</f>
        <v/>
      </c>
    </row>
    <row r="291" hidden="1" ht="21.5" customHeight="1" s="125">
      <c r="A291" t="inlineStr">
        <is>
          <t>DEV000290</t>
        </is>
      </c>
      <c r="B291" s="59" t="inlineStr">
        <is>
          <t>SAM</t>
        </is>
      </c>
      <c r="C291" s="59" t="inlineStr">
        <is>
          <t>PHN</t>
        </is>
      </c>
      <c r="D291" s="60" t="inlineStr">
        <is>
          <t>Galaxy Fold</t>
        </is>
      </c>
      <c r="E291">
        <f>_xlfn.XLOOKUP(D291,'[2]8A. Master Device Catalog'!$F$5:$F$914,'[2]8A. Master Device Catalog'!$G$5:$G$914,"")</f>
        <v/>
      </c>
      <c r="F291">
        <f>_xlfn.XLOOKUP(D291,'[2]8A. Master Device Catalog'!$F$5:$F$914,'[2]8A. Master Device Catalog'!$H$5:$H$914,"")</f>
        <v/>
      </c>
    </row>
    <row r="292" hidden="1" ht="21.5" customHeight="1" s="125">
      <c r="A292" t="inlineStr">
        <is>
          <t>DEV000291</t>
        </is>
      </c>
      <c r="B292" s="59" t="inlineStr">
        <is>
          <t>SAM</t>
        </is>
      </c>
      <c r="C292" s="59" t="inlineStr">
        <is>
          <t>PHN</t>
        </is>
      </c>
      <c r="D292" s="60" t="inlineStr">
        <is>
          <t>Galaxy Z Fold2</t>
        </is>
      </c>
      <c r="E292">
        <f>_xlfn.XLOOKUP(D292,'[2]8A. Master Device Catalog'!$F$5:$F$914,'[2]8A. Master Device Catalog'!$G$5:$G$914,"")</f>
        <v/>
      </c>
      <c r="F292">
        <f>_xlfn.XLOOKUP(D292,'[2]8A. Master Device Catalog'!$F$5:$F$914,'[2]8A. Master Device Catalog'!$H$5:$H$914,"")</f>
        <v/>
      </c>
    </row>
    <row r="293" hidden="1" ht="21.5" customHeight="1" s="125">
      <c r="A293" t="inlineStr">
        <is>
          <t>DEV000292</t>
        </is>
      </c>
      <c r="B293" s="59" t="inlineStr">
        <is>
          <t>SAM</t>
        </is>
      </c>
      <c r="C293" s="59" t="inlineStr">
        <is>
          <t>PHN</t>
        </is>
      </c>
      <c r="D293" s="60" t="inlineStr">
        <is>
          <t>Galaxy Z Fold3</t>
        </is>
      </c>
      <c r="E293">
        <f>_xlfn.XLOOKUP(D293,'[2]8A. Master Device Catalog'!$F$5:$F$914,'[2]8A. Master Device Catalog'!$G$5:$G$914,"")</f>
        <v/>
      </c>
      <c r="F293">
        <f>_xlfn.XLOOKUP(D293,'[2]8A. Master Device Catalog'!$F$5:$F$914,'[2]8A. Master Device Catalog'!$H$5:$H$914,"")</f>
        <v/>
      </c>
    </row>
    <row r="294" hidden="1" ht="21.5" customHeight="1" s="125">
      <c r="A294" t="inlineStr">
        <is>
          <t>DEV000293</t>
        </is>
      </c>
      <c r="B294" s="59" t="inlineStr">
        <is>
          <t>SAM</t>
        </is>
      </c>
      <c r="C294" s="59" t="inlineStr">
        <is>
          <t>PHN</t>
        </is>
      </c>
      <c r="D294" s="60" t="inlineStr">
        <is>
          <t>Galaxy Z Fold4</t>
        </is>
      </c>
      <c r="E294">
        <f>_xlfn.XLOOKUP(D294,'[2]8A. Master Device Catalog'!$F$5:$F$914,'[2]8A. Master Device Catalog'!$G$5:$G$914,"")</f>
        <v/>
      </c>
      <c r="F294">
        <f>_xlfn.XLOOKUP(D294,'[2]8A. Master Device Catalog'!$F$5:$F$914,'[2]8A. Master Device Catalog'!$H$5:$H$914,"")</f>
        <v/>
      </c>
    </row>
    <row r="295" hidden="1" ht="21.5" customHeight="1" s="125">
      <c r="A295" t="inlineStr">
        <is>
          <t>DEV000294</t>
        </is>
      </c>
      <c r="B295" s="59" t="inlineStr">
        <is>
          <t>SAM</t>
        </is>
      </c>
      <c r="C295" s="59" t="inlineStr">
        <is>
          <t>PHN</t>
        </is>
      </c>
      <c r="D295" s="60" t="inlineStr">
        <is>
          <t>Galaxy Z Fold5</t>
        </is>
      </c>
      <c r="E295">
        <f>_xlfn.XLOOKUP(D295,'[2]8A. Master Device Catalog'!$F$5:$F$914,'[2]8A. Master Device Catalog'!$G$5:$G$914,"")</f>
        <v/>
      </c>
      <c r="F295">
        <f>_xlfn.XLOOKUP(D295,'[2]8A. Master Device Catalog'!$F$5:$F$914,'[2]8A. Master Device Catalog'!$H$5:$H$914,"")</f>
        <v/>
      </c>
    </row>
    <row r="296" hidden="1" ht="21.5" customHeight="1" s="125">
      <c r="A296" t="inlineStr">
        <is>
          <t>DEV000295</t>
        </is>
      </c>
      <c r="B296" s="59" t="inlineStr">
        <is>
          <t>SAM</t>
        </is>
      </c>
      <c r="C296" s="59" t="inlineStr">
        <is>
          <t>PHN</t>
        </is>
      </c>
      <c r="D296" s="60" t="inlineStr">
        <is>
          <t>Galaxy Z Fold6</t>
        </is>
      </c>
      <c r="E296">
        <f>_xlfn.XLOOKUP(D296,'[2]8A. Master Device Catalog'!$F$5:$F$914,'[2]8A. Master Device Catalog'!$G$5:$G$914,"")</f>
        <v/>
      </c>
      <c r="F296">
        <f>_xlfn.XLOOKUP(D296,'[2]8A. Master Device Catalog'!$F$5:$F$914,'[2]8A. Master Device Catalog'!$H$5:$H$914,"")</f>
        <v/>
      </c>
    </row>
    <row r="297" hidden="1" ht="21.5" customHeight="1" s="125">
      <c r="A297" t="inlineStr">
        <is>
          <t>DEV000296</t>
        </is>
      </c>
      <c r="B297" s="59" t="inlineStr">
        <is>
          <t>SAM</t>
        </is>
      </c>
      <c r="C297" s="59" t="inlineStr">
        <is>
          <t>PHN</t>
        </is>
      </c>
      <c r="D297" s="60" t="inlineStr">
        <is>
          <t>Galaxy Z Fold7</t>
        </is>
      </c>
      <c r="E297">
        <f>_xlfn.XLOOKUP(D297,'[2]8A. Master Device Catalog'!$F$5:$F$914,'[2]8A. Master Device Catalog'!$G$5:$G$914,"")</f>
        <v/>
      </c>
      <c r="F297">
        <f>_xlfn.XLOOKUP(D297,'[2]8A. Master Device Catalog'!$F$5:$F$914,'[2]8A. Master Device Catalog'!$H$5:$H$914,"")</f>
        <v/>
      </c>
    </row>
    <row r="298" hidden="1" ht="21.5" customHeight="1" s="125">
      <c r="A298" t="inlineStr">
        <is>
          <t>DEV000297</t>
        </is>
      </c>
      <c r="B298" s="59" t="inlineStr">
        <is>
          <t>SAM</t>
        </is>
      </c>
      <c r="C298" s="59" t="inlineStr">
        <is>
          <t>PHN</t>
        </is>
      </c>
      <c r="D298" s="60" t="inlineStr">
        <is>
          <t>Galaxy A01</t>
        </is>
      </c>
      <c r="E298">
        <f>_xlfn.XLOOKUP(D298,'[2]8A. Master Device Catalog'!$F$5:$F$914,'[2]8A. Master Device Catalog'!$G$5:$G$914,"")</f>
        <v/>
      </c>
      <c r="F298">
        <f>_xlfn.XLOOKUP(D298,'[2]8A. Master Device Catalog'!$F$5:$F$914,'[2]8A. Master Device Catalog'!$H$5:$H$914,"")</f>
        <v/>
      </c>
    </row>
    <row r="299" hidden="1" ht="21.5" customHeight="1" s="125">
      <c r="A299" t="inlineStr">
        <is>
          <t>DEV000298</t>
        </is>
      </c>
      <c r="B299" s="59" t="inlineStr">
        <is>
          <t>SAM</t>
        </is>
      </c>
      <c r="C299" s="59" t="inlineStr">
        <is>
          <t>PHN</t>
        </is>
      </c>
      <c r="D299" s="60" t="inlineStr">
        <is>
          <t>Galaxy A01 Core</t>
        </is>
      </c>
      <c r="E299">
        <f>_xlfn.XLOOKUP(D299,'[2]8A. Master Device Catalog'!$F$5:$F$914,'[2]8A. Master Device Catalog'!$G$5:$G$914,"")</f>
        <v/>
      </c>
      <c r="F299">
        <f>_xlfn.XLOOKUP(D299,'[2]8A. Master Device Catalog'!$F$5:$F$914,'[2]8A. Master Device Catalog'!$H$5:$H$914,"")</f>
        <v/>
      </c>
    </row>
    <row r="300" hidden="1" ht="21.5" customHeight="1" s="125">
      <c r="A300" t="inlineStr">
        <is>
          <t>DEV000299</t>
        </is>
      </c>
      <c r="B300" s="59" t="inlineStr">
        <is>
          <t>SAM</t>
        </is>
      </c>
      <c r="C300" s="59" t="inlineStr">
        <is>
          <t>PHN</t>
        </is>
      </c>
      <c r="D300" s="60" t="inlineStr">
        <is>
          <t>Galaxy A02</t>
        </is>
      </c>
      <c r="E300">
        <f>_xlfn.XLOOKUP(D300,'[2]8A. Master Device Catalog'!$F$5:$F$914,'[2]8A. Master Device Catalog'!$G$5:$G$914,"")</f>
        <v/>
      </c>
      <c r="F300">
        <f>_xlfn.XLOOKUP(D300,'[2]8A. Master Device Catalog'!$F$5:$F$914,'[2]8A. Master Device Catalog'!$H$5:$H$914,"")</f>
        <v/>
      </c>
    </row>
    <row r="301" hidden="1" ht="21.5" customHeight="1" s="125">
      <c r="A301" t="inlineStr">
        <is>
          <t>DEV000300</t>
        </is>
      </c>
      <c r="B301" s="59" t="inlineStr">
        <is>
          <t>SAM</t>
        </is>
      </c>
      <c r="C301" s="59" t="inlineStr">
        <is>
          <t>PHN</t>
        </is>
      </c>
      <c r="D301" s="60" t="inlineStr">
        <is>
          <t>Galaxy A02s</t>
        </is>
      </c>
      <c r="E301">
        <f>_xlfn.XLOOKUP(D301,'[2]8A. Master Device Catalog'!$F$5:$F$914,'[2]8A. Master Device Catalog'!$G$5:$G$914,"")</f>
        <v/>
      </c>
      <c r="F301">
        <f>_xlfn.XLOOKUP(D301,'[2]8A. Master Device Catalog'!$F$5:$F$914,'[2]8A. Master Device Catalog'!$H$5:$H$914,"")</f>
        <v/>
      </c>
    </row>
    <row r="302" hidden="1" ht="21.5" customHeight="1" s="125">
      <c r="A302" t="inlineStr">
        <is>
          <t>DEV000301</t>
        </is>
      </c>
      <c r="B302" s="59" t="inlineStr">
        <is>
          <t>SAM</t>
        </is>
      </c>
      <c r="C302" s="59" t="inlineStr">
        <is>
          <t>PHN</t>
        </is>
      </c>
      <c r="D302" s="60" t="inlineStr">
        <is>
          <t>Galaxy A03</t>
        </is>
      </c>
      <c r="E302">
        <f>_xlfn.XLOOKUP(D302,'[2]8A. Master Device Catalog'!$F$5:$F$914,'[2]8A. Master Device Catalog'!$G$5:$G$914,"")</f>
        <v/>
      </c>
      <c r="F302">
        <f>_xlfn.XLOOKUP(D302,'[2]8A. Master Device Catalog'!$F$5:$F$914,'[2]8A. Master Device Catalog'!$H$5:$H$914,"")</f>
        <v/>
      </c>
    </row>
    <row r="303" hidden="1" ht="21.5" customHeight="1" s="125">
      <c r="A303" t="inlineStr">
        <is>
          <t>DEV000302</t>
        </is>
      </c>
      <c r="B303" s="59" t="inlineStr">
        <is>
          <t>SAM</t>
        </is>
      </c>
      <c r="C303" s="59" t="inlineStr">
        <is>
          <t>PHN</t>
        </is>
      </c>
      <c r="D303" s="60" t="inlineStr">
        <is>
          <t>Galaxy A03 Core</t>
        </is>
      </c>
      <c r="E303">
        <f>_xlfn.XLOOKUP(D303,'[2]8A. Master Device Catalog'!$F$5:$F$914,'[2]8A. Master Device Catalog'!$G$5:$G$914,"")</f>
        <v/>
      </c>
      <c r="F303">
        <f>_xlfn.XLOOKUP(D303,'[2]8A. Master Device Catalog'!$F$5:$F$914,'[2]8A. Master Device Catalog'!$H$5:$H$914,"")</f>
        <v/>
      </c>
    </row>
    <row r="304" hidden="1" ht="21.5" customHeight="1" s="125">
      <c r="A304" t="inlineStr">
        <is>
          <t>DEV000303</t>
        </is>
      </c>
      <c r="B304" s="59" t="inlineStr">
        <is>
          <t>SAM</t>
        </is>
      </c>
      <c r="C304" s="59" t="inlineStr">
        <is>
          <t>PHN</t>
        </is>
      </c>
      <c r="D304" s="60" t="inlineStr">
        <is>
          <t>Galaxy A03s</t>
        </is>
      </c>
      <c r="E304">
        <f>_xlfn.XLOOKUP(D304,'[2]8A. Master Device Catalog'!$F$5:$F$914,'[2]8A. Master Device Catalog'!$G$5:$G$914,"")</f>
        <v/>
      </c>
      <c r="F304">
        <f>_xlfn.XLOOKUP(D304,'[2]8A. Master Device Catalog'!$F$5:$F$914,'[2]8A. Master Device Catalog'!$H$5:$H$914,"")</f>
        <v/>
      </c>
    </row>
    <row r="305" hidden="1" ht="21.5" customHeight="1" s="125">
      <c r="A305" t="inlineStr">
        <is>
          <t>DEV000304</t>
        </is>
      </c>
      <c r="B305" s="59" t="inlineStr">
        <is>
          <t>SAM</t>
        </is>
      </c>
      <c r="C305" s="59" t="inlineStr">
        <is>
          <t>PHN</t>
        </is>
      </c>
      <c r="D305" s="60" t="inlineStr">
        <is>
          <t>Galaxy A04</t>
        </is>
      </c>
      <c r="E305">
        <f>_xlfn.XLOOKUP(D305,'[2]8A. Master Device Catalog'!$F$5:$F$914,'[2]8A. Master Device Catalog'!$G$5:$G$914,"")</f>
        <v/>
      </c>
      <c r="F305">
        <f>_xlfn.XLOOKUP(D305,'[2]8A. Master Device Catalog'!$F$5:$F$914,'[2]8A. Master Device Catalog'!$H$5:$H$914,"")</f>
        <v/>
      </c>
    </row>
    <row r="306" hidden="1" ht="21.5" customHeight="1" s="125">
      <c r="A306" t="inlineStr">
        <is>
          <t>DEV000305</t>
        </is>
      </c>
      <c r="B306" s="59" t="inlineStr">
        <is>
          <t>SAM</t>
        </is>
      </c>
      <c r="C306" s="59" t="inlineStr">
        <is>
          <t>PHN</t>
        </is>
      </c>
      <c r="D306" s="60" t="inlineStr">
        <is>
          <t>Galaxy A04e</t>
        </is>
      </c>
      <c r="E306">
        <f>_xlfn.XLOOKUP(D306,'[2]8A. Master Device Catalog'!$F$5:$F$914,'[2]8A. Master Device Catalog'!$G$5:$G$914,"")</f>
        <v/>
      </c>
      <c r="F306">
        <f>_xlfn.XLOOKUP(D306,'[2]8A. Master Device Catalog'!$F$5:$F$914,'[2]8A. Master Device Catalog'!$H$5:$H$914,"")</f>
        <v/>
      </c>
    </row>
    <row r="307" hidden="1" ht="21.5" customHeight="1" s="125">
      <c r="A307" t="inlineStr">
        <is>
          <t>DEV000306</t>
        </is>
      </c>
      <c r="B307" s="59" t="inlineStr">
        <is>
          <t>SAM</t>
        </is>
      </c>
      <c r="C307" s="59" t="inlineStr">
        <is>
          <t>PHN</t>
        </is>
      </c>
      <c r="D307" s="60" t="inlineStr">
        <is>
          <t>Galaxy A04s</t>
        </is>
      </c>
      <c r="E307">
        <f>_xlfn.XLOOKUP(D307,'[2]8A. Master Device Catalog'!$F$5:$F$914,'[2]8A. Master Device Catalog'!$G$5:$G$914,"")</f>
        <v/>
      </c>
      <c r="F307">
        <f>_xlfn.XLOOKUP(D307,'[2]8A. Master Device Catalog'!$F$5:$F$914,'[2]8A. Master Device Catalog'!$H$5:$H$914,"")</f>
        <v/>
      </c>
    </row>
    <row r="308" hidden="1" ht="21.5" customHeight="1" s="125">
      <c r="A308" t="inlineStr">
        <is>
          <t>DEV000307</t>
        </is>
      </c>
      <c r="B308" s="59" t="inlineStr">
        <is>
          <t>SAM</t>
        </is>
      </c>
      <c r="C308" s="59" t="inlineStr">
        <is>
          <t>PHN</t>
        </is>
      </c>
      <c r="D308" s="60" t="inlineStr">
        <is>
          <t>Galaxy A05</t>
        </is>
      </c>
      <c r="E308">
        <f>_xlfn.XLOOKUP(D308,'[2]8A. Master Device Catalog'!$F$5:$F$914,'[2]8A. Master Device Catalog'!$G$5:$G$914,"")</f>
        <v/>
      </c>
      <c r="F308">
        <f>_xlfn.XLOOKUP(D308,'[2]8A. Master Device Catalog'!$F$5:$F$914,'[2]8A. Master Device Catalog'!$H$5:$H$914,"")</f>
        <v/>
      </c>
    </row>
    <row r="309" hidden="1" ht="21.5" customHeight="1" s="125">
      <c r="A309" t="inlineStr">
        <is>
          <t>DEV000308</t>
        </is>
      </c>
      <c r="B309" s="59" t="inlineStr">
        <is>
          <t>SAM</t>
        </is>
      </c>
      <c r="C309" s="59" t="inlineStr">
        <is>
          <t>PHN</t>
        </is>
      </c>
      <c r="D309" s="60" t="inlineStr">
        <is>
          <t>Galaxy A05s</t>
        </is>
      </c>
      <c r="E309">
        <f>_xlfn.XLOOKUP(D309,'[2]8A. Master Device Catalog'!$F$5:$F$914,'[2]8A. Master Device Catalog'!$G$5:$G$914,"")</f>
        <v/>
      </c>
      <c r="F309">
        <f>_xlfn.XLOOKUP(D309,'[2]8A. Master Device Catalog'!$F$5:$F$914,'[2]8A. Master Device Catalog'!$H$5:$H$914,"")</f>
        <v/>
      </c>
    </row>
    <row r="310" hidden="1" ht="21.5" customHeight="1" s="125">
      <c r="A310" t="inlineStr">
        <is>
          <t>DEV000309</t>
        </is>
      </c>
      <c r="B310" s="59" t="inlineStr">
        <is>
          <t>SAM</t>
        </is>
      </c>
      <c r="C310" s="59" t="inlineStr">
        <is>
          <t>PHN</t>
        </is>
      </c>
      <c r="D310" s="60" t="inlineStr">
        <is>
          <t>Galaxy A06</t>
        </is>
      </c>
      <c r="E310">
        <f>_xlfn.XLOOKUP(D310,'[2]8A. Master Device Catalog'!$F$5:$F$914,'[2]8A. Master Device Catalog'!$G$5:$G$914,"")</f>
        <v/>
      </c>
      <c r="F310">
        <f>_xlfn.XLOOKUP(D310,'[2]8A. Master Device Catalog'!$F$5:$F$914,'[2]8A. Master Device Catalog'!$H$5:$H$914,"")</f>
        <v/>
      </c>
    </row>
    <row r="311" hidden="1" ht="21.5" customHeight="1" s="125">
      <c r="A311" t="inlineStr">
        <is>
          <t>DEV000310</t>
        </is>
      </c>
      <c r="B311" s="59" t="inlineStr">
        <is>
          <t>SAM</t>
        </is>
      </c>
      <c r="C311" s="59" t="inlineStr">
        <is>
          <t>PHN</t>
        </is>
      </c>
      <c r="D311" s="60" t="inlineStr">
        <is>
          <t>Galaxy A06 5G</t>
        </is>
      </c>
      <c r="E311">
        <f>_xlfn.XLOOKUP(D311,'[2]8A. Master Device Catalog'!$F$5:$F$914,'[2]8A. Master Device Catalog'!$G$5:$G$914,"")</f>
        <v/>
      </c>
      <c r="F311">
        <f>_xlfn.XLOOKUP(D311,'[2]8A. Master Device Catalog'!$F$5:$F$914,'[2]8A. Master Device Catalog'!$H$5:$H$914,"")</f>
        <v/>
      </c>
    </row>
    <row r="312" hidden="1" ht="21.5" customHeight="1" s="125">
      <c r="A312" t="inlineStr">
        <is>
          <t>DEV000311</t>
        </is>
      </c>
      <c r="B312" s="59" t="inlineStr">
        <is>
          <t>SAM</t>
        </is>
      </c>
      <c r="C312" s="59" t="inlineStr">
        <is>
          <t>PHN</t>
        </is>
      </c>
      <c r="D312" s="60" t="inlineStr">
        <is>
          <t>Galaxy A10</t>
        </is>
      </c>
      <c r="E312">
        <f>_xlfn.XLOOKUP(D312,'[2]8A. Master Device Catalog'!$F$5:$F$914,'[2]8A. Master Device Catalog'!$G$5:$G$914,"")</f>
        <v/>
      </c>
      <c r="F312">
        <f>_xlfn.XLOOKUP(D312,'[2]8A. Master Device Catalog'!$F$5:$F$914,'[2]8A. Master Device Catalog'!$H$5:$H$914,"")</f>
        <v/>
      </c>
    </row>
    <row r="313" hidden="1" ht="21.5" customHeight="1" s="125">
      <c r="A313" t="inlineStr">
        <is>
          <t>DEV000312</t>
        </is>
      </c>
      <c r="B313" s="59" t="inlineStr">
        <is>
          <t>SAM</t>
        </is>
      </c>
      <c r="C313" s="59" t="inlineStr">
        <is>
          <t>PHN</t>
        </is>
      </c>
      <c r="D313" s="60" t="inlineStr">
        <is>
          <t>Galaxy A10e</t>
        </is>
      </c>
      <c r="E313">
        <f>_xlfn.XLOOKUP(D313,'[2]8A. Master Device Catalog'!$F$5:$F$914,'[2]8A. Master Device Catalog'!$G$5:$G$914,"")</f>
        <v/>
      </c>
      <c r="F313">
        <f>_xlfn.XLOOKUP(D313,'[2]8A. Master Device Catalog'!$F$5:$F$914,'[2]8A. Master Device Catalog'!$H$5:$H$914,"")</f>
        <v/>
      </c>
    </row>
    <row r="314" hidden="1" ht="21.5" customHeight="1" s="125">
      <c r="A314" t="inlineStr">
        <is>
          <t>DEV000313</t>
        </is>
      </c>
      <c r="B314" s="59" t="inlineStr">
        <is>
          <t>SAM</t>
        </is>
      </c>
      <c r="C314" s="59" t="inlineStr">
        <is>
          <t>PHN</t>
        </is>
      </c>
      <c r="D314" s="60" t="inlineStr">
        <is>
          <t>Galaxy A11</t>
        </is>
      </c>
      <c r="E314">
        <f>_xlfn.XLOOKUP(D314,'[2]8A. Master Device Catalog'!$F$5:$F$914,'[2]8A. Master Device Catalog'!$G$5:$G$914,"")</f>
        <v/>
      </c>
      <c r="F314">
        <f>_xlfn.XLOOKUP(D314,'[2]8A. Master Device Catalog'!$F$5:$F$914,'[2]8A. Master Device Catalog'!$H$5:$H$914,"")</f>
        <v/>
      </c>
    </row>
    <row r="315" hidden="1" ht="21.5" customHeight="1" s="125">
      <c r="A315" t="inlineStr">
        <is>
          <t>DEV000314</t>
        </is>
      </c>
      <c r="B315" s="59" t="inlineStr">
        <is>
          <t>SAM</t>
        </is>
      </c>
      <c r="C315" s="59" t="inlineStr">
        <is>
          <t>PHN</t>
        </is>
      </c>
      <c r="D315" s="60" t="inlineStr">
        <is>
          <t>Galaxy A12</t>
        </is>
      </c>
      <c r="E315">
        <f>_xlfn.XLOOKUP(D315,'[2]8A. Master Device Catalog'!$F$5:$F$914,'[2]8A. Master Device Catalog'!$G$5:$G$914,"")</f>
        <v/>
      </c>
      <c r="F315">
        <f>_xlfn.XLOOKUP(D315,'[2]8A. Master Device Catalog'!$F$5:$F$914,'[2]8A. Master Device Catalog'!$H$5:$H$914,"")</f>
        <v/>
      </c>
    </row>
    <row r="316" hidden="1" ht="21.5" customHeight="1" s="125">
      <c r="A316" t="inlineStr">
        <is>
          <t>DEV000315</t>
        </is>
      </c>
      <c r="B316" s="59" t="inlineStr">
        <is>
          <t>SAM</t>
        </is>
      </c>
      <c r="C316" s="59" t="inlineStr">
        <is>
          <t>PHN</t>
        </is>
      </c>
      <c r="D316" s="60" t="inlineStr">
        <is>
          <t>Galaxy A13</t>
        </is>
      </c>
      <c r="E316">
        <f>_xlfn.XLOOKUP(D316,'[2]8A. Master Device Catalog'!$F$5:$F$914,'[2]8A. Master Device Catalog'!$G$5:$G$914,"")</f>
        <v/>
      </c>
      <c r="F316">
        <f>_xlfn.XLOOKUP(D316,'[2]8A. Master Device Catalog'!$F$5:$F$914,'[2]8A. Master Device Catalog'!$H$5:$H$914,"")</f>
        <v/>
      </c>
    </row>
    <row r="317" hidden="1" ht="21.5" customHeight="1" s="125">
      <c r="A317" t="inlineStr">
        <is>
          <t>DEV000316</t>
        </is>
      </c>
      <c r="B317" s="59" t="inlineStr">
        <is>
          <t>SAM</t>
        </is>
      </c>
      <c r="C317" s="59" t="inlineStr">
        <is>
          <t>PHN</t>
        </is>
      </c>
      <c r="D317" s="60" t="inlineStr">
        <is>
          <t>Galaxy A14</t>
        </is>
      </c>
      <c r="E317">
        <f>_xlfn.XLOOKUP(D317,'[2]8A. Master Device Catalog'!$F$5:$F$914,'[2]8A. Master Device Catalog'!$G$5:$G$914,"")</f>
        <v/>
      </c>
      <c r="F317">
        <f>_xlfn.XLOOKUP(D317,'[2]8A. Master Device Catalog'!$F$5:$F$914,'[2]8A. Master Device Catalog'!$H$5:$H$914,"")</f>
        <v/>
      </c>
    </row>
    <row r="318" hidden="1" ht="21.5" customHeight="1" s="125">
      <c r="A318" t="inlineStr">
        <is>
          <t>DEV000317</t>
        </is>
      </c>
      <c r="B318" s="59" t="inlineStr">
        <is>
          <t>SAM</t>
        </is>
      </c>
      <c r="C318" s="59" t="inlineStr">
        <is>
          <t>PHN</t>
        </is>
      </c>
      <c r="D318" s="60" t="inlineStr">
        <is>
          <t>Galaxy A14 5G</t>
        </is>
      </c>
      <c r="E318">
        <f>_xlfn.XLOOKUP(D318,'[2]8A. Master Device Catalog'!$F$5:$F$914,'[2]8A. Master Device Catalog'!$G$5:$G$914,"")</f>
        <v/>
      </c>
      <c r="F318">
        <f>_xlfn.XLOOKUP(D318,'[2]8A. Master Device Catalog'!$F$5:$F$914,'[2]8A. Master Device Catalog'!$H$5:$H$914,"")</f>
        <v/>
      </c>
    </row>
    <row r="319" hidden="1" ht="21.5" customHeight="1" s="125">
      <c r="A319" t="inlineStr">
        <is>
          <t>DEV000318</t>
        </is>
      </c>
      <c r="B319" s="59" t="inlineStr">
        <is>
          <t>SAM</t>
        </is>
      </c>
      <c r="C319" s="59" t="inlineStr">
        <is>
          <t>PHN</t>
        </is>
      </c>
      <c r="D319" s="60" t="inlineStr">
        <is>
          <t>Galaxy A15</t>
        </is>
      </c>
      <c r="E319">
        <f>_xlfn.XLOOKUP(D319,'[2]8A. Master Device Catalog'!$F$5:$F$914,'[2]8A. Master Device Catalog'!$G$5:$G$914,"")</f>
        <v/>
      </c>
      <c r="F319">
        <f>_xlfn.XLOOKUP(D319,'[2]8A. Master Device Catalog'!$F$5:$F$914,'[2]8A. Master Device Catalog'!$H$5:$H$914,"")</f>
        <v/>
      </c>
    </row>
    <row r="320" hidden="1" ht="21.5" customHeight="1" s="125">
      <c r="A320" t="inlineStr">
        <is>
          <t>DEV000319</t>
        </is>
      </c>
      <c r="B320" s="59" t="inlineStr">
        <is>
          <t>SAM</t>
        </is>
      </c>
      <c r="C320" s="59" t="inlineStr">
        <is>
          <t>PHN</t>
        </is>
      </c>
      <c r="D320" s="60" t="inlineStr">
        <is>
          <t>Galaxy A15 5G</t>
        </is>
      </c>
      <c r="E320">
        <f>_xlfn.XLOOKUP(D320,'[2]8A. Master Device Catalog'!$F$5:$F$914,'[2]8A. Master Device Catalog'!$G$5:$G$914,"")</f>
        <v/>
      </c>
      <c r="F320">
        <f>_xlfn.XLOOKUP(D320,'[2]8A. Master Device Catalog'!$F$5:$F$914,'[2]8A. Master Device Catalog'!$H$5:$H$914,"")</f>
        <v/>
      </c>
    </row>
    <row r="321" hidden="1" ht="21.5" customHeight="1" s="125">
      <c r="A321" t="inlineStr">
        <is>
          <t>DEV000320</t>
        </is>
      </c>
      <c r="B321" s="59" t="inlineStr">
        <is>
          <t>SAM</t>
        </is>
      </c>
      <c r="C321" s="59" t="inlineStr">
        <is>
          <t>PHN</t>
        </is>
      </c>
      <c r="D321" s="60" t="inlineStr">
        <is>
          <t>Galaxy A16</t>
        </is>
      </c>
      <c r="E321">
        <f>_xlfn.XLOOKUP(D321,'[2]8A. Master Device Catalog'!$F$5:$F$914,'[2]8A. Master Device Catalog'!$G$5:$G$914,"")</f>
        <v/>
      </c>
      <c r="F321">
        <f>_xlfn.XLOOKUP(D321,'[2]8A. Master Device Catalog'!$F$5:$F$914,'[2]8A. Master Device Catalog'!$H$5:$H$914,"")</f>
        <v/>
      </c>
    </row>
    <row r="322" hidden="1" ht="21.5" customHeight="1" s="125">
      <c r="A322" t="inlineStr">
        <is>
          <t>DEV000321</t>
        </is>
      </c>
      <c r="B322" s="59" t="inlineStr">
        <is>
          <t>SAM</t>
        </is>
      </c>
      <c r="C322" s="59" t="inlineStr">
        <is>
          <t>PHN</t>
        </is>
      </c>
      <c r="D322" s="60" t="inlineStr">
        <is>
          <t>Galaxy A20</t>
        </is>
      </c>
      <c r="E322">
        <f>_xlfn.XLOOKUP(D322,'[2]8A. Master Device Catalog'!$F$5:$F$914,'[2]8A. Master Device Catalog'!$G$5:$G$914,"")</f>
        <v/>
      </c>
      <c r="F322">
        <f>_xlfn.XLOOKUP(D322,'[2]8A. Master Device Catalog'!$F$5:$F$914,'[2]8A. Master Device Catalog'!$H$5:$H$914,"")</f>
        <v/>
      </c>
    </row>
    <row r="323" hidden="1" ht="21.5" customHeight="1" s="125">
      <c r="A323" t="inlineStr">
        <is>
          <t>DEV000322</t>
        </is>
      </c>
      <c r="B323" s="59" t="inlineStr">
        <is>
          <t>SAM</t>
        </is>
      </c>
      <c r="C323" s="59" t="inlineStr">
        <is>
          <t>PHN</t>
        </is>
      </c>
      <c r="D323" s="60" t="inlineStr">
        <is>
          <t>Galaxy A20e</t>
        </is>
      </c>
      <c r="E323">
        <f>_xlfn.XLOOKUP(D323,'[2]8A. Master Device Catalog'!$F$5:$F$914,'[2]8A. Master Device Catalog'!$G$5:$G$914,"")</f>
        <v/>
      </c>
      <c r="F323">
        <f>_xlfn.XLOOKUP(D323,'[2]8A. Master Device Catalog'!$F$5:$F$914,'[2]8A. Master Device Catalog'!$H$5:$H$914,"")</f>
        <v/>
      </c>
    </row>
    <row r="324" hidden="1" ht="21.5" customHeight="1" s="125">
      <c r="A324" t="inlineStr">
        <is>
          <t>DEV000323</t>
        </is>
      </c>
      <c r="B324" s="59" t="inlineStr">
        <is>
          <t>SAM</t>
        </is>
      </c>
      <c r="C324" s="59" t="inlineStr">
        <is>
          <t>PHN</t>
        </is>
      </c>
      <c r="D324" s="60" t="inlineStr">
        <is>
          <t>Galaxy A21</t>
        </is>
      </c>
      <c r="E324">
        <f>_xlfn.XLOOKUP(D324,'[2]8A. Master Device Catalog'!$F$5:$F$914,'[2]8A. Master Device Catalog'!$G$5:$G$914,"")</f>
        <v/>
      </c>
      <c r="F324">
        <f>_xlfn.XLOOKUP(D324,'[2]8A. Master Device Catalog'!$F$5:$F$914,'[2]8A. Master Device Catalog'!$H$5:$H$914,"")</f>
        <v/>
      </c>
    </row>
    <row r="325" hidden="1" ht="21.5" customHeight="1" s="125">
      <c r="A325" t="inlineStr">
        <is>
          <t>DEV000324</t>
        </is>
      </c>
      <c r="B325" s="59" t="inlineStr">
        <is>
          <t>SAM</t>
        </is>
      </c>
      <c r="C325" s="59" t="inlineStr">
        <is>
          <t>PHN</t>
        </is>
      </c>
      <c r="D325" s="60" t="inlineStr">
        <is>
          <t>Galaxy A21s</t>
        </is>
      </c>
      <c r="E325">
        <f>_xlfn.XLOOKUP(D325,'[2]8A. Master Device Catalog'!$F$5:$F$914,'[2]8A. Master Device Catalog'!$G$5:$G$914,"")</f>
        <v/>
      </c>
      <c r="F325">
        <f>_xlfn.XLOOKUP(D325,'[2]8A. Master Device Catalog'!$F$5:$F$914,'[2]8A. Master Device Catalog'!$H$5:$H$914,"")</f>
        <v/>
      </c>
    </row>
    <row r="326" hidden="1" ht="21.5" customHeight="1" s="125">
      <c r="A326" t="inlineStr">
        <is>
          <t>DEV000325</t>
        </is>
      </c>
      <c r="B326" s="59" t="inlineStr">
        <is>
          <t>SAM</t>
        </is>
      </c>
      <c r="C326" s="59" t="inlineStr">
        <is>
          <t>PHN</t>
        </is>
      </c>
      <c r="D326" s="60" t="inlineStr">
        <is>
          <t>Galaxy A22</t>
        </is>
      </c>
      <c r="E326">
        <f>_xlfn.XLOOKUP(D326,'[2]8A. Master Device Catalog'!$F$5:$F$914,'[2]8A. Master Device Catalog'!$G$5:$G$914,"")</f>
        <v/>
      </c>
      <c r="F326">
        <f>_xlfn.XLOOKUP(D326,'[2]8A. Master Device Catalog'!$F$5:$F$914,'[2]8A. Master Device Catalog'!$H$5:$H$914,"")</f>
        <v/>
      </c>
    </row>
    <row r="327" hidden="1" ht="21.5" customHeight="1" s="125">
      <c r="A327" t="inlineStr">
        <is>
          <t>DEV000326</t>
        </is>
      </c>
      <c r="B327" s="59" t="inlineStr">
        <is>
          <t>SAM</t>
        </is>
      </c>
      <c r="C327" s="59" t="inlineStr">
        <is>
          <t>PHN</t>
        </is>
      </c>
      <c r="D327" s="60" t="inlineStr">
        <is>
          <t>Galaxy A22 5G</t>
        </is>
      </c>
      <c r="E327">
        <f>_xlfn.XLOOKUP(D327,'[2]8A. Master Device Catalog'!$F$5:$F$914,'[2]8A. Master Device Catalog'!$G$5:$G$914,"")</f>
        <v/>
      </c>
      <c r="F327">
        <f>_xlfn.XLOOKUP(D327,'[2]8A. Master Device Catalog'!$F$5:$F$914,'[2]8A. Master Device Catalog'!$H$5:$H$914,"")</f>
        <v/>
      </c>
    </row>
    <row r="328" hidden="1" ht="21.5" customHeight="1" s="125">
      <c r="A328" t="inlineStr">
        <is>
          <t>DEV000327</t>
        </is>
      </c>
      <c r="B328" s="59" t="inlineStr">
        <is>
          <t>SAM</t>
        </is>
      </c>
      <c r="C328" s="59" t="inlineStr">
        <is>
          <t>PHN</t>
        </is>
      </c>
      <c r="D328" s="60" t="inlineStr">
        <is>
          <t>Galaxy A23</t>
        </is>
      </c>
      <c r="E328">
        <f>_xlfn.XLOOKUP(D328,'[2]8A. Master Device Catalog'!$F$5:$F$914,'[2]8A. Master Device Catalog'!$G$5:$G$914,"")</f>
        <v/>
      </c>
      <c r="F328">
        <f>_xlfn.XLOOKUP(D328,'[2]8A. Master Device Catalog'!$F$5:$F$914,'[2]8A. Master Device Catalog'!$H$5:$H$914,"")</f>
        <v/>
      </c>
    </row>
    <row r="329" hidden="1" ht="21.5" customHeight="1" s="125">
      <c r="A329" t="inlineStr">
        <is>
          <t>DEV000328</t>
        </is>
      </c>
      <c r="B329" s="59" t="inlineStr">
        <is>
          <t>SAM</t>
        </is>
      </c>
      <c r="C329" s="59" t="inlineStr">
        <is>
          <t>PHN</t>
        </is>
      </c>
      <c r="D329" s="60" t="inlineStr">
        <is>
          <t>Galaxy A23 5G</t>
        </is>
      </c>
      <c r="E329">
        <f>_xlfn.XLOOKUP(D329,'[2]8A. Master Device Catalog'!$F$5:$F$914,'[2]8A. Master Device Catalog'!$G$5:$G$914,"")</f>
        <v/>
      </c>
      <c r="F329">
        <f>_xlfn.XLOOKUP(D329,'[2]8A. Master Device Catalog'!$F$5:$F$914,'[2]8A. Master Device Catalog'!$H$5:$H$914,"")</f>
        <v/>
      </c>
    </row>
    <row r="330" hidden="1" ht="21.5" customHeight="1" s="125">
      <c r="A330" t="inlineStr">
        <is>
          <t>DEV000329</t>
        </is>
      </c>
      <c r="B330" s="59" t="inlineStr">
        <is>
          <t>SAM</t>
        </is>
      </c>
      <c r="C330" s="59" t="inlineStr">
        <is>
          <t>PHN</t>
        </is>
      </c>
      <c r="D330" s="60" t="inlineStr">
        <is>
          <t>Galaxy A24</t>
        </is>
      </c>
      <c r="E330">
        <f>_xlfn.XLOOKUP(D330,'[2]8A. Master Device Catalog'!$F$5:$F$914,'[2]8A. Master Device Catalog'!$G$5:$G$914,"")</f>
        <v/>
      </c>
      <c r="F330">
        <f>_xlfn.XLOOKUP(D330,'[2]8A. Master Device Catalog'!$F$5:$F$914,'[2]8A. Master Device Catalog'!$H$5:$H$914,"")</f>
        <v/>
      </c>
    </row>
    <row r="331" hidden="1" ht="21.5" customHeight="1" s="125">
      <c r="A331" t="inlineStr">
        <is>
          <t>DEV000330</t>
        </is>
      </c>
      <c r="B331" s="59" t="inlineStr">
        <is>
          <t>SAM</t>
        </is>
      </c>
      <c r="C331" s="59" t="inlineStr">
        <is>
          <t>PHN</t>
        </is>
      </c>
      <c r="D331" s="60" t="inlineStr">
        <is>
          <t>Galaxy A25 5G</t>
        </is>
      </c>
      <c r="E331">
        <f>_xlfn.XLOOKUP(D331,'[2]8A. Master Device Catalog'!$F$5:$F$914,'[2]8A. Master Device Catalog'!$G$5:$G$914,"")</f>
        <v/>
      </c>
      <c r="F331">
        <f>_xlfn.XLOOKUP(D331,'[2]8A. Master Device Catalog'!$F$5:$F$914,'[2]8A. Master Device Catalog'!$H$5:$H$914,"")</f>
        <v/>
      </c>
    </row>
    <row r="332" hidden="1" ht="21.5" customHeight="1" s="125">
      <c r="A332" t="inlineStr">
        <is>
          <t>DEV000331</t>
        </is>
      </c>
      <c r="B332" s="59" t="inlineStr">
        <is>
          <t>SAM</t>
        </is>
      </c>
      <c r="C332" s="59" t="inlineStr">
        <is>
          <t>PHN</t>
        </is>
      </c>
      <c r="D332" s="60" t="inlineStr">
        <is>
          <t>Galaxy A26 5G</t>
        </is>
      </c>
      <c r="E332">
        <f>_xlfn.XLOOKUP(D332,'[2]8A. Master Device Catalog'!$F$5:$F$914,'[2]8A. Master Device Catalog'!$G$5:$G$914,"")</f>
        <v/>
      </c>
      <c r="F332">
        <f>_xlfn.XLOOKUP(D332,'[2]8A. Master Device Catalog'!$F$5:$F$914,'[2]8A. Master Device Catalog'!$H$5:$H$914,"")</f>
        <v/>
      </c>
    </row>
    <row r="333" hidden="1" ht="21.5" customHeight="1" s="125">
      <c r="A333" t="inlineStr">
        <is>
          <t>DEV000332</t>
        </is>
      </c>
      <c r="B333" s="59" t="inlineStr">
        <is>
          <t>SAM</t>
        </is>
      </c>
      <c r="C333" s="59" t="inlineStr">
        <is>
          <t>PHN</t>
        </is>
      </c>
      <c r="D333" s="60" t="inlineStr">
        <is>
          <t>Galaxy A30</t>
        </is>
      </c>
      <c r="E333">
        <f>_xlfn.XLOOKUP(D333,'[2]8A. Master Device Catalog'!$F$5:$F$914,'[2]8A. Master Device Catalog'!$G$5:$G$914,"")</f>
        <v/>
      </c>
      <c r="F333">
        <f>_xlfn.XLOOKUP(D333,'[2]8A. Master Device Catalog'!$F$5:$F$914,'[2]8A. Master Device Catalog'!$H$5:$H$914,"")</f>
        <v/>
      </c>
    </row>
    <row r="334" hidden="1" ht="21.5" customHeight="1" s="125">
      <c r="A334" t="inlineStr">
        <is>
          <t>DEV000333</t>
        </is>
      </c>
      <c r="B334" s="59" t="inlineStr">
        <is>
          <t>SAM</t>
        </is>
      </c>
      <c r="C334" s="59" t="inlineStr">
        <is>
          <t>PHN</t>
        </is>
      </c>
      <c r="D334" s="60" t="inlineStr">
        <is>
          <t>Galaxy A30s</t>
        </is>
      </c>
      <c r="E334">
        <f>_xlfn.XLOOKUP(D334,'[2]8A. Master Device Catalog'!$F$5:$F$914,'[2]8A. Master Device Catalog'!$G$5:$G$914,"")</f>
        <v/>
      </c>
      <c r="F334">
        <f>_xlfn.XLOOKUP(D334,'[2]8A. Master Device Catalog'!$F$5:$F$914,'[2]8A. Master Device Catalog'!$H$5:$H$914,"")</f>
        <v/>
      </c>
    </row>
    <row r="335" hidden="1" ht="21.5" customHeight="1" s="125">
      <c r="A335" t="inlineStr">
        <is>
          <t>DEV000334</t>
        </is>
      </c>
      <c r="B335" s="59" t="inlineStr">
        <is>
          <t>SAM</t>
        </is>
      </c>
      <c r="C335" s="59" t="inlineStr">
        <is>
          <t>PHN</t>
        </is>
      </c>
      <c r="D335" s="60" t="inlineStr">
        <is>
          <t>Galaxy A31</t>
        </is>
      </c>
      <c r="E335">
        <f>_xlfn.XLOOKUP(D335,'[2]8A. Master Device Catalog'!$F$5:$F$914,'[2]8A. Master Device Catalog'!$G$5:$G$914,"")</f>
        <v/>
      </c>
      <c r="F335">
        <f>_xlfn.XLOOKUP(D335,'[2]8A. Master Device Catalog'!$F$5:$F$914,'[2]8A. Master Device Catalog'!$H$5:$H$914,"")</f>
        <v/>
      </c>
    </row>
    <row r="336" hidden="1" ht="21.5" customHeight="1" s="125">
      <c r="A336" t="inlineStr">
        <is>
          <t>DEV000335</t>
        </is>
      </c>
      <c r="B336" s="59" t="inlineStr">
        <is>
          <t>SAM</t>
        </is>
      </c>
      <c r="C336" s="59" t="inlineStr">
        <is>
          <t>PHN</t>
        </is>
      </c>
      <c r="D336" s="60" t="inlineStr">
        <is>
          <t>Galaxy A32</t>
        </is>
      </c>
      <c r="E336">
        <f>_xlfn.XLOOKUP(D336,'[2]8A. Master Device Catalog'!$F$5:$F$914,'[2]8A. Master Device Catalog'!$G$5:$G$914,"")</f>
        <v/>
      </c>
      <c r="F336">
        <f>_xlfn.XLOOKUP(D336,'[2]8A. Master Device Catalog'!$F$5:$F$914,'[2]8A. Master Device Catalog'!$H$5:$H$914,"")</f>
        <v/>
      </c>
    </row>
    <row r="337" hidden="1" ht="21.5" customHeight="1" s="125">
      <c r="A337" t="inlineStr">
        <is>
          <t>DEV000336</t>
        </is>
      </c>
      <c r="B337" s="59" t="inlineStr">
        <is>
          <t>SAM</t>
        </is>
      </c>
      <c r="C337" s="59" t="inlineStr">
        <is>
          <t>PHN</t>
        </is>
      </c>
      <c r="D337" s="60" t="inlineStr">
        <is>
          <t>Galaxy A32 5G</t>
        </is>
      </c>
      <c r="E337">
        <f>_xlfn.XLOOKUP(D337,'[2]8A. Master Device Catalog'!$F$5:$F$914,'[2]8A. Master Device Catalog'!$G$5:$G$914,"")</f>
        <v/>
      </c>
      <c r="F337">
        <f>_xlfn.XLOOKUP(D337,'[2]8A. Master Device Catalog'!$F$5:$F$914,'[2]8A. Master Device Catalog'!$H$5:$H$914,"")</f>
        <v/>
      </c>
    </row>
    <row r="338" hidden="1" ht="21.5" customHeight="1" s="125">
      <c r="A338" t="inlineStr">
        <is>
          <t>DEV000337</t>
        </is>
      </c>
      <c r="B338" s="59" t="inlineStr">
        <is>
          <t>SAM</t>
        </is>
      </c>
      <c r="C338" s="59" t="inlineStr">
        <is>
          <t>PHN</t>
        </is>
      </c>
      <c r="D338" s="60" t="inlineStr">
        <is>
          <t>Galaxy A33 5G</t>
        </is>
      </c>
      <c r="E338">
        <f>_xlfn.XLOOKUP(D338,'[2]8A. Master Device Catalog'!$F$5:$F$914,'[2]8A. Master Device Catalog'!$G$5:$G$914,"")</f>
        <v/>
      </c>
      <c r="F338">
        <f>_xlfn.XLOOKUP(D338,'[2]8A. Master Device Catalog'!$F$5:$F$914,'[2]8A. Master Device Catalog'!$H$5:$H$914,"")</f>
        <v/>
      </c>
    </row>
    <row r="339" hidden="1" ht="21.5" customHeight="1" s="125">
      <c r="A339" t="inlineStr">
        <is>
          <t>DEV000338</t>
        </is>
      </c>
      <c r="B339" s="59" t="inlineStr">
        <is>
          <t>SAM</t>
        </is>
      </c>
      <c r="C339" s="59" t="inlineStr">
        <is>
          <t>PHN</t>
        </is>
      </c>
      <c r="D339" s="60" t="inlineStr">
        <is>
          <t>Galaxy A34 5G</t>
        </is>
      </c>
      <c r="E339">
        <f>_xlfn.XLOOKUP(D339,'[2]8A. Master Device Catalog'!$F$5:$F$914,'[2]8A. Master Device Catalog'!$G$5:$G$914,"")</f>
        <v/>
      </c>
      <c r="F339">
        <f>_xlfn.XLOOKUP(D339,'[2]8A. Master Device Catalog'!$F$5:$F$914,'[2]8A. Master Device Catalog'!$H$5:$H$914,"")</f>
        <v/>
      </c>
    </row>
    <row r="340" hidden="1" ht="21.5" customHeight="1" s="125">
      <c r="A340" t="inlineStr">
        <is>
          <t>DEV000339</t>
        </is>
      </c>
      <c r="B340" s="59" t="inlineStr">
        <is>
          <t>SAM</t>
        </is>
      </c>
      <c r="C340" s="59" t="inlineStr">
        <is>
          <t>PHN</t>
        </is>
      </c>
      <c r="D340" s="60" t="inlineStr">
        <is>
          <t>Galaxy A35 5G</t>
        </is>
      </c>
      <c r="E340">
        <f>_xlfn.XLOOKUP(D340,'[2]8A. Master Device Catalog'!$F$5:$F$914,'[2]8A. Master Device Catalog'!$G$5:$G$914,"")</f>
        <v/>
      </c>
      <c r="F340">
        <f>_xlfn.XLOOKUP(D340,'[2]8A. Master Device Catalog'!$F$5:$F$914,'[2]8A. Master Device Catalog'!$H$5:$H$914,"")</f>
        <v/>
      </c>
    </row>
    <row r="341" hidden="1" ht="21.5" customHeight="1" s="125">
      <c r="A341" t="inlineStr">
        <is>
          <t>DEV000340</t>
        </is>
      </c>
      <c r="B341" s="59" t="inlineStr">
        <is>
          <t>SAM</t>
        </is>
      </c>
      <c r="C341" s="59" t="inlineStr">
        <is>
          <t>PHN</t>
        </is>
      </c>
      <c r="D341" s="60" t="inlineStr">
        <is>
          <t>Galaxy A36 5G</t>
        </is>
      </c>
      <c r="E341">
        <f>_xlfn.XLOOKUP(D341,'[2]8A. Master Device Catalog'!$F$5:$F$914,'[2]8A. Master Device Catalog'!$G$5:$G$914,"")</f>
        <v/>
      </c>
      <c r="F341">
        <f>_xlfn.XLOOKUP(D341,'[2]8A. Master Device Catalog'!$F$5:$F$914,'[2]8A. Master Device Catalog'!$H$5:$H$914,"")</f>
        <v/>
      </c>
    </row>
    <row r="342" hidden="1" ht="21.5" customHeight="1" s="125">
      <c r="A342" t="inlineStr">
        <is>
          <t>DEV000341</t>
        </is>
      </c>
      <c r="B342" s="59" t="inlineStr">
        <is>
          <t>SAM</t>
        </is>
      </c>
      <c r="C342" s="59" t="inlineStr">
        <is>
          <t>PHN</t>
        </is>
      </c>
      <c r="D342" s="60" t="inlineStr">
        <is>
          <t>Galaxy A50</t>
        </is>
      </c>
      <c r="E342">
        <f>_xlfn.XLOOKUP(D342,'[2]8A. Master Device Catalog'!$F$5:$F$914,'[2]8A. Master Device Catalog'!$G$5:$G$914,"")</f>
        <v/>
      </c>
      <c r="F342">
        <f>_xlfn.XLOOKUP(D342,'[2]8A. Master Device Catalog'!$F$5:$F$914,'[2]8A. Master Device Catalog'!$H$5:$H$914,"")</f>
        <v/>
      </c>
    </row>
    <row r="343" hidden="1" ht="21.5" customHeight="1" s="125">
      <c r="A343" t="inlineStr">
        <is>
          <t>DEV000342</t>
        </is>
      </c>
      <c r="B343" s="59" t="inlineStr">
        <is>
          <t>SAM</t>
        </is>
      </c>
      <c r="C343" s="59" t="inlineStr">
        <is>
          <t>PHN</t>
        </is>
      </c>
      <c r="D343" s="60" t="inlineStr">
        <is>
          <t>Galaxy A50s</t>
        </is>
      </c>
      <c r="E343">
        <f>_xlfn.XLOOKUP(D343,'[2]8A. Master Device Catalog'!$F$5:$F$914,'[2]8A. Master Device Catalog'!$G$5:$G$914,"")</f>
        <v/>
      </c>
      <c r="F343">
        <f>_xlfn.XLOOKUP(D343,'[2]8A. Master Device Catalog'!$F$5:$F$914,'[2]8A. Master Device Catalog'!$H$5:$H$914,"")</f>
        <v/>
      </c>
    </row>
    <row r="344" hidden="1" ht="21.5" customHeight="1" s="125">
      <c r="A344" t="inlineStr">
        <is>
          <t>DEV000343</t>
        </is>
      </c>
      <c r="B344" s="59" t="inlineStr">
        <is>
          <t>SAM</t>
        </is>
      </c>
      <c r="C344" s="59" t="inlineStr">
        <is>
          <t>PHN</t>
        </is>
      </c>
      <c r="D344" s="60" t="inlineStr">
        <is>
          <t>Galaxy A51</t>
        </is>
      </c>
      <c r="E344">
        <f>_xlfn.XLOOKUP(D344,'[2]8A. Master Device Catalog'!$F$5:$F$914,'[2]8A. Master Device Catalog'!$G$5:$G$914,"")</f>
        <v/>
      </c>
      <c r="F344">
        <f>_xlfn.XLOOKUP(D344,'[2]8A. Master Device Catalog'!$F$5:$F$914,'[2]8A. Master Device Catalog'!$H$5:$H$914,"")</f>
        <v/>
      </c>
    </row>
    <row r="345" hidden="1" ht="21.5" customHeight="1" s="125">
      <c r="A345" t="inlineStr">
        <is>
          <t>DEV000344</t>
        </is>
      </c>
      <c r="B345" s="59" t="inlineStr">
        <is>
          <t>SAM</t>
        </is>
      </c>
      <c r="C345" s="59" t="inlineStr">
        <is>
          <t>PHN</t>
        </is>
      </c>
      <c r="D345" s="60" t="inlineStr">
        <is>
          <t>Galaxy A51 5G</t>
        </is>
      </c>
      <c r="E345">
        <f>_xlfn.XLOOKUP(D345,'[2]8A. Master Device Catalog'!$F$5:$F$914,'[2]8A. Master Device Catalog'!$G$5:$G$914,"")</f>
        <v/>
      </c>
      <c r="F345">
        <f>_xlfn.XLOOKUP(D345,'[2]8A. Master Device Catalog'!$F$5:$F$914,'[2]8A. Master Device Catalog'!$H$5:$H$914,"")</f>
        <v/>
      </c>
    </row>
    <row r="346" hidden="1" ht="21.5" customHeight="1" s="125">
      <c r="A346" t="inlineStr">
        <is>
          <t>DEV000345</t>
        </is>
      </c>
      <c r="B346" s="59" t="inlineStr">
        <is>
          <t>SAM</t>
        </is>
      </c>
      <c r="C346" s="59" t="inlineStr">
        <is>
          <t>PHN</t>
        </is>
      </c>
      <c r="D346" s="60" t="inlineStr">
        <is>
          <t>Galaxy A52</t>
        </is>
      </c>
      <c r="E346">
        <f>_xlfn.XLOOKUP(D346,'[2]8A. Master Device Catalog'!$F$5:$F$914,'[2]8A. Master Device Catalog'!$G$5:$G$914,"")</f>
        <v/>
      </c>
      <c r="F346">
        <f>_xlfn.XLOOKUP(D346,'[2]8A. Master Device Catalog'!$F$5:$F$914,'[2]8A. Master Device Catalog'!$H$5:$H$914,"")</f>
        <v/>
      </c>
    </row>
    <row r="347" hidden="1" ht="21.5" customHeight="1" s="125">
      <c r="A347" t="inlineStr">
        <is>
          <t>DEV000346</t>
        </is>
      </c>
      <c r="B347" s="59" t="inlineStr">
        <is>
          <t>SAM</t>
        </is>
      </c>
      <c r="C347" s="59" t="inlineStr">
        <is>
          <t>PHN</t>
        </is>
      </c>
      <c r="D347" s="60" t="inlineStr">
        <is>
          <t>Galaxy A52 5G</t>
        </is>
      </c>
      <c r="E347">
        <f>_xlfn.XLOOKUP(D347,'[2]8A. Master Device Catalog'!$F$5:$F$914,'[2]8A. Master Device Catalog'!$G$5:$G$914,"")</f>
        <v/>
      </c>
      <c r="F347">
        <f>_xlfn.XLOOKUP(D347,'[2]8A. Master Device Catalog'!$F$5:$F$914,'[2]8A. Master Device Catalog'!$H$5:$H$914,"")</f>
        <v/>
      </c>
    </row>
    <row r="348" hidden="1" ht="21.5" customHeight="1" s="125">
      <c r="A348" t="inlineStr">
        <is>
          <t>DEV000347</t>
        </is>
      </c>
      <c r="B348" s="59" t="inlineStr">
        <is>
          <t>SAM</t>
        </is>
      </c>
      <c r="C348" s="59" t="inlineStr">
        <is>
          <t>PHN</t>
        </is>
      </c>
      <c r="D348" s="60" t="inlineStr">
        <is>
          <t>Galaxy A52s 5G</t>
        </is>
      </c>
      <c r="E348">
        <f>_xlfn.XLOOKUP(D348,'[2]8A. Master Device Catalog'!$F$5:$F$914,'[2]8A. Master Device Catalog'!$G$5:$G$914,"")</f>
        <v/>
      </c>
      <c r="F348">
        <f>_xlfn.XLOOKUP(D348,'[2]8A. Master Device Catalog'!$F$5:$F$914,'[2]8A. Master Device Catalog'!$H$5:$H$914,"")</f>
        <v/>
      </c>
    </row>
    <row r="349" hidden="1" ht="21.5" customHeight="1" s="125">
      <c r="A349" t="inlineStr">
        <is>
          <t>DEV000348</t>
        </is>
      </c>
      <c r="B349" s="59" t="inlineStr">
        <is>
          <t>SAM</t>
        </is>
      </c>
      <c r="C349" s="59" t="inlineStr">
        <is>
          <t>PHN</t>
        </is>
      </c>
      <c r="D349" s="60" t="inlineStr">
        <is>
          <t>Galaxy A53 5G</t>
        </is>
      </c>
      <c r="E349">
        <f>_xlfn.XLOOKUP(D349,'[2]8A. Master Device Catalog'!$F$5:$F$914,'[2]8A. Master Device Catalog'!$G$5:$G$914,"")</f>
        <v/>
      </c>
      <c r="F349">
        <f>_xlfn.XLOOKUP(D349,'[2]8A. Master Device Catalog'!$F$5:$F$914,'[2]8A. Master Device Catalog'!$H$5:$H$914,"")</f>
        <v/>
      </c>
    </row>
    <row r="350" hidden="1" ht="21.5" customHeight="1" s="125">
      <c r="A350" t="inlineStr">
        <is>
          <t>DEV000349</t>
        </is>
      </c>
      <c r="B350" s="59" t="inlineStr">
        <is>
          <t>SAM</t>
        </is>
      </c>
      <c r="C350" s="59" t="inlineStr">
        <is>
          <t>PHN</t>
        </is>
      </c>
      <c r="D350" s="60" t="inlineStr">
        <is>
          <t>Galaxy A54 5G</t>
        </is>
      </c>
      <c r="E350">
        <f>_xlfn.XLOOKUP(D350,'[2]8A. Master Device Catalog'!$F$5:$F$914,'[2]8A. Master Device Catalog'!$G$5:$G$914,"")</f>
        <v/>
      </c>
      <c r="F350">
        <f>_xlfn.XLOOKUP(D350,'[2]8A. Master Device Catalog'!$F$5:$F$914,'[2]8A. Master Device Catalog'!$H$5:$H$914,"")</f>
        <v/>
      </c>
    </row>
    <row r="351" hidden="1" ht="21.5" customHeight="1" s="125">
      <c r="A351" t="inlineStr">
        <is>
          <t>DEV000350</t>
        </is>
      </c>
      <c r="B351" s="59" t="inlineStr">
        <is>
          <t>SAM</t>
        </is>
      </c>
      <c r="C351" s="59" t="inlineStr">
        <is>
          <t>PHN</t>
        </is>
      </c>
      <c r="D351" s="60" t="inlineStr">
        <is>
          <t>Galaxy A55 5G</t>
        </is>
      </c>
      <c r="E351">
        <f>_xlfn.XLOOKUP(D351,'[2]8A. Master Device Catalog'!$F$5:$F$914,'[2]8A. Master Device Catalog'!$G$5:$G$914,"")</f>
        <v/>
      </c>
      <c r="F351">
        <f>_xlfn.XLOOKUP(D351,'[2]8A. Master Device Catalog'!$F$5:$F$914,'[2]8A. Master Device Catalog'!$H$5:$H$914,"")</f>
        <v/>
      </c>
    </row>
    <row r="352" hidden="1" ht="21.5" customHeight="1" s="125">
      <c r="A352" t="inlineStr">
        <is>
          <t>DEV000351</t>
        </is>
      </c>
      <c r="B352" s="59" t="inlineStr">
        <is>
          <t>SAM</t>
        </is>
      </c>
      <c r="C352" s="59" t="inlineStr">
        <is>
          <t>PHN</t>
        </is>
      </c>
      <c r="D352" s="60" t="inlineStr">
        <is>
          <t>Galaxy A56 5G</t>
        </is>
      </c>
      <c r="E352">
        <f>_xlfn.XLOOKUP(D352,'[2]8A. Master Device Catalog'!$F$5:$F$914,'[2]8A. Master Device Catalog'!$G$5:$G$914,"")</f>
        <v/>
      </c>
      <c r="F352">
        <f>_xlfn.XLOOKUP(D352,'[2]8A. Master Device Catalog'!$F$5:$F$914,'[2]8A. Master Device Catalog'!$H$5:$H$914,"")</f>
        <v/>
      </c>
    </row>
    <row r="353" hidden="1" ht="21.5" customHeight="1" s="125">
      <c r="A353" t="inlineStr">
        <is>
          <t>DEV000352</t>
        </is>
      </c>
      <c r="B353" s="59" t="inlineStr">
        <is>
          <t>SAM</t>
        </is>
      </c>
      <c r="C353" s="59" t="inlineStr">
        <is>
          <t>PHN</t>
        </is>
      </c>
      <c r="D353" s="60" t="inlineStr">
        <is>
          <t>Galaxy A70</t>
        </is>
      </c>
      <c r="E353">
        <f>_xlfn.XLOOKUP(D353,'[2]8A. Master Device Catalog'!$F$5:$F$914,'[2]8A. Master Device Catalog'!$G$5:$G$914,"")</f>
        <v/>
      </c>
      <c r="F353">
        <f>_xlfn.XLOOKUP(D353,'[2]8A. Master Device Catalog'!$F$5:$F$914,'[2]8A. Master Device Catalog'!$H$5:$H$914,"")</f>
        <v/>
      </c>
    </row>
    <row r="354" hidden="1" ht="21.5" customHeight="1" s="125">
      <c r="A354" t="inlineStr">
        <is>
          <t>DEV000353</t>
        </is>
      </c>
      <c r="B354" s="59" t="inlineStr">
        <is>
          <t>SAM</t>
        </is>
      </c>
      <c r="C354" s="59" t="inlineStr">
        <is>
          <t>PHN</t>
        </is>
      </c>
      <c r="D354" s="60" t="inlineStr">
        <is>
          <t>Galaxy A70s</t>
        </is>
      </c>
      <c r="E354">
        <f>_xlfn.XLOOKUP(D354,'[2]8A. Master Device Catalog'!$F$5:$F$914,'[2]8A. Master Device Catalog'!$G$5:$G$914,"")</f>
        <v/>
      </c>
      <c r="F354">
        <f>_xlfn.XLOOKUP(D354,'[2]8A. Master Device Catalog'!$F$5:$F$914,'[2]8A. Master Device Catalog'!$H$5:$H$914,"")</f>
        <v/>
      </c>
    </row>
    <row r="355" hidden="1" ht="21.5" customHeight="1" s="125">
      <c r="A355" t="inlineStr">
        <is>
          <t>DEV000354</t>
        </is>
      </c>
      <c r="B355" s="59" t="inlineStr">
        <is>
          <t>SAM</t>
        </is>
      </c>
      <c r="C355" s="59" t="inlineStr">
        <is>
          <t>PHN</t>
        </is>
      </c>
      <c r="D355" s="60" t="inlineStr">
        <is>
          <t>Galaxy A71</t>
        </is>
      </c>
      <c r="E355">
        <f>_xlfn.XLOOKUP(D355,'[2]8A. Master Device Catalog'!$F$5:$F$914,'[2]8A. Master Device Catalog'!$G$5:$G$914,"")</f>
        <v/>
      </c>
      <c r="F355">
        <f>_xlfn.XLOOKUP(D355,'[2]8A. Master Device Catalog'!$F$5:$F$914,'[2]8A. Master Device Catalog'!$H$5:$H$914,"")</f>
        <v/>
      </c>
    </row>
    <row r="356" hidden="1" ht="21.5" customHeight="1" s="125">
      <c r="A356" t="inlineStr">
        <is>
          <t>DEV000355</t>
        </is>
      </c>
      <c r="B356" s="59" t="inlineStr">
        <is>
          <t>SAM</t>
        </is>
      </c>
      <c r="C356" s="59" t="inlineStr">
        <is>
          <t>PHN</t>
        </is>
      </c>
      <c r="D356" s="60" t="inlineStr">
        <is>
          <t>Galaxy A71 5G</t>
        </is>
      </c>
      <c r="E356">
        <f>_xlfn.XLOOKUP(D356,'[2]8A. Master Device Catalog'!$F$5:$F$914,'[2]8A. Master Device Catalog'!$G$5:$G$914,"")</f>
        <v/>
      </c>
      <c r="F356">
        <f>_xlfn.XLOOKUP(D356,'[2]8A. Master Device Catalog'!$F$5:$F$914,'[2]8A. Master Device Catalog'!$H$5:$H$914,"")</f>
        <v/>
      </c>
    </row>
    <row r="357" hidden="1" ht="21.5" customHeight="1" s="125">
      <c r="A357" t="inlineStr">
        <is>
          <t>DEV000356</t>
        </is>
      </c>
      <c r="B357" s="59" t="inlineStr">
        <is>
          <t>SAM</t>
        </is>
      </c>
      <c r="C357" s="59" t="inlineStr">
        <is>
          <t>PHN</t>
        </is>
      </c>
      <c r="D357" s="60" t="inlineStr">
        <is>
          <t>Galaxy A72</t>
        </is>
      </c>
      <c r="E357">
        <f>_xlfn.XLOOKUP(D357,'[2]8A. Master Device Catalog'!$F$5:$F$914,'[2]8A. Master Device Catalog'!$G$5:$G$914,"")</f>
        <v/>
      </c>
      <c r="F357">
        <f>_xlfn.XLOOKUP(D357,'[2]8A. Master Device Catalog'!$F$5:$F$914,'[2]8A. Master Device Catalog'!$H$5:$H$914,"")</f>
        <v/>
      </c>
    </row>
    <row r="358" hidden="1" ht="21.5" customHeight="1" s="125">
      <c r="A358" t="inlineStr">
        <is>
          <t>DEV000357</t>
        </is>
      </c>
      <c r="B358" s="59" t="inlineStr">
        <is>
          <t>SAM</t>
        </is>
      </c>
      <c r="C358" s="59" t="inlineStr">
        <is>
          <t>PHN</t>
        </is>
      </c>
      <c r="D358" s="60" t="inlineStr">
        <is>
          <t>Galaxy A73 5G</t>
        </is>
      </c>
      <c r="E358">
        <f>_xlfn.XLOOKUP(D358,'[2]8A. Master Device Catalog'!$F$5:$F$914,'[2]8A. Master Device Catalog'!$G$5:$G$914,"")</f>
        <v/>
      </c>
      <c r="F358">
        <f>_xlfn.XLOOKUP(D358,'[2]8A. Master Device Catalog'!$F$5:$F$914,'[2]8A. Master Device Catalog'!$H$5:$H$914,"")</f>
        <v/>
      </c>
    </row>
    <row r="359" hidden="1" ht="21.5" customHeight="1" s="125">
      <c r="A359" t="inlineStr">
        <is>
          <t>DEV000358</t>
        </is>
      </c>
      <c r="B359" s="59" t="inlineStr">
        <is>
          <t>SAM</t>
        </is>
      </c>
      <c r="C359" s="59" t="inlineStr">
        <is>
          <t>PHN</t>
        </is>
      </c>
      <c r="D359" s="60" t="inlineStr">
        <is>
          <t>Galaxy M10</t>
        </is>
      </c>
      <c r="E359">
        <f>_xlfn.XLOOKUP(D359,'[2]8A. Master Device Catalog'!$F$5:$F$914,'[2]8A. Master Device Catalog'!$G$5:$G$914,"")</f>
        <v/>
      </c>
      <c r="F359">
        <f>_xlfn.XLOOKUP(D359,'[2]8A. Master Device Catalog'!$F$5:$F$914,'[2]8A. Master Device Catalog'!$H$5:$H$914,"")</f>
        <v/>
      </c>
    </row>
    <row r="360" hidden="1" ht="21.5" customHeight="1" s="125">
      <c r="A360" t="inlineStr">
        <is>
          <t>DEV000359</t>
        </is>
      </c>
      <c r="B360" s="59" t="inlineStr">
        <is>
          <t>SAM</t>
        </is>
      </c>
      <c r="C360" s="59" t="inlineStr">
        <is>
          <t>PHN</t>
        </is>
      </c>
      <c r="D360" s="60" t="inlineStr">
        <is>
          <t>Galaxy M11</t>
        </is>
      </c>
      <c r="E360">
        <f>_xlfn.XLOOKUP(D360,'[2]8A. Master Device Catalog'!$F$5:$F$914,'[2]8A. Master Device Catalog'!$G$5:$G$914,"")</f>
        <v/>
      </c>
      <c r="F360">
        <f>_xlfn.XLOOKUP(D360,'[2]8A. Master Device Catalog'!$F$5:$F$914,'[2]8A. Master Device Catalog'!$H$5:$H$914,"")</f>
        <v/>
      </c>
    </row>
    <row r="361" hidden="1" ht="21.5" customHeight="1" s="125">
      <c r="A361" t="inlineStr">
        <is>
          <t>DEV000360</t>
        </is>
      </c>
      <c r="B361" s="59" t="inlineStr">
        <is>
          <t>SAM</t>
        </is>
      </c>
      <c r="C361" s="59" t="inlineStr">
        <is>
          <t>PHN</t>
        </is>
      </c>
      <c r="D361" s="60" t="inlineStr">
        <is>
          <t>Galaxy M12</t>
        </is>
      </c>
      <c r="E361">
        <f>_xlfn.XLOOKUP(D361,'[2]8A. Master Device Catalog'!$F$5:$F$914,'[2]8A. Master Device Catalog'!$G$5:$G$914,"")</f>
        <v/>
      </c>
      <c r="F361">
        <f>_xlfn.XLOOKUP(D361,'[2]8A. Master Device Catalog'!$F$5:$F$914,'[2]8A. Master Device Catalog'!$H$5:$H$914,"")</f>
        <v/>
      </c>
    </row>
    <row r="362" hidden="1" ht="21.5" customHeight="1" s="125">
      <c r="A362" t="inlineStr">
        <is>
          <t>DEV000361</t>
        </is>
      </c>
      <c r="B362" s="59" t="inlineStr">
        <is>
          <t>SAM</t>
        </is>
      </c>
      <c r="C362" s="59" t="inlineStr">
        <is>
          <t>PHN</t>
        </is>
      </c>
      <c r="D362" s="60" t="inlineStr">
        <is>
          <t>Galaxy M13</t>
        </is>
      </c>
      <c r="E362">
        <f>_xlfn.XLOOKUP(D362,'[2]8A. Master Device Catalog'!$F$5:$F$914,'[2]8A. Master Device Catalog'!$G$5:$G$914,"")</f>
        <v/>
      </c>
      <c r="F362">
        <f>_xlfn.XLOOKUP(D362,'[2]8A. Master Device Catalog'!$F$5:$F$914,'[2]8A. Master Device Catalog'!$H$5:$H$914,"")</f>
        <v/>
      </c>
    </row>
    <row r="363" hidden="1" ht="21.5" customHeight="1" s="125">
      <c r="A363" t="inlineStr">
        <is>
          <t>DEV000362</t>
        </is>
      </c>
      <c r="B363" s="59" t="inlineStr">
        <is>
          <t>SAM</t>
        </is>
      </c>
      <c r="C363" s="59" t="inlineStr">
        <is>
          <t>PHN</t>
        </is>
      </c>
      <c r="D363" s="60" t="inlineStr">
        <is>
          <t>Galaxy M14 5G</t>
        </is>
      </c>
      <c r="E363">
        <f>_xlfn.XLOOKUP(D363,'[2]8A. Master Device Catalog'!$F$5:$F$914,'[2]8A. Master Device Catalog'!$G$5:$G$914,"")</f>
        <v/>
      </c>
      <c r="F363">
        <f>_xlfn.XLOOKUP(D363,'[2]8A. Master Device Catalog'!$F$5:$F$914,'[2]8A. Master Device Catalog'!$H$5:$H$914,"")</f>
        <v/>
      </c>
    </row>
    <row r="364" hidden="1" ht="21.5" customHeight="1" s="125">
      <c r="A364" t="inlineStr">
        <is>
          <t>DEV000363</t>
        </is>
      </c>
      <c r="B364" s="59" t="inlineStr">
        <is>
          <t>SAM</t>
        </is>
      </c>
      <c r="C364" s="59" t="inlineStr">
        <is>
          <t>PHN</t>
        </is>
      </c>
      <c r="D364" s="60" t="inlineStr">
        <is>
          <t>Galaxy M15 5G</t>
        </is>
      </c>
      <c r="E364">
        <f>_xlfn.XLOOKUP(D364,'[2]8A. Master Device Catalog'!$F$5:$F$914,'[2]8A. Master Device Catalog'!$G$5:$G$914,"")</f>
        <v/>
      </c>
      <c r="F364">
        <f>_xlfn.XLOOKUP(D364,'[2]8A. Master Device Catalog'!$F$5:$F$914,'[2]8A. Master Device Catalog'!$H$5:$H$914,"")</f>
        <v/>
      </c>
    </row>
    <row r="365" hidden="1" ht="21.5" customHeight="1" s="125">
      <c r="A365" t="inlineStr">
        <is>
          <t>DEV000364</t>
        </is>
      </c>
      <c r="B365" s="59" t="inlineStr">
        <is>
          <t>SAM</t>
        </is>
      </c>
      <c r="C365" s="59" t="inlineStr">
        <is>
          <t>PHN</t>
        </is>
      </c>
      <c r="D365" s="60" t="inlineStr">
        <is>
          <t>Galaxy M16 5G</t>
        </is>
      </c>
      <c r="E365">
        <f>_xlfn.XLOOKUP(D365,'[2]8A. Master Device Catalog'!$F$5:$F$914,'[2]8A. Master Device Catalog'!$G$5:$G$914,"")</f>
        <v/>
      </c>
      <c r="F365">
        <f>_xlfn.XLOOKUP(D365,'[2]8A. Master Device Catalog'!$F$5:$F$914,'[2]8A. Master Device Catalog'!$H$5:$H$914,"")</f>
        <v/>
      </c>
    </row>
    <row r="366" hidden="1" ht="21.5" customHeight="1" s="125">
      <c r="A366" t="inlineStr">
        <is>
          <t>DEV000365</t>
        </is>
      </c>
      <c r="B366" s="59" t="inlineStr">
        <is>
          <t>SAM</t>
        </is>
      </c>
      <c r="C366" s="59" t="inlineStr">
        <is>
          <t>PHN</t>
        </is>
      </c>
      <c r="D366" s="60" t="inlineStr">
        <is>
          <t>Galaxy M20</t>
        </is>
      </c>
      <c r="E366">
        <f>_xlfn.XLOOKUP(D366,'[2]8A. Master Device Catalog'!$F$5:$F$914,'[2]8A. Master Device Catalog'!$G$5:$G$914,"")</f>
        <v/>
      </c>
      <c r="F366">
        <f>_xlfn.XLOOKUP(D366,'[2]8A. Master Device Catalog'!$F$5:$F$914,'[2]8A. Master Device Catalog'!$H$5:$H$914,"")</f>
        <v/>
      </c>
    </row>
    <row r="367" hidden="1" ht="21.5" customHeight="1" s="125">
      <c r="A367" t="inlineStr">
        <is>
          <t>DEV000366</t>
        </is>
      </c>
      <c r="B367" s="59" t="inlineStr">
        <is>
          <t>SAM</t>
        </is>
      </c>
      <c r="C367" s="59" t="inlineStr">
        <is>
          <t>PHN</t>
        </is>
      </c>
      <c r="D367" s="60" t="inlineStr">
        <is>
          <t>Galaxy M21</t>
        </is>
      </c>
      <c r="E367">
        <f>_xlfn.XLOOKUP(D367,'[2]8A. Master Device Catalog'!$F$5:$F$914,'[2]8A. Master Device Catalog'!$G$5:$G$914,"")</f>
        <v/>
      </c>
      <c r="F367">
        <f>_xlfn.XLOOKUP(D367,'[2]8A. Master Device Catalog'!$F$5:$F$914,'[2]8A. Master Device Catalog'!$H$5:$H$914,"")</f>
        <v/>
      </c>
    </row>
    <row r="368" hidden="1" ht="21.5" customHeight="1" s="125">
      <c r="A368" t="inlineStr">
        <is>
          <t>DEV000367</t>
        </is>
      </c>
      <c r="B368" s="59" t="inlineStr">
        <is>
          <t>SAM</t>
        </is>
      </c>
      <c r="C368" s="59" t="inlineStr">
        <is>
          <t>PHN</t>
        </is>
      </c>
      <c r="D368" s="60" t="inlineStr">
        <is>
          <t>Galaxy M22</t>
        </is>
      </c>
      <c r="E368">
        <f>_xlfn.XLOOKUP(D368,'[2]8A. Master Device Catalog'!$F$5:$F$914,'[2]8A. Master Device Catalog'!$G$5:$G$914,"")</f>
        <v/>
      </c>
      <c r="F368">
        <f>_xlfn.XLOOKUP(D368,'[2]8A. Master Device Catalog'!$F$5:$F$914,'[2]8A. Master Device Catalog'!$H$5:$H$914,"")</f>
        <v/>
      </c>
    </row>
    <row r="369" hidden="1" ht="21.5" customHeight="1" s="125">
      <c r="A369" t="inlineStr">
        <is>
          <t>DEV000368</t>
        </is>
      </c>
      <c r="B369" s="59" t="inlineStr">
        <is>
          <t>SAM</t>
        </is>
      </c>
      <c r="C369" s="59" t="inlineStr">
        <is>
          <t>PHN</t>
        </is>
      </c>
      <c r="D369" s="60" t="inlineStr">
        <is>
          <t>Galaxy M23 5G</t>
        </is>
      </c>
      <c r="E369">
        <f>_xlfn.XLOOKUP(D369,'[2]8A. Master Device Catalog'!$F$5:$F$914,'[2]8A. Master Device Catalog'!$G$5:$G$914,"")</f>
        <v/>
      </c>
      <c r="F369">
        <f>_xlfn.XLOOKUP(D369,'[2]8A. Master Device Catalog'!$F$5:$F$914,'[2]8A. Master Device Catalog'!$H$5:$H$914,"")</f>
        <v/>
      </c>
    </row>
    <row r="370" hidden="1" ht="21.5" customHeight="1" s="125">
      <c r="A370" t="inlineStr">
        <is>
          <t>DEV000369</t>
        </is>
      </c>
      <c r="B370" s="59" t="inlineStr">
        <is>
          <t>SAM</t>
        </is>
      </c>
      <c r="C370" s="59" t="inlineStr">
        <is>
          <t>PHN</t>
        </is>
      </c>
      <c r="D370" s="60" t="inlineStr">
        <is>
          <t>Galaxy M24</t>
        </is>
      </c>
      <c r="E370">
        <f>_xlfn.XLOOKUP(D370,'[2]8A. Master Device Catalog'!$F$5:$F$914,'[2]8A. Master Device Catalog'!$G$5:$G$914,"")</f>
        <v/>
      </c>
      <c r="F370">
        <f>_xlfn.XLOOKUP(D370,'[2]8A. Master Device Catalog'!$F$5:$F$914,'[2]8A. Master Device Catalog'!$H$5:$H$914,"")</f>
        <v/>
      </c>
    </row>
    <row r="371" hidden="1" ht="21.5" customHeight="1" s="125">
      <c r="A371" t="inlineStr">
        <is>
          <t>DEV000370</t>
        </is>
      </c>
      <c r="B371" s="59" t="inlineStr">
        <is>
          <t>SAM</t>
        </is>
      </c>
      <c r="C371" s="59" t="inlineStr">
        <is>
          <t>PHN</t>
        </is>
      </c>
      <c r="D371" s="60" t="inlineStr">
        <is>
          <t>Galaxy M25 5G</t>
        </is>
      </c>
      <c r="E371">
        <f>_xlfn.XLOOKUP(D371,'[2]8A. Master Device Catalog'!$F$5:$F$914,'[2]8A. Master Device Catalog'!$G$5:$G$914,"")</f>
        <v/>
      </c>
      <c r="F371">
        <f>_xlfn.XLOOKUP(D371,'[2]8A. Master Device Catalog'!$F$5:$F$914,'[2]8A. Master Device Catalog'!$H$5:$H$914,"")</f>
        <v/>
      </c>
    </row>
    <row r="372" hidden="1" ht="21.5" customHeight="1" s="125">
      <c r="A372" t="inlineStr">
        <is>
          <t>DEV000371</t>
        </is>
      </c>
      <c r="B372" s="59" t="inlineStr">
        <is>
          <t>SAM</t>
        </is>
      </c>
      <c r="C372" s="59" t="inlineStr">
        <is>
          <t>PHN</t>
        </is>
      </c>
      <c r="D372" s="60" t="inlineStr">
        <is>
          <t>Galaxy J1</t>
        </is>
      </c>
      <c r="E372">
        <f>_xlfn.XLOOKUP(D372,'[2]8A. Master Device Catalog'!$F$5:$F$914,'[2]8A. Master Device Catalog'!$G$5:$G$914,"")</f>
        <v/>
      </c>
      <c r="F372">
        <f>_xlfn.XLOOKUP(D372,'[2]8A. Master Device Catalog'!$F$5:$F$914,'[2]8A. Master Device Catalog'!$H$5:$H$914,"")</f>
        <v/>
      </c>
    </row>
    <row r="373" hidden="1" ht="21.5" customHeight="1" s="125">
      <c r="A373" t="inlineStr">
        <is>
          <t>DEV000372</t>
        </is>
      </c>
      <c r="B373" s="59" t="inlineStr">
        <is>
          <t>SAM</t>
        </is>
      </c>
      <c r="C373" s="59" t="inlineStr">
        <is>
          <t>PHN</t>
        </is>
      </c>
      <c r="D373" s="60" t="inlineStr">
        <is>
          <t>Galaxy J1 Ace</t>
        </is>
      </c>
      <c r="E373">
        <f>_xlfn.XLOOKUP(D373,'[2]8A. Master Device Catalog'!$F$5:$F$914,'[2]8A. Master Device Catalog'!$G$5:$G$914,"")</f>
        <v/>
      </c>
      <c r="F373">
        <f>_xlfn.XLOOKUP(D373,'[2]8A. Master Device Catalog'!$F$5:$F$914,'[2]8A. Master Device Catalog'!$H$5:$H$914,"")</f>
        <v/>
      </c>
    </row>
    <row r="374" hidden="1" ht="21.5" customHeight="1" s="125">
      <c r="A374" t="inlineStr">
        <is>
          <t>DEV000373</t>
        </is>
      </c>
      <c r="B374" s="59" t="inlineStr">
        <is>
          <t>SAM</t>
        </is>
      </c>
      <c r="C374" s="59" t="inlineStr">
        <is>
          <t>PHN</t>
        </is>
      </c>
      <c r="D374" s="60" t="inlineStr">
        <is>
          <t>Galaxy J2</t>
        </is>
      </c>
      <c r="E374">
        <f>_xlfn.XLOOKUP(D374,'[2]8A. Master Device Catalog'!$F$5:$F$914,'[2]8A. Master Device Catalog'!$G$5:$G$914,"")</f>
        <v/>
      </c>
      <c r="F374">
        <f>_xlfn.XLOOKUP(D374,'[2]8A. Master Device Catalog'!$F$5:$F$914,'[2]8A. Master Device Catalog'!$H$5:$H$914,"")</f>
        <v/>
      </c>
    </row>
    <row r="375" hidden="1" ht="21.5" customHeight="1" s="125">
      <c r="A375" t="inlineStr">
        <is>
          <t>DEV000374</t>
        </is>
      </c>
      <c r="B375" s="59" t="inlineStr">
        <is>
          <t>SAM</t>
        </is>
      </c>
      <c r="C375" s="59" t="inlineStr">
        <is>
          <t>PHN</t>
        </is>
      </c>
      <c r="D375" s="60" t="inlineStr">
        <is>
          <t>Galaxy J2 Prime</t>
        </is>
      </c>
      <c r="E375">
        <f>_xlfn.XLOOKUP(D375,'[2]8A. Master Device Catalog'!$F$5:$F$914,'[2]8A. Master Device Catalog'!$G$5:$G$914,"")</f>
        <v/>
      </c>
      <c r="F375">
        <f>_xlfn.XLOOKUP(D375,'[2]8A. Master Device Catalog'!$F$5:$F$914,'[2]8A. Master Device Catalog'!$H$5:$H$914,"")</f>
        <v/>
      </c>
    </row>
    <row r="376" hidden="1" ht="21.5" customHeight="1" s="125">
      <c r="A376" t="inlineStr">
        <is>
          <t>DEV000375</t>
        </is>
      </c>
      <c r="B376" s="59" t="inlineStr">
        <is>
          <t>SAM</t>
        </is>
      </c>
      <c r="C376" s="59" t="inlineStr">
        <is>
          <t>PHN</t>
        </is>
      </c>
      <c r="D376" s="60" t="inlineStr">
        <is>
          <t>Galaxy J3</t>
        </is>
      </c>
      <c r="E376">
        <f>_xlfn.XLOOKUP(D376,'[2]8A. Master Device Catalog'!$F$5:$F$914,'[2]8A. Master Device Catalog'!$G$5:$G$914,"")</f>
        <v/>
      </c>
      <c r="F376">
        <f>_xlfn.XLOOKUP(D376,'[2]8A. Master Device Catalog'!$F$5:$F$914,'[2]8A. Master Device Catalog'!$H$5:$H$914,"")</f>
        <v/>
      </c>
    </row>
    <row r="377" hidden="1" ht="21.5" customHeight="1" s="125">
      <c r="A377" t="inlineStr">
        <is>
          <t>DEV000376</t>
        </is>
      </c>
      <c r="B377" s="59" t="inlineStr">
        <is>
          <t>SAM</t>
        </is>
      </c>
      <c r="C377" s="59" t="inlineStr">
        <is>
          <t>PHN</t>
        </is>
      </c>
      <c r="D377" s="60" t="inlineStr">
        <is>
          <t>Galaxy J4</t>
        </is>
      </c>
      <c r="E377">
        <f>_xlfn.XLOOKUP(D377,'[2]8A. Master Device Catalog'!$F$5:$F$914,'[2]8A. Master Device Catalog'!$G$5:$G$914,"")</f>
        <v/>
      </c>
      <c r="F377">
        <f>_xlfn.XLOOKUP(D377,'[2]8A. Master Device Catalog'!$F$5:$F$914,'[2]8A. Master Device Catalog'!$H$5:$H$914,"")</f>
        <v/>
      </c>
    </row>
    <row r="378" hidden="1" ht="21.5" customHeight="1" s="125">
      <c r="A378" t="inlineStr">
        <is>
          <t>DEV000377</t>
        </is>
      </c>
      <c r="B378" s="59" t="inlineStr">
        <is>
          <t>SAM</t>
        </is>
      </c>
      <c r="C378" s="59" t="inlineStr">
        <is>
          <t>PHN</t>
        </is>
      </c>
      <c r="D378" s="60" t="inlineStr">
        <is>
          <t>Galaxy J4+</t>
        </is>
      </c>
      <c r="E378">
        <f>_xlfn.XLOOKUP(D378,'[2]8A. Master Device Catalog'!$F$5:$F$914,'[2]8A. Master Device Catalog'!$G$5:$G$914,"")</f>
        <v/>
      </c>
      <c r="F378">
        <f>_xlfn.XLOOKUP(D378,'[2]8A. Master Device Catalog'!$F$5:$F$914,'[2]8A. Master Device Catalog'!$H$5:$H$914,"")</f>
        <v/>
      </c>
    </row>
    <row r="379" hidden="1" ht="21.5" customHeight="1" s="125">
      <c r="A379" t="inlineStr">
        <is>
          <t>DEV000378</t>
        </is>
      </c>
      <c r="B379" s="59" t="inlineStr">
        <is>
          <t>SAM</t>
        </is>
      </c>
      <c r="C379" s="59" t="inlineStr">
        <is>
          <t>PHN</t>
        </is>
      </c>
      <c r="D379" s="60" t="inlineStr">
        <is>
          <t>Galaxy J5</t>
        </is>
      </c>
      <c r="E379">
        <f>_xlfn.XLOOKUP(D379,'[2]8A. Master Device Catalog'!$F$5:$F$914,'[2]8A. Master Device Catalog'!$G$5:$G$914,"")</f>
        <v/>
      </c>
      <c r="F379">
        <f>_xlfn.XLOOKUP(D379,'[2]8A. Master Device Catalog'!$F$5:$F$914,'[2]8A. Master Device Catalog'!$H$5:$H$914,"")</f>
        <v/>
      </c>
    </row>
    <row r="380" hidden="1" ht="21.5" customHeight="1" s="125">
      <c r="A380" t="inlineStr">
        <is>
          <t>DEV000379</t>
        </is>
      </c>
      <c r="B380" s="59" t="inlineStr">
        <is>
          <t>SAM</t>
        </is>
      </c>
      <c r="C380" s="59" t="inlineStr">
        <is>
          <t>PHN</t>
        </is>
      </c>
      <c r="D380" s="60" t="inlineStr">
        <is>
          <t>Galaxy J6</t>
        </is>
      </c>
      <c r="E380">
        <f>_xlfn.XLOOKUP(D380,'[2]8A. Master Device Catalog'!$F$5:$F$914,'[2]8A. Master Device Catalog'!$G$5:$G$914,"")</f>
        <v/>
      </c>
      <c r="F380">
        <f>_xlfn.XLOOKUP(D380,'[2]8A. Master Device Catalog'!$F$5:$F$914,'[2]8A. Master Device Catalog'!$H$5:$H$914,"")</f>
        <v/>
      </c>
    </row>
    <row r="381" hidden="1" ht="21.5" customHeight="1" s="125">
      <c r="A381" t="inlineStr">
        <is>
          <t>DEV000380</t>
        </is>
      </c>
      <c r="B381" s="59" t="inlineStr">
        <is>
          <t>SAM</t>
        </is>
      </c>
      <c r="C381" s="59" t="inlineStr">
        <is>
          <t>PHN</t>
        </is>
      </c>
      <c r="D381" s="60" t="inlineStr">
        <is>
          <t>Galaxy J7</t>
        </is>
      </c>
      <c r="E381">
        <f>_xlfn.XLOOKUP(D381,'[2]8A. Master Device Catalog'!$F$5:$F$914,'[2]8A. Master Device Catalog'!$G$5:$G$914,"")</f>
        <v/>
      </c>
      <c r="F381">
        <f>_xlfn.XLOOKUP(D381,'[2]8A. Master Device Catalog'!$F$5:$F$914,'[2]8A. Master Device Catalog'!$H$5:$H$914,"")</f>
        <v/>
      </c>
    </row>
    <row r="382" hidden="1" ht="21.5" customHeight="1" s="125">
      <c r="A382" t="inlineStr">
        <is>
          <t>DEV000381</t>
        </is>
      </c>
      <c r="B382" s="59" t="inlineStr">
        <is>
          <t>SAM</t>
        </is>
      </c>
      <c r="C382" s="59" t="inlineStr">
        <is>
          <t>PHN</t>
        </is>
      </c>
      <c r="D382" s="60" t="inlineStr">
        <is>
          <t>Galaxy J7 Prime</t>
        </is>
      </c>
      <c r="E382">
        <f>_xlfn.XLOOKUP(D382,'[2]8A. Master Device Catalog'!$F$5:$F$914,'[2]8A. Master Device Catalog'!$G$5:$G$914,"")</f>
        <v/>
      </c>
      <c r="F382">
        <f>_xlfn.XLOOKUP(D382,'[2]8A. Master Device Catalog'!$F$5:$F$914,'[2]8A. Master Device Catalog'!$H$5:$H$914,"")</f>
        <v/>
      </c>
    </row>
    <row r="383" hidden="1" ht="21.5" customHeight="1" s="125">
      <c r="A383" t="inlineStr">
        <is>
          <t>DEV000382</t>
        </is>
      </c>
      <c r="B383" s="59" t="inlineStr">
        <is>
          <t>SAM</t>
        </is>
      </c>
      <c r="C383" s="59" t="inlineStr">
        <is>
          <t>PHN</t>
        </is>
      </c>
      <c r="D383" s="60" t="inlineStr">
        <is>
          <t>Galaxy J8</t>
        </is>
      </c>
      <c r="E383">
        <f>_xlfn.XLOOKUP(D383,'[2]8A. Master Device Catalog'!$F$5:$F$914,'[2]8A. Master Device Catalog'!$G$5:$G$914,"")</f>
        <v/>
      </c>
      <c r="F383">
        <f>_xlfn.XLOOKUP(D383,'[2]8A. Master Device Catalog'!$F$5:$F$914,'[2]8A. Master Device Catalog'!$H$5:$H$914,"")</f>
        <v/>
      </c>
    </row>
    <row r="384" hidden="1" ht="21.5" customHeight="1" s="125">
      <c r="A384" t="inlineStr">
        <is>
          <t>DEV000383</t>
        </is>
      </c>
      <c r="B384" s="59" t="inlineStr">
        <is>
          <t>SAM</t>
        </is>
      </c>
      <c r="C384" s="59" t="inlineStr">
        <is>
          <t>PHN</t>
        </is>
      </c>
      <c r="D384" s="60" t="inlineStr">
        <is>
          <t>Galaxy XCover</t>
        </is>
      </c>
      <c r="E384">
        <f>_xlfn.XLOOKUP(D384,'[2]8A. Master Device Catalog'!$F$5:$F$914,'[2]8A. Master Device Catalog'!$G$5:$G$914,"")</f>
        <v/>
      </c>
      <c r="F384">
        <f>_xlfn.XLOOKUP(D384,'[2]8A. Master Device Catalog'!$F$5:$F$914,'[2]8A. Master Device Catalog'!$H$5:$H$914,"")</f>
        <v/>
      </c>
    </row>
    <row r="385" hidden="1" ht="21.5" customHeight="1" s="125">
      <c r="A385" t="inlineStr">
        <is>
          <t>DEV000384</t>
        </is>
      </c>
      <c r="B385" s="59" t="inlineStr">
        <is>
          <t>SAM</t>
        </is>
      </c>
      <c r="C385" s="59" t="inlineStr">
        <is>
          <t>PHN</t>
        </is>
      </c>
      <c r="D385" s="60" t="inlineStr">
        <is>
          <t>Galaxy XCover 2</t>
        </is>
      </c>
      <c r="E385">
        <f>_xlfn.XLOOKUP(D385,'[2]8A. Master Device Catalog'!$F$5:$F$914,'[2]8A. Master Device Catalog'!$G$5:$G$914,"")</f>
        <v/>
      </c>
      <c r="F385">
        <f>_xlfn.XLOOKUP(D385,'[2]8A. Master Device Catalog'!$F$5:$F$914,'[2]8A. Master Device Catalog'!$H$5:$H$914,"")</f>
        <v/>
      </c>
    </row>
    <row r="386" hidden="1" ht="21.5" customHeight="1" s="125">
      <c r="A386" t="inlineStr">
        <is>
          <t>DEV000385</t>
        </is>
      </c>
      <c r="B386" s="59" t="inlineStr">
        <is>
          <t>SAM</t>
        </is>
      </c>
      <c r="C386" s="59" t="inlineStr">
        <is>
          <t>PHN</t>
        </is>
      </c>
      <c r="D386" s="60" t="inlineStr">
        <is>
          <t>Galaxy XCover 3</t>
        </is>
      </c>
      <c r="E386">
        <f>_xlfn.XLOOKUP(D386,'[2]8A. Master Device Catalog'!$F$5:$F$914,'[2]8A. Master Device Catalog'!$G$5:$G$914,"")</f>
        <v/>
      </c>
      <c r="F386">
        <f>_xlfn.XLOOKUP(D386,'[2]8A. Master Device Catalog'!$F$5:$F$914,'[2]8A. Master Device Catalog'!$H$5:$H$914,"")</f>
        <v/>
      </c>
    </row>
    <row r="387" hidden="1" ht="21.5" customHeight="1" s="125">
      <c r="A387" t="inlineStr">
        <is>
          <t>DEV000386</t>
        </is>
      </c>
      <c r="B387" s="59" t="inlineStr">
        <is>
          <t>SAM</t>
        </is>
      </c>
      <c r="C387" s="59" t="inlineStr">
        <is>
          <t>PHN</t>
        </is>
      </c>
      <c r="D387" s="60" t="inlineStr">
        <is>
          <t>Galaxy XCover 4</t>
        </is>
      </c>
      <c r="E387">
        <f>_xlfn.XLOOKUP(D387,'[2]8A. Master Device Catalog'!$F$5:$F$914,'[2]8A. Master Device Catalog'!$G$5:$G$914,"")</f>
        <v/>
      </c>
      <c r="F387">
        <f>_xlfn.XLOOKUP(D387,'[2]8A. Master Device Catalog'!$F$5:$F$914,'[2]8A. Master Device Catalog'!$H$5:$H$914,"")</f>
        <v/>
      </c>
    </row>
    <row r="388" hidden="1" ht="21.5" customHeight="1" s="125">
      <c r="A388" t="inlineStr">
        <is>
          <t>DEV000387</t>
        </is>
      </c>
      <c r="B388" s="59" t="inlineStr">
        <is>
          <t>SAM</t>
        </is>
      </c>
      <c r="C388" s="59" t="inlineStr">
        <is>
          <t>PHN</t>
        </is>
      </c>
      <c r="D388" s="60" t="inlineStr">
        <is>
          <t>Galaxy XCover 4s</t>
        </is>
      </c>
      <c r="E388">
        <f>_xlfn.XLOOKUP(D388,'[2]8A. Master Device Catalog'!$F$5:$F$914,'[2]8A. Master Device Catalog'!$G$5:$G$914,"")</f>
        <v/>
      </c>
      <c r="F388">
        <f>_xlfn.XLOOKUP(D388,'[2]8A. Master Device Catalog'!$F$5:$F$914,'[2]8A. Master Device Catalog'!$H$5:$H$914,"")</f>
        <v/>
      </c>
    </row>
    <row r="389" hidden="1" ht="21.5" customHeight="1" s="125">
      <c r="A389" t="inlineStr">
        <is>
          <t>DEV000388</t>
        </is>
      </c>
      <c r="B389" s="59" t="inlineStr">
        <is>
          <t>SAM</t>
        </is>
      </c>
      <c r="C389" s="59" t="inlineStr">
        <is>
          <t>PHN</t>
        </is>
      </c>
      <c r="D389" s="60" t="inlineStr">
        <is>
          <t>Galaxy XCover FieldPro</t>
        </is>
      </c>
      <c r="E389">
        <f>_xlfn.XLOOKUP(D389,'[2]8A. Master Device Catalog'!$F$5:$F$914,'[2]8A. Master Device Catalog'!$G$5:$G$914,"")</f>
        <v/>
      </c>
      <c r="F389">
        <f>_xlfn.XLOOKUP(D389,'[2]8A. Master Device Catalog'!$F$5:$F$914,'[2]8A. Master Device Catalog'!$H$5:$H$914,"")</f>
        <v/>
      </c>
    </row>
    <row r="390" hidden="1" ht="21.5" customHeight="1" s="125">
      <c r="A390" t="inlineStr">
        <is>
          <t>DEV000389</t>
        </is>
      </c>
      <c r="B390" s="59" t="inlineStr">
        <is>
          <t>SAM</t>
        </is>
      </c>
      <c r="C390" s="59" t="inlineStr">
        <is>
          <t>PHN</t>
        </is>
      </c>
      <c r="D390" s="60" t="inlineStr">
        <is>
          <t>Galaxy XCover Pro</t>
        </is>
      </c>
      <c r="E390">
        <f>_xlfn.XLOOKUP(D390,'[2]8A. Master Device Catalog'!$F$5:$F$914,'[2]8A. Master Device Catalog'!$G$5:$G$914,"")</f>
        <v/>
      </c>
      <c r="F390">
        <f>_xlfn.XLOOKUP(D390,'[2]8A. Master Device Catalog'!$F$5:$F$914,'[2]8A. Master Device Catalog'!$H$5:$H$914,"")</f>
        <v/>
      </c>
    </row>
    <row r="391" hidden="1" ht="21.5" customHeight="1" s="125">
      <c r="A391" t="inlineStr">
        <is>
          <t>DEV000390</t>
        </is>
      </c>
      <c r="B391" s="59" t="inlineStr">
        <is>
          <t>SAM</t>
        </is>
      </c>
      <c r="C391" s="59" t="inlineStr">
        <is>
          <t>PHN</t>
        </is>
      </c>
      <c r="D391" s="60" t="inlineStr">
        <is>
          <t>Galaxy XCover5</t>
        </is>
      </c>
      <c r="E391">
        <f>_xlfn.XLOOKUP(D391,'[2]8A. Master Device Catalog'!$F$5:$F$914,'[2]8A. Master Device Catalog'!$G$5:$G$914,"")</f>
        <v/>
      </c>
      <c r="F391">
        <f>_xlfn.XLOOKUP(D391,'[2]8A. Master Device Catalog'!$F$5:$F$914,'[2]8A. Master Device Catalog'!$H$5:$H$914,"")</f>
        <v/>
      </c>
    </row>
    <row r="392" hidden="1" ht="21.5" customHeight="1" s="125">
      <c r="A392" t="inlineStr">
        <is>
          <t>DEV000391</t>
        </is>
      </c>
      <c r="B392" s="59" t="inlineStr">
        <is>
          <t>SAM</t>
        </is>
      </c>
      <c r="C392" s="59" t="inlineStr">
        <is>
          <t>PHN</t>
        </is>
      </c>
      <c r="D392" s="60" t="inlineStr">
        <is>
          <t>Galaxy XCover6 Pro</t>
        </is>
      </c>
      <c r="E392">
        <f>_xlfn.XLOOKUP(D392,'[2]8A. Master Device Catalog'!$F$5:$F$914,'[2]8A. Master Device Catalog'!$G$5:$G$914,"")</f>
        <v/>
      </c>
      <c r="F392">
        <f>_xlfn.XLOOKUP(D392,'[2]8A. Master Device Catalog'!$F$5:$F$914,'[2]8A. Master Device Catalog'!$H$5:$H$914,"")</f>
        <v/>
      </c>
    </row>
    <row r="393" hidden="1" ht="21.5" customHeight="1" s="125">
      <c r="A393" t="inlineStr">
        <is>
          <t>DEV000392</t>
        </is>
      </c>
      <c r="B393" s="59" t="inlineStr">
        <is>
          <t>SAM</t>
        </is>
      </c>
      <c r="C393" s="59" t="inlineStr">
        <is>
          <t>PHN</t>
        </is>
      </c>
      <c r="D393" s="60" t="inlineStr">
        <is>
          <t>Galaxy XCover7</t>
        </is>
      </c>
      <c r="E393">
        <f>_xlfn.XLOOKUP(D393,'[2]8A. Master Device Catalog'!$F$5:$F$914,'[2]8A. Master Device Catalog'!$G$5:$G$914,"")</f>
        <v/>
      </c>
      <c r="F393">
        <f>_xlfn.XLOOKUP(D393,'[2]8A. Master Device Catalog'!$F$5:$F$914,'[2]8A. Master Device Catalog'!$H$5:$H$914,"")</f>
        <v/>
      </c>
    </row>
    <row r="394" hidden="1" ht="21.5" customHeight="1" s="125">
      <c r="A394" t="inlineStr">
        <is>
          <t>DEV000393</t>
        </is>
      </c>
      <c r="B394" s="59" t="inlineStr">
        <is>
          <t>SNY</t>
        </is>
      </c>
      <c r="C394" s="59" t="inlineStr">
        <is>
          <t>PHN</t>
        </is>
      </c>
      <c r="D394" s="60" t="inlineStr">
        <is>
          <t>Xperia Z3</t>
        </is>
      </c>
      <c r="E394">
        <f>_xlfn.XLOOKUP(D394,'[2]8A. Master Device Catalog'!$F$5:$F$914,'[2]8A. Master Device Catalog'!$G$5:$G$914,"")</f>
        <v/>
      </c>
      <c r="F394">
        <f>_xlfn.XLOOKUP(D394,'[2]8A. Master Device Catalog'!$F$5:$F$914,'[2]8A. Master Device Catalog'!$H$5:$H$914,"")</f>
        <v/>
      </c>
    </row>
    <row r="395" hidden="1" ht="21.5" customHeight="1" s="125">
      <c r="A395" t="inlineStr">
        <is>
          <t>DEV000394</t>
        </is>
      </c>
      <c r="B395" s="59" t="inlineStr">
        <is>
          <t>SNY</t>
        </is>
      </c>
      <c r="C395" s="59" t="inlineStr">
        <is>
          <t>PHN</t>
        </is>
      </c>
      <c r="D395" s="60" t="inlineStr">
        <is>
          <t>Xperia Z5</t>
        </is>
      </c>
      <c r="E395">
        <f>_xlfn.XLOOKUP(D395,'[2]8A. Master Device Catalog'!$F$5:$F$914,'[2]8A. Master Device Catalog'!$G$5:$G$914,"")</f>
        <v/>
      </c>
      <c r="F395">
        <f>_xlfn.XLOOKUP(D395,'[2]8A. Master Device Catalog'!$F$5:$F$914,'[2]8A. Master Device Catalog'!$H$5:$H$914,"")</f>
        <v/>
      </c>
    </row>
    <row r="396" hidden="1" ht="21.5" customHeight="1" s="125">
      <c r="A396" t="inlineStr">
        <is>
          <t>DEV000395</t>
        </is>
      </c>
      <c r="B396" s="59" t="inlineStr">
        <is>
          <t>SNY</t>
        </is>
      </c>
      <c r="C396" s="59" t="inlineStr">
        <is>
          <t>PHN</t>
        </is>
      </c>
      <c r="D396" s="60" t="inlineStr">
        <is>
          <t>Xperia XZ</t>
        </is>
      </c>
      <c r="E396">
        <f>_xlfn.XLOOKUP(D396,'[2]8A. Master Device Catalog'!$F$5:$F$914,'[2]8A. Master Device Catalog'!$G$5:$G$914,"")</f>
        <v/>
      </c>
      <c r="F396">
        <f>_xlfn.XLOOKUP(D396,'[2]8A. Master Device Catalog'!$F$5:$F$914,'[2]8A. Master Device Catalog'!$H$5:$H$914,"")</f>
        <v/>
      </c>
    </row>
    <row r="397" hidden="1" ht="21.5" customHeight="1" s="125">
      <c r="A397" t="inlineStr">
        <is>
          <t>DEV000396</t>
        </is>
      </c>
      <c r="B397" s="59" t="inlineStr">
        <is>
          <t>SNY</t>
        </is>
      </c>
      <c r="C397" s="59" t="inlineStr">
        <is>
          <t>PHN</t>
        </is>
      </c>
      <c r="D397" s="60" t="inlineStr">
        <is>
          <t>Xperia XZ1</t>
        </is>
      </c>
      <c r="E397">
        <f>_xlfn.XLOOKUP(D397,'[2]8A. Master Device Catalog'!$F$5:$F$914,'[2]8A. Master Device Catalog'!$G$5:$G$914,"")</f>
        <v/>
      </c>
      <c r="F397">
        <f>_xlfn.XLOOKUP(D397,'[2]8A. Master Device Catalog'!$F$5:$F$914,'[2]8A. Master Device Catalog'!$H$5:$H$914,"")</f>
        <v/>
      </c>
    </row>
    <row r="398" hidden="1" ht="21.5" customHeight="1" s="125">
      <c r="A398" t="inlineStr">
        <is>
          <t>DEV000397</t>
        </is>
      </c>
      <c r="B398" s="59" t="inlineStr">
        <is>
          <t>SNY</t>
        </is>
      </c>
      <c r="C398" s="59" t="inlineStr">
        <is>
          <t>PHN</t>
        </is>
      </c>
      <c r="D398" s="60" t="inlineStr">
        <is>
          <t>Xperia XZ2</t>
        </is>
      </c>
      <c r="E398">
        <f>_xlfn.XLOOKUP(D398,'[2]8A. Master Device Catalog'!$F$5:$F$914,'[2]8A. Master Device Catalog'!$G$5:$G$914,"")</f>
        <v/>
      </c>
      <c r="F398">
        <f>_xlfn.XLOOKUP(D398,'[2]8A. Master Device Catalog'!$F$5:$F$914,'[2]8A. Master Device Catalog'!$H$5:$H$914,"")</f>
        <v/>
      </c>
    </row>
    <row r="399" hidden="1" ht="21.5" customHeight="1" s="125">
      <c r="A399" t="inlineStr">
        <is>
          <t>DEV000398</t>
        </is>
      </c>
      <c r="B399" s="59" t="inlineStr">
        <is>
          <t>SNY</t>
        </is>
      </c>
      <c r="C399" s="59" t="inlineStr">
        <is>
          <t>PHN</t>
        </is>
      </c>
      <c r="D399" s="60" t="inlineStr">
        <is>
          <t>Xperia 1</t>
        </is>
      </c>
      <c r="E399">
        <f>_xlfn.XLOOKUP(D399,'[2]8A. Master Device Catalog'!$F$5:$F$914,'[2]8A. Master Device Catalog'!$G$5:$G$914,"")</f>
        <v/>
      </c>
      <c r="F399">
        <f>_xlfn.XLOOKUP(D399,'[2]8A. Master Device Catalog'!$F$5:$F$914,'[2]8A. Master Device Catalog'!$H$5:$H$914,"")</f>
        <v/>
      </c>
    </row>
    <row r="400" hidden="1" ht="21.5" customHeight="1" s="125">
      <c r="A400" t="inlineStr">
        <is>
          <t>DEV000399</t>
        </is>
      </c>
      <c r="B400" s="59" t="inlineStr">
        <is>
          <t>SNY</t>
        </is>
      </c>
      <c r="C400" s="59" t="inlineStr">
        <is>
          <t>PHN</t>
        </is>
      </c>
      <c r="D400" s="60" t="inlineStr">
        <is>
          <t>Xperia 1 II</t>
        </is>
      </c>
      <c r="E400">
        <f>_xlfn.XLOOKUP(D400,'[2]8A. Master Device Catalog'!$F$5:$F$914,'[2]8A. Master Device Catalog'!$G$5:$G$914,"")</f>
        <v/>
      </c>
      <c r="F400">
        <f>_xlfn.XLOOKUP(D400,'[2]8A. Master Device Catalog'!$F$5:$F$914,'[2]8A. Master Device Catalog'!$H$5:$H$914,"")</f>
        <v/>
      </c>
    </row>
    <row r="401" hidden="1" ht="21.5" customHeight="1" s="125">
      <c r="A401" t="inlineStr">
        <is>
          <t>DEV000400</t>
        </is>
      </c>
      <c r="B401" s="59" t="inlineStr">
        <is>
          <t>SNY</t>
        </is>
      </c>
      <c r="C401" s="59" t="inlineStr">
        <is>
          <t>PHN</t>
        </is>
      </c>
      <c r="D401" s="60" t="inlineStr">
        <is>
          <t>Xperia 1 III</t>
        </is>
      </c>
      <c r="E401">
        <f>_xlfn.XLOOKUP(D401,'[2]8A. Master Device Catalog'!$F$5:$F$914,'[2]8A. Master Device Catalog'!$G$5:$G$914,"")</f>
        <v/>
      </c>
      <c r="F401">
        <f>_xlfn.XLOOKUP(D401,'[2]8A. Master Device Catalog'!$F$5:$F$914,'[2]8A. Master Device Catalog'!$H$5:$H$914,"")</f>
        <v/>
      </c>
    </row>
    <row r="402" hidden="1" ht="21.5" customHeight="1" s="125">
      <c r="A402" t="inlineStr">
        <is>
          <t>DEV000401</t>
        </is>
      </c>
      <c r="B402" s="59" t="inlineStr">
        <is>
          <t>SNY</t>
        </is>
      </c>
      <c r="C402" s="59" t="inlineStr">
        <is>
          <t>PHN</t>
        </is>
      </c>
      <c r="D402" s="60" t="inlineStr">
        <is>
          <t>Xperia 1 V</t>
        </is>
      </c>
      <c r="E402">
        <f>_xlfn.XLOOKUP(D402,'[2]8A. Master Device Catalog'!$F$5:$F$914,'[2]8A. Master Device Catalog'!$G$5:$G$914,"")</f>
        <v/>
      </c>
      <c r="F402">
        <f>_xlfn.XLOOKUP(D402,'[2]8A. Master Device Catalog'!$F$5:$F$914,'[2]8A. Master Device Catalog'!$H$5:$H$914,"")</f>
        <v/>
      </c>
    </row>
    <row r="403" hidden="1" ht="21.5" customHeight="1" s="125">
      <c r="A403" t="inlineStr">
        <is>
          <t>DEV000402</t>
        </is>
      </c>
      <c r="B403" s="59" t="inlineStr">
        <is>
          <t>SNY</t>
        </is>
      </c>
      <c r="C403" s="59" t="inlineStr">
        <is>
          <t>PHN</t>
        </is>
      </c>
      <c r="D403" s="60" t="inlineStr">
        <is>
          <t>Xperia 5 V</t>
        </is>
      </c>
      <c r="E403">
        <f>_xlfn.XLOOKUP(D403,'[2]8A. Master Device Catalog'!$F$5:$F$914,'[2]8A. Master Device Catalog'!$G$5:$G$914,"")</f>
        <v/>
      </c>
      <c r="F403">
        <f>_xlfn.XLOOKUP(D403,'[2]8A. Master Device Catalog'!$F$5:$F$914,'[2]8A. Master Device Catalog'!$H$5:$H$914,"")</f>
        <v/>
      </c>
    </row>
    <row r="404" hidden="1" ht="21.5" customHeight="1" s="125">
      <c r="A404" t="inlineStr">
        <is>
          <t>DEV000403</t>
        </is>
      </c>
      <c r="B404" s="59" t="inlineStr">
        <is>
          <t>SNY</t>
        </is>
      </c>
      <c r="C404" s="59" t="inlineStr">
        <is>
          <t>PHN</t>
        </is>
      </c>
      <c r="D404" s="60" t="inlineStr">
        <is>
          <t>Xperia 5</t>
        </is>
      </c>
      <c r="E404">
        <f>_xlfn.XLOOKUP(D404,'[2]8A. Master Device Catalog'!$F$5:$F$914,'[2]8A. Master Device Catalog'!$G$5:$G$914,"")</f>
        <v/>
      </c>
      <c r="F404">
        <f>_xlfn.XLOOKUP(D404,'[2]8A. Master Device Catalog'!$F$5:$F$914,'[2]8A. Master Device Catalog'!$H$5:$H$914,"")</f>
        <v/>
      </c>
    </row>
    <row r="405" hidden="1" ht="21.5" customHeight="1" s="125">
      <c r="A405" t="inlineStr">
        <is>
          <t>DEV000404</t>
        </is>
      </c>
      <c r="B405" s="59" t="inlineStr">
        <is>
          <t>SNY</t>
        </is>
      </c>
      <c r="C405" s="59" t="inlineStr">
        <is>
          <t>PHN</t>
        </is>
      </c>
      <c r="D405" s="60" t="inlineStr">
        <is>
          <t>Xperia 5 II</t>
        </is>
      </c>
      <c r="E405">
        <f>_xlfn.XLOOKUP(D405,'[2]8A. Master Device Catalog'!$F$5:$F$914,'[2]8A. Master Device Catalog'!$G$5:$G$914,"")</f>
        <v/>
      </c>
      <c r="F405">
        <f>_xlfn.XLOOKUP(D405,'[2]8A. Master Device Catalog'!$F$5:$F$914,'[2]8A. Master Device Catalog'!$H$5:$H$914,"")</f>
        <v/>
      </c>
    </row>
    <row r="406" hidden="1" ht="21.5" customHeight="1" s="125">
      <c r="A406" t="inlineStr">
        <is>
          <t>DEV000405</t>
        </is>
      </c>
      <c r="B406" s="59" t="inlineStr">
        <is>
          <t>SNY</t>
        </is>
      </c>
      <c r="C406" s="59" t="inlineStr">
        <is>
          <t>PHN</t>
        </is>
      </c>
      <c r="D406" s="60" t="inlineStr">
        <is>
          <t>Xperia 5 III</t>
        </is>
      </c>
      <c r="E406">
        <f>_xlfn.XLOOKUP(D406,'[2]8A. Master Device Catalog'!$F$5:$F$914,'[2]8A. Master Device Catalog'!$G$5:$G$914,"")</f>
        <v/>
      </c>
      <c r="F406">
        <f>_xlfn.XLOOKUP(D406,'[2]8A. Master Device Catalog'!$F$5:$F$914,'[2]8A. Master Device Catalog'!$H$5:$H$914,"")</f>
        <v/>
      </c>
    </row>
    <row r="407" hidden="1" ht="21.5" customHeight="1" s="125">
      <c r="A407" t="inlineStr">
        <is>
          <t>DEV000406</t>
        </is>
      </c>
      <c r="B407" s="59" t="inlineStr">
        <is>
          <t>SNY</t>
        </is>
      </c>
      <c r="C407" s="59" t="inlineStr">
        <is>
          <t>PHN</t>
        </is>
      </c>
      <c r="D407" s="60" t="inlineStr">
        <is>
          <t>Xperia 10 III</t>
        </is>
      </c>
      <c r="E407">
        <f>_xlfn.XLOOKUP(D407,'[2]8A. Master Device Catalog'!$F$5:$F$914,'[2]8A. Master Device Catalog'!$G$5:$G$914,"")</f>
        <v/>
      </c>
      <c r="F407">
        <f>_xlfn.XLOOKUP(D407,'[2]8A. Master Device Catalog'!$F$5:$F$914,'[2]8A. Master Device Catalog'!$H$5:$H$914,"")</f>
        <v/>
      </c>
    </row>
    <row r="408" hidden="1" ht="21.5" customHeight="1" s="125">
      <c r="A408" t="inlineStr">
        <is>
          <t>DEV000407</t>
        </is>
      </c>
      <c r="B408" s="59" t="inlineStr">
        <is>
          <t>SNY</t>
        </is>
      </c>
      <c r="C408" s="59" t="inlineStr">
        <is>
          <t>PHN</t>
        </is>
      </c>
      <c r="D408" s="60" t="inlineStr">
        <is>
          <t>Xperia 10 V</t>
        </is>
      </c>
      <c r="E408">
        <f>_xlfn.XLOOKUP(D408,'[2]8A. Master Device Catalog'!$F$5:$F$914,'[2]8A. Master Device Catalog'!$G$5:$G$914,"")</f>
        <v/>
      </c>
      <c r="F408">
        <f>_xlfn.XLOOKUP(D408,'[2]8A. Master Device Catalog'!$F$5:$F$914,'[2]8A. Master Device Catalog'!$H$5:$H$914,"")</f>
        <v/>
      </c>
    </row>
    <row r="409" hidden="1" ht="21.5" customHeight="1" s="125">
      <c r="A409" t="inlineStr">
        <is>
          <t>DEV000408</t>
        </is>
      </c>
      <c r="B409" s="59" t="inlineStr">
        <is>
          <t>SNY</t>
        </is>
      </c>
      <c r="C409" s="59" t="inlineStr">
        <is>
          <t>PHN</t>
        </is>
      </c>
      <c r="D409" s="60" t="inlineStr">
        <is>
          <t>Xperia PRO</t>
        </is>
      </c>
      <c r="E409">
        <f>_xlfn.XLOOKUP(D409,'[2]8A. Master Device Catalog'!$F$5:$F$914,'[2]8A. Master Device Catalog'!$G$5:$G$914,"")</f>
        <v/>
      </c>
      <c r="F409">
        <f>_xlfn.XLOOKUP(D409,'[2]8A. Master Device Catalog'!$F$5:$F$914,'[2]8A. Master Device Catalog'!$H$5:$H$914,"")</f>
        <v/>
      </c>
    </row>
    <row r="410" hidden="1" ht="21.5" customHeight="1" s="125">
      <c r="A410" t="inlineStr">
        <is>
          <t>DEV000409</t>
        </is>
      </c>
      <c r="B410" s="59" t="inlineStr">
        <is>
          <t>SNY</t>
        </is>
      </c>
      <c r="C410" s="59" t="inlineStr">
        <is>
          <t>PHN</t>
        </is>
      </c>
      <c r="D410" s="60" t="inlineStr">
        <is>
          <t>Xperia PRO-I</t>
        </is>
      </c>
      <c r="E410">
        <f>_xlfn.XLOOKUP(D410,'[2]8A. Master Device Catalog'!$F$5:$F$914,'[2]8A. Master Device Catalog'!$G$5:$G$914,"")</f>
        <v/>
      </c>
      <c r="F410">
        <f>_xlfn.XLOOKUP(D410,'[2]8A. Master Device Catalog'!$F$5:$F$914,'[2]8A. Master Device Catalog'!$H$5:$H$914,"")</f>
        <v/>
      </c>
    </row>
    <row r="411" hidden="1" ht="21.5" customHeight="1" s="125">
      <c r="A411" t="inlineStr">
        <is>
          <t>DEV000410</t>
        </is>
      </c>
      <c r="B411" s="59" t="inlineStr">
        <is>
          <t>SNY</t>
        </is>
      </c>
      <c r="C411" s="59" t="inlineStr">
        <is>
          <t>PHN</t>
        </is>
      </c>
      <c r="D411" s="60" t="inlineStr">
        <is>
          <t>Xperia Ace</t>
        </is>
      </c>
      <c r="E411">
        <f>_xlfn.XLOOKUP(D411,'[2]8A. Master Device Catalog'!$F$5:$F$914,'[2]8A. Master Device Catalog'!$G$5:$G$914,"")</f>
        <v/>
      </c>
      <c r="F411">
        <f>_xlfn.XLOOKUP(D411,'[2]8A. Master Device Catalog'!$F$5:$F$914,'[2]8A. Master Device Catalog'!$H$5:$H$914,"")</f>
        <v/>
      </c>
    </row>
    <row r="412" hidden="1" ht="21.5" customHeight="1" s="125">
      <c r="A412" t="inlineStr">
        <is>
          <t>DEV000411</t>
        </is>
      </c>
      <c r="B412" s="59" t="inlineStr">
        <is>
          <t>SNY</t>
        </is>
      </c>
      <c r="C412" s="59" t="inlineStr">
        <is>
          <t>PHN</t>
        </is>
      </c>
      <c r="D412" s="60" t="inlineStr">
        <is>
          <t>Xperia Ace II</t>
        </is>
      </c>
      <c r="E412">
        <f>_xlfn.XLOOKUP(D412,'[2]8A. Master Device Catalog'!$F$5:$F$914,'[2]8A. Master Device Catalog'!$G$5:$G$914,"")</f>
        <v/>
      </c>
      <c r="F412">
        <f>_xlfn.XLOOKUP(D412,'[2]8A. Master Device Catalog'!$F$5:$F$914,'[2]8A. Master Device Catalog'!$H$5:$H$914,"")</f>
        <v/>
      </c>
    </row>
    <row r="413" hidden="1" ht="21.5" customHeight="1" s="125">
      <c r="A413" t="inlineStr">
        <is>
          <t>DEV000412</t>
        </is>
      </c>
      <c r="B413" s="59" t="inlineStr">
        <is>
          <t>SNY</t>
        </is>
      </c>
      <c r="C413" s="59" t="inlineStr">
        <is>
          <t>PHN</t>
        </is>
      </c>
      <c r="D413" s="60" t="inlineStr">
        <is>
          <t>Xperia Ace III</t>
        </is>
      </c>
      <c r="E413">
        <f>_xlfn.XLOOKUP(D413,'[2]8A. Master Device Catalog'!$F$5:$F$914,'[2]8A. Master Device Catalog'!$G$5:$G$914,"")</f>
        <v/>
      </c>
      <c r="F413">
        <f>_xlfn.XLOOKUP(D413,'[2]8A. Master Device Catalog'!$F$5:$F$914,'[2]8A. Master Device Catalog'!$H$5:$H$914,"")</f>
        <v/>
      </c>
    </row>
    <row r="414" hidden="1" ht="21.5" customHeight="1" s="125">
      <c r="A414" t="inlineStr">
        <is>
          <t>DEV000413</t>
        </is>
      </c>
      <c r="B414" s="59" t="inlineStr">
        <is>
          <t>XIA</t>
        </is>
      </c>
      <c r="C414" s="59" t="inlineStr">
        <is>
          <t>PHN</t>
        </is>
      </c>
      <c r="D414" s="60" t="inlineStr">
        <is>
          <t>Mi 8</t>
        </is>
      </c>
      <c r="E414">
        <f>_xlfn.XLOOKUP(D414,'[2]8A. Master Device Catalog'!$F$5:$F$914,'[2]8A. Master Device Catalog'!$G$5:$G$914,"")</f>
        <v/>
      </c>
      <c r="F414">
        <f>_xlfn.XLOOKUP(D414,'[2]8A. Master Device Catalog'!$F$5:$F$914,'[2]8A. Master Device Catalog'!$H$5:$H$914,"")</f>
        <v/>
      </c>
    </row>
    <row r="415" hidden="1" ht="21.5" customHeight="1" s="125">
      <c r="A415" t="inlineStr">
        <is>
          <t>DEV000414</t>
        </is>
      </c>
      <c r="B415" s="59" t="inlineStr">
        <is>
          <t>XIA</t>
        </is>
      </c>
      <c r="C415" s="59" t="inlineStr">
        <is>
          <t>PHN</t>
        </is>
      </c>
      <c r="D415" s="60" t="inlineStr">
        <is>
          <t>Mi 9</t>
        </is>
      </c>
      <c r="E415">
        <f>_xlfn.XLOOKUP(D415,'[2]8A. Master Device Catalog'!$F$5:$F$914,'[2]8A. Master Device Catalog'!$G$5:$G$914,"")</f>
        <v/>
      </c>
      <c r="F415">
        <f>_xlfn.XLOOKUP(D415,'[2]8A. Master Device Catalog'!$F$5:$F$914,'[2]8A. Master Device Catalog'!$H$5:$H$914,"")</f>
        <v/>
      </c>
    </row>
    <row r="416" hidden="1" ht="21.5" customHeight="1" s="125">
      <c r="A416" t="inlineStr">
        <is>
          <t>DEV000415</t>
        </is>
      </c>
      <c r="B416" s="59" t="inlineStr">
        <is>
          <t>XIA</t>
        </is>
      </c>
      <c r="C416" s="59" t="inlineStr">
        <is>
          <t>PHN</t>
        </is>
      </c>
      <c r="D416" s="60" t="inlineStr">
        <is>
          <t>Mi 10</t>
        </is>
      </c>
      <c r="E416">
        <f>_xlfn.XLOOKUP(D416,'[2]8A. Master Device Catalog'!$F$5:$F$914,'[2]8A. Master Device Catalog'!$G$5:$G$914,"")</f>
        <v/>
      </c>
      <c r="F416">
        <f>_xlfn.XLOOKUP(D416,'[2]8A. Master Device Catalog'!$F$5:$F$914,'[2]8A. Master Device Catalog'!$H$5:$H$914,"")</f>
        <v/>
      </c>
    </row>
    <row r="417" hidden="1" ht="21.5" customHeight="1" s="125">
      <c r="A417" t="inlineStr">
        <is>
          <t>DEV000416</t>
        </is>
      </c>
      <c r="B417" s="59" t="inlineStr">
        <is>
          <t>XIA</t>
        </is>
      </c>
      <c r="C417" s="59" t="inlineStr">
        <is>
          <t>PHN</t>
        </is>
      </c>
      <c r="D417" s="60" t="inlineStr">
        <is>
          <t>Mi 11</t>
        </is>
      </c>
      <c r="E417">
        <f>_xlfn.XLOOKUP(D417,'[2]8A. Master Device Catalog'!$F$5:$F$914,'[2]8A. Master Device Catalog'!$G$5:$G$914,"")</f>
        <v/>
      </c>
      <c r="F417">
        <f>_xlfn.XLOOKUP(D417,'[2]8A. Master Device Catalog'!$F$5:$F$914,'[2]8A. Master Device Catalog'!$H$5:$H$914,"")</f>
        <v/>
      </c>
    </row>
    <row r="418" hidden="1" ht="21.5" customHeight="1" s="125">
      <c r="A418" t="inlineStr">
        <is>
          <t>DEV000417</t>
        </is>
      </c>
      <c r="B418" s="59" t="inlineStr">
        <is>
          <t>XIA</t>
        </is>
      </c>
      <c r="C418" s="59" t="inlineStr">
        <is>
          <t>PHN</t>
        </is>
      </c>
      <c r="D418" s="60" t="inlineStr">
        <is>
          <t>Xiaomi 12</t>
        </is>
      </c>
      <c r="E418">
        <f>_xlfn.XLOOKUP(D418,'[2]8A. Master Device Catalog'!$F$5:$F$914,'[2]8A. Master Device Catalog'!$G$5:$G$914,"")</f>
        <v/>
      </c>
      <c r="F418">
        <f>_xlfn.XLOOKUP(D418,'[2]8A. Master Device Catalog'!$F$5:$F$914,'[2]8A. Master Device Catalog'!$H$5:$H$914,"")</f>
        <v/>
      </c>
    </row>
    <row r="419" hidden="1" ht="21.5" customHeight="1" s="125">
      <c r="A419" t="inlineStr">
        <is>
          <t>DEV000418</t>
        </is>
      </c>
      <c r="B419" s="59" t="inlineStr">
        <is>
          <t>XIA</t>
        </is>
      </c>
      <c r="C419" s="59" t="inlineStr">
        <is>
          <t>PHN</t>
        </is>
      </c>
      <c r="D419" s="60" t="inlineStr">
        <is>
          <t>Xiaomi 13</t>
        </is>
      </c>
      <c r="E419">
        <f>_xlfn.XLOOKUP(D419,'[2]8A. Master Device Catalog'!$F$5:$F$914,'[2]8A. Master Device Catalog'!$G$5:$G$914,"")</f>
        <v/>
      </c>
      <c r="F419">
        <f>_xlfn.XLOOKUP(D419,'[2]8A. Master Device Catalog'!$F$5:$F$914,'[2]8A. Master Device Catalog'!$H$5:$H$914,"")</f>
        <v/>
      </c>
    </row>
    <row r="420" hidden="1" ht="21.5" customHeight="1" s="125">
      <c r="A420" t="inlineStr">
        <is>
          <t>DEV000419</t>
        </is>
      </c>
      <c r="B420" s="59" t="inlineStr">
        <is>
          <t>XIA</t>
        </is>
      </c>
      <c r="C420" s="59" t="inlineStr">
        <is>
          <t>PHN</t>
        </is>
      </c>
      <c r="D420" s="60" t="inlineStr">
        <is>
          <t>Xiaomi 14</t>
        </is>
      </c>
      <c r="E420">
        <f>_xlfn.XLOOKUP(D420,'[2]8A. Master Device Catalog'!$F$5:$F$914,'[2]8A. Master Device Catalog'!$G$5:$G$914,"")</f>
        <v/>
      </c>
      <c r="F420">
        <f>_xlfn.XLOOKUP(D420,'[2]8A. Master Device Catalog'!$F$5:$F$914,'[2]8A. Master Device Catalog'!$H$5:$H$914,"")</f>
        <v/>
      </c>
    </row>
    <row r="421" hidden="1" ht="21.5" customHeight="1" s="125">
      <c r="A421" t="inlineStr">
        <is>
          <t>DEV000420</t>
        </is>
      </c>
      <c r="B421" s="59" t="inlineStr">
        <is>
          <t>XIA</t>
        </is>
      </c>
      <c r="C421" s="59" t="inlineStr">
        <is>
          <t>PHN</t>
        </is>
      </c>
      <c r="D421" s="60" t="inlineStr">
        <is>
          <t>Redmi Note 10</t>
        </is>
      </c>
      <c r="E421">
        <f>_xlfn.XLOOKUP(D421,'[2]8A. Master Device Catalog'!$F$5:$F$914,'[2]8A. Master Device Catalog'!$G$5:$G$914,"")</f>
        <v/>
      </c>
      <c r="F421">
        <f>_xlfn.XLOOKUP(D421,'[2]8A. Master Device Catalog'!$F$5:$F$914,'[2]8A. Master Device Catalog'!$H$5:$H$914,"")</f>
        <v/>
      </c>
    </row>
    <row r="422" hidden="1" ht="21.5" customHeight="1" s="125">
      <c r="A422" t="inlineStr">
        <is>
          <t>DEV000421</t>
        </is>
      </c>
      <c r="B422" s="59" t="inlineStr">
        <is>
          <t>XIA</t>
        </is>
      </c>
      <c r="C422" s="59" t="inlineStr">
        <is>
          <t>PHN</t>
        </is>
      </c>
      <c r="D422" s="60" t="inlineStr">
        <is>
          <t>Redmi Note 11</t>
        </is>
      </c>
      <c r="E422">
        <f>_xlfn.XLOOKUP(D422,'[2]8A. Master Device Catalog'!$F$5:$F$914,'[2]8A. Master Device Catalog'!$G$5:$G$914,"")</f>
        <v/>
      </c>
      <c r="F422">
        <f>_xlfn.XLOOKUP(D422,'[2]8A. Master Device Catalog'!$F$5:$F$914,'[2]8A. Master Device Catalog'!$H$5:$H$914,"")</f>
        <v/>
      </c>
    </row>
    <row r="423" hidden="1" ht="21.5" customHeight="1" s="125">
      <c r="A423" t="inlineStr">
        <is>
          <t>DEV000422</t>
        </is>
      </c>
      <c r="B423" s="59" t="inlineStr">
        <is>
          <t>XIA</t>
        </is>
      </c>
      <c r="C423" s="59" t="inlineStr">
        <is>
          <t>PHN</t>
        </is>
      </c>
      <c r="D423" s="60" t="inlineStr">
        <is>
          <t>Redmi Note 12 Pro 5G</t>
        </is>
      </c>
      <c r="E423">
        <f>_xlfn.XLOOKUP(D423,'[2]8A. Master Device Catalog'!$F$5:$F$914,'[2]8A. Master Device Catalog'!$G$5:$G$914,"")</f>
        <v/>
      </c>
      <c r="F423">
        <f>_xlfn.XLOOKUP(D423,'[2]8A. Master Device Catalog'!$F$5:$F$914,'[2]8A. Master Device Catalog'!$H$5:$H$914,"")</f>
        <v/>
      </c>
    </row>
    <row r="424" hidden="1" ht="21.5" customHeight="1" s="125">
      <c r="A424" t="inlineStr">
        <is>
          <t>DEV000423</t>
        </is>
      </c>
      <c r="B424" s="59" t="inlineStr">
        <is>
          <t>XIA</t>
        </is>
      </c>
      <c r="C424" s="59" t="inlineStr">
        <is>
          <t>PHN</t>
        </is>
      </c>
      <c r="D424" s="60" t="inlineStr">
        <is>
          <t>Xiaomi 14 Ultra</t>
        </is>
      </c>
      <c r="E424">
        <f>_xlfn.XLOOKUP(D424,'[2]8A. Master Device Catalog'!$F$5:$F$914,'[2]8A. Master Device Catalog'!$G$5:$G$914,"")</f>
        <v/>
      </c>
      <c r="F424">
        <f>_xlfn.XLOOKUP(D424,'[2]8A. Master Device Catalog'!$F$5:$F$914,'[2]8A. Master Device Catalog'!$H$5:$H$914,"")</f>
        <v/>
      </c>
    </row>
    <row r="425" hidden="1" ht="21.5" customHeight="1" s="125">
      <c r="A425" t="inlineStr">
        <is>
          <t>DEV000424</t>
        </is>
      </c>
      <c r="B425" s="59" t="inlineStr">
        <is>
          <t>XIA</t>
        </is>
      </c>
      <c r="C425" s="59" t="inlineStr">
        <is>
          <t>PHN</t>
        </is>
      </c>
      <c r="D425" s="60" t="inlineStr">
        <is>
          <t>Xiaomi 15</t>
        </is>
      </c>
      <c r="E425">
        <f>_xlfn.XLOOKUP(D425,'[2]8A. Master Device Catalog'!$F$5:$F$914,'[2]8A. Master Device Catalog'!$G$5:$G$914,"")</f>
        <v/>
      </c>
      <c r="F425">
        <f>_xlfn.XLOOKUP(D425,'[2]8A. Master Device Catalog'!$F$5:$F$914,'[2]8A. Master Device Catalog'!$H$5:$H$914,"")</f>
        <v/>
      </c>
    </row>
    <row r="426" hidden="1" ht="21.5" customHeight="1" s="125">
      <c r="A426" t="inlineStr">
        <is>
          <t>DEV000425</t>
        </is>
      </c>
      <c r="B426" s="59" t="inlineStr">
        <is>
          <t>XIA</t>
        </is>
      </c>
      <c r="C426" s="59" t="inlineStr">
        <is>
          <t>PHN</t>
        </is>
      </c>
      <c r="D426" s="60" t="inlineStr">
        <is>
          <t>Xiaomi 15 Pro</t>
        </is>
      </c>
      <c r="E426">
        <f>_xlfn.XLOOKUP(D426,'[2]8A. Master Device Catalog'!$F$5:$F$914,'[2]8A. Master Device Catalog'!$G$5:$G$914,"")</f>
        <v/>
      </c>
      <c r="F426">
        <f>_xlfn.XLOOKUP(D426,'[2]8A. Master Device Catalog'!$F$5:$F$914,'[2]8A. Master Device Catalog'!$H$5:$H$914,"")</f>
        <v/>
      </c>
    </row>
    <row r="427" hidden="1" ht="21.5" customHeight="1" s="125">
      <c r="A427" t="inlineStr">
        <is>
          <t>DEV000426</t>
        </is>
      </c>
      <c r="B427" s="59" t="inlineStr">
        <is>
          <t>XIA</t>
        </is>
      </c>
      <c r="C427" s="59" t="inlineStr">
        <is>
          <t>PHN</t>
        </is>
      </c>
      <c r="D427" s="60" t="inlineStr">
        <is>
          <t>Redmi Note 13 Pro 5G</t>
        </is>
      </c>
      <c r="E427">
        <f>_xlfn.XLOOKUP(D427,'[2]8A. Master Device Catalog'!$F$5:$F$914,'[2]8A. Master Device Catalog'!$G$5:$G$914,"")</f>
        <v/>
      </c>
      <c r="F427">
        <f>_xlfn.XLOOKUP(D427,'[2]8A. Master Device Catalog'!$F$5:$F$914,'[2]8A. Master Device Catalog'!$H$5:$H$914,"")</f>
        <v/>
      </c>
    </row>
    <row r="428" hidden="1" ht="21.5" customHeight="1" s="125">
      <c r="A428" t="inlineStr">
        <is>
          <t>DEV000427</t>
        </is>
      </c>
      <c r="B428" s="59" t="inlineStr">
        <is>
          <t>XIA</t>
        </is>
      </c>
      <c r="C428" s="59" t="inlineStr">
        <is>
          <t>PHN</t>
        </is>
      </c>
      <c r="D428" s="60" t="inlineStr">
        <is>
          <t>Redmi Note 14 Pro+</t>
        </is>
      </c>
      <c r="E428">
        <f>_xlfn.XLOOKUP(D428,'[2]8A. Master Device Catalog'!$F$5:$F$914,'[2]8A. Master Device Catalog'!$G$5:$G$914,"")</f>
        <v/>
      </c>
      <c r="F428">
        <f>_xlfn.XLOOKUP(D428,'[2]8A. Master Device Catalog'!$F$5:$F$914,'[2]8A. Master Device Catalog'!$H$5:$H$914,"")</f>
        <v/>
      </c>
    </row>
    <row r="429" hidden="1" ht="21.5" customHeight="1" s="125">
      <c r="A429" t="inlineStr">
        <is>
          <t>DEV000428</t>
        </is>
      </c>
      <c r="B429" s="59" t="inlineStr">
        <is>
          <t>XIA</t>
        </is>
      </c>
      <c r="C429" s="59" t="inlineStr">
        <is>
          <t>PHN</t>
        </is>
      </c>
      <c r="D429" s="60" t="inlineStr">
        <is>
          <t>Redmi K70</t>
        </is>
      </c>
      <c r="E429">
        <f>_xlfn.XLOOKUP(D429,'[2]8A. Master Device Catalog'!$F$5:$F$914,'[2]8A. Master Device Catalog'!$G$5:$G$914,"")</f>
        <v/>
      </c>
      <c r="F429">
        <f>_xlfn.XLOOKUP(D429,'[2]8A. Master Device Catalog'!$F$5:$F$914,'[2]8A. Master Device Catalog'!$H$5:$H$914,"")</f>
        <v/>
      </c>
    </row>
    <row r="430" hidden="1" ht="21.5" customHeight="1" s="125">
      <c r="A430" t="inlineStr">
        <is>
          <t>DEV000429</t>
        </is>
      </c>
      <c r="B430" s="59" t="inlineStr">
        <is>
          <t>XIA</t>
        </is>
      </c>
      <c r="C430" s="59" t="inlineStr">
        <is>
          <t>PHN</t>
        </is>
      </c>
      <c r="D430" s="60" t="inlineStr">
        <is>
          <t>POCO F6 Pro</t>
        </is>
      </c>
      <c r="E430">
        <f>_xlfn.XLOOKUP(D430,'[2]8A. Master Device Catalog'!$F$5:$F$914,'[2]8A. Master Device Catalog'!$G$5:$G$914,"")</f>
        <v/>
      </c>
      <c r="F430">
        <f>_xlfn.XLOOKUP(D430,'[2]8A. Master Device Catalog'!$F$5:$F$914,'[2]8A. Master Device Catalog'!$H$5:$H$914,"")</f>
        <v/>
      </c>
    </row>
    <row r="431" hidden="1" ht="21.5" customHeight="1" s="125">
      <c r="A431" t="inlineStr">
        <is>
          <t>DEV000430</t>
        </is>
      </c>
      <c r="B431" s="59" t="inlineStr">
        <is>
          <t>XIA</t>
        </is>
      </c>
      <c r="C431" s="59" t="inlineStr">
        <is>
          <t>PHN</t>
        </is>
      </c>
      <c r="D431" s="60" t="inlineStr">
        <is>
          <t>POCO X6 Pro</t>
        </is>
      </c>
      <c r="E431">
        <f>_xlfn.XLOOKUP(D431,'[2]8A. Master Device Catalog'!$F$5:$F$914,'[2]8A. Master Device Catalog'!$G$5:$G$914,"")</f>
        <v/>
      </c>
      <c r="F431">
        <f>_xlfn.XLOOKUP(D431,'[2]8A. Master Device Catalog'!$F$5:$F$914,'[2]8A. Master Device Catalog'!$H$5:$H$914,"")</f>
        <v/>
      </c>
    </row>
    <row r="432" hidden="1" ht="21.5" customHeight="1" s="125">
      <c r="A432" t="inlineStr">
        <is>
          <t>DEV000431</t>
        </is>
      </c>
      <c r="B432" s="59" t="inlineStr">
        <is>
          <t>XIA</t>
        </is>
      </c>
      <c r="C432" s="59" t="inlineStr">
        <is>
          <t>PHN</t>
        </is>
      </c>
      <c r="D432" s="60" t="inlineStr">
        <is>
          <t>POCO M6 Pro</t>
        </is>
      </c>
      <c r="E432">
        <f>_xlfn.XLOOKUP(D432,'[2]8A. Master Device Catalog'!$F$5:$F$914,'[2]8A. Master Device Catalog'!$G$5:$G$914,"")</f>
        <v/>
      </c>
      <c r="F432">
        <f>_xlfn.XLOOKUP(D432,'[2]8A. Master Device Catalog'!$F$5:$F$914,'[2]8A. Master Device Catalog'!$H$5:$H$914,"")</f>
        <v/>
      </c>
    </row>
    <row r="433" hidden="1" ht="21.5" customHeight="1" s="125">
      <c r="A433" t="inlineStr">
        <is>
          <t>DEV000432</t>
        </is>
      </c>
      <c r="B433" s="59" t="inlineStr">
        <is>
          <t>VIV</t>
        </is>
      </c>
      <c r="C433" s="59" t="inlineStr">
        <is>
          <t>PHN</t>
        </is>
      </c>
      <c r="D433" s="60" t="inlineStr">
        <is>
          <t>vivo X100</t>
        </is>
      </c>
      <c r="E433">
        <f>_xlfn.XLOOKUP(D433,'[2]8A. Master Device Catalog'!$F$5:$F$914,'[2]8A. Master Device Catalog'!$G$5:$G$914,"")</f>
        <v/>
      </c>
      <c r="F433">
        <f>_xlfn.XLOOKUP(D433,'[2]8A. Master Device Catalog'!$F$5:$F$914,'[2]8A. Master Device Catalog'!$H$5:$H$914,"")</f>
        <v/>
      </c>
    </row>
    <row r="434" hidden="1" ht="21.5" customHeight="1" s="125">
      <c r="A434" t="inlineStr">
        <is>
          <t>DEV000433</t>
        </is>
      </c>
      <c r="B434" s="59" t="inlineStr">
        <is>
          <t>VIV</t>
        </is>
      </c>
      <c r="C434" s="59" t="inlineStr">
        <is>
          <t>PHN</t>
        </is>
      </c>
      <c r="D434" s="60" t="inlineStr">
        <is>
          <t>vivo X100 Pro</t>
        </is>
      </c>
      <c r="E434">
        <f>_xlfn.XLOOKUP(D434,'[2]8A. Master Device Catalog'!$F$5:$F$914,'[2]8A. Master Device Catalog'!$G$5:$G$914,"")</f>
        <v/>
      </c>
      <c r="F434">
        <f>_xlfn.XLOOKUP(D434,'[2]8A. Master Device Catalog'!$F$5:$F$914,'[2]8A. Master Device Catalog'!$H$5:$H$914,"")</f>
        <v/>
      </c>
    </row>
    <row r="435" hidden="1" ht="21.5" customHeight="1" s="125">
      <c r="A435" t="inlineStr">
        <is>
          <t>DEV000434</t>
        </is>
      </c>
      <c r="B435" s="59" t="inlineStr">
        <is>
          <t>VIV</t>
        </is>
      </c>
      <c r="C435" s="59" t="inlineStr">
        <is>
          <t>PHN</t>
        </is>
      </c>
      <c r="D435" s="60" t="inlineStr">
        <is>
          <t>vivo V30</t>
        </is>
      </c>
      <c r="E435">
        <f>_xlfn.XLOOKUP(D435,'[2]8A. Master Device Catalog'!$F$5:$F$914,'[2]8A. Master Device Catalog'!$G$5:$G$914,"")</f>
        <v/>
      </c>
      <c r="F435">
        <f>_xlfn.XLOOKUP(D435,'[2]8A. Master Device Catalog'!$F$5:$F$914,'[2]8A. Master Device Catalog'!$H$5:$H$914,"")</f>
        <v/>
      </c>
    </row>
    <row r="436" hidden="1" ht="21.5" customHeight="1" s="125">
      <c r="A436" t="inlineStr">
        <is>
          <t>DEV000435</t>
        </is>
      </c>
      <c r="B436" s="59" t="inlineStr">
        <is>
          <t>VIV</t>
        </is>
      </c>
      <c r="C436" s="59" t="inlineStr">
        <is>
          <t>PHN</t>
        </is>
      </c>
      <c r="D436" s="60" t="inlineStr">
        <is>
          <t>iQOO 12</t>
        </is>
      </c>
      <c r="E436">
        <f>_xlfn.XLOOKUP(D436,'[2]8A. Master Device Catalog'!$F$5:$F$914,'[2]8A. Master Device Catalog'!$G$5:$G$914,"")</f>
        <v/>
      </c>
      <c r="F436">
        <f>_xlfn.XLOOKUP(D436,'[2]8A. Master Device Catalog'!$F$5:$F$914,'[2]8A. Master Device Catalog'!$H$5:$H$914,"")</f>
        <v/>
      </c>
    </row>
    <row r="437" hidden="1" ht="21.5" customHeight="1" s="125">
      <c r="A437" t="inlineStr">
        <is>
          <t>DEV000436</t>
        </is>
      </c>
      <c r="B437" s="59" t="inlineStr">
        <is>
          <t>VIV</t>
        </is>
      </c>
      <c r="C437" s="59" t="inlineStr">
        <is>
          <t>PHN</t>
        </is>
      </c>
      <c r="D437" s="60" t="inlineStr">
        <is>
          <t>vivo X100 Ultra</t>
        </is>
      </c>
      <c r="E437">
        <f>_xlfn.XLOOKUP(D437,'[2]8A. Master Device Catalog'!$F$5:$F$914,'[2]8A. Master Device Catalog'!$G$5:$G$914,"")</f>
        <v/>
      </c>
      <c r="F437">
        <f>_xlfn.XLOOKUP(D437,'[2]8A. Master Device Catalog'!$F$5:$F$914,'[2]8A. Master Device Catalog'!$H$5:$H$914,"")</f>
        <v/>
      </c>
    </row>
    <row r="438" hidden="1" ht="21.5" customHeight="1" s="125">
      <c r="A438" t="inlineStr">
        <is>
          <t>DEV000437</t>
        </is>
      </c>
      <c r="B438" s="59" t="inlineStr">
        <is>
          <t>VIV</t>
        </is>
      </c>
      <c r="C438" s="59" t="inlineStr">
        <is>
          <t>PHN</t>
        </is>
      </c>
      <c r="D438" s="60" t="inlineStr">
        <is>
          <t>vivo X200</t>
        </is>
      </c>
      <c r="E438">
        <f>_xlfn.XLOOKUP(D438,'[2]8A. Master Device Catalog'!$F$5:$F$914,'[2]8A. Master Device Catalog'!$G$5:$G$914,"")</f>
        <v/>
      </c>
      <c r="F438">
        <f>_xlfn.XLOOKUP(D438,'[2]8A. Master Device Catalog'!$F$5:$F$914,'[2]8A. Master Device Catalog'!$H$5:$H$914,"")</f>
        <v/>
      </c>
    </row>
    <row r="439" hidden="1" ht="21.5" customHeight="1" s="125">
      <c r="A439" t="inlineStr">
        <is>
          <t>DEV000438</t>
        </is>
      </c>
      <c r="B439" s="59" t="inlineStr">
        <is>
          <t>VIV</t>
        </is>
      </c>
      <c r="C439" s="59" t="inlineStr">
        <is>
          <t>PHN</t>
        </is>
      </c>
      <c r="D439" s="60" t="inlineStr">
        <is>
          <t>vivo X200 Pro</t>
        </is>
      </c>
      <c r="E439">
        <f>_xlfn.XLOOKUP(D439,'[2]8A. Master Device Catalog'!$F$5:$F$914,'[2]8A. Master Device Catalog'!$G$5:$G$914,"")</f>
        <v/>
      </c>
      <c r="F439">
        <f>_xlfn.XLOOKUP(D439,'[2]8A. Master Device Catalog'!$F$5:$F$914,'[2]8A. Master Device Catalog'!$H$5:$H$914,"")</f>
        <v/>
      </c>
    </row>
    <row r="440" hidden="1" ht="21.5" customHeight="1" s="125">
      <c r="A440" t="inlineStr">
        <is>
          <t>DEV000439</t>
        </is>
      </c>
      <c r="B440" s="59" t="inlineStr">
        <is>
          <t>VIV</t>
        </is>
      </c>
      <c r="C440" s="59" t="inlineStr">
        <is>
          <t>PHN</t>
        </is>
      </c>
      <c r="D440" s="60" t="inlineStr">
        <is>
          <t>vivo V40</t>
        </is>
      </c>
      <c r="E440">
        <f>_xlfn.XLOOKUP(D440,'[2]8A. Master Device Catalog'!$F$5:$F$914,'[2]8A. Master Device Catalog'!$G$5:$G$914,"")</f>
        <v/>
      </c>
      <c r="F440">
        <f>_xlfn.XLOOKUP(D440,'[2]8A. Master Device Catalog'!$F$5:$F$914,'[2]8A. Master Device Catalog'!$H$5:$H$914,"")</f>
        <v/>
      </c>
    </row>
    <row r="441" hidden="1" ht="21.5" customHeight="1" s="125">
      <c r="A441" t="inlineStr">
        <is>
          <t>DEV000440</t>
        </is>
      </c>
      <c r="B441" s="59" t="inlineStr">
        <is>
          <t>VIV</t>
        </is>
      </c>
      <c r="C441" s="59" t="inlineStr">
        <is>
          <t>PHN</t>
        </is>
      </c>
      <c r="D441" s="60" t="inlineStr">
        <is>
          <t>vivo Y200</t>
        </is>
      </c>
      <c r="E441">
        <f>_xlfn.XLOOKUP(D441,'[2]8A. Master Device Catalog'!$F$5:$F$914,'[2]8A. Master Device Catalog'!$G$5:$G$914,"")</f>
        <v/>
      </c>
      <c r="F441">
        <f>_xlfn.XLOOKUP(D441,'[2]8A. Master Device Catalog'!$F$5:$F$914,'[2]8A. Master Device Catalog'!$H$5:$H$914,"")</f>
        <v/>
      </c>
    </row>
    <row r="442" hidden="1" ht="21.5" customHeight="1" s="125">
      <c r="A442" t="inlineStr">
        <is>
          <t>DEV000441</t>
        </is>
      </c>
      <c r="B442" s="59" t="inlineStr">
        <is>
          <t>ZTE</t>
        </is>
      </c>
      <c r="C442" s="59" t="inlineStr">
        <is>
          <t>PHN</t>
        </is>
      </c>
      <c r="D442" s="60" t="inlineStr">
        <is>
          <t>ZTE Axon 50 Ultra</t>
        </is>
      </c>
      <c r="E442">
        <f>_xlfn.XLOOKUP(D442,'[2]8A. Master Device Catalog'!$F$5:$F$914,'[2]8A. Master Device Catalog'!$G$5:$G$914,"")</f>
        <v/>
      </c>
      <c r="F442">
        <f>_xlfn.XLOOKUP(D442,'[2]8A. Master Device Catalog'!$F$5:$F$914,'[2]8A. Master Device Catalog'!$H$5:$H$914,"")</f>
        <v/>
      </c>
    </row>
    <row r="443" hidden="1" ht="21.5" customHeight="1" s="125">
      <c r="A443" t="inlineStr">
        <is>
          <t>DEV000442</t>
        </is>
      </c>
      <c r="B443" s="59" t="inlineStr">
        <is>
          <t>ACE</t>
        </is>
      </c>
      <c r="C443" s="59" t="inlineStr">
        <is>
          <t>CMP</t>
        </is>
      </c>
      <c r="D443" s="61" t="inlineStr">
        <is>
          <t>Swift Go 14</t>
        </is>
      </c>
      <c r="E443">
        <f>_xlfn.XLOOKUP(D443,'[2]8A. Master Device Catalog'!$F$5:$F$914,'[2]8A. Master Device Catalog'!$G$5:$G$914,"")</f>
        <v/>
      </c>
      <c r="F443">
        <f>_xlfn.XLOOKUP(D443,'[2]8A. Master Device Catalog'!$F$5:$F$914,'[2]8A. Master Device Catalog'!$H$5:$H$914,"")</f>
        <v/>
      </c>
    </row>
    <row r="444" hidden="1" ht="21.5" customHeight="1" s="125">
      <c r="A444" t="inlineStr">
        <is>
          <t>DEV000443</t>
        </is>
      </c>
      <c r="B444" s="59" t="inlineStr">
        <is>
          <t>ACE</t>
        </is>
      </c>
      <c r="C444" s="59" t="inlineStr">
        <is>
          <t>CMP</t>
        </is>
      </c>
      <c r="D444" s="61" t="inlineStr">
        <is>
          <t>Aspire 7</t>
        </is>
      </c>
      <c r="E444">
        <f>_xlfn.XLOOKUP(D444,'[2]8A. Master Device Catalog'!$F$5:$F$914,'[2]8A. Master Device Catalog'!$G$5:$G$914,"")</f>
        <v/>
      </c>
      <c r="F444">
        <f>_xlfn.XLOOKUP(D444,'[2]8A. Master Device Catalog'!$F$5:$F$914,'[2]8A. Master Device Catalog'!$H$5:$H$914,"")</f>
        <v/>
      </c>
    </row>
    <row r="445" hidden="1" ht="21.5" customHeight="1" s="125">
      <c r="A445" t="inlineStr">
        <is>
          <t>DEV000444</t>
        </is>
      </c>
      <c r="B445" s="59" t="inlineStr">
        <is>
          <t>ACE</t>
        </is>
      </c>
      <c r="C445" s="59" t="inlineStr">
        <is>
          <t>CMP</t>
        </is>
      </c>
      <c r="D445" s="61" t="inlineStr">
        <is>
          <t>Swift 3</t>
        </is>
      </c>
      <c r="E445">
        <f>_xlfn.XLOOKUP(D445,'[2]8A. Master Device Catalog'!$F$5:$F$914,'[2]8A. Master Device Catalog'!$G$5:$G$914,"")</f>
        <v/>
      </c>
      <c r="F445">
        <f>_xlfn.XLOOKUP(D445,'[2]8A. Master Device Catalog'!$F$5:$F$914,'[2]8A. Master Device Catalog'!$H$5:$H$914,"")</f>
        <v/>
      </c>
    </row>
    <row r="446" hidden="1" ht="21.5" customHeight="1" s="125">
      <c r="A446" t="inlineStr">
        <is>
          <t>DEV000445</t>
        </is>
      </c>
      <c r="B446" s="59" t="inlineStr">
        <is>
          <t>ACE</t>
        </is>
      </c>
      <c r="C446" s="59" t="inlineStr">
        <is>
          <t>CMP</t>
        </is>
      </c>
      <c r="D446" s="61" t="inlineStr">
        <is>
          <t>Swift 5</t>
        </is>
      </c>
      <c r="E446">
        <f>_xlfn.XLOOKUP(D446,'[2]8A. Master Device Catalog'!$F$5:$F$914,'[2]8A. Master Device Catalog'!$G$5:$G$914,"")</f>
        <v/>
      </c>
      <c r="F446">
        <f>_xlfn.XLOOKUP(D446,'[2]8A. Master Device Catalog'!$F$5:$F$914,'[2]8A. Master Device Catalog'!$H$5:$H$914,"")</f>
        <v/>
      </c>
    </row>
    <row r="447" hidden="1" ht="21.5" customHeight="1" s="125">
      <c r="A447" t="inlineStr">
        <is>
          <t>DEV000446</t>
        </is>
      </c>
      <c r="B447" s="59" t="inlineStr">
        <is>
          <t>ACE</t>
        </is>
      </c>
      <c r="C447" s="59" t="inlineStr">
        <is>
          <t>CMP</t>
        </is>
      </c>
      <c r="D447" s="61" t="inlineStr">
        <is>
          <t>Aspire 3</t>
        </is>
      </c>
      <c r="E447">
        <f>_xlfn.XLOOKUP(D447,'[2]8A. Master Device Catalog'!$F$5:$F$914,'[2]8A. Master Device Catalog'!$G$5:$G$914,"")</f>
        <v/>
      </c>
      <c r="F447">
        <f>_xlfn.XLOOKUP(D447,'[2]8A. Master Device Catalog'!$F$5:$F$914,'[2]8A. Master Device Catalog'!$H$5:$H$914,"")</f>
        <v/>
      </c>
    </row>
    <row r="448" hidden="1" ht="21.5" customHeight="1" s="125">
      <c r="A448" t="inlineStr">
        <is>
          <t>DEV000447</t>
        </is>
      </c>
      <c r="B448" s="59" t="inlineStr">
        <is>
          <t>ACE</t>
        </is>
      </c>
      <c r="C448" s="59" t="inlineStr">
        <is>
          <t>CMP</t>
        </is>
      </c>
      <c r="D448" s="61" t="inlineStr">
        <is>
          <t>Aspire 5</t>
        </is>
      </c>
      <c r="E448">
        <f>_xlfn.XLOOKUP(D448,'[2]8A. Master Device Catalog'!$F$5:$F$914,'[2]8A. Master Device Catalog'!$G$5:$G$914,"")</f>
        <v/>
      </c>
      <c r="F448">
        <f>_xlfn.XLOOKUP(D448,'[2]8A. Master Device Catalog'!$F$5:$F$914,'[2]8A. Master Device Catalog'!$H$5:$H$914,"")</f>
        <v/>
      </c>
    </row>
    <row r="449" hidden="1" ht="21.5" customHeight="1" s="125">
      <c r="A449" t="inlineStr">
        <is>
          <t>DEV000448</t>
        </is>
      </c>
      <c r="B449" s="59" t="inlineStr">
        <is>
          <t>ACE</t>
        </is>
      </c>
      <c r="C449" s="59" t="inlineStr">
        <is>
          <t>CMP</t>
        </is>
      </c>
      <c r="D449" s="61" t="inlineStr">
        <is>
          <t>Swift Edge</t>
        </is>
      </c>
      <c r="E449">
        <f>_xlfn.XLOOKUP(D449,'[2]8A. Master Device Catalog'!$F$5:$F$914,'[2]8A. Master Device Catalog'!$G$5:$G$914,"")</f>
        <v/>
      </c>
      <c r="F449">
        <f>_xlfn.XLOOKUP(D449,'[2]8A. Master Device Catalog'!$F$5:$F$914,'[2]8A. Master Device Catalog'!$H$5:$H$914,"")</f>
        <v/>
      </c>
    </row>
    <row r="450" hidden="1" ht="21.5" customHeight="1" s="125">
      <c r="A450" t="inlineStr">
        <is>
          <t>DEV000449</t>
        </is>
      </c>
      <c r="B450" s="59" t="inlineStr">
        <is>
          <t>ACE</t>
        </is>
      </c>
      <c r="C450" s="59" t="inlineStr">
        <is>
          <t>CMP</t>
        </is>
      </c>
      <c r="D450" s="61" t="inlineStr">
        <is>
          <t>TravelMate P2</t>
        </is>
      </c>
      <c r="E450">
        <f>_xlfn.XLOOKUP(D450,'[2]8A. Master Device Catalog'!$F$5:$F$914,'[2]8A. Master Device Catalog'!$G$5:$G$914,"")</f>
        <v/>
      </c>
      <c r="F450">
        <f>_xlfn.XLOOKUP(D450,'[2]8A. Master Device Catalog'!$F$5:$F$914,'[2]8A. Master Device Catalog'!$H$5:$H$914,"")</f>
        <v/>
      </c>
    </row>
    <row r="451" hidden="1" ht="21.5" customHeight="1" s="125">
      <c r="A451" t="inlineStr">
        <is>
          <t>DEV000450</t>
        </is>
      </c>
      <c r="B451" s="59" t="inlineStr">
        <is>
          <t>ACE</t>
        </is>
      </c>
      <c r="C451" s="59" t="inlineStr">
        <is>
          <t>CMP</t>
        </is>
      </c>
      <c r="D451" s="61" t="inlineStr">
        <is>
          <t>TravelMate P4</t>
        </is>
      </c>
      <c r="E451">
        <f>_xlfn.XLOOKUP(D451,'[2]8A. Master Device Catalog'!$F$5:$F$914,'[2]8A. Master Device Catalog'!$G$5:$G$914,"")</f>
        <v/>
      </c>
      <c r="F451">
        <f>_xlfn.XLOOKUP(D451,'[2]8A. Master Device Catalog'!$F$5:$F$914,'[2]8A. Master Device Catalog'!$H$5:$H$914,"")</f>
        <v/>
      </c>
    </row>
    <row r="452" hidden="1" ht="21.5" customHeight="1" s="125">
      <c r="A452" t="inlineStr">
        <is>
          <t>DEV000451</t>
        </is>
      </c>
      <c r="B452" s="59" t="inlineStr">
        <is>
          <t>ACE</t>
        </is>
      </c>
      <c r="C452" s="59" t="inlineStr">
        <is>
          <t>CMP</t>
        </is>
      </c>
      <c r="D452" s="61" t="inlineStr">
        <is>
          <t>Predator Helios Neo 16</t>
        </is>
      </c>
      <c r="E452">
        <f>_xlfn.XLOOKUP(D452,'[2]8A. Master Device Catalog'!$F$5:$F$914,'[2]8A. Master Device Catalog'!$G$5:$G$914,"")</f>
        <v/>
      </c>
      <c r="F452">
        <f>_xlfn.XLOOKUP(D452,'[2]8A. Master Device Catalog'!$F$5:$F$914,'[2]8A. Master Device Catalog'!$H$5:$H$914,"")</f>
        <v/>
      </c>
    </row>
    <row r="453" hidden="1" ht="21.5" customHeight="1" s="125">
      <c r="A453" t="inlineStr">
        <is>
          <t>DEV000452</t>
        </is>
      </c>
      <c r="B453" s="59" t="inlineStr">
        <is>
          <t>ACE</t>
        </is>
      </c>
      <c r="C453" s="59" t="inlineStr">
        <is>
          <t>CMP</t>
        </is>
      </c>
      <c r="D453" s="61" t="inlineStr">
        <is>
          <t>Predator Helios 18</t>
        </is>
      </c>
      <c r="E453">
        <f>_xlfn.XLOOKUP(D453,'[2]8A. Master Device Catalog'!$F$5:$F$914,'[2]8A. Master Device Catalog'!$G$5:$G$914,"")</f>
        <v/>
      </c>
      <c r="F453">
        <f>_xlfn.XLOOKUP(D453,'[2]8A. Master Device Catalog'!$F$5:$F$914,'[2]8A. Master Device Catalog'!$H$5:$H$914,"")</f>
        <v/>
      </c>
    </row>
    <row r="454" hidden="1" ht="21.5" customHeight="1" s="125">
      <c r="A454" t="inlineStr">
        <is>
          <t>DEV000453</t>
        </is>
      </c>
      <c r="B454" s="59" t="inlineStr">
        <is>
          <t>ACE</t>
        </is>
      </c>
      <c r="C454" s="59" t="inlineStr">
        <is>
          <t>CMP</t>
        </is>
      </c>
      <c r="D454" s="61" t="inlineStr">
        <is>
          <t>Nitro 5</t>
        </is>
      </c>
      <c r="E454">
        <f>_xlfn.XLOOKUP(D454,'[2]8A. Master Device Catalog'!$F$5:$F$914,'[2]8A. Master Device Catalog'!$G$5:$G$914,"")</f>
        <v/>
      </c>
      <c r="F454">
        <f>_xlfn.XLOOKUP(D454,'[2]8A. Master Device Catalog'!$F$5:$F$914,'[2]8A. Master Device Catalog'!$H$5:$H$914,"")</f>
        <v/>
      </c>
    </row>
    <row r="455" hidden="1" ht="21.5" customHeight="1" s="125">
      <c r="A455" t="inlineStr">
        <is>
          <t>DEV000454</t>
        </is>
      </c>
      <c r="B455" s="59" t="inlineStr">
        <is>
          <t>ACE</t>
        </is>
      </c>
      <c r="C455" s="59" t="inlineStr">
        <is>
          <t>CMP</t>
        </is>
      </c>
      <c r="D455" s="61" t="inlineStr">
        <is>
          <t>Nitro 16</t>
        </is>
      </c>
      <c r="E455">
        <f>_xlfn.XLOOKUP(D455,'[2]8A. Master Device Catalog'!$F$5:$F$914,'[2]8A. Master Device Catalog'!$G$5:$G$914,"")</f>
        <v/>
      </c>
      <c r="F455">
        <f>_xlfn.XLOOKUP(D455,'[2]8A. Master Device Catalog'!$F$5:$F$914,'[2]8A. Master Device Catalog'!$H$5:$H$914,"")</f>
        <v/>
      </c>
    </row>
    <row r="456" hidden="1" ht="21.5" customHeight="1" s="125">
      <c r="A456" t="inlineStr">
        <is>
          <t>DEV000455</t>
        </is>
      </c>
      <c r="B456" s="59" t="inlineStr">
        <is>
          <t>ACE</t>
        </is>
      </c>
      <c r="C456" s="59" t="inlineStr">
        <is>
          <t>CMP</t>
        </is>
      </c>
      <c r="D456" s="61" t="inlineStr">
        <is>
          <t>Aspire Vero 15</t>
        </is>
      </c>
      <c r="E456">
        <f>_xlfn.XLOOKUP(D456,'[2]8A. Master Device Catalog'!$F$5:$F$914,'[2]8A. Master Device Catalog'!$G$5:$G$914,"")</f>
        <v/>
      </c>
      <c r="F456">
        <f>_xlfn.XLOOKUP(D456,'[2]8A. Master Device Catalog'!$F$5:$F$914,'[2]8A. Master Device Catalog'!$H$5:$H$914,"")</f>
        <v/>
      </c>
    </row>
    <row r="457" hidden="1" ht="21.5" customHeight="1" s="125">
      <c r="A457" t="inlineStr">
        <is>
          <t>DEV000456</t>
        </is>
      </c>
      <c r="B457" s="59" t="inlineStr">
        <is>
          <t>ACE</t>
        </is>
      </c>
      <c r="C457" s="59" t="inlineStr">
        <is>
          <t>CMP</t>
        </is>
      </c>
      <c r="D457" s="61" t="inlineStr">
        <is>
          <t>Aspire Go 15</t>
        </is>
      </c>
      <c r="E457">
        <f>_xlfn.XLOOKUP(D457,'[2]8A. Master Device Catalog'!$F$5:$F$914,'[2]8A. Master Device Catalog'!$G$5:$G$914,"")</f>
        <v/>
      </c>
      <c r="F457">
        <f>_xlfn.XLOOKUP(D457,'[2]8A. Master Device Catalog'!$F$5:$F$914,'[2]8A. Master Device Catalog'!$H$5:$H$914,"")</f>
        <v/>
      </c>
    </row>
    <row r="458" hidden="1" ht="21.5" customHeight="1" s="125">
      <c r="A458" t="inlineStr">
        <is>
          <t>DEV000457</t>
        </is>
      </c>
      <c r="B458" s="59" t="inlineStr">
        <is>
          <t>ACE</t>
        </is>
      </c>
      <c r="C458" s="59" t="inlineStr">
        <is>
          <t>CMP</t>
        </is>
      </c>
      <c r="D458" s="61" t="inlineStr">
        <is>
          <t>Swift X 14</t>
        </is>
      </c>
      <c r="E458">
        <f>_xlfn.XLOOKUP(D458,'[2]8A. Master Device Catalog'!$F$5:$F$914,'[2]8A. Master Device Catalog'!$G$5:$G$914,"")</f>
        <v/>
      </c>
      <c r="F458">
        <f>_xlfn.XLOOKUP(D458,'[2]8A. Master Device Catalog'!$F$5:$F$914,'[2]8A. Master Device Catalog'!$H$5:$H$914,"")</f>
        <v/>
      </c>
    </row>
    <row r="459" hidden="1" ht="21.5" customHeight="1" s="125">
      <c r="A459" t="inlineStr">
        <is>
          <t>DEV000458</t>
        </is>
      </c>
      <c r="B459" s="59" t="inlineStr">
        <is>
          <t>ACE</t>
        </is>
      </c>
      <c r="C459" s="59" t="inlineStr">
        <is>
          <t>CMP</t>
        </is>
      </c>
      <c r="D459" s="61" t="inlineStr">
        <is>
          <t>TravelMate Spin P4</t>
        </is>
      </c>
      <c r="E459">
        <f>_xlfn.XLOOKUP(D459,'[2]8A. Master Device Catalog'!$F$5:$F$914,'[2]8A. Master Device Catalog'!$G$5:$G$914,"")</f>
        <v/>
      </c>
      <c r="F459">
        <f>_xlfn.XLOOKUP(D459,'[2]8A. Master Device Catalog'!$F$5:$F$914,'[2]8A. Master Device Catalog'!$H$5:$H$914,"")</f>
        <v/>
      </c>
    </row>
    <row r="460" hidden="1" ht="21.5" customHeight="1" s="125">
      <c r="A460" t="inlineStr">
        <is>
          <t>DEV000459</t>
        </is>
      </c>
      <c r="B460" s="59" t="inlineStr">
        <is>
          <t>ACE</t>
        </is>
      </c>
      <c r="C460" s="59" t="inlineStr">
        <is>
          <t>CMP</t>
        </is>
      </c>
      <c r="D460" s="61" t="inlineStr">
        <is>
          <t>Predator Triton Neo 16</t>
        </is>
      </c>
      <c r="E460">
        <f>_xlfn.XLOOKUP(D460,'[2]8A. Master Device Catalog'!$F$5:$F$914,'[2]8A. Master Device Catalog'!$G$5:$G$914,"")</f>
        <v/>
      </c>
      <c r="F460">
        <f>_xlfn.XLOOKUP(D460,'[2]8A. Master Device Catalog'!$F$5:$F$914,'[2]8A. Master Device Catalog'!$H$5:$H$914,"")</f>
        <v/>
      </c>
    </row>
    <row r="461" hidden="1" ht="21.5" customHeight="1" s="125">
      <c r="A461" t="inlineStr">
        <is>
          <t>DEV000460</t>
        </is>
      </c>
      <c r="B461" s="59" t="inlineStr">
        <is>
          <t>ACE</t>
        </is>
      </c>
      <c r="C461" s="59" t="inlineStr">
        <is>
          <t>CMP</t>
        </is>
      </c>
      <c r="D461" s="61" t="inlineStr">
        <is>
          <t>Predator Helios 300</t>
        </is>
      </c>
      <c r="E461">
        <f>_xlfn.XLOOKUP(D461,'[2]8A. Master Device Catalog'!$F$5:$F$914,'[2]8A. Master Device Catalog'!$G$5:$G$914,"")</f>
        <v/>
      </c>
      <c r="F461">
        <f>_xlfn.XLOOKUP(D461,'[2]8A. Master Device Catalog'!$F$5:$F$914,'[2]8A. Master Device Catalog'!$H$5:$H$914,"")</f>
        <v/>
      </c>
    </row>
    <row r="462" hidden="1" ht="21.5" customHeight="1" s="125">
      <c r="A462" t="inlineStr">
        <is>
          <t>DEV000461</t>
        </is>
      </c>
      <c r="B462" s="59" t="inlineStr">
        <is>
          <t>ACE</t>
        </is>
      </c>
      <c r="C462" s="59" t="inlineStr">
        <is>
          <t>CMP</t>
        </is>
      </c>
      <c r="D462" s="61" t="inlineStr">
        <is>
          <t>Nitro V 15</t>
        </is>
      </c>
      <c r="E462">
        <f>_xlfn.XLOOKUP(D462,'[2]8A. Master Device Catalog'!$F$5:$F$914,'[2]8A. Master Device Catalog'!$G$5:$G$914,"")</f>
        <v/>
      </c>
      <c r="F462">
        <f>_xlfn.XLOOKUP(D462,'[2]8A. Master Device Catalog'!$F$5:$F$914,'[2]8A. Master Device Catalog'!$H$5:$H$914,"")</f>
        <v/>
      </c>
    </row>
    <row r="463" hidden="1" ht="21.5" customHeight="1" s="125">
      <c r="A463" t="inlineStr">
        <is>
          <t>DEV000462</t>
        </is>
      </c>
      <c r="B463" s="59" t="inlineStr">
        <is>
          <t>ALW</t>
        </is>
      </c>
      <c r="C463" s="59" t="inlineStr">
        <is>
          <t>CMP</t>
        </is>
      </c>
      <c r="D463" s="61" t="inlineStr">
        <is>
          <t>Alienware Aurora R16</t>
        </is>
      </c>
      <c r="E463">
        <f>_xlfn.XLOOKUP(D463,'[2]8A. Master Device Catalog'!$F$5:$F$914,'[2]8A. Master Device Catalog'!$G$5:$G$914,"")</f>
        <v/>
      </c>
      <c r="F463">
        <f>_xlfn.XLOOKUP(D463,'[2]8A. Master Device Catalog'!$F$5:$F$914,'[2]8A. Master Device Catalog'!$H$5:$H$914,"")</f>
        <v/>
      </c>
    </row>
    <row r="464" hidden="1" ht="21.5" customHeight="1" s="125">
      <c r="A464" t="inlineStr">
        <is>
          <t>DEV000463</t>
        </is>
      </c>
      <c r="B464" s="59" t="inlineStr">
        <is>
          <t>ALW</t>
        </is>
      </c>
      <c r="C464" s="59" t="inlineStr">
        <is>
          <t>CMP</t>
        </is>
      </c>
      <c r="D464" s="61" t="inlineStr">
        <is>
          <t>Alienware m15</t>
        </is>
      </c>
      <c r="E464">
        <f>_xlfn.XLOOKUP(D464,'[2]8A. Master Device Catalog'!$F$5:$F$914,'[2]8A. Master Device Catalog'!$G$5:$G$914,"")</f>
        <v/>
      </c>
      <c r="F464">
        <f>_xlfn.XLOOKUP(D464,'[2]8A. Master Device Catalog'!$F$5:$F$914,'[2]8A. Master Device Catalog'!$H$5:$H$914,"")</f>
        <v/>
      </c>
      <c r="H464">
        <f>_xlfn.XLOOKUP("Test",A458:A467,B458:B467)</f>
        <v/>
      </c>
    </row>
    <row r="465" hidden="1" ht="21.5" customHeight="1" s="125">
      <c r="A465" t="inlineStr">
        <is>
          <t>DEV000464</t>
        </is>
      </c>
      <c r="B465" s="59" t="inlineStr">
        <is>
          <t>ALW</t>
        </is>
      </c>
      <c r="C465" s="59" t="inlineStr">
        <is>
          <t>CMP</t>
        </is>
      </c>
      <c r="D465" s="61" t="inlineStr">
        <is>
          <t>Alienware m16</t>
        </is>
      </c>
      <c r="E465">
        <f>_xlfn.XLOOKUP(D465,'[2]8A. Master Device Catalog'!$F$5:$F$914,'[2]8A. Master Device Catalog'!$G$5:$G$914,"")</f>
        <v/>
      </c>
      <c r="F465">
        <f>_xlfn.XLOOKUP(D465,'[2]8A. Master Device Catalog'!$F$5:$F$914,'[2]8A. Master Device Catalog'!$H$5:$H$914,"")</f>
        <v/>
      </c>
    </row>
    <row r="466" hidden="1" ht="21.5" customHeight="1" s="125">
      <c r="A466" t="inlineStr">
        <is>
          <t>DEV000465</t>
        </is>
      </c>
      <c r="B466" s="59" t="inlineStr">
        <is>
          <t>ALW</t>
        </is>
      </c>
      <c r="C466" s="59" t="inlineStr">
        <is>
          <t>CMP</t>
        </is>
      </c>
      <c r="D466" s="61" t="inlineStr">
        <is>
          <t>Alienware m18</t>
        </is>
      </c>
      <c r="E466">
        <f>_xlfn.XLOOKUP(D466,'[2]8A. Master Device Catalog'!$F$5:$F$914,'[2]8A. Master Device Catalog'!$G$5:$G$914,"")</f>
        <v/>
      </c>
      <c r="F466">
        <f>_xlfn.XLOOKUP(D466,'[2]8A. Master Device Catalog'!$F$5:$F$914,'[2]8A. Master Device Catalog'!$H$5:$H$914,"")</f>
        <v/>
      </c>
    </row>
    <row r="467" hidden="1" ht="21.5" customHeight="1" s="125">
      <c r="A467" t="inlineStr">
        <is>
          <t>DEV000466</t>
        </is>
      </c>
      <c r="B467" s="59" t="inlineStr">
        <is>
          <t>ALW</t>
        </is>
      </c>
      <c r="C467" s="59" t="inlineStr">
        <is>
          <t>CMP</t>
        </is>
      </c>
      <c r="D467" s="61" t="inlineStr">
        <is>
          <t>Alienware x14</t>
        </is>
      </c>
      <c r="E467">
        <f>_xlfn.XLOOKUP(D467,'[2]8A. Master Device Catalog'!$F$5:$F$914,'[2]8A. Master Device Catalog'!$G$5:$G$914,"")</f>
        <v/>
      </c>
      <c r="F467">
        <f>_xlfn.XLOOKUP(D467,'[2]8A. Master Device Catalog'!$F$5:$F$914,'[2]8A. Master Device Catalog'!$H$5:$H$914,"")</f>
        <v/>
      </c>
    </row>
    <row r="468" hidden="1" ht="21.5" customHeight="1" s="125">
      <c r="A468" t="inlineStr">
        <is>
          <t>DEV000467</t>
        </is>
      </c>
      <c r="B468" s="59" t="inlineStr">
        <is>
          <t>ALW</t>
        </is>
      </c>
      <c r="C468" s="59" t="inlineStr">
        <is>
          <t>CMP</t>
        </is>
      </c>
      <c r="D468" s="61" t="inlineStr">
        <is>
          <t>Alienware x16</t>
        </is>
      </c>
      <c r="E468">
        <f>_xlfn.XLOOKUP(D468,'[2]8A. Master Device Catalog'!$F$5:$F$914,'[2]8A. Master Device Catalog'!$G$5:$G$914,"")</f>
        <v/>
      </c>
      <c r="F468">
        <f>_xlfn.XLOOKUP(D468,'[2]8A. Master Device Catalog'!$F$5:$F$914,'[2]8A. Master Device Catalog'!$H$5:$H$914,"")</f>
        <v/>
      </c>
    </row>
    <row r="469" hidden="1" ht="21.5" customHeight="1" s="125">
      <c r="A469" t="inlineStr">
        <is>
          <t>DEV000468</t>
        </is>
      </c>
      <c r="B469" s="59" t="inlineStr">
        <is>
          <t>APL</t>
        </is>
      </c>
      <c r="C469" s="59" t="inlineStr">
        <is>
          <t>CMP</t>
        </is>
      </c>
      <c r="D469" s="61" t="inlineStr">
        <is>
          <t>MacBook Pro 16-inch</t>
        </is>
      </c>
      <c r="E469">
        <f>_xlfn.XLOOKUP(D469,'[2]8A. Master Device Catalog'!$F$5:$F$914,'[2]8A. Master Device Catalog'!$G$5:$G$914,"")</f>
        <v/>
      </c>
      <c r="F469">
        <f>_xlfn.XLOOKUP(D469,'[2]8A. Master Device Catalog'!$F$5:$F$914,'[2]8A. Master Device Catalog'!$H$5:$H$914,"")</f>
        <v/>
      </c>
    </row>
    <row r="470" hidden="1" ht="21.5" customHeight="1" s="125">
      <c r="A470" t="inlineStr">
        <is>
          <t>DEV000469</t>
        </is>
      </c>
      <c r="B470" s="59" t="inlineStr">
        <is>
          <t>APL</t>
        </is>
      </c>
      <c r="C470" s="59" t="inlineStr">
        <is>
          <t>CMP</t>
        </is>
      </c>
      <c r="D470" s="61" t="inlineStr">
        <is>
          <t>MacBook Air 13-inch (M3)</t>
        </is>
      </c>
      <c r="E470">
        <f>_xlfn.XLOOKUP(D470,'[2]8A. Master Device Catalog'!$F$5:$F$914,'[2]8A. Master Device Catalog'!$G$5:$G$914,"")</f>
        <v/>
      </c>
      <c r="F470">
        <f>_xlfn.XLOOKUP(D470,'[2]8A. Master Device Catalog'!$F$5:$F$914,'[2]8A. Master Device Catalog'!$H$5:$H$914,"")</f>
        <v/>
      </c>
    </row>
    <row r="471" hidden="1" ht="21.5" customHeight="1" s="125">
      <c r="A471" t="inlineStr">
        <is>
          <t>DEV000470</t>
        </is>
      </c>
      <c r="B471" s="59" t="inlineStr">
        <is>
          <t>APL</t>
        </is>
      </c>
      <c r="C471" s="59" t="inlineStr">
        <is>
          <t>CMP</t>
        </is>
      </c>
      <c r="D471" s="61" t="inlineStr">
        <is>
          <t>MacBook Air 15-inch (M3)</t>
        </is>
      </c>
      <c r="E471">
        <f>_xlfn.XLOOKUP(D471,'[2]8A. Master Device Catalog'!$F$5:$F$914,'[2]8A. Master Device Catalog'!$G$5:$G$914,"")</f>
        <v/>
      </c>
      <c r="F471">
        <f>_xlfn.XLOOKUP(D471,'[2]8A. Master Device Catalog'!$F$5:$F$914,'[2]8A. Master Device Catalog'!$H$5:$H$914,"")</f>
        <v/>
      </c>
    </row>
    <row r="472" hidden="1" ht="21.5" customHeight="1" s="125">
      <c r="A472" t="inlineStr">
        <is>
          <t>DEV000471</t>
        </is>
      </c>
      <c r="B472" s="59" t="inlineStr">
        <is>
          <t>APL</t>
        </is>
      </c>
      <c r="C472" s="59" t="inlineStr">
        <is>
          <t>CMP</t>
        </is>
      </c>
      <c r="D472" s="61" t="inlineStr">
        <is>
          <t>MacBook Pro 14-inch</t>
        </is>
      </c>
      <c r="E472">
        <f>_xlfn.XLOOKUP(D472,'[2]8A. Master Device Catalog'!$F$5:$F$914,'[2]8A. Master Device Catalog'!$G$5:$G$914,"")</f>
        <v/>
      </c>
      <c r="F472">
        <f>_xlfn.XLOOKUP(D472,'[2]8A. Master Device Catalog'!$F$5:$F$914,'[2]8A. Master Device Catalog'!$H$5:$H$914,"")</f>
        <v/>
      </c>
    </row>
    <row r="473" hidden="1" ht="21.5" customHeight="1" s="125">
      <c r="A473" t="inlineStr">
        <is>
          <t>DEV000472</t>
        </is>
      </c>
      <c r="B473" s="59" t="inlineStr">
        <is>
          <t>APL</t>
        </is>
      </c>
      <c r="C473" s="59" t="inlineStr">
        <is>
          <t>CMP</t>
        </is>
      </c>
      <c r="D473" s="61" t="inlineStr">
        <is>
          <t>MacBook Air 13-inch (M2)</t>
        </is>
      </c>
      <c r="E473">
        <f>_xlfn.XLOOKUP(D473,'[2]8A. Master Device Catalog'!$F$5:$F$914,'[2]8A. Master Device Catalog'!$G$5:$G$914,"")</f>
        <v/>
      </c>
      <c r="F473">
        <f>_xlfn.XLOOKUP(D473,'[2]8A. Master Device Catalog'!$F$5:$F$914,'[2]8A. Master Device Catalog'!$H$5:$H$914,"")</f>
        <v/>
      </c>
    </row>
    <row r="474" hidden="1" ht="21.5" customHeight="1" s="125">
      <c r="A474" t="inlineStr">
        <is>
          <t>DEV000473</t>
        </is>
      </c>
      <c r="B474" s="59" t="inlineStr">
        <is>
          <t>APL</t>
        </is>
      </c>
      <c r="C474" s="59" t="inlineStr">
        <is>
          <t>CMP</t>
        </is>
      </c>
      <c r="D474" s="61" t="inlineStr">
        <is>
          <t>MacBook Air 15-inch (M2)</t>
        </is>
      </c>
      <c r="E474">
        <f>_xlfn.XLOOKUP(D474,'[2]8A. Master Device Catalog'!$F$5:$F$914,'[2]8A. Master Device Catalog'!$G$5:$G$914,"")</f>
        <v/>
      </c>
      <c r="F474">
        <f>_xlfn.XLOOKUP(D474,'[2]8A. Master Device Catalog'!$F$5:$F$914,'[2]8A. Master Device Catalog'!$H$5:$H$914,"")</f>
        <v/>
      </c>
    </row>
    <row r="475" hidden="1" ht="21.5" customHeight="1" s="125">
      <c r="A475" t="inlineStr">
        <is>
          <t>DEV000474</t>
        </is>
      </c>
      <c r="B475" s="59" t="inlineStr">
        <is>
          <t>APL</t>
        </is>
      </c>
      <c r="C475" s="59" t="inlineStr">
        <is>
          <t>CMP</t>
        </is>
      </c>
      <c r="D475" s="61" t="inlineStr">
        <is>
          <t>iMac 24-inch</t>
        </is>
      </c>
      <c r="E475">
        <f>_xlfn.XLOOKUP(D475,'[2]8A. Master Device Catalog'!$F$5:$F$914,'[2]8A. Master Device Catalog'!$G$5:$G$914,"")</f>
        <v/>
      </c>
      <c r="F475">
        <f>_xlfn.XLOOKUP(D475,'[2]8A. Master Device Catalog'!$F$5:$F$914,'[2]8A. Master Device Catalog'!$H$5:$H$914,"")</f>
        <v/>
      </c>
    </row>
    <row r="476" hidden="1" ht="21.5" customHeight="1" s="125">
      <c r="A476" t="inlineStr">
        <is>
          <t>DEV000475</t>
        </is>
      </c>
      <c r="B476" s="59" t="inlineStr">
        <is>
          <t>APL</t>
        </is>
      </c>
      <c r="C476" s="59" t="inlineStr">
        <is>
          <t>CMP</t>
        </is>
      </c>
      <c r="D476" s="61" t="inlineStr">
        <is>
          <t>Mac mini</t>
        </is>
      </c>
      <c r="E476">
        <f>_xlfn.XLOOKUP(D476,'[2]8A. Master Device Catalog'!$F$5:$F$914,'[2]8A. Master Device Catalog'!$G$5:$G$914,"")</f>
        <v/>
      </c>
      <c r="F476">
        <f>_xlfn.XLOOKUP(D476,'[2]8A. Master Device Catalog'!$F$5:$F$914,'[2]8A. Master Device Catalog'!$H$5:$H$914,"")</f>
        <v/>
      </c>
    </row>
    <row r="477" hidden="1" ht="21.5" customHeight="1" s="125">
      <c r="A477" t="inlineStr">
        <is>
          <t>DEV000476</t>
        </is>
      </c>
      <c r="B477" s="59" t="inlineStr">
        <is>
          <t>APL</t>
        </is>
      </c>
      <c r="C477" s="59" t="inlineStr">
        <is>
          <t>CMP</t>
        </is>
      </c>
      <c r="D477" s="61" t="inlineStr">
        <is>
          <t>Mac Studio</t>
        </is>
      </c>
      <c r="E477">
        <f>_xlfn.XLOOKUP(D477,'[2]8A. Master Device Catalog'!$F$5:$F$914,'[2]8A. Master Device Catalog'!$G$5:$G$914,"")</f>
        <v/>
      </c>
      <c r="F477">
        <f>_xlfn.XLOOKUP(D477,'[2]8A. Master Device Catalog'!$F$5:$F$914,'[2]8A. Master Device Catalog'!$H$5:$H$914,"")</f>
        <v/>
      </c>
    </row>
    <row r="478" hidden="1" ht="21.5" customHeight="1" s="125">
      <c r="A478" t="inlineStr">
        <is>
          <t>DEV000477</t>
        </is>
      </c>
      <c r="B478" s="59" t="inlineStr">
        <is>
          <t>APL</t>
        </is>
      </c>
      <c r="C478" s="59" t="inlineStr">
        <is>
          <t>CMP</t>
        </is>
      </c>
      <c r="D478" s="61" t="inlineStr">
        <is>
          <t>Mac Pro</t>
        </is>
      </c>
      <c r="E478">
        <f>_xlfn.XLOOKUP(D478,'[2]8A. Master Device Catalog'!$F$5:$F$914,'[2]8A. Master Device Catalog'!$G$5:$G$914,"")</f>
        <v/>
      </c>
      <c r="F478">
        <f>_xlfn.XLOOKUP(D478,'[2]8A. Master Device Catalog'!$F$5:$F$914,'[2]8A. Master Device Catalog'!$H$5:$H$914,"")</f>
        <v/>
      </c>
    </row>
    <row r="479" hidden="1" ht="21.5" customHeight="1" s="125">
      <c r="A479" t="inlineStr">
        <is>
          <t>DEV000478</t>
        </is>
      </c>
      <c r="B479" s="59" t="inlineStr">
        <is>
          <t>APL</t>
        </is>
      </c>
      <c r="C479" s="59" t="inlineStr">
        <is>
          <t>CMP</t>
        </is>
      </c>
      <c r="D479" s="61" t="inlineStr">
        <is>
          <t>MacBook Air 11-inch</t>
        </is>
      </c>
      <c r="E479">
        <f>_xlfn.XLOOKUP(D479,'[2]8A. Master Device Catalog'!$F$5:$F$914,'[2]8A. Master Device Catalog'!$G$5:$G$914,"")</f>
        <v/>
      </c>
      <c r="F479">
        <f>_xlfn.XLOOKUP(D479,'[2]8A. Master Device Catalog'!$F$5:$F$914,'[2]8A. Master Device Catalog'!$H$5:$H$914,"")</f>
        <v/>
      </c>
    </row>
    <row r="480" hidden="1" ht="21.5" customHeight="1" s="125">
      <c r="A480" t="inlineStr">
        <is>
          <t>DEV000479</t>
        </is>
      </c>
      <c r="B480" s="59" t="inlineStr">
        <is>
          <t>APL</t>
        </is>
      </c>
      <c r="C480" s="59" t="inlineStr">
        <is>
          <t>CMP</t>
        </is>
      </c>
      <c r="D480" s="61" t="inlineStr">
        <is>
          <t>MacBook Air 13-inch (Intel)</t>
        </is>
      </c>
      <c r="E480">
        <f>_xlfn.XLOOKUP(D480,'[2]8A. Master Device Catalog'!$F$5:$F$914,'[2]8A. Master Device Catalog'!$G$5:$G$914,"")</f>
        <v/>
      </c>
      <c r="F480">
        <f>_xlfn.XLOOKUP(D480,'[2]8A. Master Device Catalog'!$F$5:$F$914,'[2]8A. Master Device Catalog'!$H$5:$H$914,"")</f>
        <v/>
      </c>
    </row>
    <row r="481" hidden="1" ht="21.5" customHeight="1" s="125">
      <c r="A481" t="inlineStr">
        <is>
          <t>DEV000480</t>
        </is>
      </c>
      <c r="B481" s="59" t="inlineStr">
        <is>
          <t>APL</t>
        </is>
      </c>
      <c r="C481" s="59" t="inlineStr">
        <is>
          <t>CMP</t>
        </is>
      </c>
      <c r="D481" s="61" t="inlineStr">
        <is>
          <t>MacBook Pro 13-inch</t>
        </is>
      </c>
      <c r="E481">
        <f>_xlfn.XLOOKUP(D481,'[2]8A. Master Device Catalog'!$F$5:$F$914,'[2]8A. Master Device Catalog'!$G$5:$G$914,"")</f>
        <v/>
      </c>
      <c r="F481">
        <f>_xlfn.XLOOKUP(D481,'[2]8A. Master Device Catalog'!$F$5:$F$914,'[2]8A. Master Device Catalog'!$H$5:$H$914,"")</f>
        <v/>
      </c>
    </row>
    <row r="482" hidden="1" ht="21.5" customHeight="1" s="125">
      <c r="A482" t="inlineStr">
        <is>
          <t>DEV000481</t>
        </is>
      </c>
      <c r="B482" s="59" t="inlineStr">
        <is>
          <t>APL</t>
        </is>
      </c>
      <c r="C482" s="59" t="inlineStr">
        <is>
          <t>CMP</t>
        </is>
      </c>
      <c r="D482" s="61" t="inlineStr">
        <is>
          <t>MacBook Pro 15-inch</t>
        </is>
      </c>
      <c r="E482">
        <f>_xlfn.XLOOKUP(D482,'[2]8A. Master Device Catalog'!$F$5:$F$914,'[2]8A. Master Device Catalog'!$G$5:$G$914,"")</f>
        <v/>
      </c>
      <c r="F482">
        <f>_xlfn.XLOOKUP(D482,'[2]8A. Master Device Catalog'!$F$5:$F$914,'[2]8A. Master Device Catalog'!$H$5:$H$914,"")</f>
        <v/>
      </c>
    </row>
    <row r="483" hidden="1" ht="21.5" customHeight="1" s="125">
      <c r="A483" t="inlineStr">
        <is>
          <t>DEV000482</t>
        </is>
      </c>
      <c r="B483" s="59" t="inlineStr">
        <is>
          <t>APL</t>
        </is>
      </c>
      <c r="C483" s="59" t="inlineStr">
        <is>
          <t>CMP</t>
        </is>
      </c>
      <c r="D483" s="61" t="inlineStr">
        <is>
          <t>MacBook Pro 17-inch</t>
        </is>
      </c>
      <c r="E483">
        <f>_xlfn.XLOOKUP(D483,'[2]8A. Master Device Catalog'!$F$5:$F$914,'[2]8A. Master Device Catalog'!$G$5:$G$914,"")</f>
        <v/>
      </c>
      <c r="F483">
        <f>_xlfn.XLOOKUP(D483,'[2]8A. Master Device Catalog'!$F$5:$F$914,'[2]8A. Master Device Catalog'!$H$5:$H$914,"")</f>
        <v/>
      </c>
    </row>
    <row r="484" hidden="1" ht="21.5" customHeight="1" s="125">
      <c r="A484" t="inlineStr">
        <is>
          <t>DEV000483</t>
        </is>
      </c>
      <c r="B484" s="59" t="inlineStr">
        <is>
          <t>APL</t>
        </is>
      </c>
      <c r="C484" s="59" t="inlineStr">
        <is>
          <t>CMP</t>
        </is>
      </c>
      <c r="D484" s="61" t="inlineStr">
        <is>
          <t>MacBook (12-inch)</t>
        </is>
      </c>
      <c r="E484">
        <f>_xlfn.XLOOKUP(D484,'[2]8A. Master Device Catalog'!$F$5:$F$914,'[2]8A. Master Device Catalog'!$G$5:$G$914,"")</f>
        <v/>
      </c>
      <c r="F484">
        <f>_xlfn.XLOOKUP(D484,'[2]8A. Master Device Catalog'!$F$5:$F$914,'[2]8A. Master Device Catalog'!$H$5:$H$914,"")</f>
        <v/>
      </c>
    </row>
    <row r="485" hidden="1" ht="21.5" customHeight="1" s="125">
      <c r="A485" t="inlineStr">
        <is>
          <t>DEV000484</t>
        </is>
      </c>
      <c r="B485" s="59" t="inlineStr">
        <is>
          <t>APL</t>
        </is>
      </c>
      <c r="C485" s="59" t="inlineStr">
        <is>
          <t>CMP</t>
        </is>
      </c>
      <c r="D485" s="61" t="inlineStr">
        <is>
          <t>iMac 21.5-inch</t>
        </is>
      </c>
      <c r="E485">
        <f>_xlfn.XLOOKUP(D485,'[2]8A. Master Device Catalog'!$F$5:$F$914,'[2]8A. Master Device Catalog'!$G$5:$G$914,"")</f>
        <v/>
      </c>
      <c r="F485">
        <f>_xlfn.XLOOKUP(D485,'[2]8A. Master Device Catalog'!$F$5:$F$914,'[2]8A. Master Device Catalog'!$H$5:$H$914,"")</f>
        <v/>
      </c>
    </row>
    <row r="486" hidden="1" ht="21.5" customHeight="1" s="125">
      <c r="A486" t="inlineStr">
        <is>
          <t>DEV000485</t>
        </is>
      </c>
      <c r="B486" s="59" t="inlineStr">
        <is>
          <t>APL</t>
        </is>
      </c>
      <c r="C486" s="59" t="inlineStr">
        <is>
          <t>CMP</t>
        </is>
      </c>
      <c r="D486" s="61" t="inlineStr">
        <is>
          <t>iMac 27-inch</t>
        </is>
      </c>
      <c r="E486">
        <f>_xlfn.XLOOKUP(D486,'[2]8A. Master Device Catalog'!$F$5:$F$914,'[2]8A. Master Device Catalog'!$G$5:$G$914,"")</f>
        <v/>
      </c>
      <c r="F486">
        <f>_xlfn.XLOOKUP(D486,'[2]8A. Master Device Catalog'!$F$5:$F$914,'[2]8A. Master Device Catalog'!$H$5:$H$914,"")</f>
        <v/>
      </c>
    </row>
    <row r="487" hidden="1" ht="21.5" customHeight="1" s="125">
      <c r="A487" t="inlineStr">
        <is>
          <t>DEV000486</t>
        </is>
      </c>
      <c r="B487" s="59" t="inlineStr">
        <is>
          <t>APL</t>
        </is>
      </c>
      <c r="C487" s="59" t="inlineStr">
        <is>
          <t>CMP</t>
        </is>
      </c>
      <c r="D487" s="61" t="inlineStr">
        <is>
          <t>Mac mini (Intel)</t>
        </is>
      </c>
      <c r="E487">
        <f>_xlfn.XLOOKUP(D487,'[2]8A. Master Device Catalog'!$F$5:$F$914,'[2]8A. Master Device Catalog'!$G$5:$G$914,"")</f>
        <v/>
      </c>
      <c r="F487">
        <f>_xlfn.XLOOKUP(D487,'[2]8A. Master Device Catalog'!$F$5:$F$914,'[2]8A. Master Device Catalog'!$H$5:$H$914,"")</f>
        <v/>
      </c>
    </row>
    <row r="488" hidden="1" ht="21.5" customHeight="1" s="125">
      <c r="A488" t="inlineStr">
        <is>
          <t>DEV000487</t>
        </is>
      </c>
      <c r="B488" s="59" t="inlineStr">
        <is>
          <t>APL</t>
        </is>
      </c>
      <c r="C488" s="59" t="inlineStr">
        <is>
          <t>CMP</t>
        </is>
      </c>
      <c r="D488" s="61" t="inlineStr">
        <is>
          <t>Mac Studio (M2 Max)</t>
        </is>
      </c>
      <c r="E488">
        <f>_xlfn.XLOOKUP(D488,'[2]8A. Master Device Catalog'!$F$5:$F$914,'[2]8A. Master Device Catalog'!$G$5:$G$914,"")</f>
        <v/>
      </c>
      <c r="F488">
        <f>_xlfn.XLOOKUP(D488,'[2]8A. Master Device Catalog'!$F$5:$F$914,'[2]8A. Master Device Catalog'!$H$5:$H$914,"")</f>
        <v/>
      </c>
    </row>
    <row r="489" hidden="1" ht="21.5" customHeight="1" s="125">
      <c r="A489" t="inlineStr">
        <is>
          <t>DEV000488</t>
        </is>
      </c>
      <c r="B489" s="59" t="inlineStr">
        <is>
          <t>APL</t>
        </is>
      </c>
      <c r="C489" s="59" t="inlineStr">
        <is>
          <t>CMP</t>
        </is>
      </c>
      <c r="D489" s="61" t="inlineStr">
        <is>
          <t>Mac Studio (M2 Ultra)</t>
        </is>
      </c>
      <c r="E489">
        <f>_xlfn.XLOOKUP(D489,'[2]8A. Master Device Catalog'!$F$5:$F$914,'[2]8A. Master Device Catalog'!$G$5:$G$914,"")</f>
        <v/>
      </c>
      <c r="F489">
        <f>_xlfn.XLOOKUP(D489,'[2]8A. Master Device Catalog'!$F$5:$F$914,'[2]8A. Master Device Catalog'!$H$5:$H$914,"")</f>
        <v/>
      </c>
    </row>
    <row r="490" hidden="1" ht="21.5" customHeight="1" s="125">
      <c r="A490" t="inlineStr">
        <is>
          <t>DEV000489</t>
        </is>
      </c>
      <c r="B490" s="59" t="inlineStr">
        <is>
          <t>ASU</t>
        </is>
      </c>
      <c r="C490" s="59" t="inlineStr">
        <is>
          <t>CMP</t>
        </is>
      </c>
      <c r="D490" s="61" t="inlineStr">
        <is>
          <t>ROG Zephyrus G14</t>
        </is>
      </c>
      <c r="E490">
        <f>_xlfn.XLOOKUP(D490,'[2]8A. Master Device Catalog'!$F$5:$F$914,'[2]8A. Master Device Catalog'!$G$5:$G$914,"")</f>
        <v/>
      </c>
      <c r="F490">
        <f>_xlfn.XLOOKUP(D490,'[2]8A. Master Device Catalog'!$F$5:$F$914,'[2]8A. Master Device Catalog'!$H$5:$H$914,"")</f>
        <v/>
      </c>
    </row>
    <row r="491" hidden="1" ht="21.5" customHeight="1" s="125">
      <c r="A491" t="inlineStr">
        <is>
          <t>DEV000490</t>
        </is>
      </c>
      <c r="B491" s="59" t="inlineStr">
        <is>
          <t>ASU</t>
        </is>
      </c>
      <c r="C491" s="59" t="inlineStr">
        <is>
          <t>CMP</t>
        </is>
      </c>
      <c r="D491" s="61" t="inlineStr">
        <is>
          <t>Zenbook 14 OLED</t>
        </is>
      </c>
      <c r="E491">
        <f>_xlfn.XLOOKUP(D491,'[2]8A. Master Device Catalog'!$F$5:$F$914,'[2]8A. Master Device Catalog'!$G$5:$G$914,"")</f>
        <v/>
      </c>
      <c r="F491">
        <f>_xlfn.XLOOKUP(D491,'[2]8A. Master Device Catalog'!$F$5:$F$914,'[2]8A. Master Device Catalog'!$H$5:$H$914,"")</f>
        <v/>
      </c>
    </row>
    <row r="492" hidden="1" ht="21.5" customHeight="1" s="125">
      <c r="A492" t="inlineStr">
        <is>
          <t>DEV000491</t>
        </is>
      </c>
      <c r="B492" s="59" t="inlineStr">
        <is>
          <t>ASU</t>
        </is>
      </c>
      <c r="C492" s="59" t="inlineStr">
        <is>
          <t>CMP</t>
        </is>
      </c>
      <c r="D492" s="61" t="inlineStr">
        <is>
          <t>Zenbook Duo</t>
        </is>
      </c>
      <c r="E492">
        <f>_xlfn.XLOOKUP(D492,'[2]8A. Master Device Catalog'!$F$5:$F$914,'[2]8A. Master Device Catalog'!$G$5:$G$914,"")</f>
        <v/>
      </c>
      <c r="F492">
        <f>_xlfn.XLOOKUP(D492,'[2]8A. Master Device Catalog'!$F$5:$F$914,'[2]8A. Master Device Catalog'!$H$5:$H$914,"")</f>
        <v/>
      </c>
    </row>
    <row r="493" hidden="1" ht="21.5" customHeight="1" s="125">
      <c r="A493" t="inlineStr">
        <is>
          <t>DEV000492</t>
        </is>
      </c>
      <c r="B493" s="59" t="inlineStr">
        <is>
          <t>ASU</t>
        </is>
      </c>
      <c r="C493" s="59" t="inlineStr">
        <is>
          <t>CMP</t>
        </is>
      </c>
      <c r="D493" s="61" t="inlineStr">
        <is>
          <t>ProArt P16</t>
        </is>
      </c>
      <c r="E493">
        <f>_xlfn.XLOOKUP(D493,'[2]8A. Master Device Catalog'!$F$5:$F$914,'[2]8A. Master Device Catalog'!$G$5:$G$914,"")</f>
        <v/>
      </c>
      <c r="F493">
        <f>_xlfn.XLOOKUP(D493,'[2]8A. Master Device Catalog'!$F$5:$F$914,'[2]8A. Master Device Catalog'!$H$5:$H$914,"")</f>
        <v/>
      </c>
    </row>
    <row r="494" hidden="1" ht="21.5" customHeight="1" s="125">
      <c r="A494" t="inlineStr">
        <is>
          <t>DEV000493</t>
        </is>
      </c>
      <c r="B494" s="59" t="inlineStr">
        <is>
          <t>ASU</t>
        </is>
      </c>
      <c r="C494" s="59" t="inlineStr">
        <is>
          <t>CMP</t>
        </is>
      </c>
      <c r="D494" s="61" t="inlineStr">
        <is>
          <t>Vivobook 15</t>
        </is>
      </c>
      <c r="E494">
        <f>_xlfn.XLOOKUP(D494,'[2]8A. Master Device Catalog'!$F$5:$F$914,'[2]8A. Master Device Catalog'!$G$5:$G$914,"")</f>
        <v/>
      </c>
      <c r="F494">
        <f>_xlfn.XLOOKUP(D494,'[2]8A. Master Device Catalog'!$F$5:$F$914,'[2]8A. Master Device Catalog'!$H$5:$H$914,"")</f>
        <v/>
      </c>
    </row>
    <row r="495" hidden="1" ht="21.5" customHeight="1" s="125">
      <c r="A495" t="inlineStr">
        <is>
          <t>DEV000494</t>
        </is>
      </c>
      <c r="B495" s="59" t="inlineStr">
        <is>
          <t>ASU</t>
        </is>
      </c>
      <c r="C495" s="59" t="inlineStr">
        <is>
          <t>CMP</t>
        </is>
      </c>
      <c r="D495" s="61" t="inlineStr">
        <is>
          <t>Vivobook S 15</t>
        </is>
      </c>
      <c r="E495">
        <f>_xlfn.XLOOKUP(D495,'[2]8A. Master Device Catalog'!$F$5:$F$914,'[2]8A. Master Device Catalog'!$G$5:$G$914,"")</f>
        <v/>
      </c>
      <c r="F495">
        <f>_xlfn.XLOOKUP(D495,'[2]8A. Master Device Catalog'!$F$5:$F$914,'[2]8A. Master Device Catalog'!$H$5:$H$914,"")</f>
        <v/>
      </c>
    </row>
    <row r="496" hidden="1" ht="21.5" customHeight="1" s="125">
      <c r="A496" t="inlineStr">
        <is>
          <t>DEV000495</t>
        </is>
      </c>
      <c r="B496" s="59" t="inlineStr">
        <is>
          <t>ASU</t>
        </is>
      </c>
      <c r="C496" s="59" t="inlineStr">
        <is>
          <t>CMP</t>
        </is>
      </c>
      <c r="D496" s="61" t="inlineStr">
        <is>
          <t>ROG Zephyrus G16</t>
        </is>
      </c>
      <c r="E496">
        <f>_xlfn.XLOOKUP(D496,'[2]8A. Master Device Catalog'!$F$5:$F$914,'[2]8A. Master Device Catalog'!$G$5:$G$914,"")</f>
        <v/>
      </c>
      <c r="F496">
        <f>_xlfn.XLOOKUP(D496,'[2]8A. Master Device Catalog'!$F$5:$F$914,'[2]8A. Master Device Catalog'!$H$5:$H$914,"")</f>
        <v/>
      </c>
    </row>
    <row r="497" hidden="1" ht="21.5" customHeight="1" s="125">
      <c r="A497" t="inlineStr">
        <is>
          <t>DEV000496</t>
        </is>
      </c>
      <c r="B497" s="59" t="inlineStr">
        <is>
          <t>ASU</t>
        </is>
      </c>
      <c r="C497" s="59" t="inlineStr">
        <is>
          <t>CMP</t>
        </is>
      </c>
      <c r="D497" s="61" t="inlineStr">
        <is>
          <t>ROG Strix G16</t>
        </is>
      </c>
      <c r="E497">
        <f>_xlfn.XLOOKUP(D497,'[2]8A. Master Device Catalog'!$F$5:$F$914,'[2]8A. Master Device Catalog'!$G$5:$G$914,"")</f>
        <v/>
      </c>
      <c r="F497">
        <f>_xlfn.XLOOKUP(D497,'[2]8A. Master Device Catalog'!$F$5:$F$914,'[2]8A. Master Device Catalog'!$H$5:$H$914,"")</f>
        <v/>
      </c>
    </row>
    <row r="498" hidden="1" ht="21.5" customHeight="1" s="125">
      <c r="A498" t="inlineStr">
        <is>
          <t>DEV000497</t>
        </is>
      </c>
      <c r="B498" s="59" t="inlineStr">
        <is>
          <t>ASU</t>
        </is>
      </c>
      <c r="C498" s="59" t="inlineStr">
        <is>
          <t>CMP</t>
        </is>
      </c>
      <c r="D498" s="61" t="inlineStr">
        <is>
          <t>ROG Flow X13</t>
        </is>
      </c>
      <c r="E498">
        <f>_xlfn.XLOOKUP(D498,'[2]8A. Master Device Catalog'!$F$5:$F$914,'[2]8A. Master Device Catalog'!$G$5:$G$914,"")</f>
        <v/>
      </c>
      <c r="F498">
        <f>_xlfn.XLOOKUP(D498,'[2]8A. Master Device Catalog'!$F$5:$F$914,'[2]8A. Master Device Catalog'!$H$5:$H$914,"")</f>
        <v/>
      </c>
    </row>
    <row r="499" hidden="1" ht="21.5" customHeight="1" s="125">
      <c r="A499" t="inlineStr">
        <is>
          <t>DEV000498</t>
        </is>
      </c>
      <c r="B499" s="59" t="inlineStr">
        <is>
          <t>ASU</t>
        </is>
      </c>
      <c r="C499" s="59" t="inlineStr">
        <is>
          <t>CMP</t>
        </is>
      </c>
      <c r="D499" s="61" t="inlineStr">
        <is>
          <t>ROG Flow Z13</t>
        </is>
      </c>
      <c r="E499">
        <f>_xlfn.XLOOKUP(D499,'[2]8A. Master Device Catalog'!$F$5:$F$914,'[2]8A. Master Device Catalog'!$G$5:$G$914,"")</f>
        <v/>
      </c>
      <c r="F499">
        <f>_xlfn.XLOOKUP(D499,'[2]8A. Master Device Catalog'!$F$5:$F$914,'[2]8A. Master Device Catalog'!$H$5:$H$914,"")</f>
        <v/>
      </c>
    </row>
    <row r="500" hidden="1" ht="21.5" customHeight="1" s="125">
      <c r="A500" t="inlineStr">
        <is>
          <t>DEV000499</t>
        </is>
      </c>
      <c r="B500" s="59" t="inlineStr">
        <is>
          <t>ASU</t>
        </is>
      </c>
      <c r="C500" s="59" t="inlineStr">
        <is>
          <t>CMP</t>
        </is>
      </c>
      <c r="D500" s="61" t="inlineStr">
        <is>
          <t>TUF Gaming A15</t>
        </is>
      </c>
      <c r="E500">
        <f>_xlfn.XLOOKUP(D500,'[2]8A. Master Device Catalog'!$F$5:$F$914,'[2]8A. Master Device Catalog'!$G$5:$G$914,"")</f>
        <v/>
      </c>
      <c r="F500">
        <f>_xlfn.XLOOKUP(D500,'[2]8A. Master Device Catalog'!$F$5:$F$914,'[2]8A. Master Device Catalog'!$H$5:$H$914,"")</f>
        <v/>
      </c>
    </row>
    <row r="501" hidden="1" ht="21.5" customHeight="1" s="125">
      <c r="A501" t="inlineStr">
        <is>
          <t>DEV000500</t>
        </is>
      </c>
      <c r="B501" s="59" t="inlineStr">
        <is>
          <t>ASU</t>
        </is>
      </c>
      <c r="C501" s="59" t="inlineStr">
        <is>
          <t>CMP</t>
        </is>
      </c>
      <c r="D501" s="61" t="inlineStr">
        <is>
          <t>TUF Gaming A16</t>
        </is>
      </c>
      <c r="E501">
        <f>_xlfn.XLOOKUP(D501,'[2]8A. Master Device Catalog'!$F$5:$F$914,'[2]8A. Master Device Catalog'!$G$5:$G$914,"")</f>
        <v/>
      </c>
      <c r="F501">
        <f>_xlfn.XLOOKUP(D501,'[2]8A. Master Device Catalog'!$F$5:$F$914,'[2]8A. Master Device Catalog'!$H$5:$H$914,"")</f>
        <v/>
      </c>
    </row>
    <row r="502" hidden="1" ht="21.5" customHeight="1" s="125">
      <c r="A502" t="inlineStr">
        <is>
          <t>DEV000501</t>
        </is>
      </c>
      <c r="B502" s="59" t="inlineStr">
        <is>
          <t>ASU</t>
        </is>
      </c>
      <c r="C502" s="59" t="inlineStr">
        <is>
          <t>CMP</t>
        </is>
      </c>
      <c r="D502" s="61" t="inlineStr">
        <is>
          <t>TUF Gaming F15</t>
        </is>
      </c>
      <c r="E502">
        <f>_xlfn.XLOOKUP(D502,'[2]8A. Master Device Catalog'!$F$5:$F$914,'[2]8A. Master Device Catalog'!$G$5:$G$914,"")</f>
        <v/>
      </c>
      <c r="F502">
        <f>_xlfn.XLOOKUP(D502,'[2]8A. Master Device Catalog'!$F$5:$F$914,'[2]8A. Master Device Catalog'!$H$5:$H$914,"")</f>
        <v/>
      </c>
    </row>
    <row r="503" hidden="1" ht="21.5" customHeight="1" s="125">
      <c r="A503" t="inlineStr">
        <is>
          <t>DEV000502</t>
        </is>
      </c>
      <c r="B503" s="59" t="inlineStr">
        <is>
          <t>ASU</t>
        </is>
      </c>
      <c r="C503" s="59" t="inlineStr">
        <is>
          <t>CMP</t>
        </is>
      </c>
      <c r="D503" s="61" t="inlineStr">
        <is>
          <t>TUF Gaming F17</t>
        </is>
      </c>
      <c r="E503">
        <f>_xlfn.XLOOKUP(D503,'[2]8A. Master Device Catalog'!$F$5:$F$914,'[2]8A. Master Device Catalog'!$G$5:$G$914,"")</f>
        <v/>
      </c>
      <c r="F503">
        <f>_xlfn.XLOOKUP(D503,'[2]8A. Master Device Catalog'!$F$5:$F$914,'[2]8A. Master Device Catalog'!$H$5:$H$914,"")</f>
        <v/>
      </c>
    </row>
    <row r="504" hidden="1" ht="21.5" customHeight="1" s="125">
      <c r="A504" t="inlineStr">
        <is>
          <t>DEV000503</t>
        </is>
      </c>
      <c r="B504" s="59" t="inlineStr">
        <is>
          <t>ASU</t>
        </is>
      </c>
      <c r="C504" s="59" t="inlineStr">
        <is>
          <t>CMP</t>
        </is>
      </c>
      <c r="D504" s="61" t="inlineStr">
        <is>
          <t>ROG Strix Scar 16</t>
        </is>
      </c>
      <c r="E504">
        <f>_xlfn.XLOOKUP(D504,'[2]8A. Master Device Catalog'!$F$5:$F$914,'[2]8A. Master Device Catalog'!$G$5:$G$914,"")</f>
        <v/>
      </c>
      <c r="F504">
        <f>_xlfn.XLOOKUP(D504,'[2]8A. Master Device Catalog'!$F$5:$F$914,'[2]8A. Master Device Catalog'!$H$5:$H$914,"")</f>
        <v/>
      </c>
    </row>
    <row r="505" hidden="1" ht="21.5" customHeight="1" s="125">
      <c r="A505" t="inlineStr">
        <is>
          <t>DEV000504</t>
        </is>
      </c>
      <c r="B505" s="59" t="inlineStr">
        <is>
          <t>ASU</t>
        </is>
      </c>
      <c r="C505" s="59" t="inlineStr">
        <is>
          <t>CMP</t>
        </is>
      </c>
      <c r="D505" s="61" t="inlineStr">
        <is>
          <t>ROG Strix Scar 18</t>
        </is>
      </c>
      <c r="E505">
        <f>_xlfn.XLOOKUP(D505,'[2]8A. Master Device Catalog'!$F$5:$F$914,'[2]8A. Master Device Catalog'!$G$5:$G$914,"")</f>
        <v/>
      </c>
      <c r="F505">
        <f>_xlfn.XLOOKUP(D505,'[2]8A. Master Device Catalog'!$F$5:$F$914,'[2]8A. Master Device Catalog'!$H$5:$H$914,"")</f>
        <v/>
      </c>
    </row>
    <row r="506" hidden="1" ht="21.5" customHeight="1" s="125">
      <c r="A506" t="inlineStr">
        <is>
          <t>DEV000505</t>
        </is>
      </c>
      <c r="B506" s="59" t="inlineStr">
        <is>
          <t>ASU</t>
        </is>
      </c>
      <c r="C506" s="59" t="inlineStr">
        <is>
          <t>CMP</t>
        </is>
      </c>
      <c r="D506" s="61" t="inlineStr">
        <is>
          <t>ExpertBook B5</t>
        </is>
      </c>
      <c r="E506">
        <f>_xlfn.XLOOKUP(D506,'[2]8A. Master Device Catalog'!$F$5:$F$914,'[2]8A. Master Device Catalog'!$G$5:$G$914,"")</f>
        <v/>
      </c>
      <c r="F506">
        <f>_xlfn.XLOOKUP(D506,'[2]8A. Master Device Catalog'!$F$5:$F$914,'[2]8A. Master Device Catalog'!$H$5:$H$914,"")</f>
        <v/>
      </c>
    </row>
    <row r="507" hidden="1" ht="21.5" customHeight="1" s="125">
      <c r="A507" t="inlineStr">
        <is>
          <t>DEV000506</t>
        </is>
      </c>
      <c r="B507" s="59" t="inlineStr">
        <is>
          <t>ASU</t>
        </is>
      </c>
      <c r="C507" s="59" t="inlineStr">
        <is>
          <t>CMP</t>
        </is>
      </c>
      <c r="D507" s="61" t="inlineStr">
        <is>
          <t>ExpertBook B9</t>
        </is>
      </c>
      <c r="E507">
        <f>_xlfn.XLOOKUP(D507,'[2]8A. Master Device Catalog'!$F$5:$F$914,'[2]8A. Master Device Catalog'!$G$5:$G$914,"")</f>
        <v/>
      </c>
      <c r="F507">
        <f>_xlfn.XLOOKUP(D507,'[2]8A. Master Device Catalog'!$F$5:$F$914,'[2]8A. Master Device Catalog'!$H$5:$H$914,"")</f>
        <v/>
      </c>
    </row>
    <row r="508" hidden="1" ht="21.5" customHeight="1" s="125">
      <c r="A508" t="inlineStr">
        <is>
          <t>DEV000507</t>
        </is>
      </c>
      <c r="B508" s="59" t="inlineStr">
        <is>
          <t>DEL</t>
        </is>
      </c>
      <c r="C508" s="59" t="inlineStr">
        <is>
          <t>CMP</t>
        </is>
      </c>
      <c r="D508" s="61" t="inlineStr">
        <is>
          <t>Latitude 5450</t>
        </is>
      </c>
      <c r="E508">
        <f>_xlfn.XLOOKUP(D508,'[2]8A. Master Device Catalog'!$F$5:$F$914,'[2]8A. Master Device Catalog'!$G$5:$G$914,"")</f>
        <v/>
      </c>
      <c r="F508">
        <f>_xlfn.XLOOKUP(D508,'[2]8A. Master Device Catalog'!$F$5:$F$914,'[2]8A. Master Device Catalog'!$H$5:$H$914,"")</f>
        <v/>
      </c>
    </row>
    <row r="509" hidden="1" ht="21.5" customHeight="1" s="125">
      <c r="A509" t="inlineStr">
        <is>
          <t>DEV000508</t>
        </is>
      </c>
      <c r="B509" s="59" t="inlineStr">
        <is>
          <t>DEL</t>
        </is>
      </c>
      <c r="C509" s="59" t="inlineStr">
        <is>
          <t>CMP</t>
        </is>
      </c>
      <c r="D509" s="61" t="inlineStr">
        <is>
          <t>XPS 13</t>
        </is>
      </c>
      <c r="E509">
        <f>_xlfn.XLOOKUP(D509,'[2]8A. Master Device Catalog'!$F$5:$F$914,'[2]8A. Master Device Catalog'!$G$5:$G$914,"")</f>
        <v/>
      </c>
      <c r="F509">
        <f>_xlfn.XLOOKUP(D509,'[2]8A. Master Device Catalog'!$F$5:$F$914,'[2]8A. Master Device Catalog'!$H$5:$H$914,"")</f>
        <v/>
      </c>
    </row>
    <row r="510" hidden="1" ht="21.5" customHeight="1" s="125">
      <c r="A510" t="inlineStr">
        <is>
          <t>DEV000509</t>
        </is>
      </c>
      <c r="B510" s="59" t="inlineStr">
        <is>
          <t>DEL</t>
        </is>
      </c>
      <c r="C510" s="59" t="inlineStr">
        <is>
          <t>CMP</t>
        </is>
      </c>
      <c r="D510" s="61" t="inlineStr">
        <is>
          <t>XPS 14</t>
        </is>
      </c>
      <c r="E510">
        <f>_xlfn.XLOOKUP(D510,'[2]8A. Master Device Catalog'!$F$5:$F$914,'[2]8A. Master Device Catalog'!$G$5:$G$914,"")</f>
        <v/>
      </c>
      <c r="F510">
        <f>_xlfn.XLOOKUP(D510,'[2]8A. Master Device Catalog'!$F$5:$F$914,'[2]8A. Master Device Catalog'!$H$5:$H$914,"")</f>
        <v/>
      </c>
    </row>
    <row r="511" hidden="1" ht="21.5" customHeight="1" s="125">
      <c r="A511" t="inlineStr">
        <is>
          <t>DEV000510</t>
        </is>
      </c>
      <c r="B511" s="59" t="inlineStr">
        <is>
          <t>DEL</t>
        </is>
      </c>
      <c r="C511" s="59" t="inlineStr">
        <is>
          <t>CMP</t>
        </is>
      </c>
      <c r="D511" s="61" t="inlineStr">
        <is>
          <t>XPS 16</t>
        </is>
      </c>
      <c r="E511">
        <f>_xlfn.XLOOKUP(D511,'[2]8A. Master Device Catalog'!$F$5:$F$914,'[2]8A. Master Device Catalog'!$G$5:$G$914,"")</f>
        <v/>
      </c>
      <c r="F511">
        <f>_xlfn.XLOOKUP(D511,'[2]8A. Master Device Catalog'!$F$5:$F$914,'[2]8A. Master Device Catalog'!$H$5:$H$914,"")</f>
        <v/>
      </c>
    </row>
    <row r="512" hidden="1" ht="21.5" customHeight="1" s="125">
      <c r="A512" t="inlineStr">
        <is>
          <t>DEV000511</t>
        </is>
      </c>
      <c r="B512" s="59" t="inlineStr">
        <is>
          <t>DEL</t>
        </is>
      </c>
      <c r="C512" s="59" t="inlineStr">
        <is>
          <t>CMP</t>
        </is>
      </c>
      <c r="D512" s="61" t="inlineStr">
        <is>
          <t>Inspiron 14</t>
        </is>
      </c>
      <c r="E512">
        <f>_xlfn.XLOOKUP(D512,'[2]8A. Master Device Catalog'!$F$5:$F$914,'[2]8A. Master Device Catalog'!$G$5:$G$914,"")</f>
        <v/>
      </c>
      <c r="F512">
        <f>_xlfn.XLOOKUP(D512,'[2]8A. Master Device Catalog'!$F$5:$F$914,'[2]8A. Master Device Catalog'!$H$5:$H$914,"")</f>
        <v/>
      </c>
    </row>
    <row r="513" hidden="1" ht="21.5" customHeight="1" s="125">
      <c r="A513" t="inlineStr">
        <is>
          <t>DEV000512</t>
        </is>
      </c>
      <c r="B513" s="59" t="inlineStr">
        <is>
          <t>DEL</t>
        </is>
      </c>
      <c r="C513" s="59" t="inlineStr">
        <is>
          <t>CMP</t>
        </is>
      </c>
      <c r="D513" s="61" t="inlineStr">
        <is>
          <t>Inspiron 16</t>
        </is>
      </c>
      <c r="E513">
        <f>_xlfn.XLOOKUP(D513,'[2]8A. Master Device Catalog'!$F$5:$F$914,'[2]8A. Master Device Catalog'!$G$5:$G$914,"")</f>
        <v/>
      </c>
      <c r="F513">
        <f>_xlfn.XLOOKUP(D513,'[2]8A. Master Device Catalog'!$F$5:$F$914,'[2]8A. Master Device Catalog'!$H$5:$H$914,"")</f>
        <v/>
      </c>
    </row>
    <row r="514" hidden="1" ht="21.5" customHeight="1" s="125">
      <c r="A514" t="inlineStr">
        <is>
          <t>DEV000513</t>
        </is>
      </c>
      <c r="B514" s="59" t="inlineStr">
        <is>
          <t>DEL</t>
        </is>
      </c>
      <c r="C514" s="59" t="inlineStr">
        <is>
          <t>CMP</t>
        </is>
      </c>
      <c r="D514" s="61" t="inlineStr">
        <is>
          <t>Latitude 7450</t>
        </is>
      </c>
      <c r="E514">
        <f>_xlfn.XLOOKUP(D514,'[2]8A. Master Device Catalog'!$F$5:$F$914,'[2]8A. Master Device Catalog'!$G$5:$G$914,"")</f>
        <v/>
      </c>
      <c r="F514">
        <f>_xlfn.XLOOKUP(D514,'[2]8A. Master Device Catalog'!$F$5:$F$914,'[2]8A. Master Device Catalog'!$H$5:$H$914,"")</f>
        <v/>
      </c>
    </row>
    <row r="515" hidden="1" ht="21.5" customHeight="1" s="125">
      <c r="A515" t="inlineStr">
        <is>
          <t>DEV000514</t>
        </is>
      </c>
      <c r="B515" s="59" t="inlineStr">
        <is>
          <t>DEL</t>
        </is>
      </c>
      <c r="C515" s="59" t="inlineStr">
        <is>
          <t>CMP</t>
        </is>
      </c>
      <c r="D515" s="61" t="inlineStr">
        <is>
          <t>Precision 3591</t>
        </is>
      </c>
      <c r="E515">
        <f>_xlfn.XLOOKUP(D515,'[2]8A. Master Device Catalog'!$F$5:$F$914,'[2]8A. Master Device Catalog'!$G$5:$G$914,"")</f>
        <v/>
      </c>
      <c r="F515">
        <f>_xlfn.XLOOKUP(D515,'[2]8A. Master Device Catalog'!$F$5:$F$914,'[2]8A. Master Device Catalog'!$H$5:$H$914,"")</f>
        <v/>
      </c>
    </row>
    <row r="516" hidden="1" ht="21.5" customHeight="1" s="125">
      <c r="A516" t="inlineStr">
        <is>
          <t>DEV000515</t>
        </is>
      </c>
      <c r="B516" s="59" t="inlineStr">
        <is>
          <t>DEL</t>
        </is>
      </c>
      <c r="C516" s="59" t="inlineStr">
        <is>
          <t>CMP</t>
        </is>
      </c>
      <c r="D516" s="61" t="inlineStr">
        <is>
          <t>Precision 5690</t>
        </is>
      </c>
      <c r="E516">
        <f>_xlfn.XLOOKUP(D516,'[2]8A. Master Device Catalog'!$F$5:$F$914,'[2]8A. Master Device Catalog'!$G$5:$G$914,"")</f>
        <v/>
      </c>
      <c r="F516">
        <f>_xlfn.XLOOKUP(D516,'[2]8A. Master Device Catalog'!$F$5:$F$914,'[2]8A. Master Device Catalog'!$H$5:$H$914,"")</f>
        <v/>
      </c>
    </row>
    <row r="517" hidden="1" ht="21.5" customHeight="1" s="125">
      <c r="A517" t="inlineStr">
        <is>
          <t>DEV000516</t>
        </is>
      </c>
      <c r="B517" s="59" t="inlineStr">
        <is>
          <t>DEL</t>
        </is>
      </c>
      <c r="C517" s="59" t="inlineStr">
        <is>
          <t>CMP</t>
        </is>
      </c>
      <c r="D517" s="61" t="inlineStr">
        <is>
          <t>Precision 7690</t>
        </is>
      </c>
      <c r="E517">
        <f>_xlfn.XLOOKUP(D517,'[2]8A. Master Device Catalog'!$F$5:$F$914,'[2]8A. Master Device Catalog'!$G$5:$G$914,"")</f>
        <v/>
      </c>
      <c r="F517">
        <f>_xlfn.XLOOKUP(D517,'[2]8A. Master Device Catalog'!$F$5:$F$914,'[2]8A. Master Device Catalog'!$H$5:$H$914,"")</f>
        <v/>
      </c>
    </row>
    <row r="518" hidden="1" ht="21.5" customHeight="1" s="125">
      <c r="A518" t="inlineStr">
        <is>
          <t>DEV000517</t>
        </is>
      </c>
      <c r="B518" s="59" t="inlineStr">
        <is>
          <t>DEL</t>
        </is>
      </c>
      <c r="C518" s="59" t="inlineStr">
        <is>
          <t>CMP</t>
        </is>
      </c>
      <c r="D518" s="61" t="inlineStr">
        <is>
          <t>OptiPlex 7020</t>
        </is>
      </c>
      <c r="E518">
        <f>_xlfn.XLOOKUP(D518,'[2]8A. Master Device Catalog'!$F$5:$F$914,'[2]8A. Master Device Catalog'!$G$5:$G$914,"")</f>
        <v/>
      </c>
      <c r="F518">
        <f>_xlfn.XLOOKUP(D518,'[2]8A. Master Device Catalog'!$F$5:$F$914,'[2]8A. Master Device Catalog'!$H$5:$H$914,"")</f>
        <v/>
      </c>
    </row>
    <row r="519" hidden="1" ht="21.5" customHeight="1" s="125">
      <c r="A519" t="inlineStr">
        <is>
          <t>DEV000518</t>
        </is>
      </c>
      <c r="B519" s="59" t="inlineStr">
        <is>
          <t>DEL</t>
        </is>
      </c>
      <c r="C519" s="59" t="inlineStr">
        <is>
          <t>CMP</t>
        </is>
      </c>
      <c r="D519" s="61" t="inlineStr">
        <is>
          <t>OptiPlex 7420 All-in-One</t>
        </is>
      </c>
      <c r="E519">
        <f>_xlfn.XLOOKUP(D519,'[2]8A. Master Device Catalog'!$F$5:$F$914,'[2]8A. Master Device Catalog'!$G$5:$G$914,"")</f>
        <v/>
      </c>
      <c r="F519">
        <f>_xlfn.XLOOKUP(D519,'[2]8A. Master Device Catalog'!$F$5:$F$914,'[2]8A. Master Device Catalog'!$H$5:$H$914,"")</f>
        <v/>
      </c>
    </row>
    <row r="520" hidden="1" ht="21.5" customHeight="1" s="125">
      <c r="A520" t="inlineStr">
        <is>
          <t>DEV000519</t>
        </is>
      </c>
      <c r="B520" s="59" t="inlineStr">
        <is>
          <t>DEL</t>
        </is>
      </c>
      <c r="C520" s="59" t="inlineStr">
        <is>
          <t>CMP</t>
        </is>
      </c>
      <c r="D520" s="61" t="inlineStr">
        <is>
          <t>Inspiron 15</t>
        </is>
      </c>
      <c r="E520">
        <f>_xlfn.XLOOKUP(D520,'[2]8A. Master Device Catalog'!$F$5:$F$914,'[2]8A. Master Device Catalog'!$G$5:$G$914,"")</f>
        <v/>
      </c>
      <c r="F520">
        <f>_xlfn.XLOOKUP(D520,'[2]8A. Master Device Catalog'!$F$5:$F$914,'[2]8A. Master Device Catalog'!$H$5:$H$914,"")</f>
        <v/>
      </c>
    </row>
    <row r="521" hidden="1" ht="21.5" customHeight="1" s="125">
      <c r="A521" t="inlineStr">
        <is>
          <t>DEV000520</t>
        </is>
      </c>
      <c r="B521" s="59" t="inlineStr">
        <is>
          <t>DEL</t>
        </is>
      </c>
      <c r="C521" s="59" t="inlineStr">
        <is>
          <t>CMP</t>
        </is>
      </c>
      <c r="D521" s="61" t="inlineStr">
        <is>
          <t>Inspiron 16 Plus</t>
        </is>
      </c>
      <c r="E521">
        <f>_xlfn.XLOOKUP(D521,'[2]8A. Master Device Catalog'!$F$5:$F$914,'[2]8A. Master Device Catalog'!$G$5:$G$914,"")</f>
        <v/>
      </c>
      <c r="F521">
        <f>_xlfn.XLOOKUP(D521,'[2]8A. Master Device Catalog'!$F$5:$F$914,'[2]8A. Master Device Catalog'!$H$5:$H$914,"")</f>
        <v/>
      </c>
    </row>
    <row r="522" hidden="1" ht="21.5" customHeight="1" s="125">
      <c r="A522" t="inlineStr">
        <is>
          <t>DEV000521</t>
        </is>
      </c>
      <c r="B522" s="59" t="inlineStr">
        <is>
          <t>DEL</t>
        </is>
      </c>
      <c r="C522" s="59" t="inlineStr">
        <is>
          <t>CMP</t>
        </is>
      </c>
      <c r="D522" s="61" t="inlineStr">
        <is>
          <t>XPS 15</t>
        </is>
      </c>
      <c r="E522">
        <f>_xlfn.XLOOKUP(D522,'[2]8A. Master Device Catalog'!$F$5:$F$914,'[2]8A. Master Device Catalog'!$G$5:$G$914,"")</f>
        <v/>
      </c>
      <c r="F522">
        <f>_xlfn.XLOOKUP(D522,'[2]8A. Master Device Catalog'!$F$5:$F$914,'[2]8A. Master Device Catalog'!$H$5:$H$914,"")</f>
        <v/>
      </c>
    </row>
    <row r="523" hidden="1" ht="21.5" customHeight="1" s="125">
      <c r="A523" t="inlineStr">
        <is>
          <t>DEV000522</t>
        </is>
      </c>
      <c r="B523" s="59" t="inlineStr">
        <is>
          <t>DEL</t>
        </is>
      </c>
      <c r="C523" s="59" t="inlineStr">
        <is>
          <t>CMP</t>
        </is>
      </c>
      <c r="D523" s="61" t="inlineStr">
        <is>
          <t>XPS 17</t>
        </is>
      </c>
      <c r="E523">
        <f>_xlfn.XLOOKUP(D523,'[2]8A. Master Device Catalog'!$F$5:$F$914,'[2]8A. Master Device Catalog'!$G$5:$G$914,"")</f>
        <v/>
      </c>
      <c r="F523">
        <f>_xlfn.XLOOKUP(D523,'[2]8A. Master Device Catalog'!$F$5:$F$914,'[2]8A. Master Device Catalog'!$H$5:$H$914,"")</f>
        <v/>
      </c>
    </row>
    <row r="524" hidden="1" ht="21.5" customHeight="1" s="125">
      <c r="A524" t="inlineStr">
        <is>
          <t>DEV000523</t>
        </is>
      </c>
      <c r="B524" s="59" t="inlineStr">
        <is>
          <t>DEL</t>
        </is>
      </c>
      <c r="C524" s="59" t="inlineStr">
        <is>
          <t>CMP</t>
        </is>
      </c>
      <c r="D524" s="61" t="inlineStr">
        <is>
          <t>Latitude 3550</t>
        </is>
      </c>
      <c r="E524">
        <f>_xlfn.XLOOKUP(D524,'[2]8A. Master Device Catalog'!$F$5:$F$914,'[2]8A. Master Device Catalog'!$G$5:$G$914,"")</f>
        <v/>
      </c>
      <c r="F524">
        <f>_xlfn.XLOOKUP(D524,'[2]8A. Master Device Catalog'!$F$5:$F$914,'[2]8A. Master Device Catalog'!$H$5:$H$914,"")</f>
        <v/>
      </c>
    </row>
    <row r="525" hidden="1" ht="21.5" customHeight="1" s="125">
      <c r="A525" t="inlineStr">
        <is>
          <t>DEV000524</t>
        </is>
      </c>
      <c r="B525" s="59" t="inlineStr">
        <is>
          <t>DEL</t>
        </is>
      </c>
      <c r="C525" s="59" t="inlineStr">
        <is>
          <t>CMP</t>
        </is>
      </c>
      <c r="D525" s="61" t="inlineStr">
        <is>
          <t>Latitude 5550</t>
        </is>
      </c>
      <c r="E525">
        <f>_xlfn.XLOOKUP(D525,'[2]8A. Master Device Catalog'!$F$5:$F$914,'[2]8A. Master Device Catalog'!$G$5:$G$914,"")</f>
        <v/>
      </c>
      <c r="F525">
        <f>_xlfn.XLOOKUP(D525,'[2]8A. Master Device Catalog'!$F$5:$F$914,'[2]8A. Master Device Catalog'!$H$5:$H$914,"")</f>
        <v/>
      </c>
    </row>
    <row r="526" hidden="1" ht="21.5" customHeight="1" s="125">
      <c r="A526" t="inlineStr">
        <is>
          <t>DEV000525</t>
        </is>
      </c>
      <c r="B526" s="59" t="inlineStr">
        <is>
          <t>DEL</t>
        </is>
      </c>
      <c r="C526" s="59" t="inlineStr">
        <is>
          <t>CMP</t>
        </is>
      </c>
      <c r="D526" s="61" t="inlineStr">
        <is>
          <t>Precision 3581</t>
        </is>
      </c>
      <c r="E526">
        <f>_xlfn.XLOOKUP(D526,'[2]8A. Master Device Catalog'!$F$5:$F$914,'[2]8A. Master Device Catalog'!$G$5:$G$914,"")</f>
        <v/>
      </c>
      <c r="F526">
        <f>_xlfn.XLOOKUP(D526,'[2]8A. Master Device Catalog'!$F$5:$F$914,'[2]8A. Master Device Catalog'!$H$5:$H$914,"")</f>
        <v/>
      </c>
    </row>
    <row r="527" hidden="1" ht="21.5" customHeight="1" s="125">
      <c r="A527" t="inlineStr">
        <is>
          <t>DEV000526</t>
        </is>
      </c>
      <c r="B527" s="59" t="inlineStr">
        <is>
          <t>DEL</t>
        </is>
      </c>
      <c r="C527" s="59" t="inlineStr">
        <is>
          <t>CMP</t>
        </is>
      </c>
      <c r="D527" s="61" t="inlineStr">
        <is>
          <t>Precision 7680</t>
        </is>
      </c>
      <c r="E527">
        <f>_xlfn.XLOOKUP(D527,'[2]8A. Master Device Catalog'!$F$5:$F$914,'[2]8A. Master Device Catalog'!$G$5:$G$914,"")</f>
        <v/>
      </c>
      <c r="F527">
        <f>_xlfn.XLOOKUP(D527,'[2]8A. Master Device Catalog'!$F$5:$F$914,'[2]8A. Master Device Catalog'!$H$5:$H$914,"")</f>
        <v/>
      </c>
    </row>
    <row r="528" hidden="1" ht="21.5" customHeight="1" s="125">
      <c r="A528" t="inlineStr">
        <is>
          <t>DEV000527</t>
        </is>
      </c>
      <c r="B528" s="59" t="inlineStr">
        <is>
          <t>DEL</t>
        </is>
      </c>
      <c r="C528" s="59" t="inlineStr">
        <is>
          <t>CMP</t>
        </is>
      </c>
      <c r="D528" s="61" t="inlineStr">
        <is>
          <t>OptiPlex Micro</t>
        </is>
      </c>
      <c r="E528">
        <f>_xlfn.XLOOKUP(D528,'[2]8A. Master Device Catalog'!$F$5:$F$914,'[2]8A. Master Device Catalog'!$G$5:$G$914,"")</f>
        <v/>
      </c>
      <c r="F528">
        <f>_xlfn.XLOOKUP(D528,'[2]8A. Master Device Catalog'!$F$5:$F$914,'[2]8A. Master Device Catalog'!$H$5:$H$914,"")</f>
        <v/>
      </c>
    </row>
    <row r="529" hidden="1" ht="21.5" customHeight="1" s="125">
      <c r="A529" t="inlineStr">
        <is>
          <t>DEV000528</t>
        </is>
      </c>
      <c r="B529" s="59" t="inlineStr">
        <is>
          <t>DEL</t>
        </is>
      </c>
      <c r="C529" s="59" t="inlineStr">
        <is>
          <t>CMP</t>
        </is>
      </c>
      <c r="D529" s="61" t="inlineStr">
        <is>
          <t>Vostro 3520</t>
        </is>
      </c>
      <c r="E529">
        <f>_xlfn.XLOOKUP(D529,'[2]8A. Master Device Catalog'!$F$5:$F$914,'[2]8A. Master Device Catalog'!$G$5:$G$914,"")</f>
        <v/>
      </c>
      <c r="F529">
        <f>_xlfn.XLOOKUP(D529,'[2]8A. Master Device Catalog'!$F$5:$F$914,'[2]8A. Master Device Catalog'!$H$5:$H$914,"")</f>
        <v/>
      </c>
    </row>
    <row r="530" hidden="1" ht="21.5" customHeight="1" s="125">
      <c r="A530" t="inlineStr">
        <is>
          <t>DEV000529</t>
        </is>
      </c>
      <c r="B530" s="59" t="inlineStr">
        <is>
          <t>FRM</t>
        </is>
      </c>
      <c r="C530" s="59" t="inlineStr">
        <is>
          <t>CMP</t>
        </is>
      </c>
      <c r="D530" s="60" t="inlineStr">
        <is>
          <t>Framework Desktop</t>
        </is>
      </c>
      <c r="E530">
        <f>_xlfn.XLOOKUP(D530,'[2]8A. Master Device Catalog'!$F$5:$F$914,'[2]8A. Master Device Catalog'!$G$5:$G$914,"")</f>
        <v/>
      </c>
      <c r="F530">
        <f>_xlfn.XLOOKUP(D530,'[2]8A. Master Device Catalog'!$F$5:$F$914,'[2]8A. Master Device Catalog'!$H$5:$H$914,"")</f>
        <v/>
      </c>
    </row>
    <row r="531" hidden="1" ht="21.5" customHeight="1" s="125">
      <c r="A531" t="inlineStr">
        <is>
          <t>DEV000530</t>
        </is>
      </c>
      <c r="B531" s="59" t="inlineStr">
        <is>
          <t>FRM</t>
        </is>
      </c>
      <c r="C531" s="59" t="inlineStr">
        <is>
          <t>CMP</t>
        </is>
      </c>
      <c r="D531" s="61" t="inlineStr">
        <is>
          <t>Framework Laptop 13</t>
        </is>
      </c>
      <c r="E531">
        <f>_xlfn.XLOOKUP(D531,'[2]8A. Master Device Catalog'!$F$5:$F$914,'[2]8A. Master Device Catalog'!$G$5:$G$914,"")</f>
        <v/>
      </c>
      <c r="F531">
        <f>_xlfn.XLOOKUP(D531,'[2]8A. Master Device Catalog'!$F$5:$F$914,'[2]8A. Master Device Catalog'!$H$5:$H$914,"")</f>
        <v/>
      </c>
    </row>
    <row r="532" hidden="1" ht="21.5" customHeight="1" s="125">
      <c r="A532" t="inlineStr">
        <is>
          <t>DEV000531</t>
        </is>
      </c>
      <c r="B532" s="59" t="inlineStr">
        <is>
          <t>FRM</t>
        </is>
      </c>
      <c r="C532" s="59" t="inlineStr">
        <is>
          <t>CMP</t>
        </is>
      </c>
      <c r="D532" s="61" t="inlineStr">
        <is>
          <t>Framework Laptop 16</t>
        </is>
      </c>
      <c r="E532">
        <f>_xlfn.XLOOKUP(D532,'[2]8A. Master Device Catalog'!$F$5:$F$914,'[2]8A. Master Device Catalog'!$G$5:$G$914,"")</f>
        <v/>
      </c>
      <c r="F532">
        <f>_xlfn.XLOOKUP(D532,'[2]8A. Master Device Catalog'!$F$5:$F$914,'[2]8A. Master Device Catalog'!$H$5:$H$914,"")</f>
        <v/>
      </c>
    </row>
    <row r="533" hidden="1" ht="21.5" customHeight="1" s="125">
      <c r="A533" t="inlineStr">
        <is>
          <t>DEV000532</t>
        </is>
      </c>
      <c r="B533" s="59" t="inlineStr">
        <is>
          <t>HWP</t>
        </is>
      </c>
      <c r="C533" s="59" t="inlineStr">
        <is>
          <t>CMP</t>
        </is>
      </c>
      <c r="D533" s="61" t="inlineStr">
        <is>
          <t>Envy x360 14</t>
        </is>
      </c>
      <c r="E533">
        <f>_xlfn.XLOOKUP(D533,'[2]8A. Master Device Catalog'!$F$5:$F$914,'[2]8A. Master Device Catalog'!$G$5:$G$914,"")</f>
        <v/>
      </c>
      <c r="F533">
        <f>_xlfn.XLOOKUP(D533,'[2]8A. Master Device Catalog'!$F$5:$F$914,'[2]8A. Master Device Catalog'!$H$5:$H$914,"")</f>
        <v/>
      </c>
    </row>
    <row r="534" hidden="1" ht="21.5" customHeight="1" s="125">
      <c r="A534" t="inlineStr">
        <is>
          <t>DEV000533</t>
        </is>
      </c>
      <c r="B534" s="59" t="inlineStr">
        <is>
          <t>HWP</t>
        </is>
      </c>
      <c r="C534" s="59" t="inlineStr">
        <is>
          <t>CMP</t>
        </is>
      </c>
      <c r="D534" s="61" t="inlineStr">
        <is>
          <t>Pavilion 15</t>
        </is>
      </c>
      <c r="E534">
        <f>_xlfn.XLOOKUP(D534,'[2]8A. Master Device Catalog'!$F$5:$F$914,'[2]8A. Master Device Catalog'!$G$5:$G$914,"")</f>
        <v/>
      </c>
      <c r="F534">
        <f>_xlfn.XLOOKUP(D534,'[2]8A. Master Device Catalog'!$F$5:$F$914,'[2]8A. Master Device Catalog'!$H$5:$H$914,"")</f>
        <v/>
      </c>
    </row>
    <row r="535" hidden="1" ht="21.5" customHeight="1" s="125">
      <c r="A535" t="inlineStr">
        <is>
          <t>DEV000534</t>
        </is>
      </c>
      <c r="B535" s="59" t="inlineStr">
        <is>
          <t>HWP</t>
        </is>
      </c>
      <c r="C535" s="59" t="inlineStr">
        <is>
          <t>CMP</t>
        </is>
      </c>
      <c r="D535" s="61" t="inlineStr">
        <is>
          <t>ProBook 450 G11</t>
        </is>
      </c>
      <c r="E535">
        <f>_xlfn.XLOOKUP(D535,'[2]8A. Master Device Catalog'!$F$5:$F$914,'[2]8A. Master Device Catalog'!$G$5:$G$914,"")</f>
        <v/>
      </c>
      <c r="F535">
        <f>_xlfn.XLOOKUP(D535,'[2]8A. Master Device Catalog'!$F$5:$F$914,'[2]8A. Master Device Catalog'!$H$5:$H$914,"")</f>
        <v/>
      </c>
    </row>
    <row r="536" hidden="1" ht="21.5" customHeight="1" s="125">
      <c r="A536" t="inlineStr">
        <is>
          <t>DEV000535</t>
        </is>
      </c>
      <c r="B536" s="59" t="inlineStr">
        <is>
          <t>HWP</t>
        </is>
      </c>
      <c r="C536" s="59" t="inlineStr">
        <is>
          <t>CMP</t>
        </is>
      </c>
      <c r="D536" s="61" t="inlineStr">
        <is>
          <t>EliteBook 840 G11</t>
        </is>
      </c>
      <c r="E536">
        <f>_xlfn.XLOOKUP(D536,'[2]8A. Master Device Catalog'!$F$5:$F$914,'[2]8A. Master Device Catalog'!$G$5:$G$914,"")</f>
        <v/>
      </c>
      <c r="F536">
        <f>_xlfn.XLOOKUP(D536,'[2]8A. Master Device Catalog'!$F$5:$F$914,'[2]8A. Master Device Catalog'!$H$5:$H$914,"")</f>
        <v/>
      </c>
    </row>
    <row r="537" hidden="1" ht="21.5" customHeight="1" s="125">
      <c r="A537" t="inlineStr">
        <is>
          <t>DEV000536</t>
        </is>
      </c>
      <c r="B537" s="59" t="inlineStr">
        <is>
          <t>HWP</t>
        </is>
      </c>
      <c r="C537" s="59" t="inlineStr">
        <is>
          <t>CMP</t>
        </is>
      </c>
      <c r="D537" s="61" t="inlineStr">
        <is>
          <t>Spectre x360 14</t>
        </is>
      </c>
      <c r="E537">
        <f>_xlfn.XLOOKUP(D537,'[2]8A. Master Device Catalog'!$F$5:$F$914,'[2]8A. Master Device Catalog'!$G$5:$G$914,"")</f>
        <v/>
      </c>
      <c r="F537">
        <f>_xlfn.XLOOKUP(D537,'[2]8A. Master Device Catalog'!$F$5:$F$914,'[2]8A. Master Device Catalog'!$H$5:$H$914,"")</f>
        <v/>
      </c>
    </row>
    <row r="538" hidden="1" ht="21.5" customHeight="1" s="125">
      <c r="A538" t="inlineStr">
        <is>
          <t>DEV000537</t>
        </is>
      </c>
      <c r="B538" s="59" t="inlineStr">
        <is>
          <t>HWP</t>
        </is>
      </c>
      <c r="C538" s="59" t="inlineStr">
        <is>
          <t>CMP</t>
        </is>
      </c>
      <c r="D538" s="61" t="inlineStr">
        <is>
          <t>OMEN 16</t>
        </is>
      </c>
      <c r="E538">
        <f>_xlfn.XLOOKUP(D538,'[2]8A. Master Device Catalog'!$F$5:$F$914,'[2]8A. Master Device Catalog'!$G$5:$G$914,"")</f>
        <v/>
      </c>
      <c r="F538">
        <f>_xlfn.XLOOKUP(D538,'[2]8A. Master Device Catalog'!$F$5:$F$914,'[2]8A. Master Device Catalog'!$H$5:$H$914,"")</f>
        <v/>
      </c>
    </row>
    <row r="539" hidden="1" ht="21.5" customHeight="1" s="125">
      <c r="A539" t="inlineStr">
        <is>
          <t>DEV000538</t>
        </is>
      </c>
      <c r="B539" s="59" t="inlineStr">
        <is>
          <t>HWP</t>
        </is>
      </c>
      <c r="C539" s="59" t="inlineStr">
        <is>
          <t>CMP</t>
        </is>
      </c>
      <c r="D539" s="61" t="inlineStr">
        <is>
          <t>ZBook Firefly 16</t>
        </is>
      </c>
      <c r="E539">
        <f>_xlfn.XLOOKUP(D539,'[2]8A. Master Device Catalog'!$F$5:$F$914,'[2]8A. Master Device Catalog'!$G$5:$G$914,"")</f>
        <v/>
      </c>
      <c r="F539">
        <f>_xlfn.XLOOKUP(D539,'[2]8A. Master Device Catalog'!$F$5:$F$914,'[2]8A. Master Device Catalog'!$H$5:$H$914,"")</f>
        <v/>
      </c>
    </row>
    <row r="540" hidden="1" ht="21.5" customHeight="1" s="125">
      <c r="A540" t="inlineStr">
        <is>
          <t>DEV000539</t>
        </is>
      </c>
      <c r="B540" s="59" t="inlineStr">
        <is>
          <t>HWP</t>
        </is>
      </c>
      <c r="C540" s="59" t="inlineStr">
        <is>
          <t>CMP</t>
        </is>
      </c>
      <c r="D540" s="61" t="inlineStr">
        <is>
          <t>EliteBook 860 G11</t>
        </is>
      </c>
      <c r="E540">
        <f>_xlfn.XLOOKUP(D540,'[2]8A. Master Device Catalog'!$F$5:$F$914,'[2]8A. Master Device Catalog'!$G$5:$G$914,"")</f>
        <v/>
      </c>
      <c r="F540">
        <f>_xlfn.XLOOKUP(D540,'[2]8A. Master Device Catalog'!$F$5:$F$914,'[2]8A. Master Device Catalog'!$H$5:$H$914,"")</f>
        <v/>
      </c>
    </row>
    <row r="541" hidden="1" ht="21.5" customHeight="1" s="125">
      <c r="A541" t="inlineStr">
        <is>
          <t>DEV000540</t>
        </is>
      </c>
      <c r="B541" s="59" t="inlineStr">
        <is>
          <t>HWP</t>
        </is>
      </c>
      <c r="C541" s="59" t="inlineStr">
        <is>
          <t>CMP</t>
        </is>
      </c>
      <c r="D541" s="61" t="inlineStr">
        <is>
          <t>EliteBook 1040 G11</t>
        </is>
      </c>
      <c r="E541">
        <f>_xlfn.XLOOKUP(D541,'[2]8A. Master Device Catalog'!$F$5:$F$914,'[2]8A. Master Device Catalog'!$G$5:$G$914,"")</f>
        <v/>
      </c>
      <c r="F541">
        <f>_xlfn.XLOOKUP(D541,'[2]8A. Master Device Catalog'!$F$5:$F$914,'[2]8A. Master Device Catalog'!$H$5:$H$914,"")</f>
        <v/>
      </c>
    </row>
    <row r="542" hidden="1" ht="21.5" customHeight="1" s="125">
      <c r="A542" t="inlineStr">
        <is>
          <t>DEV000541</t>
        </is>
      </c>
      <c r="B542" s="59" t="inlineStr">
        <is>
          <t>HWP</t>
        </is>
      </c>
      <c r="C542" s="59" t="inlineStr">
        <is>
          <t>CMP</t>
        </is>
      </c>
      <c r="D542" s="61" t="inlineStr">
        <is>
          <t>ProBook 445 G11</t>
        </is>
      </c>
      <c r="E542">
        <f>_xlfn.XLOOKUP(D542,'[2]8A. Master Device Catalog'!$F$5:$F$914,'[2]8A. Master Device Catalog'!$G$5:$G$914,"")</f>
        <v/>
      </c>
      <c r="F542">
        <f>_xlfn.XLOOKUP(D542,'[2]8A. Master Device Catalog'!$F$5:$F$914,'[2]8A. Master Device Catalog'!$H$5:$H$914,"")</f>
        <v/>
      </c>
    </row>
    <row r="543" hidden="1" ht="21.5" customHeight="1" s="125">
      <c r="A543" t="inlineStr">
        <is>
          <t>DEV000542</t>
        </is>
      </c>
      <c r="B543" s="59" t="inlineStr">
        <is>
          <t>HWP</t>
        </is>
      </c>
      <c r="C543" s="59" t="inlineStr">
        <is>
          <t>CMP</t>
        </is>
      </c>
      <c r="D543" s="61" t="inlineStr">
        <is>
          <t>Dragonfly G4</t>
        </is>
      </c>
      <c r="E543">
        <f>_xlfn.XLOOKUP(D543,'[2]8A. Master Device Catalog'!$F$5:$F$914,'[2]8A. Master Device Catalog'!$G$5:$G$914,"")</f>
        <v/>
      </c>
      <c r="F543">
        <f>_xlfn.XLOOKUP(D543,'[2]8A. Master Device Catalog'!$F$5:$F$914,'[2]8A. Master Device Catalog'!$H$5:$H$914,"")</f>
        <v/>
      </c>
    </row>
    <row r="544" hidden="1" ht="21.5" customHeight="1" s="125">
      <c r="A544" t="inlineStr">
        <is>
          <t>DEV000543</t>
        </is>
      </c>
      <c r="B544" s="59" t="inlineStr">
        <is>
          <t>HWP</t>
        </is>
      </c>
      <c r="C544" s="59" t="inlineStr">
        <is>
          <t>CMP</t>
        </is>
      </c>
      <c r="D544" s="61" t="inlineStr">
        <is>
          <t>OMEN Transcend 14</t>
        </is>
      </c>
      <c r="E544">
        <f>_xlfn.XLOOKUP(D544,'[2]8A. Master Device Catalog'!$F$5:$F$914,'[2]8A. Master Device Catalog'!$G$5:$G$914,"")</f>
        <v/>
      </c>
      <c r="F544">
        <f>_xlfn.XLOOKUP(D544,'[2]8A. Master Device Catalog'!$F$5:$F$914,'[2]8A. Master Device Catalog'!$H$5:$H$914,"")</f>
        <v/>
      </c>
    </row>
    <row r="545" hidden="1" ht="21.5" customHeight="1" s="125">
      <c r="A545" t="inlineStr">
        <is>
          <t>DEV000544</t>
        </is>
      </c>
      <c r="B545" s="59" t="inlineStr">
        <is>
          <t>HWP</t>
        </is>
      </c>
      <c r="C545" s="59" t="inlineStr">
        <is>
          <t>CMP</t>
        </is>
      </c>
      <c r="D545" s="61" t="inlineStr">
        <is>
          <t>Victus 15</t>
        </is>
      </c>
      <c r="E545">
        <f>_xlfn.XLOOKUP(D545,'[2]8A. Master Device Catalog'!$F$5:$F$914,'[2]8A. Master Device Catalog'!$G$5:$G$914,"")</f>
        <v/>
      </c>
      <c r="F545">
        <f>_xlfn.XLOOKUP(D545,'[2]8A. Master Device Catalog'!$F$5:$F$914,'[2]8A. Master Device Catalog'!$H$5:$H$914,"")</f>
        <v/>
      </c>
    </row>
    <row r="546" hidden="1" ht="21.5" customHeight="1" s="125">
      <c r="A546" t="inlineStr">
        <is>
          <t>DEV000545</t>
        </is>
      </c>
      <c r="B546" s="59" t="inlineStr">
        <is>
          <t>LEN</t>
        </is>
      </c>
      <c r="C546" s="59" t="inlineStr">
        <is>
          <t>CMP</t>
        </is>
      </c>
      <c r="D546" s="61" t="inlineStr">
        <is>
          <t>ThinkPad T14 Gen 5</t>
        </is>
      </c>
      <c r="E546">
        <f>_xlfn.XLOOKUP(D546,'[2]8A. Master Device Catalog'!$F$5:$F$914,'[2]8A. Master Device Catalog'!$G$5:$G$914,"")</f>
        <v/>
      </c>
      <c r="F546">
        <f>_xlfn.XLOOKUP(D546,'[2]8A. Master Device Catalog'!$F$5:$F$914,'[2]8A. Master Device Catalog'!$H$5:$H$914,"")</f>
        <v/>
      </c>
    </row>
    <row r="547" hidden="1" ht="21.5" customHeight="1" s="125">
      <c r="A547" t="inlineStr">
        <is>
          <t>DEV000546</t>
        </is>
      </c>
      <c r="B547" s="59" t="inlineStr">
        <is>
          <t>LEN</t>
        </is>
      </c>
      <c r="C547" s="59" t="inlineStr">
        <is>
          <t>CMP</t>
        </is>
      </c>
      <c r="D547" s="61" t="inlineStr">
        <is>
          <t>ThinkPad X1 Carbon Gen 12</t>
        </is>
      </c>
      <c r="E547">
        <f>_xlfn.XLOOKUP(D547,'[2]8A. Master Device Catalog'!$F$5:$F$914,'[2]8A. Master Device Catalog'!$G$5:$G$914,"")</f>
        <v/>
      </c>
      <c r="F547">
        <f>_xlfn.XLOOKUP(D547,'[2]8A. Master Device Catalog'!$F$5:$F$914,'[2]8A. Master Device Catalog'!$H$5:$H$914,"")</f>
        <v/>
      </c>
    </row>
    <row r="548" hidden="1" ht="21.5" customHeight="1" s="125">
      <c r="A548" t="inlineStr">
        <is>
          <t>DEV000547</t>
        </is>
      </c>
      <c r="B548" s="59" t="inlineStr">
        <is>
          <t>LEN</t>
        </is>
      </c>
      <c r="C548" s="59" t="inlineStr">
        <is>
          <t>CMP</t>
        </is>
      </c>
      <c r="D548" s="61" t="inlineStr">
        <is>
          <t>IdeaPad Slim 5</t>
        </is>
      </c>
      <c r="E548">
        <f>_xlfn.XLOOKUP(D548,'[2]8A. Master Device Catalog'!$F$5:$F$914,'[2]8A. Master Device Catalog'!$G$5:$G$914,"")</f>
        <v/>
      </c>
      <c r="F548">
        <f>_xlfn.XLOOKUP(D548,'[2]8A. Master Device Catalog'!$F$5:$F$914,'[2]8A. Master Device Catalog'!$H$5:$H$914,"")</f>
        <v/>
      </c>
    </row>
    <row r="549" hidden="1" ht="21.5" customHeight="1" s="125">
      <c r="A549" t="inlineStr">
        <is>
          <t>DEV000548</t>
        </is>
      </c>
      <c r="B549" s="59" t="inlineStr">
        <is>
          <t>LEN</t>
        </is>
      </c>
      <c r="C549" s="59" t="inlineStr">
        <is>
          <t>CMP</t>
        </is>
      </c>
      <c r="D549" s="61" t="inlineStr">
        <is>
          <t>Yoga 9i Gen 9</t>
        </is>
      </c>
      <c r="E549">
        <f>_xlfn.XLOOKUP(D549,'[2]8A. Master Device Catalog'!$F$5:$F$914,'[2]8A. Master Device Catalog'!$G$5:$G$914,"")</f>
        <v/>
      </c>
      <c r="F549">
        <f>_xlfn.XLOOKUP(D549,'[2]8A. Master Device Catalog'!$F$5:$F$914,'[2]8A. Master Device Catalog'!$H$5:$H$914,"")</f>
        <v/>
      </c>
    </row>
    <row r="550" hidden="1" ht="21.5" customHeight="1" s="125">
      <c r="A550" t="inlineStr">
        <is>
          <t>DEV000549</t>
        </is>
      </c>
      <c r="B550" s="59" t="inlineStr">
        <is>
          <t>LEN</t>
        </is>
      </c>
      <c r="C550" s="59" t="inlineStr">
        <is>
          <t>CMP</t>
        </is>
      </c>
      <c r="D550" s="61" t="inlineStr">
        <is>
          <t>ThinkPad P16</t>
        </is>
      </c>
      <c r="E550">
        <f>_xlfn.XLOOKUP(D550,'[2]8A. Master Device Catalog'!$F$5:$F$914,'[2]8A. Master Device Catalog'!$G$5:$G$914,"")</f>
        <v/>
      </c>
      <c r="F550">
        <f>_xlfn.XLOOKUP(D550,'[2]8A. Master Device Catalog'!$F$5:$F$914,'[2]8A. Master Device Catalog'!$H$5:$H$914,"")</f>
        <v/>
      </c>
    </row>
    <row r="551" hidden="1" ht="21.5" customHeight="1" s="125">
      <c r="A551" t="inlineStr">
        <is>
          <t>DEV000550</t>
        </is>
      </c>
      <c r="B551" s="59" t="inlineStr">
        <is>
          <t>LEN</t>
        </is>
      </c>
      <c r="C551" s="59" t="inlineStr">
        <is>
          <t>CMP</t>
        </is>
      </c>
      <c r="D551" s="61" t="inlineStr">
        <is>
          <t>ThinkPad E14</t>
        </is>
      </c>
      <c r="E551">
        <f>_xlfn.XLOOKUP(D551,'[2]8A. Master Device Catalog'!$F$5:$F$914,'[2]8A. Master Device Catalog'!$G$5:$G$914,"")</f>
        <v/>
      </c>
      <c r="F551">
        <f>_xlfn.XLOOKUP(D551,'[2]8A. Master Device Catalog'!$F$5:$F$914,'[2]8A. Master Device Catalog'!$H$5:$H$914,"")</f>
        <v/>
      </c>
    </row>
    <row r="552" hidden="1" ht="21.5" customHeight="1" s="125">
      <c r="A552" t="inlineStr">
        <is>
          <t>DEV000551</t>
        </is>
      </c>
      <c r="B552" s="59" t="inlineStr">
        <is>
          <t>LEN</t>
        </is>
      </c>
      <c r="C552" s="59" t="inlineStr">
        <is>
          <t>CMP</t>
        </is>
      </c>
      <c r="D552" s="61" t="inlineStr">
        <is>
          <t>ThinkPad L14</t>
        </is>
      </c>
      <c r="E552">
        <f>_xlfn.XLOOKUP(D552,'[2]8A. Master Device Catalog'!$F$5:$F$914,'[2]8A. Master Device Catalog'!$G$5:$G$914,"")</f>
        <v/>
      </c>
      <c r="F552">
        <f>_xlfn.XLOOKUP(D552,'[2]8A. Master Device Catalog'!$F$5:$F$914,'[2]8A. Master Device Catalog'!$H$5:$H$914,"")</f>
        <v/>
      </c>
    </row>
    <row r="553" hidden="1" ht="21.5" customHeight="1" s="125">
      <c r="A553" t="inlineStr">
        <is>
          <t>DEV000552</t>
        </is>
      </c>
      <c r="B553" s="59" t="inlineStr">
        <is>
          <t>LEN</t>
        </is>
      </c>
      <c r="C553" s="59" t="inlineStr">
        <is>
          <t>CMP</t>
        </is>
      </c>
      <c r="D553" s="61" t="inlineStr">
        <is>
          <t>ThinkBook 14</t>
        </is>
      </c>
      <c r="E553">
        <f>_xlfn.XLOOKUP(D553,'[2]8A. Master Device Catalog'!$F$5:$F$914,'[2]8A. Master Device Catalog'!$G$5:$G$914,"")</f>
        <v/>
      </c>
      <c r="F553">
        <f>_xlfn.XLOOKUP(D553,'[2]8A. Master Device Catalog'!$F$5:$F$914,'[2]8A. Master Device Catalog'!$H$5:$H$914,"")</f>
        <v/>
      </c>
    </row>
    <row r="554" hidden="1" ht="21.5" customHeight="1" s="125">
      <c r="A554" t="inlineStr">
        <is>
          <t>DEV000553</t>
        </is>
      </c>
      <c r="B554" s="59" t="inlineStr">
        <is>
          <t>LEN</t>
        </is>
      </c>
      <c r="C554" s="59" t="inlineStr">
        <is>
          <t>CMP</t>
        </is>
      </c>
      <c r="D554" s="61" t="inlineStr">
        <is>
          <t>IdeaPad Flex 5</t>
        </is>
      </c>
      <c r="E554">
        <f>_xlfn.XLOOKUP(D554,'[2]8A. Master Device Catalog'!$F$5:$F$914,'[2]8A. Master Device Catalog'!$G$5:$G$914,"")</f>
        <v/>
      </c>
      <c r="F554">
        <f>_xlfn.XLOOKUP(D554,'[2]8A. Master Device Catalog'!$F$5:$F$914,'[2]8A. Master Device Catalog'!$H$5:$H$914,"")</f>
        <v/>
      </c>
    </row>
    <row r="555" hidden="1" ht="21.5" customHeight="1" s="125">
      <c r="A555" t="inlineStr">
        <is>
          <t>DEV000554</t>
        </is>
      </c>
      <c r="B555" s="59" t="inlineStr">
        <is>
          <t>LEN</t>
        </is>
      </c>
      <c r="C555" s="59" t="inlineStr">
        <is>
          <t>CMP</t>
        </is>
      </c>
      <c r="D555" s="61" t="inlineStr">
        <is>
          <t>LOQ 15</t>
        </is>
      </c>
      <c r="E555">
        <f>_xlfn.XLOOKUP(D555,'[2]8A. Master Device Catalog'!$F$5:$F$914,'[2]8A. Master Device Catalog'!$G$5:$G$914,"")</f>
        <v/>
      </c>
      <c r="F555">
        <f>_xlfn.XLOOKUP(D555,'[2]8A. Master Device Catalog'!$F$5:$F$914,'[2]8A. Master Device Catalog'!$H$5:$H$914,"")</f>
        <v/>
      </c>
    </row>
    <row r="556" hidden="1" ht="21.5" customHeight="1" s="125">
      <c r="A556" t="inlineStr">
        <is>
          <t>DEV000555</t>
        </is>
      </c>
      <c r="B556" s="59" t="inlineStr">
        <is>
          <t xml:space="preserve">LGE </t>
        </is>
      </c>
      <c r="C556" s="59" t="inlineStr">
        <is>
          <t>CMP</t>
        </is>
      </c>
      <c r="D556" s="61" t="inlineStr">
        <is>
          <t>Gram 16</t>
        </is>
      </c>
      <c r="E556">
        <f>_xlfn.XLOOKUP(D556,'[2]8A. Master Device Catalog'!$F$5:$F$914,'[2]8A. Master Device Catalog'!$G$5:$G$914,"")</f>
        <v/>
      </c>
      <c r="F556">
        <f>_xlfn.XLOOKUP(D556,'[2]8A. Master Device Catalog'!$F$5:$F$914,'[2]8A. Master Device Catalog'!$H$5:$H$914,"")</f>
        <v/>
      </c>
    </row>
    <row r="557" hidden="1" ht="21.5" customHeight="1" s="125">
      <c r="A557" t="inlineStr">
        <is>
          <t>DEV000556</t>
        </is>
      </c>
      <c r="B557" s="59" t="inlineStr">
        <is>
          <t xml:space="preserve">LGE </t>
        </is>
      </c>
      <c r="C557" s="59" t="inlineStr">
        <is>
          <t>CMP</t>
        </is>
      </c>
      <c r="D557" s="61" t="inlineStr">
        <is>
          <t>Gram 14</t>
        </is>
      </c>
      <c r="E557">
        <f>_xlfn.XLOOKUP(D557,'[2]8A. Master Device Catalog'!$F$5:$F$914,'[2]8A. Master Device Catalog'!$G$5:$G$914,"")</f>
        <v/>
      </c>
      <c r="F557">
        <f>_xlfn.XLOOKUP(D557,'[2]8A. Master Device Catalog'!$F$5:$F$914,'[2]8A. Master Device Catalog'!$H$5:$H$914,"")</f>
        <v/>
      </c>
    </row>
    <row r="558" hidden="1" ht="21.5" customHeight="1" s="125">
      <c r="A558" t="inlineStr">
        <is>
          <t>DEV000557</t>
        </is>
      </c>
      <c r="B558" s="59" t="inlineStr">
        <is>
          <t xml:space="preserve">LGE </t>
        </is>
      </c>
      <c r="C558" s="59" t="inlineStr">
        <is>
          <t>CMP</t>
        </is>
      </c>
      <c r="D558" s="61" t="inlineStr">
        <is>
          <t>Gram 15</t>
        </is>
      </c>
      <c r="E558">
        <f>_xlfn.XLOOKUP(D558,'[2]8A. Master Device Catalog'!$F$5:$F$914,'[2]8A. Master Device Catalog'!$G$5:$G$914,"")</f>
        <v/>
      </c>
      <c r="F558">
        <f>_xlfn.XLOOKUP(D558,'[2]8A. Master Device Catalog'!$F$5:$F$914,'[2]8A. Master Device Catalog'!$H$5:$H$914,"")</f>
        <v/>
      </c>
    </row>
    <row r="559" hidden="1" ht="21.5" customHeight="1" s="125">
      <c r="A559" t="inlineStr">
        <is>
          <t>DEV000558</t>
        </is>
      </c>
      <c r="B559" s="59" t="inlineStr">
        <is>
          <t xml:space="preserve">LGE </t>
        </is>
      </c>
      <c r="C559" s="59" t="inlineStr">
        <is>
          <t>CMP</t>
        </is>
      </c>
      <c r="D559" s="61" t="inlineStr">
        <is>
          <t>Gram 17</t>
        </is>
      </c>
      <c r="E559">
        <f>_xlfn.XLOOKUP(D559,'[2]8A. Master Device Catalog'!$F$5:$F$914,'[2]8A. Master Device Catalog'!$G$5:$G$914,"")</f>
        <v/>
      </c>
      <c r="F559">
        <f>_xlfn.XLOOKUP(D559,'[2]8A. Master Device Catalog'!$F$5:$F$914,'[2]8A. Master Device Catalog'!$H$5:$H$914,"")</f>
        <v/>
      </c>
    </row>
    <row r="560" hidden="1" ht="21.5" customHeight="1" s="125">
      <c r="A560" t="inlineStr">
        <is>
          <t>DEV000559</t>
        </is>
      </c>
      <c r="B560" s="59" t="inlineStr">
        <is>
          <t xml:space="preserve">LGE </t>
        </is>
      </c>
      <c r="C560" s="59" t="inlineStr">
        <is>
          <t>CMP</t>
        </is>
      </c>
      <c r="D560" s="61" t="inlineStr">
        <is>
          <t>Gram SuperSlim</t>
        </is>
      </c>
      <c r="E560">
        <f>_xlfn.XLOOKUP(D560,'[2]8A. Master Device Catalog'!$F$5:$F$914,'[2]8A. Master Device Catalog'!$G$5:$G$914,"")</f>
        <v/>
      </c>
      <c r="F560">
        <f>_xlfn.XLOOKUP(D560,'[2]8A. Master Device Catalog'!$F$5:$F$914,'[2]8A. Master Device Catalog'!$H$5:$H$914,"")</f>
        <v/>
      </c>
    </row>
    <row r="561" hidden="1" ht="21.5" customHeight="1" s="125">
      <c r="A561" t="inlineStr">
        <is>
          <t>DEV000560</t>
        </is>
      </c>
      <c r="B561" s="59" t="inlineStr">
        <is>
          <t xml:space="preserve">LGE </t>
        </is>
      </c>
      <c r="C561" s="59" t="inlineStr">
        <is>
          <t>CMP</t>
        </is>
      </c>
      <c r="D561" s="61" t="inlineStr">
        <is>
          <t>Ultra PC</t>
        </is>
      </c>
      <c r="E561">
        <f>_xlfn.XLOOKUP(D561,'[2]8A. Master Device Catalog'!$F$5:$F$914,'[2]8A. Master Device Catalog'!$G$5:$G$914,"")</f>
        <v/>
      </c>
      <c r="F561">
        <f>_xlfn.XLOOKUP(D561,'[2]8A. Master Device Catalog'!$F$5:$F$914,'[2]8A. Master Device Catalog'!$H$5:$H$914,"")</f>
        <v/>
      </c>
    </row>
    <row r="562" hidden="1" ht="21.5" customHeight="1" s="125">
      <c r="A562" t="inlineStr">
        <is>
          <t>DEV000561</t>
        </is>
      </c>
      <c r="B562" s="59" t="inlineStr">
        <is>
          <t xml:space="preserve">LGE </t>
        </is>
      </c>
      <c r="C562" s="59" t="inlineStr">
        <is>
          <t>CMP</t>
        </is>
      </c>
      <c r="D562" s="61" t="inlineStr">
        <is>
          <t>UltraGear</t>
        </is>
      </c>
      <c r="E562">
        <f>_xlfn.XLOOKUP(D562,'[2]8A. Master Device Catalog'!$F$5:$F$914,'[2]8A. Master Device Catalog'!$G$5:$G$914,"")</f>
        <v/>
      </c>
      <c r="F562">
        <f>_xlfn.XLOOKUP(D562,'[2]8A. Master Device Catalog'!$F$5:$F$914,'[2]8A. Master Device Catalog'!$H$5:$H$914,"")</f>
        <v/>
      </c>
    </row>
    <row r="563" hidden="1" ht="21.5" customHeight="1" s="125">
      <c r="A563" t="inlineStr">
        <is>
          <t>DEV000562</t>
        </is>
      </c>
      <c r="B563" s="59" t="inlineStr">
        <is>
          <t>MSF</t>
        </is>
      </c>
      <c r="C563" s="59" t="inlineStr">
        <is>
          <t>CMP</t>
        </is>
      </c>
      <c r="D563" s="61" t="inlineStr">
        <is>
          <t>Surface Go Laptop</t>
        </is>
      </c>
      <c r="E563">
        <f>_xlfn.XLOOKUP(D563,'[2]8A. Master Device Catalog'!$F$5:$F$914,'[2]8A. Master Device Catalog'!$G$5:$G$914,"")</f>
        <v/>
      </c>
      <c r="F563">
        <f>_xlfn.XLOOKUP(D563,'[2]8A. Master Device Catalog'!$F$5:$F$914,'[2]8A. Master Device Catalog'!$H$5:$H$914,"")</f>
        <v/>
      </c>
    </row>
    <row r="564" hidden="1" ht="21.5" customHeight="1" s="125">
      <c r="A564" t="inlineStr">
        <is>
          <t>DEV000563</t>
        </is>
      </c>
      <c r="B564" s="59" t="inlineStr">
        <is>
          <t>MSF</t>
        </is>
      </c>
      <c r="C564" s="59" t="inlineStr">
        <is>
          <t>CMP</t>
        </is>
      </c>
      <c r="D564" s="61" t="inlineStr">
        <is>
          <t>Surface Studio 2</t>
        </is>
      </c>
      <c r="E564">
        <f>_xlfn.XLOOKUP(D564,'[2]8A. Master Device Catalog'!$F$5:$F$914,'[2]8A. Master Device Catalog'!$G$5:$G$914,"")</f>
        <v/>
      </c>
      <c r="F564">
        <f>_xlfn.XLOOKUP(D564,'[2]8A. Master Device Catalog'!$F$5:$F$914,'[2]8A. Master Device Catalog'!$H$5:$H$914,"")</f>
        <v/>
      </c>
    </row>
    <row r="565" hidden="1" ht="21.5" customHeight="1" s="125">
      <c r="A565" t="inlineStr">
        <is>
          <t>DEV000564</t>
        </is>
      </c>
      <c r="B565" s="59" t="inlineStr">
        <is>
          <t>MSF</t>
        </is>
      </c>
      <c r="C565" s="59" t="inlineStr">
        <is>
          <t>CMP</t>
        </is>
      </c>
      <c r="D565" s="61" t="inlineStr">
        <is>
          <t>Surface Studio 2+</t>
        </is>
      </c>
      <c r="E565">
        <f>_xlfn.XLOOKUP(D565,'[2]8A. Master Device Catalog'!$F$5:$F$914,'[2]8A. Master Device Catalog'!$G$5:$G$914,"")</f>
        <v/>
      </c>
      <c r="F565">
        <f>_xlfn.XLOOKUP(D565,'[2]8A. Master Device Catalog'!$F$5:$F$914,'[2]8A. Master Device Catalog'!$H$5:$H$914,"")</f>
        <v/>
      </c>
    </row>
    <row r="566" hidden="1" ht="21.5" customHeight="1" s="125">
      <c r="A566" t="inlineStr">
        <is>
          <t>DEV000565</t>
        </is>
      </c>
      <c r="B566" s="59" t="inlineStr">
        <is>
          <t>MSF</t>
        </is>
      </c>
      <c r="C566" s="59" t="inlineStr">
        <is>
          <t>CMP</t>
        </is>
      </c>
      <c r="D566" s="61" t="inlineStr">
        <is>
          <t>Surface Book</t>
        </is>
      </c>
      <c r="E566">
        <f>_xlfn.XLOOKUP(D566,'[2]8A. Master Device Catalog'!$F$5:$F$914,'[2]8A. Master Device Catalog'!$G$5:$G$914,"")</f>
        <v/>
      </c>
      <c r="F566">
        <f>_xlfn.XLOOKUP(D566,'[2]8A. Master Device Catalog'!$F$5:$F$914,'[2]8A. Master Device Catalog'!$H$5:$H$914,"")</f>
        <v/>
      </c>
    </row>
    <row r="567" hidden="1" ht="21.5" customHeight="1" s="125">
      <c r="A567" t="inlineStr">
        <is>
          <t>DEV000566</t>
        </is>
      </c>
      <c r="B567" s="59" t="inlineStr">
        <is>
          <t>MSF</t>
        </is>
      </c>
      <c r="C567" s="59" t="inlineStr">
        <is>
          <t>CMP</t>
        </is>
      </c>
      <c r="D567" s="61" t="inlineStr">
        <is>
          <t>Surface Book 2</t>
        </is>
      </c>
      <c r="E567">
        <f>_xlfn.XLOOKUP(D567,'[2]8A. Master Device Catalog'!$F$5:$F$914,'[2]8A. Master Device Catalog'!$G$5:$G$914,"")</f>
        <v/>
      </c>
      <c r="F567">
        <f>_xlfn.XLOOKUP(D567,'[2]8A. Master Device Catalog'!$F$5:$F$914,'[2]8A. Master Device Catalog'!$H$5:$H$914,"")</f>
        <v/>
      </c>
    </row>
    <row r="568" hidden="1" ht="21.5" customHeight="1" s="125">
      <c r="A568" t="inlineStr">
        <is>
          <t>DEV000567</t>
        </is>
      </c>
      <c r="B568" s="59" t="inlineStr">
        <is>
          <t>MSF</t>
        </is>
      </c>
      <c r="C568" s="59" t="inlineStr">
        <is>
          <t>CMP</t>
        </is>
      </c>
      <c r="D568" s="61" t="inlineStr">
        <is>
          <t>Surface Book 3</t>
        </is>
      </c>
      <c r="E568">
        <f>_xlfn.XLOOKUP(D568,'[2]8A. Master Device Catalog'!$F$5:$F$914,'[2]8A. Master Device Catalog'!$G$5:$G$914,"")</f>
        <v/>
      </c>
      <c r="F568">
        <f>_xlfn.XLOOKUP(D568,'[2]8A. Master Device Catalog'!$F$5:$F$914,'[2]8A. Master Device Catalog'!$H$5:$H$914,"")</f>
        <v/>
      </c>
    </row>
    <row r="569" hidden="1" ht="21.5" customHeight="1" s="125">
      <c r="A569" t="inlineStr">
        <is>
          <t>DEV000568</t>
        </is>
      </c>
      <c r="B569" s="59" t="inlineStr">
        <is>
          <t>MSF</t>
        </is>
      </c>
      <c r="C569" s="59" t="inlineStr">
        <is>
          <t>CMP</t>
        </is>
      </c>
      <c r="D569" s="61" t="inlineStr">
        <is>
          <t>Surface Laptop</t>
        </is>
      </c>
      <c r="E569">
        <f>_xlfn.XLOOKUP(D569,'[2]8A. Master Device Catalog'!$F$5:$F$914,'[2]8A. Master Device Catalog'!$G$5:$G$914,"")</f>
        <v/>
      </c>
      <c r="F569">
        <f>_xlfn.XLOOKUP(D569,'[2]8A. Master Device Catalog'!$F$5:$F$914,'[2]8A. Master Device Catalog'!$H$5:$H$914,"")</f>
        <v/>
      </c>
    </row>
    <row r="570" hidden="1" ht="21.5" customHeight="1" s="125">
      <c r="A570" t="inlineStr">
        <is>
          <t>DEV000569</t>
        </is>
      </c>
      <c r="B570" s="59" t="inlineStr">
        <is>
          <t>MSF</t>
        </is>
      </c>
      <c r="C570" s="59" t="inlineStr">
        <is>
          <t>CMP</t>
        </is>
      </c>
      <c r="D570" s="61" t="inlineStr">
        <is>
          <t>Surface Laptop 2</t>
        </is>
      </c>
      <c r="E570">
        <f>_xlfn.XLOOKUP(D570,'[2]8A. Master Device Catalog'!$F$5:$F$914,'[2]8A. Master Device Catalog'!$G$5:$G$914,"")</f>
        <v/>
      </c>
      <c r="F570">
        <f>_xlfn.XLOOKUP(D570,'[2]8A. Master Device Catalog'!$F$5:$F$914,'[2]8A. Master Device Catalog'!$H$5:$H$914,"")</f>
        <v/>
      </c>
    </row>
    <row r="571" hidden="1" ht="21.5" customHeight="1" s="125">
      <c r="A571" t="inlineStr">
        <is>
          <t>DEV000570</t>
        </is>
      </c>
      <c r="B571" s="59" t="inlineStr">
        <is>
          <t>MSF</t>
        </is>
      </c>
      <c r="C571" s="59" t="inlineStr">
        <is>
          <t>CMP</t>
        </is>
      </c>
      <c r="D571" s="61" t="inlineStr">
        <is>
          <t>Surface Laptop 3</t>
        </is>
      </c>
      <c r="E571">
        <f>_xlfn.XLOOKUP(D571,'[2]8A. Master Device Catalog'!$F$5:$F$914,'[2]8A. Master Device Catalog'!$G$5:$G$914,"")</f>
        <v/>
      </c>
      <c r="F571">
        <f>_xlfn.XLOOKUP(D571,'[2]8A. Master Device Catalog'!$F$5:$F$914,'[2]8A. Master Device Catalog'!$H$5:$H$914,"")</f>
        <v/>
      </c>
    </row>
    <row r="572" hidden="1" ht="21.5" customHeight="1" s="125">
      <c r="A572" t="inlineStr">
        <is>
          <t>DEV000571</t>
        </is>
      </c>
      <c r="B572" s="59" t="inlineStr">
        <is>
          <t>MSF</t>
        </is>
      </c>
      <c r="C572" s="59" t="inlineStr">
        <is>
          <t>CMP</t>
        </is>
      </c>
      <c r="D572" s="61" t="inlineStr">
        <is>
          <t>Surface Laptop 4</t>
        </is>
      </c>
      <c r="E572">
        <f>_xlfn.XLOOKUP(D572,'[2]8A. Master Device Catalog'!$F$5:$F$914,'[2]8A. Master Device Catalog'!$G$5:$G$914,"")</f>
        <v/>
      </c>
      <c r="F572">
        <f>_xlfn.XLOOKUP(D572,'[2]8A. Master Device Catalog'!$F$5:$F$914,'[2]8A. Master Device Catalog'!$H$5:$H$914,"")</f>
        <v/>
      </c>
    </row>
    <row r="573" hidden="1" ht="21.5" customHeight="1" s="125">
      <c r="A573" t="inlineStr">
        <is>
          <t>DEV000572</t>
        </is>
      </c>
      <c r="B573" s="59" t="inlineStr">
        <is>
          <t>MSF</t>
        </is>
      </c>
      <c r="C573" s="59" t="inlineStr">
        <is>
          <t>CMP</t>
        </is>
      </c>
      <c r="D573" s="61" t="inlineStr">
        <is>
          <t>Surface Laptop 5</t>
        </is>
      </c>
      <c r="E573">
        <f>_xlfn.XLOOKUP(D573,'[2]8A. Master Device Catalog'!$F$5:$F$914,'[2]8A. Master Device Catalog'!$G$5:$G$914,"")</f>
        <v/>
      </c>
      <c r="F573">
        <f>_xlfn.XLOOKUP(D573,'[2]8A. Master Device Catalog'!$F$5:$F$914,'[2]8A. Master Device Catalog'!$H$5:$H$914,"")</f>
        <v/>
      </c>
    </row>
    <row r="574" hidden="1" ht="21.5" customHeight="1" s="125">
      <c r="A574" t="inlineStr">
        <is>
          <t>DEV000573</t>
        </is>
      </c>
      <c r="B574" s="59" t="inlineStr">
        <is>
          <t>MSF</t>
        </is>
      </c>
      <c r="C574" s="59" t="inlineStr">
        <is>
          <t>CMP</t>
        </is>
      </c>
      <c r="D574" s="61" t="inlineStr">
        <is>
          <t>Surface Laptop 6</t>
        </is>
      </c>
      <c r="E574">
        <f>_xlfn.XLOOKUP(D574,'[2]8A. Master Device Catalog'!$F$5:$F$914,'[2]8A. Master Device Catalog'!$G$5:$G$914,"")</f>
        <v/>
      </c>
      <c r="F574">
        <f>_xlfn.XLOOKUP(D574,'[2]8A. Master Device Catalog'!$F$5:$F$914,'[2]8A. Master Device Catalog'!$H$5:$H$914,"")</f>
        <v/>
      </c>
    </row>
    <row r="575" hidden="1" ht="21.5" customHeight="1" s="125">
      <c r="A575" t="inlineStr">
        <is>
          <t>DEV000574</t>
        </is>
      </c>
      <c r="B575" s="59" t="inlineStr">
        <is>
          <t>MSF</t>
        </is>
      </c>
      <c r="C575" s="59" t="inlineStr">
        <is>
          <t>CMP</t>
        </is>
      </c>
      <c r="D575" s="61" t="inlineStr">
        <is>
          <t>Surface Laptop 7</t>
        </is>
      </c>
      <c r="E575">
        <f>_xlfn.XLOOKUP(D575,'[2]8A. Master Device Catalog'!$F$5:$F$914,'[2]8A. Master Device Catalog'!$G$5:$G$914,"")</f>
        <v/>
      </c>
      <c r="F575">
        <f>_xlfn.XLOOKUP(D575,'[2]8A. Master Device Catalog'!$F$5:$F$914,'[2]8A. Master Device Catalog'!$H$5:$H$914,"")</f>
        <v/>
      </c>
    </row>
    <row r="576" hidden="1" ht="21.5" customHeight="1" s="125">
      <c r="A576" t="inlineStr">
        <is>
          <t>DEV000575</t>
        </is>
      </c>
      <c r="B576" s="59" t="inlineStr">
        <is>
          <t>MSF</t>
        </is>
      </c>
      <c r="C576" s="59" t="inlineStr">
        <is>
          <t>CMP</t>
        </is>
      </c>
      <c r="D576" s="61" t="inlineStr">
        <is>
          <t>Surface Laptop Go</t>
        </is>
      </c>
      <c r="E576">
        <f>_xlfn.XLOOKUP(D576,'[2]8A. Master Device Catalog'!$F$5:$F$914,'[2]8A. Master Device Catalog'!$G$5:$G$914,"")</f>
        <v/>
      </c>
      <c r="F576">
        <f>_xlfn.XLOOKUP(D576,'[2]8A. Master Device Catalog'!$F$5:$F$914,'[2]8A. Master Device Catalog'!$H$5:$H$914,"")</f>
        <v/>
      </c>
    </row>
    <row r="577" hidden="1" ht="21.5" customHeight="1" s="125">
      <c r="A577" t="inlineStr">
        <is>
          <t>DEV000576</t>
        </is>
      </c>
      <c r="B577" s="59" t="inlineStr">
        <is>
          <t>MSF</t>
        </is>
      </c>
      <c r="C577" s="59" t="inlineStr">
        <is>
          <t>CMP</t>
        </is>
      </c>
      <c r="D577" s="61" t="inlineStr">
        <is>
          <t>Surface Laptop Go 2</t>
        </is>
      </c>
      <c r="E577">
        <f>_xlfn.XLOOKUP(D577,'[2]8A. Master Device Catalog'!$F$5:$F$914,'[2]8A. Master Device Catalog'!$G$5:$G$914,"")</f>
        <v/>
      </c>
      <c r="F577">
        <f>_xlfn.XLOOKUP(D577,'[2]8A. Master Device Catalog'!$F$5:$F$914,'[2]8A. Master Device Catalog'!$H$5:$H$914,"")</f>
        <v/>
      </c>
    </row>
    <row r="578" hidden="1" ht="21.5" customHeight="1" s="125">
      <c r="A578" t="inlineStr">
        <is>
          <t>DEV000577</t>
        </is>
      </c>
      <c r="B578" s="59" t="inlineStr">
        <is>
          <t>MSF</t>
        </is>
      </c>
      <c r="C578" s="59" t="inlineStr">
        <is>
          <t>CMP</t>
        </is>
      </c>
      <c r="D578" s="61" t="inlineStr">
        <is>
          <t>Surface Laptop Go 3</t>
        </is>
      </c>
      <c r="E578">
        <f>_xlfn.XLOOKUP(D578,'[2]8A. Master Device Catalog'!$F$5:$F$914,'[2]8A. Master Device Catalog'!$G$5:$G$914,"")</f>
        <v/>
      </c>
      <c r="F578">
        <f>_xlfn.XLOOKUP(D578,'[2]8A. Master Device Catalog'!$F$5:$F$914,'[2]8A. Master Device Catalog'!$H$5:$H$914,"")</f>
        <v/>
      </c>
    </row>
    <row r="579" hidden="1" ht="21.5" customHeight="1" s="125">
      <c r="A579" t="inlineStr">
        <is>
          <t>DEV000578</t>
        </is>
      </c>
      <c r="B579" s="59" t="inlineStr">
        <is>
          <t>MSF</t>
        </is>
      </c>
      <c r="C579" s="59" t="inlineStr">
        <is>
          <t>CMP</t>
        </is>
      </c>
      <c r="D579" s="61" t="inlineStr">
        <is>
          <t>Surface Laptop Studio</t>
        </is>
      </c>
      <c r="E579">
        <f>_xlfn.XLOOKUP(D579,'[2]8A. Master Device Catalog'!$F$5:$F$914,'[2]8A. Master Device Catalog'!$G$5:$G$914,"")</f>
        <v/>
      </c>
      <c r="F579">
        <f>_xlfn.XLOOKUP(D579,'[2]8A. Master Device Catalog'!$F$5:$F$914,'[2]8A. Master Device Catalog'!$H$5:$H$914,"")</f>
        <v/>
      </c>
    </row>
    <row r="580" hidden="1" ht="21.5" customHeight="1" s="125">
      <c r="A580" t="inlineStr">
        <is>
          <t>DEV000579</t>
        </is>
      </c>
      <c r="B580" s="59" t="inlineStr">
        <is>
          <t>MSF</t>
        </is>
      </c>
      <c r="C580" s="59" t="inlineStr">
        <is>
          <t>CMP</t>
        </is>
      </c>
      <c r="D580" s="61" t="inlineStr">
        <is>
          <t>Surface Laptop Studio 2</t>
        </is>
      </c>
      <c r="E580">
        <f>_xlfn.XLOOKUP(D580,'[2]8A. Master Device Catalog'!$F$5:$F$914,'[2]8A. Master Device Catalog'!$G$5:$G$914,"")</f>
        <v/>
      </c>
      <c r="F580">
        <f>_xlfn.XLOOKUP(D580,'[2]8A. Master Device Catalog'!$F$5:$F$914,'[2]8A. Master Device Catalog'!$H$5:$H$914,"")</f>
        <v/>
      </c>
    </row>
    <row r="581" hidden="1" ht="21.5" customHeight="1" s="125">
      <c r="A581" t="inlineStr">
        <is>
          <t>DEV000580</t>
        </is>
      </c>
      <c r="B581" s="59" t="inlineStr">
        <is>
          <t>MSF</t>
        </is>
      </c>
      <c r="C581" s="59" t="inlineStr">
        <is>
          <t>CMP</t>
        </is>
      </c>
      <c r="D581" s="61" t="inlineStr">
        <is>
          <t>Surface Studio</t>
        </is>
      </c>
      <c r="E581">
        <f>_xlfn.XLOOKUP(D581,'[2]8A. Master Device Catalog'!$F$5:$F$914,'[2]8A. Master Device Catalog'!$G$5:$G$914,"")</f>
        <v/>
      </c>
      <c r="F581">
        <f>_xlfn.XLOOKUP(D581,'[2]8A. Master Device Catalog'!$F$5:$F$914,'[2]8A. Master Device Catalog'!$H$5:$H$914,"")</f>
        <v/>
      </c>
    </row>
    <row r="582" hidden="1" ht="21.5" customHeight="1" s="125">
      <c r="A582" t="inlineStr">
        <is>
          <t>DEV000581</t>
        </is>
      </c>
      <c r="B582" s="59" t="inlineStr">
        <is>
          <t>MSI</t>
        </is>
      </c>
      <c r="C582" s="59" t="inlineStr">
        <is>
          <t>CMP</t>
        </is>
      </c>
      <c r="D582" s="61" t="inlineStr">
        <is>
          <t>Raider GE78 HX</t>
        </is>
      </c>
      <c r="E582">
        <f>_xlfn.XLOOKUP(D582,'[2]8A. Master Device Catalog'!$F$5:$F$914,'[2]8A. Master Device Catalog'!$G$5:$G$914,"")</f>
        <v/>
      </c>
      <c r="F582">
        <f>_xlfn.XLOOKUP(D582,'[2]8A. Master Device Catalog'!$F$5:$F$914,'[2]8A. Master Device Catalog'!$H$5:$H$914,"")</f>
        <v/>
      </c>
    </row>
    <row r="583" hidden="1" ht="21.5" customHeight="1" s="125">
      <c r="A583" t="inlineStr">
        <is>
          <t>DEV000582</t>
        </is>
      </c>
      <c r="B583" s="59" t="inlineStr">
        <is>
          <t>MSI</t>
        </is>
      </c>
      <c r="C583" s="59" t="inlineStr">
        <is>
          <t>CMP</t>
        </is>
      </c>
      <c r="D583" s="61" t="inlineStr">
        <is>
          <t>Stealth 16 AI</t>
        </is>
      </c>
      <c r="E583">
        <f>_xlfn.XLOOKUP(D583,'[2]8A. Master Device Catalog'!$F$5:$F$914,'[2]8A. Master Device Catalog'!$G$5:$G$914,"")</f>
        <v/>
      </c>
      <c r="F583">
        <f>_xlfn.XLOOKUP(D583,'[2]8A. Master Device Catalog'!$F$5:$F$914,'[2]8A. Master Device Catalog'!$H$5:$H$914,"")</f>
        <v/>
      </c>
    </row>
    <row r="584" hidden="1" ht="21.5" customHeight="1" s="125">
      <c r="A584" t="inlineStr">
        <is>
          <t>DEV000583</t>
        </is>
      </c>
      <c r="B584" s="59" t="inlineStr">
        <is>
          <t>MSI</t>
        </is>
      </c>
      <c r="C584" s="59" t="inlineStr">
        <is>
          <t>CMP</t>
        </is>
      </c>
      <c r="D584" s="61" t="inlineStr">
        <is>
          <t>Cyborg 15</t>
        </is>
      </c>
      <c r="E584">
        <f>_xlfn.XLOOKUP(D584,'[2]8A. Master Device Catalog'!$F$5:$F$914,'[2]8A. Master Device Catalog'!$G$5:$G$914,"")</f>
        <v/>
      </c>
      <c r="F584">
        <f>_xlfn.XLOOKUP(D584,'[2]8A. Master Device Catalog'!$F$5:$F$914,'[2]8A. Master Device Catalog'!$H$5:$H$914,"")</f>
        <v/>
      </c>
    </row>
    <row r="585" hidden="1" ht="21.5" customHeight="1" s="125">
      <c r="A585" t="inlineStr">
        <is>
          <t>DEV000584</t>
        </is>
      </c>
      <c r="B585" s="59" t="inlineStr">
        <is>
          <t>MSI</t>
        </is>
      </c>
      <c r="C585" s="59" t="inlineStr">
        <is>
          <t>CMP</t>
        </is>
      </c>
      <c r="D585" s="61" t="inlineStr">
        <is>
          <t>Prestige 16 AI</t>
        </is>
      </c>
      <c r="E585">
        <f>_xlfn.XLOOKUP(D585,'[2]8A. Master Device Catalog'!$F$5:$F$914,'[2]8A. Master Device Catalog'!$G$5:$G$914,"")</f>
        <v/>
      </c>
      <c r="F585">
        <f>_xlfn.XLOOKUP(D585,'[2]8A. Master Device Catalog'!$F$5:$F$914,'[2]8A. Master Device Catalog'!$H$5:$H$914,"")</f>
        <v/>
      </c>
    </row>
    <row r="586" hidden="1" ht="21.5" customHeight="1" s="125">
      <c r="A586" t="inlineStr">
        <is>
          <t>DEV000585</t>
        </is>
      </c>
      <c r="B586" s="59" t="inlineStr">
        <is>
          <t>MSI</t>
        </is>
      </c>
      <c r="C586" s="59" t="inlineStr">
        <is>
          <t>CMP</t>
        </is>
      </c>
      <c r="D586" s="61" t="inlineStr">
        <is>
          <t>Vector GP68 HX</t>
        </is>
      </c>
      <c r="E586">
        <f>_xlfn.XLOOKUP(D586,'[2]8A. Master Device Catalog'!$F$5:$F$914,'[2]8A. Master Device Catalog'!$G$5:$G$914,"")</f>
        <v/>
      </c>
      <c r="F586">
        <f>_xlfn.XLOOKUP(D586,'[2]8A. Master Device Catalog'!$F$5:$F$914,'[2]8A. Master Device Catalog'!$H$5:$H$914,"")</f>
        <v/>
      </c>
    </row>
    <row r="587" hidden="1" ht="21.5" customHeight="1" s="125">
      <c r="A587" t="inlineStr">
        <is>
          <t>DEV000586</t>
        </is>
      </c>
      <c r="B587" s="59" t="inlineStr">
        <is>
          <t>MSI</t>
        </is>
      </c>
      <c r="C587" s="59" t="inlineStr">
        <is>
          <t>CMP</t>
        </is>
      </c>
      <c r="D587" s="61" t="inlineStr">
        <is>
          <t>Katana 15</t>
        </is>
      </c>
      <c r="E587">
        <f>_xlfn.XLOOKUP(D587,'[2]8A. Master Device Catalog'!$F$5:$F$914,'[2]8A. Master Device Catalog'!$G$5:$G$914,"")</f>
        <v/>
      </c>
      <c r="F587">
        <f>_xlfn.XLOOKUP(D587,'[2]8A. Master Device Catalog'!$F$5:$F$914,'[2]8A. Master Device Catalog'!$H$5:$H$914,"")</f>
        <v/>
      </c>
    </row>
    <row r="588" hidden="1" ht="21.5" customHeight="1" s="125">
      <c r="A588" t="inlineStr">
        <is>
          <t>DEV000587</t>
        </is>
      </c>
      <c r="B588" s="59" t="inlineStr">
        <is>
          <t>MSI</t>
        </is>
      </c>
      <c r="C588" s="59" t="inlineStr">
        <is>
          <t>CMP</t>
        </is>
      </c>
      <c r="D588" s="61" t="inlineStr">
        <is>
          <t>Titan 18 HX</t>
        </is>
      </c>
      <c r="E588">
        <f>_xlfn.XLOOKUP(D588,'[2]8A. Master Device Catalog'!$F$5:$F$914,'[2]8A. Master Device Catalog'!$G$5:$G$914,"")</f>
        <v/>
      </c>
      <c r="F588">
        <f>_xlfn.XLOOKUP(D588,'[2]8A. Master Device Catalog'!$F$5:$F$914,'[2]8A. Master Device Catalog'!$H$5:$H$914,"")</f>
        <v/>
      </c>
    </row>
    <row r="589" hidden="1" ht="21.5" customHeight="1" s="125">
      <c r="A589" t="inlineStr">
        <is>
          <t>DEV000588</t>
        </is>
      </c>
      <c r="B589" s="59" t="inlineStr">
        <is>
          <t>MSI</t>
        </is>
      </c>
      <c r="C589" s="59" t="inlineStr">
        <is>
          <t>CMP</t>
        </is>
      </c>
      <c r="D589" s="61" t="inlineStr">
        <is>
          <t>Modern 15</t>
        </is>
      </c>
      <c r="E589">
        <f>_xlfn.XLOOKUP(D589,'[2]8A. Master Device Catalog'!$F$5:$F$914,'[2]8A. Master Device Catalog'!$G$5:$G$914,"")</f>
        <v/>
      </c>
      <c r="F589">
        <f>_xlfn.XLOOKUP(D589,'[2]8A. Master Device Catalog'!$F$5:$F$914,'[2]8A. Master Device Catalog'!$H$5:$H$914,"")</f>
        <v/>
      </c>
    </row>
    <row r="590" hidden="1" ht="21.5" customHeight="1" s="125">
      <c r="A590" t="inlineStr">
        <is>
          <t>DEV000589</t>
        </is>
      </c>
      <c r="B590" s="59" t="inlineStr">
        <is>
          <t>RAZ</t>
        </is>
      </c>
      <c r="C590" s="59" t="inlineStr">
        <is>
          <t>CMP</t>
        </is>
      </c>
      <c r="D590" s="61" t="inlineStr">
        <is>
          <t>Blade 16</t>
        </is>
      </c>
      <c r="E590">
        <f>_xlfn.XLOOKUP(D590,'[2]8A. Master Device Catalog'!$F$5:$F$914,'[2]8A. Master Device Catalog'!$G$5:$G$914,"")</f>
        <v/>
      </c>
      <c r="F590">
        <f>_xlfn.XLOOKUP(D590,'[2]8A. Master Device Catalog'!$F$5:$F$914,'[2]8A. Master Device Catalog'!$H$5:$H$914,"")</f>
        <v/>
      </c>
    </row>
    <row r="591" hidden="1" ht="21.5" customHeight="1" s="125">
      <c r="A591" t="inlineStr">
        <is>
          <t>DEV000590</t>
        </is>
      </c>
      <c r="B591" s="59" t="inlineStr">
        <is>
          <t>RAZ</t>
        </is>
      </c>
      <c r="C591" s="59" t="inlineStr">
        <is>
          <t>CMP</t>
        </is>
      </c>
      <c r="D591" s="61" t="inlineStr">
        <is>
          <t>Blade 14</t>
        </is>
      </c>
      <c r="E591">
        <f>_xlfn.XLOOKUP(D591,'[2]8A. Master Device Catalog'!$F$5:$F$914,'[2]8A. Master Device Catalog'!$G$5:$G$914,"")</f>
        <v/>
      </c>
      <c r="F591">
        <f>_xlfn.XLOOKUP(D591,'[2]8A. Master Device Catalog'!$F$5:$F$914,'[2]8A. Master Device Catalog'!$H$5:$H$914,"")</f>
        <v/>
      </c>
    </row>
    <row r="592" hidden="1" ht="21.5" customHeight="1" s="125">
      <c r="A592" t="inlineStr">
        <is>
          <t>DEV000591</t>
        </is>
      </c>
      <c r="B592" s="59" t="inlineStr">
        <is>
          <t>RAZ</t>
        </is>
      </c>
      <c r="C592" s="59" t="inlineStr">
        <is>
          <t>CMP</t>
        </is>
      </c>
      <c r="D592" s="61" t="inlineStr">
        <is>
          <t>Blade Stealth 13</t>
        </is>
      </c>
      <c r="E592">
        <f>_xlfn.XLOOKUP(D592,'[2]8A. Master Device Catalog'!$F$5:$F$914,'[2]8A. Master Device Catalog'!$G$5:$G$914,"")</f>
        <v/>
      </c>
      <c r="F592">
        <f>_xlfn.XLOOKUP(D592,'[2]8A. Master Device Catalog'!$F$5:$F$914,'[2]8A. Master Device Catalog'!$H$5:$H$914,"")</f>
        <v/>
      </c>
    </row>
    <row r="593" hidden="1" ht="21.5" customHeight="1" s="125">
      <c r="A593" t="inlineStr">
        <is>
          <t>DEV000592</t>
        </is>
      </c>
      <c r="B593" s="59" t="inlineStr">
        <is>
          <t>RAZ</t>
        </is>
      </c>
      <c r="C593" s="59" t="inlineStr">
        <is>
          <t>CMP</t>
        </is>
      </c>
      <c r="D593" s="61" t="inlineStr">
        <is>
          <t>Blade 15</t>
        </is>
      </c>
      <c r="E593">
        <f>_xlfn.XLOOKUP(D593,'[2]8A. Master Device Catalog'!$F$5:$F$914,'[2]8A. Master Device Catalog'!$G$5:$G$914,"")</f>
        <v/>
      </c>
      <c r="F593">
        <f>_xlfn.XLOOKUP(D593,'[2]8A. Master Device Catalog'!$F$5:$F$914,'[2]8A. Master Device Catalog'!$H$5:$H$914,"")</f>
        <v/>
      </c>
    </row>
    <row r="594" hidden="1" ht="21.5" customHeight="1" s="125">
      <c r="A594" t="inlineStr">
        <is>
          <t>DEV000593</t>
        </is>
      </c>
      <c r="B594" s="59" t="inlineStr">
        <is>
          <t>RAZ</t>
        </is>
      </c>
      <c r="C594" s="59" t="inlineStr">
        <is>
          <t>CMP</t>
        </is>
      </c>
      <c r="D594" s="61" t="inlineStr">
        <is>
          <t>Blade 18</t>
        </is>
      </c>
      <c r="E594">
        <f>_xlfn.XLOOKUP(D594,'[2]8A. Master Device Catalog'!$F$5:$F$914,'[2]8A. Master Device Catalog'!$G$5:$G$914,"")</f>
        <v/>
      </c>
      <c r="F594">
        <f>_xlfn.XLOOKUP(D594,'[2]8A. Master Device Catalog'!$F$5:$F$914,'[2]8A. Master Device Catalog'!$H$5:$H$914,"")</f>
        <v/>
      </c>
    </row>
    <row r="595" hidden="1" ht="21.5" customHeight="1" s="125">
      <c r="A595" t="inlineStr">
        <is>
          <t>DEV000594</t>
        </is>
      </c>
      <c r="B595" s="59" t="inlineStr">
        <is>
          <t>RAZ</t>
        </is>
      </c>
      <c r="C595" s="59" t="inlineStr">
        <is>
          <t>CMP</t>
        </is>
      </c>
      <c r="D595" s="61" t="inlineStr">
        <is>
          <t>Razer Blade Stealth 13</t>
        </is>
      </c>
      <c r="E595">
        <f>_xlfn.XLOOKUP(D595,'[2]8A. Master Device Catalog'!$F$5:$F$914,'[2]8A. Master Device Catalog'!$G$5:$G$914,"")</f>
        <v/>
      </c>
      <c r="F595">
        <f>_xlfn.XLOOKUP(D595,'[2]8A. Master Device Catalog'!$F$5:$F$914,'[2]8A. Master Device Catalog'!$H$5:$H$914,"")</f>
        <v/>
      </c>
    </row>
    <row r="596" hidden="1" ht="21.5" customHeight="1" s="125">
      <c r="A596" t="inlineStr">
        <is>
          <t>DEV000595</t>
        </is>
      </c>
      <c r="B596" s="59" t="inlineStr">
        <is>
          <t>RAZ</t>
        </is>
      </c>
      <c r="C596" s="59" t="inlineStr">
        <is>
          <t>CMP</t>
        </is>
      </c>
      <c r="D596" s="61" t="inlineStr">
        <is>
          <t>Razer Blade 14</t>
        </is>
      </c>
      <c r="E596">
        <f>_xlfn.XLOOKUP(D596,'[2]8A. Master Device Catalog'!$F$5:$F$914,'[2]8A. Master Device Catalog'!$G$5:$G$914,"")</f>
        <v/>
      </c>
      <c r="F596">
        <f>_xlfn.XLOOKUP(D596,'[2]8A. Master Device Catalog'!$F$5:$F$914,'[2]8A. Master Device Catalog'!$H$5:$H$914,"")</f>
        <v/>
      </c>
    </row>
    <row r="597" hidden="1" ht="21.5" customHeight="1" s="125">
      <c r="A597" t="inlineStr">
        <is>
          <t>DEV000596</t>
        </is>
      </c>
      <c r="B597" s="59" t="inlineStr">
        <is>
          <t>RAZ</t>
        </is>
      </c>
      <c r="C597" s="59" t="inlineStr">
        <is>
          <t>CMP</t>
        </is>
      </c>
      <c r="D597" s="61" t="inlineStr">
        <is>
          <t>Razer Blade 15</t>
        </is>
      </c>
      <c r="E597">
        <f>_xlfn.XLOOKUP(D597,'[2]8A. Master Device Catalog'!$F$5:$F$914,'[2]8A. Master Device Catalog'!$G$5:$G$914,"")</f>
        <v/>
      </c>
      <c r="F597">
        <f>_xlfn.XLOOKUP(D597,'[2]8A. Master Device Catalog'!$F$5:$F$914,'[2]8A. Master Device Catalog'!$H$5:$H$914,"")</f>
        <v/>
      </c>
    </row>
    <row r="598" hidden="1" ht="21.5" customHeight="1" s="125">
      <c r="A598" t="inlineStr">
        <is>
          <t>DEV000597</t>
        </is>
      </c>
      <c r="B598" s="59" t="inlineStr">
        <is>
          <t>RAZ</t>
        </is>
      </c>
      <c r="C598" s="59" t="inlineStr">
        <is>
          <t>CMP</t>
        </is>
      </c>
      <c r="D598" s="61" t="inlineStr">
        <is>
          <t>Razer Blade 16</t>
        </is>
      </c>
      <c r="E598">
        <f>_xlfn.XLOOKUP(D598,'[2]8A. Master Device Catalog'!$F$5:$F$914,'[2]8A. Master Device Catalog'!$G$5:$G$914,"")</f>
        <v/>
      </c>
      <c r="F598">
        <f>_xlfn.XLOOKUP(D598,'[2]8A. Master Device Catalog'!$F$5:$F$914,'[2]8A. Master Device Catalog'!$H$5:$H$914,"")</f>
        <v/>
      </c>
    </row>
    <row r="599" hidden="1" ht="21.5" customHeight="1" s="125">
      <c r="A599" t="inlineStr">
        <is>
          <t>DEV000598</t>
        </is>
      </c>
      <c r="B599" s="59" t="inlineStr">
        <is>
          <t>RAZ</t>
        </is>
      </c>
      <c r="C599" s="59" t="inlineStr">
        <is>
          <t>CMP</t>
        </is>
      </c>
      <c r="D599" s="61" t="inlineStr">
        <is>
          <t>Razer Blade 17</t>
        </is>
      </c>
      <c r="E599">
        <f>_xlfn.XLOOKUP(D599,'[2]8A. Master Device Catalog'!$F$5:$F$914,'[2]8A. Master Device Catalog'!$G$5:$G$914,"")</f>
        <v/>
      </c>
      <c r="F599">
        <f>_xlfn.XLOOKUP(D599,'[2]8A. Master Device Catalog'!$F$5:$F$914,'[2]8A. Master Device Catalog'!$H$5:$H$914,"")</f>
        <v/>
      </c>
    </row>
    <row r="600" hidden="1" ht="21.5" customHeight="1" s="125">
      <c r="A600" t="inlineStr">
        <is>
          <t>DEV000599</t>
        </is>
      </c>
      <c r="B600" s="59" t="inlineStr">
        <is>
          <t>RAZ</t>
        </is>
      </c>
      <c r="C600" s="59" t="inlineStr">
        <is>
          <t>CMP</t>
        </is>
      </c>
      <c r="D600" s="61" t="inlineStr">
        <is>
          <t>Razer Blade 18</t>
        </is>
      </c>
      <c r="E600">
        <f>_xlfn.XLOOKUP(D600,'[2]8A. Master Device Catalog'!$F$5:$F$914,'[2]8A. Master Device Catalog'!$G$5:$G$914,"")</f>
        <v/>
      </c>
      <c r="F600">
        <f>_xlfn.XLOOKUP(D600,'[2]8A. Master Device Catalog'!$F$5:$F$914,'[2]8A. Master Device Catalog'!$H$5:$H$914,"")</f>
        <v/>
      </c>
    </row>
    <row r="601" hidden="1" ht="21.5" customHeight="1" s="125">
      <c r="A601" t="inlineStr">
        <is>
          <t>DEV000600</t>
        </is>
      </c>
      <c r="B601" s="59" t="inlineStr">
        <is>
          <t>SAM</t>
        </is>
      </c>
      <c r="C601" s="59" t="inlineStr">
        <is>
          <t>CMP</t>
        </is>
      </c>
      <c r="D601" s="61" t="inlineStr">
        <is>
          <t>Galaxy Book3</t>
        </is>
      </c>
      <c r="E601">
        <f>_xlfn.XLOOKUP(D601,'[2]8A. Master Device Catalog'!$F$5:$F$914,'[2]8A. Master Device Catalog'!$G$5:$G$914,"")</f>
        <v/>
      </c>
      <c r="F601">
        <f>_xlfn.XLOOKUP(D601,'[2]8A. Master Device Catalog'!$F$5:$F$914,'[2]8A. Master Device Catalog'!$H$5:$H$914,"")</f>
        <v/>
      </c>
    </row>
    <row r="602" hidden="1" ht="21.5" customHeight="1" s="125">
      <c r="A602" t="inlineStr">
        <is>
          <t>DEV000601</t>
        </is>
      </c>
      <c r="B602" s="59" t="inlineStr">
        <is>
          <t>SAM</t>
        </is>
      </c>
      <c r="C602" s="59" t="inlineStr">
        <is>
          <t>CMP</t>
        </is>
      </c>
      <c r="D602" s="61" t="inlineStr">
        <is>
          <t>Galaxy Book3 Pro</t>
        </is>
      </c>
      <c r="E602">
        <f>_xlfn.XLOOKUP(D602,'[2]8A. Master Device Catalog'!$F$5:$F$914,'[2]8A. Master Device Catalog'!$G$5:$G$914,"")</f>
        <v/>
      </c>
      <c r="F602">
        <f>_xlfn.XLOOKUP(D602,'[2]8A. Master Device Catalog'!$F$5:$F$914,'[2]8A. Master Device Catalog'!$H$5:$H$914,"")</f>
        <v/>
      </c>
    </row>
    <row r="603" hidden="1" ht="21.5" customHeight="1" s="125">
      <c r="A603" t="inlineStr">
        <is>
          <t>DEV000602</t>
        </is>
      </c>
      <c r="B603" s="59" t="inlineStr">
        <is>
          <t>SAM</t>
        </is>
      </c>
      <c r="C603" s="59" t="inlineStr">
        <is>
          <t>CMP</t>
        </is>
      </c>
      <c r="D603" s="61" t="inlineStr">
        <is>
          <t>Galaxy Book</t>
        </is>
      </c>
      <c r="E603">
        <f>_xlfn.XLOOKUP(D603,'[2]8A. Master Device Catalog'!$F$5:$F$914,'[2]8A. Master Device Catalog'!$G$5:$G$914,"")</f>
        <v/>
      </c>
      <c r="F603">
        <f>_xlfn.XLOOKUP(D603,'[2]8A. Master Device Catalog'!$F$5:$F$914,'[2]8A. Master Device Catalog'!$H$5:$H$914,"")</f>
        <v/>
      </c>
    </row>
    <row r="604" hidden="1" ht="21.5" customHeight="1" s="125">
      <c r="A604" t="inlineStr">
        <is>
          <t>DEV000603</t>
        </is>
      </c>
      <c r="B604" s="59" t="inlineStr">
        <is>
          <t>SAM</t>
        </is>
      </c>
      <c r="C604" s="59" t="inlineStr">
        <is>
          <t>CMP</t>
        </is>
      </c>
      <c r="D604" s="61" t="inlineStr">
        <is>
          <t>Galaxy Book Flex</t>
        </is>
      </c>
      <c r="E604">
        <f>_xlfn.XLOOKUP(D604,'[2]8A. Master Device Catalog'!$F$5:$F$914,'[2]8A. Master Device Catalog'!$G$5:$G$914,"")</f>
        <v/>
      </c>
      <c r="F604">
        <f>_xlfn.XLOOKUP(D604,'[2]8A. Master Device Catalog'!$F$5:$F$914,'[2]8A. Master Device Catalog'!$H$5:$H$914,"")</f>
        <v/>
      </c>
    </row>
    <row r="605" hidden="1" ht="21.5" customHeight="1" s="125">
      <c r="A605" t="inlineStr">
        <is>
          <t>DEV000604</t>
        </is>
      </c>
      <c r="B605" s="59" t="inlineStr">
        <is>
          <t>SAM</t>
        </is>
      </c>
      <c r="C605" s="59" t="inlineStr">
        <is>
          <t>CMP</t>
        </is>
      </c>
      <c r="D605" s="61" t="inlineStr">
        <is>
          <t>Galaxy Book Flex2</t>
        </is>
      </c>
      <c r="E605">
        <f>_xlfn.XLOOKUP(D605,'[2]8A. Master Device Catalog'!$F$5:$F$914,'[2]8A. Master Device Catalog'!$G$5:$G$914,"")</f>
        <v/>
      </c>
      <c r="F605">
        <f>_xlfn.XLOOKUP(D605,'[2]8A. Master Device Catalog'!$F$5:$F$914,'[2]8A. Master Device Catalog'!$H$5:$H$914,"")</f>
        <v/>
      </c>
    </row>
    <row r="606" hidden="1" ht="21.5" customHeight="1" s="125">
      <c r="A606" t="inlineStr">
        <is>
          <t>DEV000605</t>
        </is>
      </c>
      <c r="B606" s="59" t="inlineStr">
        <is>
          <t>SAM</t>
        </is>
      </c>
      <c r="C606" s="59" t="inlineStr">
        <is>
          <t>CMP</t>
        </is>
      </c>
      <c r="D606" s="61" t="inlineStr">
        <is>
          <t>Galaxy Book Ion</t>
        </is>
      </c>
      <c r="E606">
        <f>_xlfn.XLOOKUP(D606,'[2]8A. Master Device Catalog'!$F$5:$F$914,'[2]8A. Master Device Catalog'!$G$5:$G$914,"")</f>
        <v/>
      </c>
      <c r="F606">
        <f>_xlfn.XLOOKUP(D606,'[2]8A. Master Device Catalog'!$F$5:$F$914,'[2]8A. Master Device Catalog'!$H$5:$H$914,"")</f>
        <v/>
      </c>
    </row>
    <row r="607" hidden="1" ht="21.5" customHeight="1" s="125">
      <c r="A607" t="inlineStr">
        <is>
          <t>DEV000606</t>
        </is>
      </c>
      <c r="B607" s="59" t="inlineStr">
        <is>
          <t>SAM</t>
        </is>
      </c>
      <c r="C607" s="59" t="inlineStr">
        <is>
          <t>CMP</t>
        </is>
      </c>
      <c r="D607" s="61" t="inlineStr">
        <is>
          <t>Galaxy Book Odyssey</t>
        </is>
      </c>
      <c r="E607">
        <f>_xlfn.XLOOKUP(D607,'[2]8A. Master Device Catalog'!$F$5:$F$914,'[2]8A. Master Device Catalog'!$G$5:$G$914,"")</f>
        <v/>
      </c>
      <c r="F607">
        <f>_xlfn.XLOOKUP(D607,'[2]8A. Master Device Catalog'!$F$5:$F$914,'[2]8A. Master Device Catalog'!$H$5:$H$914,"")</f>
        <v/>
      </c>
    </row>
    <row r="608" hidden="1" ht="21.5" customHeight="1" s="125">
      <c r="A608" t="inlineStr">
        <is>
          <t>DEV000607</t>
        </is>
      </c>
      <c r="B608" s="59" t="inlineStr">
        <is>
          <t>SAM</t>
        </is>
      </c>
      <c r="C608" s="59" t="inlineStr">
        <is>
          <t>CMP</t>
        </is>
      </c>
      <c r="D608" s="61" t="inlineStr">
        <is>
          <t>Galaxy Book Go</t>
        </is>
      </c>
      <c r="E608">
        <f>_xlfn.XLOOKUP(D608,'[2]8A. Master Device Catalog'!$F$5:$F$914,'[2]8A. Master Device Catalog'!$G$5:$G$914,"")</f>
        <v/>
      </c>
      <c r="F608">
        <f>_xlfn.XLOOKUP(D608,'[2]8A. Master Device Catalog'!$F$5:$F$914,'[2]8A. Master Device Catalog'!$H$5:$H$914,"")</f>
        <v/>
      </c>
    </row>
    <row r="609" hidden="1" ht="21.5" customHeight="1" s="125">
      <c r="A609" t="inlineStr">
        <is>
          <t>DEV000608</t>
        </is>
      </c>
      <c r="B609" s="59" t="inlineStr">
        <is>
          <t>SAM</t>
        </is>
      </c>
      <c r="C609" s="59" t="inlineStr">
        <is>
          <t>CMP</t>
        </is>
      </c>
      <c r="D609" s="61" t="inlineStr">
        <is>
          <t>Galaxy Book2</t>
        </is>
      </c>
      <c r="E609">
        <f>_xlfn.XLOOKUP(D609,'[2]8A. Master Device Catalog'!$F$5:$F$914,'[2]8A. Master Device Catalog'!$G$5:$G$914,"")</f>
        <v/>
      </c>
      <c r="F609">
        <f>_xlfn.XLOOKUP(D609,'[2]8A. Master Device Catalog'!$F$5:$F$914,'[2]8A. Master Device Catalog'!$H$5:$H$914,"")</f>
        <v/>
      </c>
    </row>
    <row r="610" hidden="1" ht="21.5" customHeight="1" s="125">
      <c r="A610" t="inlineStr">
        <is>
          <t>DEV000609</t>
        </is>
      </c>
      <c r="B610" s="59" t="inlineStr">
        <is>
          <t>SAM</t>
        </is>
      </c>
      <c r="C610" s="59" t="inlineStr">
        <is>
          <t>CMP</t>
        </is>
      </c>
      <c r="D610" s="61" t="inlineStr">
        <is>
          <t>Galaxy Book2 Pro</t>
        </is>
      </c>
      <c r="E610">
        <f>_xlfn.XLOOKUP(D610,'[2]8A. Master Device Catalog'!$F$5:$F$914,'[2]8A. Master Device Catalog'!$G$5:$G$914,"")</f>
        <v/>
      </c>
      <c r="F610">
        <f>_xlfn.XLOOKUP(D610,'[2]8A. Master Device Catalog'!$F$5:$F$914,'[2]8A. Master Device Catalog'!$H$5:$H$914,"")</f>
        <v/>
      </c>
    </row>
    <row r="611" hidden="1" ht="21.5" customHeight="1" s="125">
      <c r="A611" t="inlineStr">
        <is>
          <t>DEV000610</t>
        </is>
      </c>
      <c r="B611" s="59" t="inlineStr">
        <is>
          <t>SAM</t>
        </is>
      </c>
      <c r="C611" s="59" t="inlineStr">
        <is>
          <t>CMP</t>
        </is>
      </c>
      <c r="D611" s="61" t="inlineStr">
        <is>
          <t>Galaxy Book2 360</t>
        </is>
      </c>
      <c r="E611">
        <f>_xlfn.XLOOKUP(D611,'[2]8A. Master Device Catalog'!$F$5:$F$914,'[2]8A. Master Device Catalog'!$G$5:$G$914,"")</f>
        <v/>
      </c>
      <c r="F611">
        <f>_xlfn.XLOOKUP(D611,'[2]8A. Master Device Catalog'!$F$5:$F$914,'[2]8A. Master Device Catalog'!$H$5:$H$914,"")</f>
        <v/>
      </c>
    </row>
    <row r="612" hidden="1" ht="21.5" customHeight="1" s="125">
      <c r="A612" t="inlineStr">
        <is>
          <t>DEV000611</t>
        </is>
      </c>
      <c r="B612" s="59" t="inlineStr">
        <is>
          <t>SAM</t>
        </is>
      </c>
      <c r="C612" s="59" t="inlineStr">
        <is>
          <t>CMP</t>
        </is>
      </c>
      <c r="D612" s="61" t="inlineStr">
        <is>
          <t>Galaxy Book2 Pro 360</t>
        </is>
      </c>
      <c r="E612">
        <f>_xlfn.XLOOKUP(D612,'[2]8A. Master Device Catalog'!$F$5:$F$914,'[2]8A. Master Device Catalog'!$G$5:$G$914,"")</f>
        <v/>
      </c>
      <c r="F612">
        <f>_xlfn.XLOOKUP(D612,'[2]8A. Master Device Catalog'!$F$5:$F$914,'[2]8A. Master Device Catalog'!$H$5:$H$914,"")</f>
        <v/>
      </c>
    </row>
    <row r="613" hidden="1" ht="21.5" customHeight="1" s="125">
      <c r="A613" t="inlineStr">
        <is>
          <t>DEV000612</t>
        </is>
      </c>
      <c r="B613" s="59" t="inlineStr">
        <is>
          <t>SAM</t>
        </is>
      </c>
      <c r="C613" s="59" t="inlineStr">
        <is>
          <t>CMP</t>
        </is>
      </c>
      <c r="D613" s="61" t="inlineStr">
        <is>
          <t>Galaxy Book2 Business</t>
        </is>
      </c>
      <c r="E613">
        <f>_xlfn.XLOOKUP(D613,'[2]8A. Master Device Catalog'!$F$5:$F$914,'[2]8A. Master Device Catalog'!$G$5:$G$914,"")</f>
        <v/>
      </c>
      <c r="F613">
        <f>_xlfn.XLOOKUP(D613,'[2]8A. Master Device Catalog'!$F$5:$F$914,'[2]8A. Master Device Catalog'!$H$5:$H$914,"")</f>
        <v/>
      </c>
    </row>
    <row r="614" hidden="1" ht="21.5" customHeight="1" s="125">
      <c r="A614" t="inlineStr">
        <is>
          <t>DEV000613</t>
        </is>
      </c>
      <c r="B614" s="59" t="inlineStr">
        <is>
          <t>SAM</t>
        </is>
      </c>
      <c r="C614" s="59" t="inlineStr">
        <is>
          <t>CMP</t>
        </is>
      </c>
      <c r="D614" s="61" t="inlineStr">
        <is>
          <t>Galaxy Book3 360</t>
        </is>
      </c>
      <c r="E614">
        <f>_xlfn.XLOOKUP(D614,'[2]8A. Master Device Catalog'!$F$5:$F$914,'[2]8A. Master Device Catalog'!$G$5:$G$914,"")</f>
        <v/>
      </c>
      <c r="F614">
        <f>_xlfn.XLOOKUP(D614,'[2]8A. Master Device Catalog'!$F$5:$F$914,'[2]8A. Master Device Catalog'!$H$5:$H$914,"")</f>
        <v/>
      </c>
    </row>
    <row r="615" hidden="1" ht="21.5" customHeight="1" s="125">
      <c r="A615" t="inlineStr">
        <is>
          <t>DEV000614</t>
        </is>
      </c>
      <c r="B615" s="59" t="inlineStr">
        <is>
          <t>SAM</t>
        </is>
      </c>
      <c r="C615" s="59" t="inlineStr">
        <is>
          <t>CMP</t>
        </is>
      </c>
      <c r="D615" s="61" t="inlineStr">
        <is>
          <t>Galaxy Book3 Pro 360</t>
        </is>
      </c>
      <c r="E615">
        <f>_xlfn.XLOOKUP(D615,'[2]8A. Master Device Catalog'!$F$5:$F$914,'[2]8A. Master Device Catalog'!$G$5:$G$914,"")</f>
        <v/>
      </c>
      <c r="F615">
        <f>_xlfn.XLOOKUP(D615,'[2]8A. Master Device Catalog'!$F$5:$F$914,'[2]8A. Master Device Catalog'!$H$5:$H$914,"")</f>
        <v/>
      </c>
    </row>
    <row r="616" hidden="1" ht="21.5" customHeight="1" s="125">
      <c r="A616" t="inlineStr">
        <is>
          <t>DEV000615</t>
        </is>
      </c>
      <c r="B616" s="59" t="inlineStr">
        <is>
          <t>SAM</t>
        </is>
      </c>
      <c r="C616" s="59" t="inlineStr">
        <is>
          <t>CMP</t>
        </is>
      </c>
      <c r="D616" s="61" t="inlineStr">
        <is>
          <t>Galaxy Book3 Ultra</t>
        </is>
      </c>
      <c r="E616">
        <f>_xlfn.XLOOKUP(D616,'[2]8A. Master Device Catalog'!$F$5:$F$914,'[2]8A. Master Device Catalog'!$G$5:$G$914,"")</f>
        <v/>
      </c>
      <c r="F616">
        <f>_xlfn.XLOOKUP(D616,'[2]8A. Master Device Catalog'!$F$5:$F$914,'[2]8A. Master Device Catalog'!$H$5:$H$914,"")</f>
        <v/>
      </c>
    </row>
    <row r="617" hidden="1" ht="21.5" customHeight="1" s="125">
      <c r="A617" t="inlineStr">
        <is>
          <t>DEV000616</t>
        </is>
      </c>
      <c r="B617" s="59" t="inlineStr">
        <is>
          <t>SAM</t>
        </is>
      </c>
      <c r="C617" s="59" t="inlineStr">
        <is>
          <t>CMP</t>
        </is>
      </c>
      <c r="D617" s="60" t="inlineStr">
        <is>
          <t>Galaxy Book4</t>
        </is>
      </c>
      <c r="E617">
        <f>_xlfn.XLOOKUP(D617,'[2]8A. Master Device Catalog'!$F$5:$F$914,'[2]8A. Master Device Catalog'!$G$5:$G$914,"")</f>
        <v/>
      </c>
      <c r="F617">
        <f>_xlfn.XLOOKUP(D617,'[2]8A. Master Device Catalog'!$F$5:$F$914,'[2]8A. Master Device Catalog'!$H$5:$H$914,"")</f>
        <v/>
      </c>
    </row>
    <row r="618" hidden="1" ht="21.5" customHeight="1" s="125">
      <c r="A618" t="inlineStr">
        <is>
          <t>DEV000617</t>
        </is>
      </c>
      <c r="B618" s="59" t="inlineStr">
        <is>
          <t>SAM</t>
        </is>
      </c>
      <c r="C618" s="59" t="inlineStr">
        <is>
          <t>CMP</t>
        </is>
      </c>
      <c r="D618" s="60" t="inlineStr">
        <is>
          <t>Galaxy Book4 360</t>
        </is>
      </c>
      <c r="E618">
        <f>_xlfn.XLOOKUP(D618,'[2]8A. Master Device Catalog'!$F$5:$F$914,'[2]8A. Master Device Catalog'!$G$5:$G$914,"")</f>
        <v/>
      </c>
      <c r="F618">
        <f>_xlfn.XLOOKUP(D618,'[2]8A. Master Device Catalog'!$F$5:$F$914,'[2]8A. Master Device Catalog'!$H$5:$H$914,"")</f>
        <v/>
      </c>
    </row>
    <row r="619" hidden="1" ht="21.5" customHeight="1" s="125">
      <c r="A619" t="inlineStr">
        <is>
          <t>DEV000618</t>
        </is>
      </c>
      <c r="B619" s="59" t="inlineStr">
        <is>
          <t>SAM</t>
        </is>
      </c>
      <c r="C619" s="59" t="inlineStr">
        <is>
          <t>CMP</t>
        </is>
      </c>
      <c r="D619" s="60" t="inlineStr">
        <is>
          <t>Galaxy Book4 Edge</t>
        </is>
      </c>
      <c r="E619">
        <f>_xlfn.XLOOKUP(D619,'[2]8A. Master Device Catalog'!$F$5:$F$914,'[2]8A. Master Device Catalog'!$G$5:$G$914,"")</f>
        <v/>
      </c>
      <c r="F619">
        <f>_xlfn.XLOOKUP(D619,'[2]8A. Master Device Catalog'!$F$5:$F$914,'[2]8A. Master Device Catalog'!$H$5:$H$914,"")</f>
        <v/>
      </c>
    </row>
    <row r="620" hidden="1" ht="21.5" customHeight="1" s="125">
      <c r="A620" t="inlineStr">
        <is>
          <t>DEV000619</t>
        </is>
      </c>
      <c r="B620" s="59" t="inlineStr">
        <is>
          <t>SAM</t>
        </is>
      </c>
      <c r="C620" s="59" t="inlineStr">
        <is>
          <t>CMP</t>
        </is>
      </c>
      <c r="D620" s="60" t="inlineStr">
        <is>
          <t>Galaxy Book4 Pro</t>
        </is>
      </c>
      <c r="E620">
        <f>_xlfn.XLOOKUP(D620,'[2]8A. Master Device Catalog'!$F$5:$F$914,'[2]8A. Master Device Catalog'!$G$5:$G$914,"")</f>
        <v/>
      </c>
      <c r="F620">
        <f>_xlfn.XLOOKUP(D620,'[2]8A. Master Device Catalog'!$F$5:$F$914,'[2]8A. Master Device Catalog'!$H$5:$H$914,"")</f>
        <v/>
      </c>
    </row>
    <row r="621" hidden="1" ht="21.5" customHeight="1" s="125">
      <c r="A621" t="inlineStr">
        <is>
          <t>DEV000620</t>
        </is>
      </c>
      <c r="B621" s="59" t="inlineStr">
        <is>
          <t>SAM</t>
        </is>
      </c>
      <c r="C621" s="59" t="inlineStr">
        <is>
          <t>CMP</t>
        </is>
      </c>
      <c r="D621" s="60" t="inlineStr">
        <is>
          <t>Galaxy Book4 Pro 360</t>
        </is>
      </c>
      <c r="E621">
        <f>_xlfn.XLOOKUP(D621,'[2]8A. Master Device Catalog'!$F$5:$F$914,'[2]8A. Master Device Catalog'!$G$5:$G$914,"")</f>
        <v/>
      </c>
      <c r="F621">
        <f>_xlfn.XLOOKUP(D621,'[2]8A. Master Device Catalog'!$F$5:$F$914,'[2]8A. Master Device Catalog'!$H$5:$H$914,"")</f>
        <v/>
      </c>
    </row>
    <row r="622" hidden="1" ht="21.5" customHeight="1" s="125">
      <c r="A622" t="inlineStr">
        <is>
          <t>DEV000621</t>
        </is>
      </c>
      <c r="B622" s="59" t="inlineStr">
        <is>
          <t>SAM</t>
        </is>
      </c>
      <c r="C622" s="59" t="inlineStr">
        <is>
          <t>CMP</t>
        </is>
      </c>
      <c r="D622" s="60" t="inlineStr">
        <is>
          <t>Galaxy Book4 Ultra</t>
        </is>
      </c>
      <c r="E622">
        <f>_xlfn.XLOOKUP(D622,'[2]8A. Master Device Catalog'!$F$5:$F$914,'[2]8A. Master Device Catalog'!$G$5:$G$914,"")</f>
        <v/>
      </c>
      <c r="F622">
        <f>_xlfn.XLOOKUP(D622,'[2]8A. Master Device Catalog'!$F$5:$F$914,'[2]8A. Master Device Catalog'!$H$5:$H$914,"")</f>
        <v/>
      </c>
    </row>
    <row r="623" hidden="1" ht="21.5" customHeight="1" s="125">
      <c r="A623" t="inlineStr">
        <is>
          <t>DEV000622</t>
        </is>
      </c>
      <c r="B623" s="59" t="inlineStr">
        <is>
          <t>STL</t>
        </is>
      </c>
      <c r="C623" s="59" t="inlineStr">
        <is>
          <t>OTH</t>
        </is>
      </c>
      <c r="D623" s="61" t="inlineStr">
        <is>
          <t>Starlink Mini</t>
        </is>
      </c>
      <c r="E623">
        <f>_xlfn.XLOOKUP(D623,'[2]8A. Master Device Catalog'!$F$5:$F$914,'[2]8A. Master Device Catalog'!$G$5:$G$914,"")</f>
        <v/>
      </c>
      <c r="F623">
        <f>_xlfn.XLOOKUP(D623,'[2]8A. Master Device Catalog'!$F$5:$F$914,'[2]8A. Master Device Catalog'!$H$5:$H$914,"")</f>
        <v/>
      </c>
    </row>
    <row r="624" hidden="1" ht="21.5" customHeight="1" s="125">
      <c r="A624" t="inlineStr">
        <is>
          <t>DEV000623</t>
        </is>
      </c>
      <c r="B624" s="59" t="inlineStr">
        <is>
          <t>STL</t>
        </is>
      </c>
      <c r="C624" s="59" t="inlineStr">
        <is>
          <t>OTH</t>
        </is>
      </c>
      <c r="D624" s="61" t="inlineStr">
        <is>
          <t>Starlink Standard Kit</t>
        </is>
      </c>
      <c r="E624">
        <f>_xlfn.XLOOKUP(D624,'[2]8A. Master Device Catalog'!$F$5:$F$914,'[2]8A. Master Device Catalog'!$G$5:$G$914,"")</f>
        <v/>
      </c>
      <c r="F624">
        <f>_xlfn.XLOOKUP(D624,'[2]8A. Master Device Catalog'!$F$5:$F$914,'[2]8A. Master Device Catalog'!$H$5:$H$914,"")</f>
        <v/>
      </c>
    </row>
    <row r="625" hidden="1" ht="21.5" customHeight="1" s="125">
      <c r="A625" t="inlineStr">
        <is>
          <t>DEV000624</t>
        </is>
      </c>
      <c r="B625" s="59" t="inlineStr">
        <is>
          <t>STL</t>
        </is>
      </c>
      <c r="C625" s="59" t="inlineStr">
        <is>
          <t>OTH</t>
        </is>
      </c>
      <c r="D625" s="61" t="inlineStr">
        <is>
          <t>Starlink Flat High Performance</t>
        </is>
      </c>
      <c r="E625">
        <f>_xlfn.XLOOKUP(D625,'[2]8A. Master Device Catalog'!$F$5:$F$914,'[2]8A. Master Device Catalog'!$G$5:$G$914,"")</f>
        <v/>
      </c>
      <c r="F625">
        <f>_xlfn.XLOOKUP(D625,'[2]8A. Master Device Catalog'!$F$5:$F$914,'[2]8A. Master Device Catalog'!$H$5:$H$914,"")</f>
        <v/>
      </c>
    </row>
    <row r="626" hidden="1" ht="21.5" customHeight="1" s="125">
      <c r="A626" t="inlineStr">
        <is>
          <t>DEV000625</t>
        </is>
      </c>
      <c r="B626" s="59" t="inlineStr">
        <is>
          <t>STL</t>
        </is>
      </c>
      <c r="C626" s="59" t="inlineStr">
        <is>
          <t>OTH</t>
        </is>
      </c>
      <c r="D626" s="61" t="inlineStr">
        <is>
          <t>Starlink High Performance Kit</t>
        </is>
      </c>
      <c r="E626">
        <f>_xlfn.XLOOKUP(D626,'[2]8A. Master Device Catalog'!$F$5:$F$914,'[2]8A. Master Device Catalog'!$G$5:$G$914,"")</f>
        <v/>
      </c>
      <c r="F626">
        <f>_xlfn.XLOOKUP(D626,'[2]8A. Master Device Catalog'!$F$5:$F$914,'[2]8A. Master Device Catalog'!$H$5:$H$914,"")</f>
        <v/>
      </c>
    </row>
    <row r="627" hidden="1" ht="21.5" customHeight="1" s="125">
      <c r="A627" t="inlineStr">
        <is>
          <t>DEV000626</t>
        </is>
      </c>
      <c r="B627" s="59" t="inlineStr">
        <is>
          <t>AMZ</t>
        </is>
      </c>
      <c r="C627" s="59" t="inlineStr">
        <is>
          <t>TAB</t>
        </is>
      </c>
      <c r="D627" s="61" t="inlineStr">
        <is>
          <t>Fire HD 8</t>
        </is>
      </c>
      <c r="E627">
        <f>_xlfn.XLOOKUP(D627,'[2]8A. Master Device Catalog'!$F$5:$F$914,'[2]8A. Master Device Catalog'!$G$5:$G$914,"")</f>
        <v/>
      </c>
      <c r="F627">
        <f>_xlfn.XLOOKUP(D627,'[2]8A. Master Device Catalog'!$F$5:$F$914,'[2]8A. Master Device Catalog'!$H$5:$H$914,"")</f>
        <v/>
      </c>
    </row>
    <row r="628" hidden="1" ht="21.5" customHeight="1" s="125">
      <c r="A628" t="inlineStr">
        <is>
          <t>DEV000627</t>
        </is>
      </c>
      <c r="B628" s="59" t="inlineStr">
        <is>
          <t>AMZ</t>
        </is>
      </c>
      <c r="C628" s="59" t="inlineStr">
        <is>
          <t>TAB</t>
        </is>
      </c>
      <c r="D628" s="61" t="inlineStr">
        <is>
          <t>Fire 7</t>
        </is>
      </c>
      <c r="E628">
        <f>_xlfn.XLOOKUP(D628,'[2]8A. Master Device Catalog'!$F$5:$F$914,'[2]8A. Master Device Catalog'!$G$5:$G$914,"")</f>
        <v/>
      </c>
      <c r="F628">
        <f>_xlfn.XLOOKUP(D628,'[2]8A. Master Device Catalog'!$F$5:$F$914,'[2]8A. Master Device Catalog'!$H$5:$H$914,"")</f>
        <v/>
      </c>
    </row>
    <row r="629" hidden="1" ht="21.5" customHeight="1" s="125">
      <c r="A629" t="inlineStr">
        <is>
          <t>DEV000628</t>
        </is>
      </c>
      <c r="B629" s="59" t="inlineStr">
        <is>
          <t>AMZ</t>
        </is>
      </c>
      <c r="C629" s="59" t="inlineStr">
        <is>
          <t>TAB</t>
        </is>
      </c>
      <c r="D629" s="61" t="inlineStr">
        <is>
          <t>Fire Max 11</t>
        </is>
      </c>
      <c r="E629">
        <f>_xlfn.XLOOKUP(D629,'[2]8A. Master Device Catalog'!$F$5:$F$914,'[2]8A. Master Device Catalog'!$G$5:$G$914,"")</f>
        <v/>
      </c>
      <c r="F629">
        <f>_xlfn.XLOOKUP(D629,'[2]8A. Master Device Catalog'!$F$5:$F$914,'[2]8A. Master Device Catalog'!$H$5:$H$914,"")</f>
        <v/>
      </c>
    </row>
    <row r="630" hidden="1" ht="21.5" customHeight="1" s="125">
      <c r="A630" t="inlineStr">
        <is>
          <t>DEV000629</t>
        </is>
      </c>
      <c r="B630" s="59" t="inlineStr">
        <is>
          <t>AMZ</t>
        </is>
      </c>
      <c r="C630" s="59" t="inlineStr">
        <is>
          <t>TAB</t>
        </is>
      </c>
      <c r="D630" s="61" t="inlineStr">
        <is>
          <t>Fire HD 10</t>
        </is>
      </c>
      <c r="E630">
        <f>_xlfn.XLOOKUP(D630,'[2]8A. Master Device Catalog'!$F$5:$F$914,'[2]8A. Master Device Catalog'!$G$5:$G$914,"")</f>
        <v/>
      </c>
      <c r="F630">
        <f>_xlfn.XLOOKUP(D630,'[2]8A. Master Device Catalog'!$F$5:$F$914,'[2]8A. Master Device Catalog'!$H$5:$H$914,"")</f>
        <v/>
      </c>
    </row>
    <row r="631" hidden="1" ht="21.5" customHeight="1" s="125">
      <c r="A631" t="inlineStr">
        <is>
          <t>DEV000630</t>
        </is>
      </c>
      <c r="B631" s="59" t="inlineStr">
        <is>
          <t>APL</t>
        </is>
      </c>
      <c r="C631" s="59" t="inlineStr">
        <is>
          <t>TAB</t>
        </is>
      </c>
      <c r="D631" s="60" t="inlineStr">
        <is>
          <t>iPad (1st Generation)</t>
        </is>
      </c>
      <c r="E631">
        <f>_xlfn.XLOOKUP(D631,'[2]8A. Master Device Catalog'!$F$5:$F$914,'[2]8A. Master Device Catalog'!$G$5:$G$914,"")</f>
        <v/>
      </c>
      <c r="F631">
        <f>_xlfn.XLOOKUP(D631,'[2]8A. Master Device Catalog'!$F$5:$F$914,'[2]8A. Master Device Catalog'!$H$5:$H$914,"")</f>
        <v/>
      </c>
    </row>
    <row r="632" hidden="1" ht="21.5" customHeight="1" s="125">
      <c r="A632" t="inlineStr">
        <is>
          <t>DEV000631</t>
        </is>
      </c>
      <c r="B632" s="59" t="inlineStr">
        <is>
          <t>APL</t>
        </is>
      </c>
      <c r="C632" s="59" t="inlineStr">
        <is>
          <t>TAB</t>
        </is>
      </c>
      <c r="D632" s="60" t="inlineStr">
        <is>
          <t>iPad (3rd Generation)</t>
        </is>
      </c>
      <c r="E632">
        <f>_xlfn.XLOOKUP(D632,'[2]8A. Master Device Catalog'!$F$5:$F$914,'[2]8A. Master Device Catalog'!$G$5:$G$914,"")</f>
        <v/>
      </c>
      <c r="F632">
        <f>_xlfn.XLOOKUP(D632,'[2]8A. Master Device Catalog'!$F$5:$F$914,'[2]8A. Master Device Catalog'!$H$5:$H$914,"")</f>
        <v/>
      </c>
    </row>
    <row r="633" hidden="1" ht="21.5" customHeight="1" s="125">
      <c r="A633" t="inlineStr">
        <is>
          <t>DEV000632</t>
        </is>
      </c>
      <c r="B633" s="59" t="inlineStr">
        <is>
          <t>APL</t>
        </is>
      </c>
      <c r="C633" s="59" t="inlineStr">
        <is>
          <t>TAB</t>
        </is>
      </c>
      <c r="D633" s="60" t="inlineStr">
        <is>
          <t>iPad 2</t>
        </is>
      </c>
      <c r="E633">
        <f>_xlfn.XLOOKUP(D633,'[2]8A. Master Device Catalog'!$F$5:$F$914,'[2]8A. Master Device Catalog'!$G$5:$G$914,"")</f>
        <v/>
      </c>
      <c r="F633">
        <f>_xlfn.XLOOKUP(D633,'[2]8A. Master Device Catalog'!$F$5:$F$914,'[2]8A. Master Device Catalog'!$H$5:$H$914,"")</f>
        <v/>
      </c>
    </row>
    <row r="634" hidden="1" ht="21.5" customHeight="1" s="125">
      <c r="A634" t="inlineStr">
        <is>
          <t>DEV000633</t>
        </is>
      </c>
      <c r="B634" s="59" t="inlineStr">
        <is>
          <t>APL</t>
        </is>
      </c>
      <c r="C634" s="59" t="inlineStr">
        <is>
          <t>TAB</t>
        </is>
      </c>
      <c r="D634" s="60" t="inlineStr">
        <is>
          <t>iPad (4th Generation)</t>
        </is>
      </c>
      <c r="E634">
        <f>_xlfn.XLOOKUP(D634,'[2]8A. Master Device Catalog'!$F$5:$F$914,'[2]8A. Master Device Catalog'!$G$5:$G$914,"")</f>
        <v/>
      </c>
      <c r="F634">
        <f>_xlfn.XLOOKUP(D634,'[2]8A. Master Device Catalog'!$F$5:$F$914,'[2]8A. Master Device Catalog'!$H$5:$H$914,"")</f>
        <v/>
      </c>
    </row>
    <row r="635" hidden="1" ht="21.5" customHeight="1" s="125">
      <c r="A635" t="inlineStr">
        <is>
          <t>DEV000634</t>
        </is>
      </c>
      <c r="B635" s="59" t="inlineStr">
        <is>
          <t>APL</t>
        </is>
      </c>
      <c r="C635" s="59" t="inlineStr">
        <is>
          <t>TAB</t>
        </is>
      </c>
      <c r="D635" s="60" t="inlineStr">
        <is>
          <t>iPad (5th Generation)</t>
        </is>
      </c>
      <c r="E635">
        <f>_xlfn.XLOOKUP(D635,'[2]8A. Master Device Catalog'!$F$5:$F$914,'[2]8A. Master Device Catalog'!$G$5:$G$914,"")</f>
        <v/>
      </c>
      <c r="F635">
        <f>_xlfn.XLOOKUP(D635,'[2]8A. Master Device Catalog'!$F$5:$F$914,'[2]8A. Master Device Catalog'!$H$5:$H$914,"")</f>
        <v/>
      </c>
    </row>
    <row r="636" hidden="1" ht="21.5" customHeight="1" s="125">
      <c r="A636" t="inlineStr">
        <is>
          <t>DEV000635</t>
        </is>
      </c>
      <c r="B636" s="59" t="inlineStr">
        <is>
          <t>APL</t>
        </is>
      </c>
      <c r="C636" s="59" t="inlineStr">
        <is>
          <t>TAB</t>
        </is>
      </c>
      <c r="D636" s="60" t="inlineStr">
        <is>
          <t>iPad (6th Generation)</t>
        </is>
      </c>
      <c r="E636">
        <f>_xlfn.XLOOKUP(D636,'[2]8A. Master Device Catalog'!$F$5:$F$914,'[2]8A. Master Device Catalog'!$G$5:$G$914,"")</f>
        <v/>
      </c>
      <c r="F636">
        <f>_xlfn.XLOOKUP(D636,'[2]8A. Master Device Catalog'!$F$5:$F$914,'[2]8A. Master Device Catalog'!$H$5:$H$914,"")</f>
        <v/>
      </c>
    </row>
    <row r="637" hidden="1" ht="21.5" customHeight="1" s="125">
      <c r="A637" t="inlineStr">
        <is>
          <t>DEV000636</t>
        </is>
      </c>
      <c r="B637" s="59" t="inlineStr">
        <is>
          <t>APL</t>
        </is>
      </c>
      <c r="C637" s="59" t="inlineStr">
        <is>
          <t>TAB</t>
        </is>
      </c>
      <c r="D637" s="60" t="inlineStr">
        <is>
          <t>iPad (7th Generation)</t>
        </is>
      </c>
      <c r="E637">
        <f>_xlfn.XLOOKUP(D637,'[2]8A. Master Device Catalog'!$F$5:$F$914,'[2]8A. Master Device Catalog'!$G$5:$G$914,"")</f>
        <v/>
      </c>
      <c r="F637">
        <f>_xlfn.XLOOKUP(D637,'[2]8A. Master Device Catalog'!$F$5:$F$914,'[2]8A. Master Device Catalog'!$H$5:$H$914,"")</f>
        <v/>
      </c>
    </row>
    <row r="638" hidden="1" ht="21.5" customHeight="1" s="125">
      <c r="A638" t="inlineStr">
        <is>
          <t>DEV000637</t>
        </is>
      </c>
      <c r="B638" s="59" t="inlineStr">
        <is>
          <t>APL</t>
        </is>
      </c>
      <c r="C638" s="59" t="inlineStr">
        <is>
          <t>TAB</t>
        </is>
      </c>
      <c r="D638" s="60" t="inlineStr">
        <is>
          <t>iPad (8th Generation)</t>
        </is>
      </c>
      <c r="E638">
        <f>_xlfn.XLOOKUP(D638,'[2]8A. Master Device Catalog'!$F$5:$F$914,'[2]8A. Master Device Catalog'!$G$5:$G$914,"")</f>
        <v/>
      </c>
      <c r="F638">
        <f>_xlfn.XLOOKUP(D638,'[2]8A. Master Device Catalog'!$F$5:$F$914,'[2]8A. Master Device Catalog'!$H$5:$H$914,"")</f>
        <v/>
      </c>
    </row>
    <row r="639" hidden="1" ht="21.5" customHeight="1" s="125">
      <c r="A639" t="inlineStr">
        <is>
          <t>DEV000638</t>
        </is>
      </c>
      <c r="B639" s="59" t="inlineStr">
        <is>
          <t>APL</t>
        </is>
      </c>
      <c r="C639" s="59" t="inlineStr">
        <is>
          <t>TAB</t>
        </is>
      </c>
      <c r="D639" s="60" t="inlineStr">
        <is>
          <t>iPad (9th Generation)</t>
        </is>
      </c>
      <c r="E639">
        <f>_xlfn.XLOOKUP(D639,'[2]8A. Master Device Catalog'!$F$5:$F$914,'[2]8A. Master Device Catalog'!$G$5:$G$914,"")</f>
        <v/>
      </c>
      <c r="F639">
        <f>_xlfn.XLOOKUP(D639,'[2]8A. Master Device Catalog'!$F$5:$F$914,'[2]8A. Master Device Catalog'!$H$5:$H$914,"")</f>
        <v/>
      </c>
    </row>
    <row r="640" hidden="1" ht="21.5" customHeight="1" s="125">
      <c r="A640" t="inlineStr">
        <is>
          <t>DEV000639</t>
        </is>
      </c>
      <c r="B640" s="59" t="inlineStr">
        <is>
          <t>APL</t>
        </is>
      </c>
      <c r="C640" s="59" t="inlineStr">
        <is>
          <t>TAB</t>
        </is>
      </c>
      <c r="D640" s="60" t="inlineStr">
        <is>
          <t>iPad (10th Generation)</t>
        </is>
      </c>
      <c r="E640">
        <f>_xlfn.XLOOKUP(D640,'[2]8A. Master Device Catalog'!$F$5:$F$914,'[2]8A. Master Device Catalog'!$G$5:$G$914,"")</f>
        <v/>
      </c>
      <c r="F640">
        <f>_xlfn.XLOOKUP(D640,'[2]8A. Master Device Catalog'!$F$5:$F$914,'[2]8A. Master Device Catalog'!$H$5:$H$914,"")</f>
        <v/>
      </c>
    </row>
    <row r="641" hidden="1" ht="21.5" customHeight="1" s="125">
      <c r="A641" t="inlineStr">
        <is>
          <t>DEV000640</t>
        </is>
      </c>
      <c r="B641" s="59" t="inlineStr">
        <is>
          <t>APL</t>
        </is>
      </c>
      <c r="C641" s="59" t="inlineStr">
        <is>
          <t>TAB</t>
        </is>
      </c>
      <c r="D641" s="60" t="inlineStr">
        <is>
          <t>iPad mini</t>
        </is>
      </c>
      <c r="E641">
        <f>_xlfn.XLOOKUP(D641,'[2]8A. Master Device Catalog'!$F$5:$F$914,'[2]8A. Master Device Catalog'!$G$5:$G$914,"")</f>
        <v/>
      </c>
      <c r="F641">
        <f>_xlfn.XLOOKUP(D641,'[2]8A. Master Device Catalog'!$F$5:$F$914,'[2]8A. Master Device Catalog'!$H$5:$H$914,"")</f>
        <v/>
      </c>
    </row>
    <row r="642" hidden="1" ht="21.5" customHeight="1" s="125">
      <c r="A642" t="inlineStr">
        <is>
          <t>DEV000641</t>
        </is>
      </c>
      <c r="B642" s="59" t="inlineStr">
        <is>
          <t>APL</t>
        </is>
      </c>
      <c r="C642" s="59" t="inlineStr">
        <is>
          <t>TAB</t>
        </is>
      </c>
      <c r="D642" s="60" t="inlineStr">
        <is>
          <t>iPad mini 2</t>
        </is>
      </c>
      <c r="E642">
        <f>_xlfn.XLOOKUP(D642,'[2]8A. Master Device Catalog'!$F$5:$F$914,'[2]8A. Master Device Catalog'!$G$5:$G$914,"")</f>
        <v/>
      </c>
      <c r="F642">
        <f>_xlfn.XLOOKUP(D642,'[2]8A. Master Device Catalog'!$F$5:$F$914,'[2]8A. Master Device Catalog'!$H$5:$H$914,"")</f>
        <v/>
      </c>
    </row>
    <row r="643" hidden="1" ht="21.5" customHeight="1" s="125">
      <c r="A643" t="inlineStr">
        <is>
          <t>DEV000642</t>
        </is>
      </c>
      <c r="B643" s="59" t="inlineStr">
        <is>
          <t>APL</t>
        </is>
      </c>
      <c r="C643" s="59" t="inlineStr">
        <is>
          <t>TAB</t>
        </is>
      </c>
      <c r="D643" s="60" t="inlineStr">
        <is>
          <t>iPad mini 3</t>
        </is>
      </c>
      <c r="E643">
        <f>_xlfn.XLOOKUP(D643,'[2]8A. Master Device Catalog'!$F$5:$F$914,'[2]8A. Master Device Catalog'!$G$5:$G$914,"")</f>
        <v/>
      </c>
      <c r="F643">
        <f>_xlfn.XLOOKUP(D643,'[2]8A. Master Device Catalog'!$F$5:$F$914,'[2]8A. Master Device Catalog'!$H$5:$H$914,"")</f>
        <v/>
      </c>
    </row>
    <row r="644" hidden="1" ht="21.5" customHeight="1" s="125">
      <c r="A644" t="inlineStr">
        <is>
          <t>DEV000643</t>
        </is>
      </c>
      <c r="B644" s="59" t="inlineStr">
        <is>
          <t>APL</t>
        </is>
      </c>
      <c r="C644" s="59" t="inlineStr">
        <is>
          <t>TAB</t>
        </is>
      </c>
      <c r="D644" s="60" t="inlineStr">
        <is>
          <t>iPad mini 4</t>
        </is>
      </c>
      <c r="E644">
        <f>_xlfn.XLOOKUP(D644,'[2]8A. Master Device Catalog'!$F$5:$F$914,'[2]8A. Master Device Catalog'!$G$5:$G$914,"")</f>
        <v/>
      </c>
      <c r="F644">
        <f>_xlfn.XLOOKUP(D644,'[2]8A. Master Device Catalog'!$F$5:$F$914,'[2]8A. Master Device Catalog'!$H$5:$H$914,"")</f>
        <v/>
      </c>
    </row>
    <row r="645" hidden="1" ht="21.5" customHeight="1" s="125">
      <c r="A645" t="inlineStr">
        <is>
          <t>DEV000644</t>
        </is>
      </c>
      <c r="B645" s="59" t="inlineStr">
        <is>
          <t>APL</t>
        </is>
      </c>
      <c r="C645" s="59" t="inlineStr">
        <is>
          <t>TAB</t>
        </is>
      </c>
      <c r="D645" s="60" t="inlineStr">
        <is>
          <t>iPad mini (5th Generation)</t>
        </is>
      </c>
      <c r="E645">
        <f>_xlfn.XLOOKUP(D645,'[2]8A. Master Device Catalog'!$F$5:$F$914,'[2]8A. Master Device Catalog'!$G$5:$G$914,"")</f>
        <v/>
      </c>
      <c r="F645">
        <f>_xlfn.XLOOKUP(D645,'[2]8A. Master Device Catalog'!$F$5:$F$914,'[2]8A. Master Device Catalog'!$H$5:$H$914,"")</f>
        <v/>
      </c>
    </row>
    <row r="646" hidden="1" ht="21.5" customHeight="1" s="125">
      <c r="A646" t="inlineStr">
        <is>
          <t>DEV000645</t>
        </is>
      </c>
      <c r="B646" s="59" t="inlineStr">
        <is>
          <t>APL</t>
        </is>
      </c>
      <c r="C646" s="59" t="inlineStr">
        <is>
          <t>TAB</t>
        </is>
      </c>
      <c r="D646" s="60" t="inlineStr">
        <is>
          <t>iPad mini (6th Generation)</t>
        </is>
      </c>
      <c r="E646">
        <f>_xlfn.XLOOKUP(D646,'[2]8A. Master Device Catalog'!$F$5:$F$914,'[2]8A. Master Device Catalog'!$G$5:$G$914,"")</f>
        <v/>
      </c>
      <c r="F646">
        <f>_xlfn.XLOOKUP(D646,'[2]8A. Master Device Catalog'!$F$5:$F$914,'[2]8A. Master Device Catalog'!$H$5:$H$914,"")</f>
        <v/>
      </c>
    </row>
    <row r="647" hidden="1" ht="21.5" customHeight="1" s="125">
      <c r="A647" t="inlineStr">
        <is>
          <t>DEV000646</t>
        </is>
      </c>
      <c r="B647" s="59" t="inlineStr">
        <is>
          <t>APL</t>
        </is>
      </c>
      <c r="C647" s="59" t="inlineStr">
        <is>
          <t>TAB</t>
        </is>
      </c>
      <c r="D647" s="60" t="inlineStr">
        <is>
          <t>iPad Air</t>
        </is>
      </c>
      <c r="E647">
        <f>_xlfn.XLOOKUP(D647,'[2]8A. Master Device Catalog'!$F$5:$F$914,'[2]8A. Master Device Catalog'!$G$5:$G$914,"")</f>
        <v/>
      </c>
      <c r="F647">
        <f>_xlfn.XLOOKUP(D647,'[2]8A. Master Device Catalog'!$F$5:$F$914,'[2]8A. Master Device Catalog'!$H$5:$H$914,"")</f>
        <v/>
      </c>
    </row>
    <row r="648" hidden="1" ht="21.5" customHeight="1" s="125">
      <c r="A648" t="inlineStr">
        <is>
          <t>DEV000647</t>
        </is>
      </c>
      <c r="B648" s="59" t="inlineStr">
        <is>
          <t>APL</t>
        </is>
      </c>
      <c r="C648" s="59" t="inlineStr">
        <is>
          <t>TAB</t>
        </is>
      </c>
      <c r="D648" s="60" t="inlineStr">
        <is>
          <t>iPad Air 2</t>
        </is>
      </c>
      <c r="E648">
        <f>_xlfn.XLOOKUP(D648,'[2]8A. Master Device Catalog'!$F$5:$F$914,'[2]8A. Master Device Catalog'!$G$5:$G$914,"")</f>
        <v/>
      </c>
      <c r="F648">
        <f>_xlfn.XLOOKUP(D648,'[2]8A. Master Device Catalog'!$F$5:$F$914,'[2]8A. Master Device Catalog'!$H$5:$H$914,"")</f>
        <v/>
      </c>
    </row>
    <row r="649" hidden="1" ht="21.5" customHeight="1" s="125">
      <c r="A649" t="inlineStr">
        <is>
          <t>DEV000648</t>
        </is>
      </c>
      <c r="B649" s="59" t="inlineStr">
        <is>
          <t>APL</t>
        </is>
      </c>
      <c r="C649" s="59" t="inlineStr">
        <is>
          <t>TAB</t>
        </is>
      </c>
      <c r="D649" s="60" t="inlineStr">
        <is>
          <t>iPad Air (3rd Generation)</t>
        </is>
      </c>
      <c r="E649">
        <f>_xlfn.XLOOKUP(D649,'[2]8A. Master Device Catalog'!$F$5:$F$914,'[2]8A. Master Device Catalog'!$G$5:$G$914,"")</f>
        <v/>
      </c>
      <c r="F649">
        <f>_xlfn.XLOOKUP(D649,'[2]8A. Master Device Catalog'!$F$5:$F$914,'[2]8A. Master Device Catalog'!$H$5:$H$914,"")</f>
        <v/>
      </c>
    </row>
    <row r="650" hidden="1" ht="21.5" customHeight="1" s="125">
      <c r="A650" t="inlineStr">
        <is>
          <t>DEV000649</t>
        </is>
      </c>
      <c r="B650" s="59" t="inlineStr">
        <is>
          <t>APL</t>
        </is>
      </c>
      <c r="C650" s="59" t="inlineStr">
        <is>
          <t>TAB</t>
        </is>
      </c>
      <c r="D650" s="60" t="inlineStr">
        <is>
          <t>iPad Air (4th Generation)</t>
        </is>
      </c>
      <c r="E650">
        <f>_xlfn.XLOOKUP(D650,'[2]8A. Master Device Catalog'!$F$5:$F$914,'[2]8A. Master Device Catalog'!$G$5:$G$914,"")</f>
        <v/>
      </c>
      <c r="F650">
        <f>_xlfn.XLOOKUP(D650,'[2]8A. Master Device Catalog'!$F$5:$F$914,'[2]8A. Master Device Catalog'!$H$5:$H$914,"")</f>
        <v/>
      </c>
    </row>
    <row r="651" hidden="1" ht="21.5" customHeight="1" s="125">
      <c r="A651" t="inlineStr">
        <is>
          <t>DEV000650</t>
        </is>
      </c>
      <c r="B651" s="59" t="inlineStr">
        <is>
          <t>APL</t>
        </is>
      </c>
      <c r="C651" s="59" t="inlineStr">
        <is>
          <t>TAB</t>
        </is>
      </c>
      <c r="D651" s="60" t="inlineStr">
        <is>
          <t>iPad Air (5th Generation)</t>
        </is>
      </c>
      <c r="E651">
        <f>_xlfn.XLOOKUP(D651,'[2]8A. Master Device Catalog'!$F$5:$F$914,'[2]8A. Master Device Catalog'!$G$5:$G$914,"")</f>
        <v/>
      </c>
      <c r="F651">
        <f>_xlfn.XLOOKUP(D651,'[2]8A. Master Device Catalog'!$F$5:$F$914,'[2]8A. Master Device Catalog'!$H$5:$H$914,"")</f>
        <v/>
      </c>
    </row>
    <row r="652" hidden="1" ht="21.5" customHeight="1" s="125">
      <c r="A652" t="inlineStr">
        <is>
          <t>DEV000651</t>
        </is>
      </c>
      <c r="B652" s="59" t="inlineStr">
        <is>
          <t>APL</t>
        </is>
      </c>
      <c r="C652" s="59" t="inlineStr">
        <is>
          <t>TAB</t>
        </is>
      </c>
      <c r="D652" s="60" t="inlineStr">
        <is>
          <t>iPad Air 11-inch (M2)</t>
        </is>
      </c>
      <c r="E652">
        <f>_xlfn.XLOOKUP(D652,'[2]8A. Master Device Catalog'!$F$5:$F$914,'[2]8A. Master Device Catalog'!$G$5:$G$914,"")</f>
        <v/>
      </c>
      <c r="F652">
        <f>_xlfn.XLOOKUP(D652,'[2]8A. Master Device Catalog'!$F$5:$F$914,'[2]8A. Master Device Catalog'!$H$5:$H$914,"")</f>
        <v/>
      </c>
    </row>
    <row r="653" hidden="1" ht="21.5" customHeight="1" s="125">
      <c r="A653" t="inlineStr">
        <is>
          <t>DEV000652</t>
        </is>
      </c>
      <c r="B653" s="59" t="inlineStr">
        <is>
          <t>APL</t>
        </is>
      </c>
      <c r="C653" s="59" t="inlineStr">
        <is>
          <t>TAB</t>
        </is>
      </c>
      <c r="D653" s="60" t="inlineStr">
        <is>
          <t>iPad Air 13-inch (M2)</t>
        </is>
      </c>
      <c r="E653">
        <f>_xlfn.XLOOKUP(D653,'[2]8A. Master Device Catalog'!$F$5:$F$914,'[2]8A. Master Device Catalog'!$G$5:$G$914,"")</f>
        <v/>
      </c>
      <c r="F653">
        <f>_xlfn.XLOOKUP(D653,'[2]8A. Master Device Catalog'!$F$5:$F$914,'[2]8A. Master Device Catalog'!$H$5:$H$914,"")</f>
        <v/>
      </c>
    </row>
    <row r="654" hidden="1" ht="21.5" customHeight="1" s="125">
      <c r="A654" t="inlineStr">
        <is>
          <t>DEV000653</t>
        </is>
      </c>
      <c r="B654" s="59" t="inlineStr">
        <is>
          <t>APL</t>
        </is>
      </c>
      <c r="C654" s="59" t="inlineStr">
        <is>
          <t>TAB</t>
        </is>
      </c>
      <c r="D654" s="60" t="inlineStr">
        <is>
          <t>iPad Pro 12.9-inch (1st Generation)</t>
        </is>
      </c>
      <c r="E654">
        <f>_xlfn.XLOOKUP(D654,'[2]8A. Master Device Catalog'!$F$5:$F$914,'[2]8A. Master Device Catalog'!$G$5:$G$914,"")</f>
        <v/>
      </c>
      <c r="F654">
        <f>_xlfn.XLOOKUP(D654,'[2]8A. Master Device Catalog'!$F$5:$F$914,'[2]8A. Master Device Catalog'!$H$5:$H$914,"")</f>
        <v/>
      </c>
    </row>
    <row r="655" hidden="1" ht="21.5" customHeight="1" s="125">
      <c r="A655" t="inlineStr">
        <is>
          <t>DEV000654</t>
        </is>
      </c>
      <c r="B655" s="59" t="inlineStr">
        <is>
          <t>APL</t>
        </is>
      </c>
      <c r="C655" s="59" t="inlineStr">
        <is>
          <t>TAB</t>
        </is>
      </c>
      <c r="D655" s="60" t="inlineStr">
        <is>
          <t>iPad Pro 9.7-inch</t>
        </is>
      </c>
      <c r="E655">
        <f>_xlfn.XLOOKUP(D655,'[2]8A. Master Device Catalog'!$F$5:$F$914,'[2]8A. Master Device Catalog'!$G$5:$G$914,"")</f>
        <v/>
      </c>
      <c r="F655">
        <f>_xlfn.XLOOKUP(D655,'[2]8A. Master Device Catalog'!$F$5:$F$914,'[2]8A. Master Device Catalog'!$H$5:$H$914,"")</f>
        <v/>
      </c>
    </row>
    <row r="656" hidden="1" ht="21.5" customHeight="1" s="125">
      <c r="A656" t="inlineStr">
        <is>
          <t>DEV000655</t>
        </is>
      </c>
      <c r="B656" s="59" t="inlineStr">
        <is>
          <t>APL</t>
        </is>
      </c>
      <c r="C656" s="59" t="inlineStr">
        <is>
          <t>TAB</t>
        </is>
      </c>
      <c r="D656" s="60" t="inlineStr">
        <is>
          <t>iPad Pro 10.5-inch</t>
        </is>
      </c>
      <c r="E656">
        <f>_xlfn.XLOOKUP(D656,'[2]8A. Master Device Catalog'!$F$5:$F$914,'[2]8A. Master Device Catalog'!$G$5:$G$914,"")</f>
        <v/>
      </c>
      <c r="F656">
        <f>_xlfn.XLOOKUP(D656,'[2]8A. Master Device Catalog'!$F$5:$F$914,'[2]8A. Master Device Catalog'!$H$5:$H$914,"")</f>
        <v/>
      </c>
    </row>
    <row r="657" hidden="1" ht="21.5" customHeight="1" s="125">
      <c r="A657" t="inlineStr">
        <is>
          <t>DEV000656</t>
        </is>
      </c>
      <c r="B657" s="59" t="inlineStr">
        <is>
          <t>APL</t>
        </is>
      </c>
      <c r="C657" s="59" t="inlineStr">
        <is>
          <t>TAB</t>
        </is>
      </c>
      <c r="D657" s="60" t="inlineStr">
        <is>
          <t>iPad Pro 12.9-inch (2nd Generation)</t>
        </is>
      </c>
      <c r="E657">
        <f>_xlfn.XLOOKUP(D657,'[2]8A. Master Device Catalog'!$F$5:$F$914,'[2]8A. Master Device Catalog'!$G$5:$G$914,"")</f>
        <v/>
      </c>
      <c r="F657">
        <f>_xlfn.XLOOKUP(D657,'[2]8A. Master Device Catalog'!$F$5:$F$914,'[2]8A. Master Device Catalog'!$H$5:$H$914,"")</f>
        <v/>
      </c>
    </row>
    <row r="658" hidden="1" ht="21.5" customHeight="1" s="125">
      <c r="A658" t="inlineStr">
        <is>
          <t>DEV000657</t>
        </is>
      </c>
      <c r="B658" s="59" t="inlineStr">
        <is>
          <t>APL</t>
        </is>
      </c>
      <c r="C658" s="59" t="inlineStr">
        <is>
          <t>TAB</t>
        </is>
      </c>
      <c r="D658" s="60" t="inlineStr">
        <is>
          <t>iPad Pro 11-inch (1st Generation)</t>
        </is>
      </c>
      <c r="E658">
        <f>_xlfn.XLOOKUP(D658,'[2]8A. Master Device Catalog'!$F$5:$F$914,'[2]8A. Master Device Catalog'!$G$5:$G$914,"")</f>
        <v/>
      </c>
      <c r="F658">
        <f>_xlfn.XLOOKUP(D658,'[2]8A. Master Device Catalog'!$F$5:$F$914,'[2]8A. Master Device Catalog'!$H$5:$H$914,"")</f>
        <v/>
      </c>
    </row>
    <row r="659" hidden="1" ht="21.5" customHeight="1" s="125">
      <c r="A659" t="inlineStr">
        <is>
          <t>DEV000658</t>
        </is>
      </c>
      <c r="B659" s="59" t="inlineStr">
        <is>
          <t>APL</t>
        </is>
      </c>
      <c r="C659" s="59" t="inlineStr">
        <is>
          <t>TAB</t>
        </is>
      </c>
      <c r="D659" s="60" t="inlineStr">
        <is>
          <t>iPad Pro 12.9-inch (3rd Generation)</t>
        </is>
      </c>
      <c r="E659">
        <f>_xlfn.XLOOKUP(D659,'[2]8A. Master Device Catalog'!$F$5:$F$914,'[2]8A. Master Device Catalog'!$G$5:$G$914,"")</f>
        <v/>
      </c>
      <c r="F659">
        <f>_xlfn.XLOOKUP(D659,'[2]8A. Master Device Catalog'!$F$5:$F$914,'[2]8A. Master Device Catalog'!$H$5:$H$914,"")</f>
        <v/>
      </c>
    </row>
    <row r="660" hidden="1" ht="21.5" customHeight="1" s="125">
      <c r="A660" t="inlineStr">
        <is>
          <t>DEV000659</t>
        </is>
      </c>
      <c r="B660" s="59" t="inlineStr">
        <is>
          <t>APL</t>
        </is>
      </c>
      <c r="C660" s="59" t="inlineStr">
        <is>
          <t>TAB</t>
        </is>
      </c>
      <c r="D660" s="60" t="inlineStr">
        <is>
          <t>iPad Pro 11-inch (2nd Generation)</t>
        </is>
      </c>
      <c r="E660">
        <f>_xlfn.XLOOKUP(D660,'[2]8A. Master Device Catalog'!$F$5:$F$914,'[2]8A. Master Device Catalog'!$G$5:$G$914,"")</f>
        <v/>
      </c>
      <c r="F660">
        <f>_xlfn.XLOOKUP(D660,'[2]8A. Master Device Catalog'!$F$5:$F$914,'[2]8A. Master Device Catalog'!$H$5:$H$914,"")</f>
        <v/>
      </c>
    </row>
    <row r="661" hidden="1" ht="21.5" customHeight="1" s="125">
      <c r="A661" t="inlineStr">
        <is>
          <t>DEV000660</t>
        </is>
      </c>
      <c r="B661" s="59" t="inlineStr">
        <is>
          <t>APL</t>
        </is>
      </c>
      <c r="C661" s="59" t="inlineStr">
        <is>
          <t>TAB</t>
        </is>
      </c>
      <c r="D661" s="60" t="inlineStr">
        <is>
          <t>iPad Pro 12.9-inch (4th Generation)</t>
        </is>
      </c>
      <c r="E661">
        <f>_xlfn.XLOOKUP(D661,'[2]8A. Master Device Catalog'!$F$5:$F$914,'[2]8A. Master Device Catalog'!$G$5:$G$914,"")</f>
        <v/>
      </c>
      <c r="F661">
        <f>_xlfn.XLOOKUP(D661,'[2]8A. Master Device Catalog'!$F$5:$F$914,'[2]8A. Master Device Catalog'!$H$5:$H$914,"")</f>
        <v/>
      </c>
    </row>
    <row r="662" hidden="1" ht="21.5" customHeight="1" s="125">
      <c r="A662" t="inlineStr">
        <is>
          <t>DEV000661</t>
        </is>
      </c>
      <c r="B662" s="59" t="inlineStr">
        <is>
          <t>APL</t>
        </is>
      </c>
      <c r="C662" s="59" t="inlineStr">
        <is>
          <t>TAB</t>
        </is>
      </c>
      <c r="D662" s="60" t="inlineStr">
        <is>
          <t>iPad Pro 11-inch (3rd Generation)</t>
        </is>
      </c>
      <c r="E662">
        <f>_xlfn.XLOOKUP(D662,'[2]8A. Master Device Catalog'!$F$5:$F$914,'[2]8A. Master Device Catalog'!$G$5:$G$914,"")</f>
        <v/>
      </c>
      <c r="F662">
        <f>_xlfn.XLOOKUP(D662,'[2]8A. Master Device Catalog'!$F$5:$F$914,'[2]8A. Master Device Catalog'!$H$5:$H$914,"")</f>
        <v/>
      </c>
    </row>
    <row r="663" hidden="1" ht="21.5" customHeight="1" s="125">
      <c r="A663" t="inlineStr">
        <is>
          <t>DEV000662</t>
        </is>
      </c>
      <c r="B663" s="59" t="inlineStr">
        <is>
          <t>APL</t>
        </is>
      </c>
      <c r="C663" s="59" t="inlineStr">
        <is>
          <t>TAB</t>
        </is>
      </c>
      <c r="D663" s="60" t="inlineStr">
        <is>
          <t>iPad Pro 12.9-inch (5th Generation)</t>
        </is>
      </c>
      <c r="E663">
        <f>_xlfn.XLOOKUP(D663,'[2]8A. Master Device Catalog'!$F$5:$F$914,'[2]8A. Master Device Catalog'!$G$5:$G$914,"")</f>
        <v/>
      </c>
      <c r="F663">
        <f>_xlfn.XLOOKUP(D663,'[2]8A. Master Device Catalog'!$F$5:$F$914,'[2]8A. Master Device Catalog'!$H$5:$H$914,"")</f>
        <v/>
      </c>
    </row>
    <row r="664" hidden="1" ht="21.5" customHeight="1" s="125">
      <c r="A664" t="inlineStr">
        <is>
          <t>DEV000663</t>
        </is>
      </c>
      <c r="B664" s="59" t="inlineStr">
        <is>
          <t>APL</t>
        </is>
      </c>
      <c r="C664" s="59" t="inlineStr">
        <is>
          <t>TAB</t>
        </is>
      </c>
      <c r="D664" s="60" t="inlineStr">
        <is>
          <t>iPad Pro 11-inch (4th Generation)</t>
        </is>
      </c>
      <c r="E664">
        <f>_xlfn.XLOOKUP(D664,'[2]8A. Master Device Catalog'!$F$5:$F$914,'[2]8A. Master Device Catalog'!$G$5:$G$914,"")</f>
        <v/>
      </c>
      <c r="F664">
        <f>_xlfn.XLOOKUP(D664,'[2]8A. Master Device Catalog'!$F$5:$F$914,'[2]8A. Master Device Catalog'!$H$5:$H$914,"")</f>
        <v/>
      </c>
    </row>
    <row r="665" hidden="1" ht="21.5" customHeight="1" s="125">
      <c r="A665" t="inlineStr">
        <is>
          <t>DEV000664</t>
        </is>
      </c>
      <c r="B665" s="59" t="inlineStr">
        <is>
          <t>APL</t>
        </is>
      </c>
      <c r="C665" s="59" t="inlineStr">
        <is>
          <t>TAB</t>
        </is>
      </c>
      <c r="D665" s="60" t="inlineStr">
        <is>
          <t>iPad Pro 12.9-inch (6th Generation)</t>
        </is>
      </c>
      <c r="E665">
        <f>_xlfn.XLOOKUP(D665,'[2]8A. Master Device Catalog'!$F$5:$F$914,'[2]8A. Master Device Catalog'!$G$5:$G$914,"")</f>
        <v/>
      </c>
      <c r="F665">
        <f>_xlfn.XLOOKUP(D665,'[2]8A. Master Device Catalog'!$F$5:$F$914,'[2]8A. Master Device Catalog'!$H$5:$H$914,"")</f>
        <v/>
      </c>
    </row>
    <row r="666" hidden="1" ht="21.5" customHeight="1" s="125">
      <c r="A666" t="inlineStr">
        <is>
          <t>DEV000665</t>
        </is>
      </c>
      <c r="B666" s="59" t="inlineStr">
        <is>
          <t>APL</t>
        </is>
      </c>
      <c r="C666" s="59" t="inlineStr">
        <is>
          <t>TAB</t>
        </is>
      </c>
      <c r="D666" s="60" t="inlineStr">
        <is>
          <t>iPad Pro 11-inch (M4)</t>
        </is>
      </c>
      <c r="E666">
        <f>_xlfn.XLOOKUP(D666,'[2]8A. Master Device Catalog'!$F$5:$F$914,'[2]8A. Master Device Catalog'!$G$5:$G$914,"")</f>
        <v/>
      </c>
      <c r="F666">
        <f>_xlfn.XLOOKUP(D666,'[2]8A. Master Device Catalog'!$F$5:$F$914,'[2]8A. Master Device Catalog'!$H$5:$H$914,"")</f>
        <v/>
      </c>
    </row>
    <row r="667" hidden="1" ht="21.5" customHeight="1" s="125">
      <c r="A667" t="inlineStr">
        <is>
          <t>DEV000666</t>
        </is>
      </c>
      <c r="B667" s="59" t="inlineStr">
        <is>
          <t>APL</t>
        </is>
      </c>
      <c r="C667" s="59" t="inlineStr">
        <is>
          <t>TAB</t>
        </is>
      </c>
      <c r="D667" s="60" t="inlineStr">
        <is>
          <t>iPad Pro 13-inch (M4)</t>
        </is>
      </c>
      <c r="E667">
        <f>_xlfn.XLOOKUP(D667,'[2]8A. Master Device Catalog'!$F$5:$F$914,'[2]8A. Master Device Catalog'!$G$5:$G$914,"")</f>
        <v/>
      </c>
      <c r="F667">
        <f>_xlfn.XLOOKUP(D667,'[2]8A. Master Device Catalog'!$F$5:$F$914,'[2]8A. Master Device Catalog'!$H$5:$H$914,"")</f>
        <v/>
      </c>
    </row>
    <row r="668" hidden="1" ht="21.5" customHeight="1" s="125">
      <c r="A668" t="inlineStr">
        <is>
          <t>DEV000667</t>
        </is>
      </c>
      <c r="B668" s="59" t="inlineStr">
        <is>
          <t>ASU</t>
        </is>
      </c>
      <c r="C668" s="59" t="inlineStr">
        <is>
          <t>TAB</t>
        </is>
      </c>
      <c r="D668" s="61" t="inlineStr">
        <is>
          <t>ZenPad 3S 10</t>
        </is>
      </c>
      <c r="E668">
        <f>_xlfn.XLOOKUP(D668,'[2]8A. Master Device Catalog'!$F$5:$F$914,'[2]8A. Master Device Catalog'!$G$5:$G$914,"")</f>
        <v/>
      </c>
      <c r="F668">
        <f>_xlfn.XLOOKUP(D668,'[2]8A. Master Device Catalog'!$F$5:$F$914,'[2]8A. Master Device Catalog'!$H$5:$H$914,"")</f>
        <v/>
      </c>
    </row>
    <row r="669" hidden="1" ht="21.5" customHeight="1" s="125">
      <c r="A669" t="inlineStr">
        <is>
          <t>DEV000668</t>
        </is>
      </c>
      <c r="B669" s="59" t="inlineStr">
        <is>
          <t>GOO</t>
        </is>
      </c>
      <c r="C669" s="59" t="inlineStr">
        <is>
          <t>TAB</t>
        </is>
      </c>
      <c r="D669" s="61" t="inlineStr">
        <is>
          <t>Pixel C</t>
        </is>
      </c>
      <c r="E669">
        <f>_xlfn.XLOOKUP(D669,'[2]8A. Master Device Catalog'!$F$5:$F$914,'[2]8A. Master Device Catalog'!$G$5:$G$914,"")</f>
        <v/>
      </c>
      <c r="F669">
        <f>_xlfn.XLOOKUP(D669,'[2]8A. Master Device Catalog'!$F$5:$F$914,'[2]8A. Master Device Catalog'!$H$5:$H$914,"")</f>
        <v/>
      </c>
    </row>
    <row r="670" hidden="1" ht="21.5" customHeight="1" s="125">
      <c r="A670" t="inlineStr">
        <is>
          <t>DEV000669</t>
        </is>
      </c>
      <c r="B670" s="59" t="inlineStr">
        <is>
          <t>GOO</t>
        </is>
      </c>
      <c r="C670" s="59" t="inlineStr">
        <is>
          <t>TAB</t>
        </is>
      </c>
      <c r="D670" s="60" t="inlineStr">
        <is>
          <t>Pixel Tablet</t>
        </is>
      </c>
      <c r="E670">
        <f>_xlfn.XLOOKUP(D670,'[2]8A. Master Device Catalog'!$F$5:$F$914,'[2]8A. Master Device Catalog'!$G$5:$G$914,"")</f>
        <v/>
      </c>
      <c r="F670">
        <f>_xlfn.XLOOKUP(D670,'[2]8A. Master Device Catalog'!$F$5:$F$914,'[2]8A. Master Device Catalog'!$H$5:$H$914,"")</f>
        <v/>
      </c>
    </row>
    <row r="671" hidden="1" ht="21.5" customHeight="1" s="125">
      <c r="A671" t="inlineStr">
        <is>
          <t>DEV000670</t>
        </is>
      </c>
      <c r="B671" s="59" t="inlineStr">
        <is>
          <t>HMD</t>
        </is>
      </c>
      <c r="C671" s="59" t="inlineStr">
        <is>
          <t>TAB</t>
        </is>
      </c>
      <c r="D671" s="60" t="inlineStr">
        <is>
          <t>HMD T21</t>
        </is>
      </c>
      <c r="E671">
        <f>_xlfn.XLOOKUP(D671,'[2]8A. Master Device Catalog'!$F$5:$F$914,'[2]8A. Master Device Catalog'!$G$5:$G$914,"")</f>
        <v/>
      </c>
      <c r="F671">
        <f>_xlfn.XLOOKUP(D671,'[2]8A. Master Device Catalog'!$F$5:$F$914,'[2]8A. Master Device Catalog'!$H$5:$H$914,"")</f>
        <v/>
      </c>
    </row>
    <row r="672" hidden="1" ht="21.5" customHeight="1" s="125">
      <c r="A672" t="inlineStr">
        <is>
          <t>DEV000671</t>
        </is>
      </c>
      <c r="B672" s="59" t="inlineStr">
        <is>
          <t>HON</t>
        </is>
      </c>
      <c r="C672" s="59" t="inlineStr">
        <is>
          <t>TAB</t>
        </is>
      </c>
      <c r="D672" s="61" t="inlineStr">
        <is>
          <t>HONOR Pad 8</t>
        </is>
      </c>
      <c r="E672">
        <f>_xlfn.XLOOKUP(D672,'[2]8A. Master Device Catalog'!$F$5:$F$914,'[2]8A. Master Device Catalog'!$G$5:$G$914,"")</f>
        <v/>
      </c>
      <c r="F672">
        <f>_xlfn.XLOOKUP(D672,'[2]8A. Master Device Catalog'!$F$5:$F$914,'[2]8A. Master Device Catalog'!$H$5:$H$914,"")</f>
        <v/>
      </c>
    </row>
    <row r="673" hidden="1" ht="21.5" customHeight="1" s="125">
      <c r="A673" t="inlineStr">
        <is>
          <t>DEV000672</t>
        </is>
      </c>
      <c r="B673" s="59" t="inlineStr">
        <is>
          <t>HON</t>
        </is>
      </c>
      <c r="C673" s="59" t="inlineStr">
        <is>
          <t>TAB</t>
        </is>
      </c>
      <c r="D673" s="61" t="inlineStr">
        <is>
          <t>HONOR MagicPad 2</t>
        </is>
      </c>
      <c r="E673">
        <f>_xlfn.XLOOKUP(D673,'[2]8A. Master Device Catalog'!$F$5:$F$914,'[2]8A. Master Device Catalog'!$G$5:$G$914,"")</f>
        <v/>
      </c>
      <c r="F673">
        <f>_xlfn.XLOOKUP(D673,'[2]8A. Master Device Catalog'!$F$5:$F$914,'[2]8A. Master Device Catalog'!$H$5:$H$914,"")</f>
        <v/>
      </c>
    </row>
    <row r="674" hidden="1" ht="21.5" customHeight="1" s="125">
      <c r="A674" t="inlineStr">
        <is>
          <t>DEV000673</t>
        </is>
      </c>
      <c r="B674" s="59" t="inlineStr">
        <is>
          <t>HON</t>
        </is>
      </c>
      <c r="C674" s="59" t="inlineStr">
        <is>
          <t>TAB</t>
        </is>
      </c>
      <c r="D674" s="61" t="inlineStr">
        <is>
          <t>HONOR Pad 9</t>
        </is>
      </c>
      <c r="E674">
        <f>_xlfn.XLOOKUP(D674,'[2]8A. Master Device Catalog'!$F$5:$F$914,'[2]8A. Master Device Catalog'!$G$5:$G$914,"")</f>
        <v/>
      </c>
      <c r="F674">
        <f>_xlfn.XLOOKUP(D674,'[2]8A. Master Device Catalog'!$F$5:$F$914,'[2]8A. Master Device Catalog'!$H$5:$H$914,"")</f>
        <v/>
      </c>
    </row>
    <row r="675" hidden="1" ht="21.5" customHeight="1" s="125">
      <c r="A675" t="inlineStr">
        <is>
          <t>DEV000674</t>
        </is>
      </c>
      <c r="B675" s="59" t="inlineStr">
        <is>
          <t>HWP</t>
        </is>
      </c>
      <c r="C675" s="59" t="inlineStr">
        <is>
          <t>TAB</t>
        </is>
      </c>
      <c r="D675" s="61" t="inlineStr">
        <is>
          <t>HP Spectre x360 14</t>
        </is>
      </c>
      <c r="E675">
        <f>_xlfn.XLOOKUP(D675,'[2]8A. Master Device Catalog'!$F$5:$F$914,'[2]8A. Master Device Catalog'!$G$5:$G$914,"")</f>
        <v/>
      </c>
      <c r="F675">
        <f>_xlfn.XLOOKUP(D675,'[2]8A. Master Device Catalog'!$F$5:$F$914,'[2]8A. Master Device Catalog'!$H$5:$H$914,"")</f>
        <v/>
      </c>
    </row>
    <row r="676" hidden="1" ht="21.5" customHeight="1" s="125">
      <c r="A676" t="inlineStr">
        <is>
          <t>DEV000675</t>
        </is>
      </c>
      <c r="B676" s="59" t="inlineStr">
        <is>
          <t>HUA</t>
        </is>
      </c>
      <c r="C676" s="59" t="inlineStr">
        <is>
          <t>TAB</t>
        </is>
      </c>
      <c r="D676" s="61" t="inlineStr">
        <is>
          <t>MatePad 11.5</t>
        </is>
      </c>
      <c r="E676">
        <f>_xlfn.XLOOKUP(D676,'[2]8A. Master Device Catalog'!$F$5:$F$914,'[2]8A. Master Device Catalog'!$G$5:$G$914,"")</f>
        <v/>
      </c>
      <c r="F676">
        <f>_xlfn.XLOOKUP(D676,'[2]8A. Master Device Catalog'!$F$5:$F$914,'[2]8A. Master Device Catalog'!$H$5:$H$914,"")</f>
        <v/>
      </c>
    </row>
    <row r="677" hidden="1" ht="21.5" customHeight="1" s="125">
      <c r="A677" t="inlineStr">
        <is>
          <t>DEV000676</t>
        </is>
      </c>
      <c r="B677" s="59" t="inlineStr">
        <is>
          <t>HUA</t>
        </is>
      </c>
      <c r="C677" s="59" t="inlineStr">
        <is>
          <t>TAB</t>
        </is>
      </c>
      <c r="D677" s="61" t="inlineStr">
        <is>
          <t>MatePad Pro 13.2</t>
        </is>
      </c>
      <c r="E677">
        <f>_xlfn.XLOOKUP(D677,'[2]8A. Master Device Catalog'!$F$5:$F$914,'[2]8A. Master Device Catalog'!$G$5:$G$914,"")</f>
        <v/>
      </c>
      <c r="F677">
        <f>_xlfn.XLOOKUP(D677,'[2]8A. Master Device Catalog'!$F$5:$F$914,'[2]8A. Master Device Catalog'!$H$5:$H$914,"")</f>
        <v/>
      </c>
    </row>
    <row r="678" hidden="1" ht="21.5" customHeight="1" s="125">
      <c r="A678" t="inlineStr">
        <is>
          <t>DEV000677</t>
        </is>
      </c>
      <c r="B678" s="59" t="inlineStr">
        <is>
          <t>HUA</t>
        </is>
      </c>
      <c r="C678" s="59" t="inlineStr">
        <is>
          <t>TAB</t>
        </is>
      </c>
      <c r="D678" s="61" t="inlineStr">
        <is>
          <t>MatePad 11.5 S</t>
        </is>
      </c>
      <c r="E678">
        <f>_xlfn.XLOOKUP(D678,'[2]8A. Master Device Catalog'!$F$5:$F$914,'[2]8A. Master Device Catalog'!$G$5:$G$914,"")</f>
        <v/>
      </c>
      <c r="F678">
        <f>_xlfn.XLOOKUP(D678,'[2]8A. Master Device Catalog'!$F$5:$F$914,'[2]8A. Master Device Catalog'!$H$5:$H$914,"")</f>
        <v/>
      </c>
    </row>
    <row r="679" hidden="1" ht="21.5" customHeight="1" s="125">
      <c r="A679" t="inlineStr">
        <is>
          <t>DEV000678</t>
        </is>
      </c>
      <c r="B679" s="59" t="inlineStr">
        <is>
          <t>HUA</t>
        </is>
      </c>
      <c r="C679" s="59" t="inlineStr">
        <is>
          <t>TAB</t>
        </is>
      </c>
      <c r="D679" s="61" t="inlineStr">
        <is>
          <t>MatePad Air</t>
        </is>
      </c>
      <c r="E679">
        <f>_xlfn.XLOOKUP(D679,'[2]8A. Master Device Catalog'!$F$5:$F$914,'[2]8A. Master Device Catalog'!$G$5:$G$914,"")</f>
        <v/>
      </c>
      <c r="F679">
        <f>_xlfn.XLOOKUP(D679,'[2]8A. Master Device Catalog'!$F$5:$F$914,'[2]8A. Master Device Catalog'!$H$5:$H$914,"")</f>
        <v/>
      </c>
    </row>
    <row r="680" hidden="1" ht="21.5" customHeight="1" s="125">
      <c r="A680" t="inlineStr">
        <is>
          <t>DEV000679</t>
        </is>
      </c>
      <c r="B680" s="59" t="inlineStr">
        <is>
          <t>HUA</t>
        </is>
      </c>
      <c r="C680" s="59" t="inlineStr">
        <is>
          <t>TAB</t>
        </is>
      </c>
      <c r="D680" s="61" t="inlineStr">
        <is>
          <t>MatePad 10.4</t>
        </is>
      </c>
      <c r="E680">
        <f>_xlfn.XLOOKUP(D680,'[2]8A. Master Device Catalog'!$F$5:$F$914,'[2]8A. Master Device Catalog'!$G$5:$G$914,"")</f>
        <v/>
      </c>
      <c r="F680">
        <f>_xlfn.XLOOKUP(D680,'[2]8A. Master Device Catalog'!$F$5:$F$914,'[2]8A. Master Device Catalog'!$H$5:$H$914,"")</f>
        <v/>
      </c>
    </row>
    <row r="681" hidden="1" ht="21.5" customHeight="1" s="125">
      <c r="A681" t="inlineStr">
        <is>
          <t>DEV000680</t>
        </is>
      </c>
      <c r="B681" s="59" t="inlineStr">
        <is>
          <t>LEN</t>
        </is>
      </c>
      <c r="C681" s="59" t="inlineStr">
        <is>
          <t>TAB</t>
        </is>
      </c>
      <c r="D681" s="61" t="inlineStr">
        <is>
          <t>Tab P12</t>
        </is>
      </c>
      <c r="E681">
        <f>_xlfn.XLOOKUP(D681,'[2]8A. Master Device Catalog'!$F$5:$F$914,'[2]8A. Master Device Catalog'!$G$5:$G$914,"")</f>
        <v/>
      </c>
      <c r="F681">
        <f>_xlfn.XLOOKUP(D681,'[2]8A. Master Device Catalog'!$F$5:$F$914,'[2]8A. Master Device Catalog'!$H$5:$H$914,"")</f>
        <v/>
      </c>
    </row>
    <row r="682" hidden="1" ht="21.5" customHeight="1" s="125">
      <c r="A682" t="inlineStr">
        <is>
          <t>DEV000681</t>
        </is>
      </c>
      <c r="B682" s="59" t="inlineStr">
        <is>
          <t>LEN</t>
        </is>
      </c>
      <c r="C682" s="59" t="inlineStr">
        <is>
          <t>TAB</t>
        </is>
      </c>
      <c r="D682" s="61" t="inlineStr">
        <is>
          <t>Tab M10 Plus</t>
        </is>
      </c>
      <c r="E682">
        <f>_xlfn.XLOOKUP(D682,'[2]8A. Master Device Catalog'!$F$5:$F$914,'[2]8A. Master Device Catalog'!$G$5:$G$914,"")</f>
        <v/>
      </c>
      <c r="F682">
        <f>_xlfn.XLOOKUP(D682,'[2]8A. Master Device Catalog'!$F$5:$F$914,'[2]8A. Master Device Catalog'!$H$5:$H$914,"")</f>
        <v/>
      </c>
    </row>
    <row r="683" hidden="1" ht="21.5" customHeight="1" s="125">
      <c r="A683" t="inlineStr">
        <is>
          <t>DEV000682</t>
        </is>
      </c>
      <c r="B683" s="59" t="inlineStr">
        <is>
          <t>LEN</t>
        </is>
      </c>
      <c r="C683" s="59" t="inlineStr">
        <is>
          <t>TAB</t>
        </is>
      </c>
      <c r="D683" s="61" t="inlineStr">
        <is>
          <t>Tab M11</t>
        </is>
      </c>
      <c r="E683">
        <f>_xlfn.XLOOKUP(D683,'[2]8A. Master Device Catalog'!$F$5:$F$914,'[2]8A. Master Device Catalog'!$G$5:$G$914,"")</f>
        <v/>
      </c>
      <c r="F683">
        <f>_xlfn.XLOOKUP(D683,'[2]8A. Master Device Catalog'!$F$5:$F$914,'[2]8A. Master Device Catalog'!$H$5:$H$914,"")</f>
        <v/>
      </c>
    </row>
    <row r="684" hidden="1" ht="21.5" customHeight="1" s="125">
      <c r="A684" t="inlineStr">
        <is>
          <t>DEV000683</t>
        </is>
      </c>
      <c r="B684" s="59" t="inlineStr">
        <is>
          <t>LEN</t>
        </is>
      </c>
      <c r="C684" s="59" t="inlineStr">
        <is>
          <t>TAB</t>
        </is>
      </c>
      <c r="D684" s="61" t="inlineStr">
        <is>
          <t>Legion Tab</t>
        </is>
      </c>
      <c r="E684">
        <f>_xlfn.XLOOKUP(D684,'[2]8A. Master Device Catalog'!$F$5:$F$914,'[2]8A. Master Device Catalog'!$G$5:$G$914,"")</f>
        <v/>
      </c>
      <c r="F684">
        <f>_xlfn.XLOOKUP(D684,'[2]8A. Master Device Catalog'!$F$5:$F$914,'[2]8A. Master Device Catalog'!$H$5:$H$914,"")</f>
        <v/>
      </c>
    </row>
    <row r="685" hidden="1" ht="21.5" customHeight="1" s="125">
      <c r="A685" t="inlineStr">
        <is>
          <t>DEV000684</t>
        </is>
      </c>
      <c r="B685" s="59" t="inlineStr">
        <is>
          <t>MSF</t>
        </is>
      </c>
      <c r="C685" s="59" t="inlineStr">
        <is>
          <t>TAB</t>
        </is>
      </c>
      <c r="D685" s="61" t="inlineStr">
        <is>
          <t>Surface Pro 10</t>
        </is>
      </c>
      <c r="E685">
        <f>_xlfn.XLOOKUP(D685,'[2]8A. Master Device Catalog'!$F$5:$F$914,'[2]8A. Master Device Catalog'!$G$5:$G$914,"")</f>
        <v/>
      </c>
      <c r="F685">
        <f>_xlfn.XLOOKUP(D685,'[2]8A. Master Device Catalog'!$F$5:$F$914,'[2]8A. Master Device Catalog'!$H$5:$H$914,"")</f>
        <v/>
      </c>
    </row>
    <row r="686" hidden="1" ht="21.5" customHeight="1" s="125">
      <c r="A686" t="inlineStr">
        <is>
          <t>DEV000685</t>
        </is>
      </c>
      <c r="B686" s="59" t="inlineStr">
        <is>
          <t>MSF</t>
        </is>
      </c>
      <c r="C686" s="59" t="inlineStr">
        <is>
          <t>TAB</t>
        </is>
      </c>
      <c r="D686" s="61" t="inlineStr">
        <is>
          <t>Surface Go 4</t>
        </is>
      </c>
      <c r="E686">
        <f>_xlfn.XLOOKUP(D686,'[2]8A. Master Device Catalog'!$F$5:$F$914,'[2]8A. Master Device Catalog'!$G$5:$G$914,"")</f>
        <v/>
      </c>
      <c r="F686">
        <f>_xlfn.XLOOKUP(D686,'[2]8A. Master Device Catalog'!$F$5:$F$914,'[2]8A. Master Device Catalog'!$H$5:$H$914,"")</f>
        <v/>
      </c>
    </row>
    <row r="687" hidden="1" ht="21.5" customHeight="1" s="125">
      <c r="A687" t="inlineStr">
        <is>
          <t>DEV000686</t>
        </is>
      </c>
      <c r="B687" s="59" t="inlineStr">
        <is>
          <t>MSF</t>
        </is>
      </c>
      <c r="C687" s="59" t="inlineStr">
        <is>
          <t>TAB</t>
        </is>
      </c>
      <c r="D687" s="61" t="inlineStr">
        <is>
          <t>Surface Pro 11</t>
        </is>
      </c>
      <c r="E687">
        <f>_xlfn.XLOOKUP(D687,'[2]8A. Master Device Catalog'!$F$5:$F$914,'[2]8A. Master Device Catalog'!$G$5:$G$914,"")</f>
        <v/>
      </c>
      <c r="F687">
        <f>_xlfn.XLOOKUP(D687,'[2]8A. Master Device Catalog'!$F$5:$F$914,'[2]8A. Master Device Catalog'!$H$5:$H$914,"")</f>
        <v/>
      </c>
    </row>
    <row r="688" hidden="1" ht="21.5" customHeight="1" s="125">
      <c r="A688" t="inlineStr">
        <is>
          <t>DEV000687</t>
        </is>
      </c>
      <c r="B688" s="59" t="inlineStr">
        <is>
          <t>MSF</t>
        </is>
      </c>
      <c r="C688" s="59" t="inlineStr">
        <is>
          <t>TAB</t>
        </is>
      </c>
      <c r="D688" s="61" t="inlineStr">
        <is>
          <t>Surface Pro 9</t>
        </is>
      </c>
      <c r="E688">
        <f>_xlfn.XLOOKUP(D688,'[2]8A. Master Device Catalog'!$F$5:$F$914,'[2]8A. Master Device Catalog'!$G$5:$G$914,"")</f>
        <v/>
      </c>
      <c r="F688">
        <f>_xlfn.XLOOKUP(D688,'[2]8A. Master Device Catalog'!$F$5:$F$914,'[2]8A. Master Device Catalog'!$H$5:$H$914,"")</f>
        <v/>
      </c>
    </row>
    <row r="689" hidden="1" ht="21.5" customHeight="1" s="125">
      <c r="A689" t="inlineStr">
        <is>
          <t>DEV000688</t>
        </is>
      </c>
      <c r="B689" s="59" t="inlineStr">
        <is>
          <t>MSF</t>
        </is>
      </c>
      <c r="C689" s="59" t="inlineStr">
        <is>
          <t>TAB</t>
        </is>
      </c>
      <c r="D689" s="61" t="inlineStr">
        <is>
          <t>Surface Go</t>
        </is>
      </c>
      <c r="E689">
        <f>_xlfn.XLOOKUP(D689,'[2]8A. Master Device Catalog'!$F$5:$F$914,'[2]8A. Master Device Catalog'!$G$5:$G$914,"")</f>
        <v/>
      </c>
      <c r="F689">
        <f>_xlfn.XLOOKUP(D689,'[2]8A. Master Device Catalog'!$F$5:$F$914,'[2]8A. Master Device Catalog'!$H$5:$H$914,"")</f>
        <v/>
      </c>
    </row>
    <row r="690" hidden="1" ht="21.5" customHeight="1" s="125">
      <c r="A690" t="inlineStr">
        <is>
          <t>DEV000689</t>
        </is>
      </c>
      <c r="B690" s="59" t="inlineStr">
        <is>
          <t>MSF</t>
        </is>
      </c>
      <c r="C690" s="59" t="inlineStr">
        <is>
          <t>TAB</t>
        </is>
      </c>
      <c r="D690" s="61" t="inlineStr">
        <is>
          <t>Surface Go 2</t>
        </is>
      </c>
      <c r="E690">
        <f>_xlfn.XLOOKUP(D690,'[2]8A. Master Device Catalog'!$F$5:$F$914,'[2]8A. Master Device Catalog'!$G$5:$G$914,"")</f>
        <v/>
      </c>
      <c r="F690">
        <f>_xlfn.XLOOKUP(D690,'[2]8A. Master Device Catalog'!$F$5:$F$914,'[2]8A. Master Device Catalog'!$H$5:$H$914,"")</f>
        <v/>
      </c>
    </row>
    <row r="691" hidden="1" ht="21.5" customHeight="1" s="125">
      <c r="A691" t="inlineStr">
        <is>
          <t>DEV000690</t>
        </is>
      </c>
      <c r="B691" s="59" t="inlineStr">
        <is>
          <t>MSF</t>
        </is>
      </c>
      <c r="C691" s="59" t="inlineStr">
        <is>
          <t>TAB</t>
        </is>
      </c>
      <c r="D691" s="61" t="inlineStr">
        <is>
          <t>Surface Go 3</t>
        </is>
      </c>
      <c r="E691">
        <f>_xlfn.XLOOKUP(D691,'[2]8A. Master Device Catalog'!$F$5:$F$914,'[2]8A. Master Device Catalog'!$G$5:$G$914,"")</f>
        <v/>
      </c>
      <c r="F691">
        <f>_xlfn.XLOOKUP(D691,'[2]8A. Master Device Catalog'!$F$5:$F$914,'[2]8A. Master Device Catalog'!$H$5:$H$914,"")</f>
        <v/>
      </c>
    </row>
    <row r="692" hidden="1" ht="21.5" customHeight="1" s="125">
      <c r="A692" t="inlineStr">
        <is>
          <t>DEV000691</t>
        </is>
      </c>
      <c r="B692" s="59" t="inlineStr">
        <is>
          <t>MSF</t>
        </is>
      </c>
      <c r="C692" s="59" t="inlineStr">
        <is>
          <t>TAB</t>
        </is>
      </c>
      <c r="D692" s="61" t="inlineStr">
        <is>
          <t>Surface Pro 4</t>
        </is>
      </c>
      <c r="E692">
        <f>_xlfn.XLOOKUP(D692,'[2]8A. Master Device Catalog'!$F$5:$F$914,'[2]8A. Master Device Catalog'!$G$5:$G$914,"")</f>
        <v/>
      </c>
      <c r="F692">
        <f>_xlfn.XLOOKUP(D692,'[2]8A. Master Device Catalog'!$F$5:$F$914,'[2]8A. Master Device Catalog'!$H$5:$H$914,"")</f>
        <v/>
      </c>
    </row>
    <row r="693" hidden="1" ht="21.5" customHeight="1" s="125">
      <c r="A693" t="inlineStr">
        <is>
          <t>DEV000692</t>
        </is>
      </c>
      <c r="B693" s="59" t="inlineStr">
        <is>
          <t>MSF</t>
        </is>
      </c>
      <c r="C693" s="59" t="inlineStr">
        <is>
          <t>TAB</t>
        </is>
      </c>
      <c r="D693" s="60" t="inlineStr">
        <is>
          <t>Surface Pro 5</t>
        </is>
      </c>
      <c r="E693">
        <f>_xlfn.XLOOKUP(D693,'[2]8A. Master Device Catalog'!$F$5:$F$914,'[2]8A. Master Device Catalog'!$G$5:$G$914,"")</f>
        <v/>
      </c>
      <c r="F693">
        <f>_xlfn.XLOOKUP(D693,'[2]8A. Master Device Catalog'!$F$5:$F$914,'[2]8A. Master Device Catalog'!$H$5:$H$914,"")</f>
        <v/>
      </c>
    </row>
    <row r="694" hidden="1" ht="21.5" customHeight="1" s="125">
      <c r="A694" t="inlineStr">
        <is>
          <t>DEV000693</t>
        </is>
      </c>
      <c r="B694" s="59" t="inlineStr">
        <is>
          <t>MSF</t>
        </is>
      </c>
      <c r="C694" s="59" t="inlineStr">
        <is>
          <t>TAB</t>
        </is>
      </c>
      <c r="D694" s="60" t="inlineStr">
        <is>
          <t>Surface Pro 6</t>
        </is>
      </c>
      <c r="E694">
        <f>_xlfn.XLOOKUP(D694,'[2]8A. Master Device Catalog'!$F$5:$F$914,'[2]8A. Master Device Catalog'!$G$5:$G$914,"")</f>
        <v/>
      </c>
      <c r="F694">
        <f>_xlfn.XLOOKUP(D694,'[2]8A. Master Device Catalog'!$F$5:$F$914,'[2]8A. Master Device Catalog'!$H$5:$H$914,"")</f>
        <v/>
      </c>
    </row>
    <row r="695" hidden="1" ht="21.5" customHeight="1" s="125">
      <c r="A695" t="inlineStr">
        <is>
          <t>DEV000694</t>
        </is>
      </c>
      <c r="B695" s="59" t="inlineStr">
        <is>
          <t>MSF</t>
        </is>
      </c>
      <c r="C695" s="59" t="inlineStr">
        <is>
          <t>TAB</t>
        </is>
      </c>
      <c r="D695" s="60" t="inlineStr">
        <is>
          <t>Surface Pro 7</t>
        </is>
      </c>
      <c r="E695">
        <f>_xlfn.XLOOKUP(D695,'[2]8A. Master Device Catalog'!$F$5:$F$914,'[2]8A. Master Device Catalog'!$G$5:$G$914,"")</f>
        <v/>
      </c>
      <c r="F695">
        <f>_xlfn.XLOOKUP(D695,'[2]8A. Master Device Catalog'!$F$5:$F$914,'[2]8A. Master Device Catalog'!$H$5:$H$914,"")</f>
        <v/>
      </c>
    </row>
    <row r="696" hidden="1" ht="21.5" customHeight="1" s="125">
      <c r="A696" t="inlineStr">
        <is>
          <t>DEV000695</t>
        </is>
      </c>
      <c r="B696" s="59" t="inlineStr">
        <is>
          <t>MSF</t>
        </is>
      </c>
      <c r="C696" s="59" t="inlineStr">
        <is>
          <t>TAB</t>
        </is>
      </c>
      <c r="D696" s="60" t="inlineStr">
        <is>
          <t>Surface Pro 7+</t>
        </is>
      </c>
      <c r="E696">
        <f>_xlfn.XLOOKUP(D696,'[2]8A. Master Device Catalog'!$F$5:$F$914,'[2]8A. Master Device Catalog'!$G$5:$G$914,"")</f>
        <v/>
      </c>
      <c r="F696">
        <f>_xlfn.XLOOKUP(D696,'[2]8A. Master Device Catalog'!$F$5:$F$914,'[2]8A. Master Device Catalog'!$H$5:$H$914,"")</f>
        <v/>
      </c>
    </row>
    <row r="697" hidden="1" ht="21.5" customHeight="1" s="125">
      <c r="A697" t="inlineStr">
        <is>
          <t>DEV000696</t>
        </is>
      </c>
      <c r="B697" s="59" t="inlineStr">
        <is>
          <t>MSF</t>
        </is>
      </c>
      <c r="C697" s="59" t="inlineStr">
        <is>
          <t>TAB</t>
        </is>
      </c>
      <c r="D697" s="60" t="inlineStr">
        <is>
          <t>Surface Pro 8</t>
        </is>
      </c>
      <c r="E697">
        <f>_xlfn.XLOOKUP(D697,'[2]8A. Master Device Catalog'!$F$5:$F$914,'[2]8A. Master Device Catalog'!$G$5:$G$914,"")</f>
        <v/>
      </c>
      <c r="F697">
        <f>_xlfn.XLOOKUP(D697,'[2]8A. Master Device Catalog'!$F$5:$F$914,'[2]8A. Master Device Catalog'!$H$5:$H$914,"")</f>
        <v/>
      </c>
    </row>
    <row r="698" hidden="1" ht="21.5" customHeight="1" s="125">
      <c r="A698" t="inlineStr">
        <is>
          <t>DEV000697</t>
        </is>
      </c>
      <c r="B698" s="59" t="inlineStr">
        <is>
          <t>MSF</t>
        </is>
      </c>
      <c r="C698" s="59" t="inlineStr">
        <is>
          <t>TAB</t>
        </is>
      </c>
      <c r="D698" s="61" t="inlineStr">
        <is>
          <t>Moto Tab G20</t>
        </is>
      </c>
      <c r="E698">
        <f>_xlfn.XLOOKUP(D698,'[2]8A. Master Device Catalog'!$F$5:$F$914,'[2]8A. Master Device Catalog'!$G$5:$G$914,"")</f>
        <v/>
      </c>
      <c r="F698">
        <f>_xlfn.XLOOKUP(D698,'[2]8A. Master Device Catalog'!$F$5:$F$914,'[2]8A. Master Device Catalog'!$H$5:$H$914,"")</f>
        <v/>
      </c>
    </row>
    <row r="699" hidden="1" ht="21.5" customHeight="1" s="125">
      <c r="A699" t="inlineStr">
        <is>
          <t>DEV000698</t>
        </is>
      </c>
      <c r="B699" s="59" t="inlineStr">
        <is>
          <t>MSF</t>
        </is>
      </c>
      <c r="C699" s="59" t="inlineStr">
        <is>
          <t>TAB</t>
        </is>
      </c>
      <c r="D699" s="61" t="inlineStr">
        <is>
          <t>Moto Tab G70</t>
        </is>
      </c>
      <c r="E699">
        <f>_xlfn.XLOOKUP(D699,'[2]8A. Master Device Catalog'!$F$5:$F$914,'[2]8A. Master Device Catalog'!$G$5:$G$914,"")</f>
        <v/>
      </c>
      <c r="F699">
        <f>_xlfn.XLOOKUP(D699,'[2]8A. Master Device Catalog'!$F$5:$F$914,'[2]8A. Master Device Catalog'!$H$5:$H$914,"")</f>
        <v/>
      </c>
    </row>
    <row r="700" hidden="1" ht="21.5" customHeight="1" s="125">
      <c r="A700" t="inlineStr">
        <is>
          <t>DEV000699</t>
        </is>
      </c>
      <c r="B700" s="59" t="inlineStr">
        <is>
          <t>MSF</t>
        </is>
      </c>
      <c r="C700" s="59" t="inlineStr">
        <is>
          <t>TAB</t>
        </is>
      </c>
      <c r="D700" s="61" t="inlineStr">
        <is>
          <t>Moto Tab G62</t>
        </is>
      </c>
      <c r="E700">
        <f>_xlfn.XLOOKUP(D700,'[2]8A. Master Device Catalog'!$F$5:$F$914,'[2]8A. Master Device Catalog'!$G$5:$G$914,"")</f>
        <v/>
      </c>
      <c r="F700">
        <f>_xlfn.XLOOKUP(D700,'[2]8A. Master Device Catalog'!$F$5:$F$914,'[2]8A. Master Device Catalog'!$H$5:$H$914,"")</f>
        <v/>
      </c>
    </row>
    <row r="701" hidden="1" ht="21.5" customHeight="1" s="125">
      <c r="A701" t="inlineStr">
        <is>
          <t>DEV000700</t>
        </is>
      </c>
      <c r="B701" s="59" t="inlineStr">
        <is>
          <t>MSF</t>
        </is>
      </c>
      <c r="C701" s="59" t="inlineStr">
        <is>
          <t>TAB</t>
        </is>
      </c>
      <c r="D701" s="61" t="inlineStr">
        <is>
          <t>Moto Tab G84</t>
        </is>
      </c>
      <c r="E701">
        <f>_xlfn.XLOOKUP(D701,'[2]8A. Master Device Catalog'!$F$5:$F$914,'[2]8A. Master Device Catalog'!$G$5:$G$914,"")</f>
        <v/>
      </c>
      <c r="F701">
        <f>_xlfn.XLOOKUP(D701,'[2]8A. Master Device Catalog'!$F$5:$F$914,'[2]8A. Master Device Catalog'!$H$5:$H$914,"")</f>
        <v/>
      </c>
    </row>
    <row r="702" hidden="1" ht="21.5" customHeight="1" s="125">
      <c r="A702" t="inlineStr">
        <is>
          <t>DEV000701</t>
        </is>
      </c>
      <c r="B702" s="59" t="inlineStr">
        <is>
          <t>NOK</t>
        </is>
      </c>
      <c r="C702" s="59" t="inlineStr">
        <is>
          <t>TAB</t>
        </is>
      </c>
      <c r="D702" s="61" t="inlineStr">
        <is>
          <t>T10</t>
        </is>
      </c>
      <c r="E702">
        <f>_xlfn.XLOOKUP(D702,'[2]8A. Master Device Catalog'!$F$5:$F$914,'[2]8A. Master Device Catalog'!$G$5:$G$914,"")</f>
        <v/>
      </c>
      <c r="F702">
        <f>_xlfn.XLOOKUP(D702,'[2]8A. Master Device Catalog'!$F$5:$F$914,'[2]8A. Master Device Catalog'!$H$5:$H$914,"")</f>
        <v/>
      </c>
    </row>
    <row r="703" hidden="1" ht="21.5" customHeight="1" s="125">
      <c r="A703" t="inlineStr">
        <is>
          <t>DEV000702</t>
        </is>
      </c>
      <c r="B703" s="59" t="inlineStr">
        <is>
          <t>NOK</t>
        </is>
      </c>
      <c r="C703" s="59" t="inlineStr">
        <is>
          <t>TAB</t>
        </is>
      </c>
      <c r="D703" s="61" t="inlineStr">
        <is>
          <t>Nokia T20</t>
        </is>
      </c>
      <c r="E703">
        <f>_xlfn.XLOOKUP(D703,'[2]8A. Master Device Catalog'!$F$5:$F$914,'[2]8A. Master Device Catalog'!$G$5:$G$914,"")</f>
        <v/>
      </c>
      <c r="F703">
        <f>_xlfn.XLOOKUP(D703,'[2]8A. Master Device Catalog'!$F$5:$F$914,'[2]8A. Master Device Catalog'!$H$5:$H$914,"")</f>
        <v/>
      </c>
    </row>
    <row r="704" hidden="1" ht="21.5" customHeight="1" s="125">
      <c r="A704" t="inlineStr">
        <is>
          <t>DEV000703</t>
        </is>
      </c>
      <c r="B704" s="59" t="inlineStr">
        <is>
          <t>NOK</t>
        </is>
      </c>
      <c r="C704" s="59" t="inlineStr">
        <is>
          <t>TAB</t>
        </is>
      </c>
      <c r="D704" s="61" t="inlineStr">
        <is>
          <t>T21</t>
        </is>
      </c>
      <c r="E704">
        <f>_xlfn.XLOOKUP(D704,'[2]8A. Master Device Catalog'!$F$5:$F$914,'[2]8A. Master Device Catalog'!$G$5:$G$914,"")</f>
        <v/>
      </c>
      <c r="F704">
        <f>_xlfn.XLOOKUP(D704,'[2]8A. Master Device Catalog'!$F$5:$F$914,'[2]8A. Master Device Catalog'!$H$5:$H$914,"")</f>
        <v/>
      </c>
    </row>
    <row r="705" hidden="1" ht="21.5" customHeight="1" s="125">
      <c r="A705" t="inlineStr">
        <is>
          <t>DEV000704</t>
        </is>
      </c>
      <c r="B705" s="59" t="inlineStr">
        <is>
          <t>NOK</t>
        </is>
      </c>
      <c r="C705" s="59" t="inlineStr">
        <is>
          <t>TAB</t>
        </is>
      </c>
      <c r="D705" s="61" t="inlineStr">
        <is>
          <t>Nokia T21</t>
        </is>
      </c>
      <c r="E705">
        <f>_xlfn.XLOOKUP(D705,'[2]8A. Master Device Catalog'!$F$5:$F$914,'[2]8A. Master Device Catalog'!$G$5:$G$914,"")</f>
        <v/>
      </c>
      <c r="F705">
        <f>_xlfn.XLOOKUP(D705,'[2]8A. Master Device Catalog'!$F$5:$F$914,'[2]8A. Master Device Catalog'!$H$5:$H$914,"")</f>
        <v/>
      </c>
    </row>
    <row r="706" hidden="1" ht="21.5" customHeight="1" s="125">
      <c r="A706" t="inlineStr">
        <is>
          <t>DEV000705</t>
        </is>
      </c>
      <c r="B706" s="59" t="inlineStr">
        <is>
          <t>NOK</t>
        </is>
      </c>
      <c r="C706" s="59" t="inlineStr">
        <is>
          <t>TAB</t>
        </is>
      </c>
      <c r="D706" s="61" t="inlineStr">
        <is>
          <t>Nokia T10</t>
        </is>
      </c>
      <c r="E706">
        <f>_xlfn.XLOOKUP(D706,'[2]8A. Master Device Catalog'!$F$5:$F$914,'[2]8A. Master Device Catalog'!$G$5:$G$914,"")</f>
        <v/>
      </c>
      <c r="F706">
        <f>_xlfn.XLOOKUP(D706,'[2]8A. Master Device Catalog'!$F$5:$F$914,'[2]8A. Master Device Catalog'!$H$5:$H$914,"")</f>
        <v/>
      </c>
    </row>
    <row r="707" hidden="1" ht="21.5" customHeight="1" s="125">
      <c r="A707" t="inlineStr">
        <is>
          <t>DEV000706</t>
        </is>
      </c>
      <c r="B707" s="59" t="inlineStr">
        <is>
          <t>ONE</t>
        </is>
      </c>
      <c r="C707" s="59" t="inlineStr">
        <is>
          <t>TAB</t>
        </is>
      </c>
      <c r="D707" s="61" t="inlineStr">
        <is>
          <t>OnePlus Pad</t>
        </is>
      </c>
      <c r="E707">
        <f>_xlfn.XLOOKUP(D707,'[2]8A. Master Device Catalog'!$F$5:$F$914,'[2]8A. Master Device Catalog'!$G$5:$G$914,"")</f>
        <v/>
      </c>
      <c r="F707">
        <f>_xlfn.XLOOKUP(D707,'[2]8A. Master Device Catalog'!$F$5:$F$914,'[2]8A. Master Device Catalog'!$H$5:$H$914,"")</f>
        <v/>
      </c>
    </row>
    <row r="708" hidden="1" ht="21.5" customHeight="1" s="125">
      <c r="A708" t="inlineStr">
        <is>
          <t>DEV000707</t>
        </is>
      </c>
      <c r="B708" s="59" t="inlineStr">
        <is>
          <t>ONE</t>
        </is>
      </c>
      <c r="C708" s="59" t="inlineStr">
        <is>
          <t>TAB</t>
        </is>
      </c>
      <c r="D708" s="61" t="inlineStr">
        <is>
          <t>OnePlus Pad Go</t>
        </is>
      </c>
      <c r="E708">
        <f>_xlfn.XLOOKUP(D708,'[2]8A. Master Device Catalog'!$F$5:$F$914,'[2]8A. Master Device Catalog'!$G$5:$G$914,"")</f>
        <v/>
      </c>
      <c r="F708">
        <f>_xlfn.XLOOKUP(D708,'[2]8A. Master Device Catalog'!$F$5:$F$914,'[2]8A. Master Device Catalog'!$H$5:$H$914,"")</f>
        <v/>
      </c>
    </row>
    <row r="709" hidden="1" ht="21.5" customHeight="1" s="125">
      <c r="A709" t="inlineStr">
        <is>
          <t>DEV000708</t>
        </is>
      </c>
      <c r="B709" s="59" t="inlineStr">
        <is>
          <t>ONE</t>
        </is>
      </c>
      <c r="C709" s="59" t="inlineStr">
        <is>
          <t>TAB</t>
        </is>
      </c>
      <c r="D709" s="61" t="inlineStr">
        <is>
          <t>OnePlus Pad 2</t>
        </is>
      </c>
      <c r="E709">
        <f>_xlfn.XLOOKUP(D709,'[2]8A. Master Device Catalog'!$F$5:$F$914,'[2]8A. Master Device Catalog'!$G$5:$G$914,"")</f>
        <v/>
      </c>
      <c r="F709">
        <f>_xlfn.XLOOKUP(D709,'[2]8A. Master Device Catalog'!$F$5:$F$914,'[2]8A. Master Device Catalog'!$H$5:$H$914,"")</f>
        <v/>
      </c>
    </row>
    <row r="710" hidden="1" ht="21.5" customHeight="1" s="125">
      <c r="A710" t="inlineStr">
        <is>
          <t>DEV000709</t>
        </is>
      </c>
      <c r="B710" s="59" t="inlineStr">
        <is>
          <t>OPP</t>
        </is>
      </c>
      <c r="C710" s="59" t="inlineStr">
        <is>
          <t>TAB</t>
        </is>
      </c>
      <c r="D710" s="61" t="inlineStr">
        <is>
          <t>OPPO Pad</t>
        </is>
      </c>
      <c r="E710">
        <f>_xlfn.XLOOKUP(D710,'[2]8A. Master Device Catalog'!$F$5:$F$914,'[2]8A. Master Device Catalog'!$G$5:$G$914,"")</f>
        <v/>
      </c>
      <c r="F710">
        <f>_xlfn.XLOOKUP(D710,'[2]8A. Master Device Catalog'!$F$5:$F$914,'[2]8A. Master Device Catalog'!$H$5:$H$914,"")</f>
        <v/>
      </c>
    </row>
    <row r="711" hidden="1" ht="21.5" customHeight="1" s="125">
      <c r="A711" t="inlineStr">
        <is>
          <t>DEV000710</t>
        </is>
      </c>
      <c r="B711" s="59" t="inlineStr">
        <is>
          <t>OPP</t>
        </is>
      </c>
      <c r="C711" s="59" t="inlineStr">
        <is>
          <t>TAB</t>
        </is>
      </c>
      <c r="D711" s="61" t="inlineStr">
        <is>
          <t>OPPO Pad Air</t>
        </is>
      </c>
      <c r="E711">
        <f>_xlfn.XLOOKUP(D711,'[2]8A. Master Device Catalog'!$F$5:$F$914,'[2]8A. Master Device Catalog'!$G$5:$G$914,"")</f>
        <v/>
      </c>
      <c r="F711">
        <f>_xlfn.XLOOKUP(D711,'[2]8A. Master Device Catalog'!$F$5:$F$914,'[2]8A. Master Device Catalog'!$H$5:$H$914,"")</f>
        <v/>
      </c>
    </row>
    <row r="712" hidden="1" ht="21.5" customHeight="1" s="125">
      <c r="A712" t="inlineStr">
        <is>
          <t>DEV000711</t>
        </is>
      </c>
      <c r="B712" s="59" t="inlineStr">
        <is>
          <t>OPP</t>
        </is>
      </c>
      <c r="C712" s="59" t="inlineStr">
        <is>
          <t>TAB</t>
        </is>
      </c>
      <c r="D712" s="61" t="inlineStr">
        <is>
          <t>OPPO Pad 2</t>
        </is>
      </c>
      <c r="E712">
        <f>_xlfn.XLOOKUP(D712,'[2]8A. Master Device Catalog'!$F$5:$F$914,'[2]8A. Master Device Catalog'!$G$5:$G$914,"")</f>
        <v/>
      </c>
      <c r="F712">
        <f>_xlfn.XLOOKUP(D712,'[2]8A. Master Device Catalog'!$F$5:$F$914,'[2]8A. Master Device Catalog'!$H$5:$H$914,"")</f>
        <v/>
      </c>
    </row>
    <row r="713" hidden="1" ht="21.5" customHeight="1" s="125">
      <c r="A713" t="inlineStr">
        <is>
          <t>DEV000712</t>
        </is>
      </c>
      <c r="B713" s="59" t="inlineStr">
        <is>
          <t>SAM</t>
        </is>
      </c>
      <c r="C713" s="59" t="inlineStr">
        <is>
          <t>TAB</t>
        </is>
      </c>
      <c r="D713" s="61" t="inlineStr">
        <is>
          <t>Galaxy Tab A9</t>
        </is>
      </c>
      <c r="E713">
        <f>_xlfn.XLOOKUP(D713,'[2]8A. Master Device Catalog'!$F$5:$F$914,'[2]8A. Master Device Catalog'!$G$5:$G$914,"")</f>
        <v/>
      </c>
      <c r="F713">
        <f>_xlfn.XLOOKUP(D713,'[2]8A. Master Device Catalog'!$F$5:$F$914,'[2]8A. Master Device Catalog'!$H$5:$H$914,"")</f>
        <v/>
      </c>
    </row>
    <row r="714" hidden="1" ht="21.5" customHeight="1" s="125">
      <c r="A714" t="inlineStr">
        <is>
          <t>DEV000713</t>
        </is>
      </c>
      <c r="B714" s="59" t="inlineStr">
        <is>
          <t>SAM</t>
        </is>
      </c>
      <c r="C714" s="59" t="inlineStr">
        <is>
          <t>TAB</t>
        </is>
      </c>
      <c r="D714" s="61" t="inlineStr">
        <is>
          <t>Galaxy Tab A9+</t>
        </is>
      </c>
      <c r="E714">
        <f>_xlfn.XLOOKUP(D714,'[2]8A. Master Device Catalog'!$F$5:$F$914,'[2]8A. Master Device Catalog'!$G$5:$G$914,"")</f>
        <v/>
      </c>
      <c r="F714">
        <f>_xlfn.XLOOKUP(D714,'[2]8A. Master Device Catalog'!$F$5:$F$914,'[2]8A. Master Device Catalog'!$H$5:$H$914,"")</f>
        <v/>
      </c>
    </row>
    <row r="715" hidden="1" ht="21.5" customHeight="1" s="125">
      <c r="A715" t="inlineStr">
        <is>
          <t>DEV000714</t>
        </is>
      </c>
      <c r="B715" s="59" t="inlineStr">
        <is>
          <t>SAM</t>
        </is>
      </c>
      <c r="C715" s="59" t="inlineStr">
        <is>
          <t>TAB</t>
        </is>
      </c>
      <c r="D715" s="61" t="inlineStr">
        <is>
          <t>Galaxy Tab S7</t>
        </is>
      </c>
      <c r="E715">
        <f>_xlfn.XLOOKUP(D715,'[2]8A. Master Device Catalog'!$F$5:$F$914,'[2]8A. Master Device Catalog'!$G$5:$G$914,"")</f>
        <v/>
      </c>
      <c r="F715">
        <f>_xlfn.XLOOKUP(D715,'[2]8A. Master Device Catalog'!$F$5:$F$914,'[2]8A. Master Device Catalog'!$H$5:$H$914,"")</f>
        <v/>
      </c>
    </row>
    <row r="716" hidden="1" ht="21.5" customHeight="1" s="125">
      <c r="A716" t="inlineStr">
        <is>
          <t>DEV000715</t>
        </is>
      </c>
      <c r="B716" s="59" t="inlineStr">
        <is>
          <t>SAM</t>
        </is>
      </c>
      <c r="C716" s="59" t="inlineStr">
        <is>
          <t>TAB</t>
        </is>
      </c>
      <c r="D716" s="61" t="inlineStr">
        <is>
          <t>Galaxy Tab A8</t>
        </is>
      </c>
      <c r="E716">
        <f>_xlfn.XLOOKUP(D716,'[2]8A. Master Device Catalog'!$F$5:$F$914,'[2]8A. Master Device Catalog'!$G$5:$G$914,"")</f>
        <v/>
      </c>
      <c r="F716">
        <f>_xlfn.XLOOKUP(D716,'[2]8A. Master Device Catalog'!$F$5:$F$914,'[2]8A. Master Device Catalog'!$H$5:$H$914,"")</f>
        <v/>
      </c>
    </row>
    <row r="717" hidden="1" ht="21.5" customHeight="1" s="125">
      <c r="A717" t="inlineStr">
        <is>
          <t>DEV000716</t>
        </is>
      </c>
      <c r="B717" s="59" t="inlineStr">
        <is>
          <t>SAM</t>
        </is>
      </c>
      <c r="C717" s="59" t="inlineStr">
        <is>
          <t>TAB</t>
        </is>
      </c>
      <c r="D717" s="61" t="inlineStr">
        <is>
          <t>Galaxy Tab A7</t>
        </is>
      </c>
      <c r="E717">
        <f>_xlfn.XLOOKUP(D717,'[2]8A. Master Device Catalog'!$F$5:$F$914,'[2]8A. Master Device Catalog'!$G$5:$G$914,"")</f>
        <v/>
      </c>
      <c r="F717">
        <f>_xlfn.XLOOKUP(D717,'[2]8A. Master Device Catalog'!$F$5:$F$914,'[2]8A. Master Device Catalog'!$H$5:$H$914,"")</f>
        <v/>
      </c>
    </row>
    <row r="718" hidden="1" ht="21.5" customHeight="1" s="125">
      <c r="A718" t="inlineStr">
        <is>
          <t>DEV000717</t>
        </is>
      </c>
      <c r="B718" s="59" t="inlineStr">
        <is>
          <t>SAM</t>
        </is>
      </c>
      <c r="C718" s="59" t="inlineStr">
        <is>
          <t>TAB</t>
        </is>
      </c>
      <c r="D718" s="61" t="inlineStr">
        <is>
          <t>Galaxy Tab A7 Lite</t>
        </is>
      </c>
      <c r="E718">
        <f>_xlfn.XLOOKUP(D718,'[2]8A. Master Device Catalog'!$F$5:$F$914,'[2]8A. Master Device Catalog'!$G$5:$G$914,"")</f>
        <v/>
      </c>
      <c r="F718">
        <f>_xlfn.XLOOKUP(D718,'[2]8A. Master Device Catalog'!$F$5:$F$914,'[2]8A. Master Device Catalog'!$H$5:$H$914,"")</f>
        <v/>
      </c>
    </row>
    <row r="719" hidden="1" ht="21.5" customHeight="1" s="125">
      <c r="A719" t="inlineStr">
        <is>
          <t>DEV000718</t>
        </is>
      </c>
      <c r="B719" s="59" t="inlineStr">
        <is>
          <t>SAM</t>
        </is>
      </c>
      <c r="C719" s="59" t="inlineStr">
        <is>
          <t>TAB</t>
        </is>
      </c>
      <c r="D719" s="61" t="inlineStr">
        <is>
          <t>Galaxy Tab Active3</t>
        </is>
      </c>
      <c r="E719">
        <f>_xlfn.XLOOKUP(D719,'[2]8A. Master Device Catalog'!$F$5:$F$914,'[2]8A. Master Device Catalog'!$G$5:$G$914,"")</f>
        <v/>
      </c>
      <c r="F719">
        <f>_xlfn.XLOOKUP(D719,'[2]8A. Master Device Catalog'!$F$5:$F$914,'[2]8A. Master Device Catalog'!$H$5:$H$914,"")</f>
        <v/>
      </c>
    </row>
    <row r="720" hidden="1" ht="21.5" customHeight="1" s="125">
      <c r="A720" t="inlineStr">
        <is>
          <t>DEV000719</t>
        </is>
      </c>
      <c r="B720" s="59" t="inlineStr">
        <is>
          <t>SAM</t>
        </is>
      </c>
      <c r="C720" s="59" t="inlineStr">
        <is>
          <t>TAB</t>
        </is>
      </c>
      <c r="D720" s="61" t="inlineStr">
        <is>
          <t>Galaxy Tab Active4 Pro</t>
        </is>
      </c>
      <c r="E720">
        <f>_xlfn.XLOOKUP(D720,'[2]8A. Master Device Catalog'!$F$5:$F$914,'[2]8A. Master Device Catalog'!$G$5:$G$914,"")</f>
        <v/>
      </c>
      <c r="F720">
        <f>_xlfn.XLOOKUP(D720,'[2]8A. Master Device Catalog'!$F$5:$F$914,'[2]8A. Master Device Catalog'!$H$5:$H$914,"")</f>
        <v/>
      </c>
    </row>
    <row r="721" hidden="1" ht="21.5" customHeight="1" s="125">
      <c r="A721" t="inlineStr">
        <is>
          <t>DEV000720</t>
        </is>
      </c>
      <c r="B721" s="59" t="inlineStr">
        <is>
          <t>SAM</t>
        </is>
      </c>
      <c r="C721" s="59" t="inlineStr">
        <is>
          <t>TAB</t>
        </is>
      </c>
      <c r="D721" s="61" t="inlineStr">
        <is>
          <t>Galaxy Tab Active5</t>
        </is>
      </c>
      <c r="E721">
        <f>_xlfn.XLOOKUP(D721,'[2]8A. Master Device Catalog'!$F$5:$F$914,'[2]8A. Master Device Catalog'!$G$5:$G$914,"")</f>
        <v/>
      </c>
      <c r="F721">
        <f>_xlfn.XLOOKUP(D721,'[2]8A. Master Device Catalog'!$F$5:$F$914,'[2]8A. Master Device Catalog'!$H$5:$H$914,"")</f>
        <v/>
      </c>
    </row>
    <row r="722" hidden="1" ht="21.5" customHeight="1" s="125">
      <c r="A722" t="inlineStr">
        <is>
          <t>DEV000721</t>
        </is>
      </c>
      <c r="B722" s="59" t="inlineStr">
        <is>
          <t>SAM</t>
        </is>
      </c>
      <c r="C722" s="59" t="inlineStr">
        <is>
          <t>TAB</t>
        </is>
      </c>
      <c r="D722" s="60" t="inlineStr">
        <is>
          <t>Galaxy Tab S6</t>
        </is>
      </c>
      <c r="E722">
        <f>_xlfn.XLOOKUP(D722,'[2]8A. Master Device Catalog'!$F$5:$F$914,'[2]8A. Master Device Catalog'!$G$5:$G$914,"")</f>
        <v/>
      </c>
      <c r="F722">
        <f>_xlfn.XLOOKUP(D722,'[2]8A. Master Device Catalog'!$F$5:$F$914,'[2]8A. Master Device Catalog'!$H$5:$H$914,"")</f>
        <v/>
      </c>
    </row>
    <row r="723" hidden="1" ht="21.5" customHeight="1" s="125">
      <c r="A723" t="inlineStr">
        <is>
          <t>DEV000722</t>
        </is>
      </c>
      <c r="B723" s="59" t="inlineStr">
        <is>
          <t>SAM</t>
        </is>
      </c>
      <c r="C723" s="59" t="inlineStr">
        <is>
          <t>TAB</t>
        </is>
      </c>
      <c r="D723" s="60" t="inlineStr">
        <is>
          <t>Galaxy Tab S6 Lite</t>
        </is>
      </c>
      <c r="E723">
        <f>_xlfn.XLOOKUP(D723,'[2]8A. Master Device Catalog'!$F$5:$F$914,'[2]8A. Master Device Catalog'!$G$5:$G$914,"")</f>
        <v/>
      </c>
      <c r="F723">
        <f>_xlfn.XLOOKUP(D723,'[2]8A. Master Device Catalog'!$F$5:$F$914,'[2]8A. Master Device Catalog'!$H$5:$H$914,"")</f>
        <v/>
      </c>
    </row>
    <row r="724" hidden="1" ht="21.5" customHeight="1" s="125">
      <c r="A724" t="inlineStr">
        <is>
          <t>DEV000723</t>
        </is>
      </c>
      <c r="B724" s="59" t="inlineStr">
        <is>
          <t>SAM</t>
        </is>
      </c>
      <c r="C724" s="59" t="inlineStr">
        <is>
          <t>TAB</t>
        </is>
      </c>
      <c r="D724" s="61" t="inlineStr">
        <is>
          <t>Galaxy Tab S7 FE</t>
        </is>
      </c>
      <c r="E724">
        <f>_xlfn.XLOOKUP(D724,'[2]8A. Master Device Catalog'!$F$5:$F$914,'[2]8A. Master Device Catalog'!$G$5:$G$914,"")</f>
        <v/>
      </c>
      <c r="F724">
        <f>_xlfn.XLOOKUP(D724,'[2]8A. Master Device Catalog'!$F$5:$F$914,'[2]8A. Master Device Catalog'!$H$5:$H$914,"")</f>
        <v/>
      </c>
    </row>
    <row r="725" hidden="1" ht="21.5" customHeight="1" s="125">
      <c r="A725" t="inlineStr">
        <is>
          <t>DEV000724</t>
        </is>
      </c>
      <c r="B725" s="59" t="inlineStr">
        <is>
          <t>SAM</t>
        </is>
      </c>
      <c r="C725" s="59" t="inlineStr">
        <is>
          <t>TAB</t>
        </is>
      </c>
      <c r="D725" s="61" t="inlineStr">
        <is>
          <t>Galaxy Tab S7+</t>
        </is>
      </c>
      <c r="E725">
        <f>_xlfn.XLOOKUP(D725,'[2]8A. Master Device Catalog'!$F$5:$F$914,'[2]8A. Master Device Catalog'!$G$5:$G$914,"")</f>
        <v/>
      </c>
      <c r="F725">
        <f>_xlfn.XLOOKUP(D725,'[2]8A. Master Device Catalog'!$F$5:$F$914,'[2]8A. Master Device Catalog'!$H$5:$H$914,"")</f>
        <v/>
      </c>
    </row>
    <row r="726" hidden="1" ht="21.5" customHeight="1" s="125">
      <c r="A726" t="inlineStr">
        <is>
          <t>DEV000725</t>
        </is>
      </c>
      <c r="B726" s="59" t="inlineStr">
        <is>
          <t>SAM</t>
        </is>
      </c>
      <c r="C726" s="59" t="inlineStr">
        <is>
          <t>TAB</t>
        </is>
      </c>
      <c r="D726" s="61" t="inlineStr">
        <is>
          <t>Galaxy Tab S8</t>
        </is>
      </c>
      <c r="E726">
        <f>_xlfn.XLOOKUP(D726,'[2]8A. Master Device Catalog'!$F$5:$F$914,'[2]8A. Master Device Catalog'!$G$5:$G$914,"")</f>
        <v/>
      </c>
      <c r="F726">
        <f>_xlfn.XLOOKUP(D726,'[2]8A. Master Device Catalog'!$F$5:$F$914,'[2]8A. Master Device Catalog'!$H$5:$H$914,"")</f>
        <v/>
      </c>
    </row>
    <row r="727" hidden="1" ht="21.5" customHeight="1" s="125">
      <c r="A727" t="inlineStr">
        <is>
          <t>DEV000726</t>
        </is>
      </c>
      <c r="B727" s="59" t="inlineStr">
        <is>
          <t>SAM</t>
        </is>
      </c>
      <c r="C727" s="59" t="inlineStr">
        <is>
          <t>TAB</t>
        </is>
      </c>
      <c r="D727" s="61" t="inlineStr">
        <is>
          <t>Galaxy Tab S8+</t>
        </is>
      </c>
      <c r="E727">
        <f>_xlfn.XLOOKUP(D727,'[2]8A. Master Device Catalog'!$F$5:$F$914,'[2]8A. Master Device Catalog'!$G$5:$G$914,"")</f>
        <v/>
      </c>
      <c r="F727">
        <f>_xlfn.XLOOKUP(D727,'[2]8A. Master Device Catalog'!$F$5:$F$914,'[2]8A. Master Device Catalog'!$H$5:$H$914,"")</f>
        <v/>
      </c>
    </row>
    <row r="728" hidden="1" ht="21.5" customHeight="1" s="125">
      <c r="A728" t="inlineStr">
        <is>
          <t>DEV000727</t>
        </is>
      </c>
      <c r="B728" s="59" t="inlineStr">
        <is>
          <t>SAM</t>
        </is>
      </c>
      <c r="C728" s="59" t="inlineStr">
        <is>
          <t>TAB</t>
        </is>
      </c>
      <c r="D728" s="60" t="inlineStr">
        <is>
          <t>Galaxy Tab S8 Ultra</t>
        </is>
      </c>
      <c r="E728">
        <f>_xlfn.XLOOKUP(D728,'[2]8A. Master Device Catalog'!$F$5:$F$914,'[2]8A. Master Device Catalog'!$G$5:$G$914,"")</f>
        <v/>
      </c>
      <c r="F728">
        <f>_xlfn.XLOOKUP(D728,'[2]8A. Master Device Catalog'!$F$5:$F$914,'[2]8A. Master Device Catalog'!$H$5:$H$914,"")</f>
        <v/>
      </c>
    </row>
    <row r="729" hidden="1" ht="21.5" customHeight="1" s="125">
      <c r="A729" t="inlineStr">
        <is>
          <t>DEV000728</t>
        </is>
      </c>
      <c r="B729" s="59" t="inlineStr">
        <is>
          <t>SAM</t>
        </is>
      </c>
      <c r="C729" s="59" t="inlineStr">
        <is>
          <t>TAB</t>
        </is>
      </c>
      <c r="D729" s="60" t="inlineStr">
        <is>
          <t>Galaxy Tab S9</t>
        </is>
      </c>
      <c r="E729">
        <f>_xlfn.XLOOKUP(D729,'[2]8A. Master Device Catalog'!$F$5:$F$914,'[2]8A. Master Device Catalog'!$G$5:$G$914,"")</f>
        <v/>
      </c>
      <c r="F729">
        <f>_xlfn.XLOOKUP(D729,'[2]8A. Master Device Catalog'!$F$5:$F$914,'[2]8A. Master Device Catalog'!$H$5:$H$914,"")</f>
        <v/>
      </c>
    </row>
    <row r="730" hidden="1" ht="21.5" customHeight="1" s="125">
      <c r="A730" t="inlineStr">
        <is>
          <t>DEV000729</t>
        </is>
      </c>
      <c r="B730" s="59" t="inlineStr">
        <is>
          <t>SAM</t>
        </is>
      </c>
      <c r="C730" s="59" t="inlineStr">
        <is>
          <t>TAB</t>
        </is>
      </c>
      <c r="D730" s="60" t="inlineStr">
        <is>
          <t>Galaxy Tab S9 FE</t>
        </is>
      </c>
      <c r="E730">
        <f>_xlfn.XLOOKUP(D730,'[2]8A. Master Device Catalog'!$F$5:$F$914,'[2]8A. Master Device Catalog'!$G$5:$G$914,"")</f>
        <v/>
      </c>
      <c r="F730">
        <f>_xlfn.XLOOKUP(D730,'[2]8A. Master Device Catalog'!$F$5:$F$914,'[2]8A. Master Device Catalog'!$H$5:$H$914,"")</f>
        <v/>
      </c>
    </row>
    <row r="731" hidden="1" ht="21.5" customHeight="1" s="125">
      <c r="A731" t="inlineStr">
        <is>
          <t>DEV000730</t>
        </is>
      </c>
      <c r="B731" s="59" t="inlineStr">
        <is>
          <t>SAM</t>
        </is>
      </c>
      <c r="C731" s="59" t="inlineStr">
        <is>
          <t>TAB</t>
        </is>
      </c>
      <c r="D731" s="60" t="inlineStr">
        <is>
          <t>Galaxy Tab S9 FE+</t>
        </is>
      </c>
      <c r="E731">
        <f>_xlfn.XLOOKUP(D731,'[2]8A. Master Device Catalog'!$F$5:$F$914,'[2]8A. Master Device Catalog'!$G$5:$G$914,"")</f>
        <v/>
      </c>
      <c r="F731">
        <f>_xlfn.XLOOKUP(D731,'[2]8A. Master Device Catalog'!$F$5:$F$914,'[2]8A. Master Device Catalog'!$H$5:$H$914,"")</f>
        <v/>
      </c>
    </row>
    <row r="732" hidden="1" ht="21.5" customHeight="1" s="125">
      <c r="A732" t="inlineStr">
        <is>
          <t>DEV000731</t>
        </is>
      </c>
      <c r="B732" s="59" t="inlineStr">
        <is>
          <t>SAM</t>
        </is>
      </c>
      <c r="C732" s="59" t="inlineStr">
        <is>
          <t>TAB</t>
        </is>
      </c>
      <c r="D732" s="60" t="inlineStr">
        <is>
          <t>Galaxy Tab S9+</t>
        </is>
      </c>
      <c r="E732">
        <f>_xlfn.XLOOKUP(D732,'[2]8A. Master Device Catalog'!$F$5:$F$914,'[2]8A. Master Device Catalog'!$G$5:$G$914,"")</f>
        <v/>
      </c>
      <c r="F732">
        <f>_xlfn.XLOOKUP(D732,'[2]8A. Master Device Catalog'!$F$5:$F$914,'[2]8A. Master Device Catalog'!$H$5:$H$914,"")</f>
        <v/>
      </c>
    </row>
    <row r="733" hidden="1" ht="21.5" customHeight="1" s="125">
      <c r="A733" t="inlineStr">
        <is>
          <t>DEV000732</t>
        </is>
      </c>
      <c r="B733" s="59" t="inlineStr">
        <is>
          <t>SAM</t>
        </is>
      </c>
      <c r="C733" s="59" t="inlineStr">
        <is>
          <t>TAB</t>
        </is>
      </c>
      <c r="D733" s="60" t="inlineStr">
        <is>
          <t>Galaxy Tab S9 Ultra</t>
        </is>
      </c>
      <c r="E733">
        <f>_xlfn.XLOOKUP(D733,'[2]8A. Master Device Catalog'!$F$5:$F$914,'[2]8A. Master Device Catalog'!$G$5:$G$914,"")</f>
        <v/>
      </c>
      <c r="F733">
        <f>_xlfn.XLOOKUP(D733,'[2]8A. Master Device Catalog'!$F$5:$F$914,'[2]8A. Master Device Catalog'!$H$5:$H$914,"")</f>
        <v/>
      </c>
    </row>
    <row r="734" hidden="1" ht="21.5" customHeight="1" s="125">
      <c r="A734" t="inlineStr">
        <is>
          <t>DEV000733</t>
        </is>
      </c>
      <c r="B734" s="59" t="inlineStr">
        <is>
          <t>SAM</t>
        </is>
      </c>
      <c r="C734" s="59" t="inlineStr">
        <is>
          <t>TAB</t>
        </is>
      </c>
      <c r="D734" s="60" t="inlineStr">
        <is>
          <t>Galaxy Tab S10+</t>
        </is>
      </c>
      <c r="E734">
        <f>_xlfn.XLOOKUP(D734,'[2]8A. Master Device Catalog'!$F$5:$F$914,'[2]8A. Master Device Catalog'!$G$5:$G$914,"")</f>
        <v/>
      </c>
      <c r="F734">
        <f>_xlfn.XLOOKUP(D734,'[2]8A. Master Device Catalog'!$F$5:$F$914,'[2]8A. Master Device Catalog'!$H$5:$H$914,"")</f>
        <v/>
      </c>
    </row>
    <row r="735" hidden="1" ht="21.5" customHeight="1" s="125">
      <c r="A735" t="inlineStr">
        <is>
          <t>DEV000734</t>
        </is>
      </c>
      <c r="B735" s="59" t="inlineStr">
        <is>
          <t>SAM</t>
        </is>
      </c>
      <c r="C735" s="59" t="inlineStr">
        <is>
          <t>TAB</t>
        </is>
      </c>
      <c r="D735" s="60" t="inlineStr">
        <is>
          <t>Galaxy Tab S10 Ultra</t>
        </is>
      </c>
      <c r="E735">
        <f>_xlfn.XLOOKUP(D735,'[2]8A. Master Device Catalog'!$F$5:$F$914,'[2]8A. Master Device Catalog'!$G$5:$G$914,"")</f>
        <v/>
      </c>
      <c r="F735">
        <f>_xlfn.XLOOKUP(D735,'[2]8A. Master Device Catalog'!$F$5:$F$914,'[2]8A. Master Device Catalog'!$H$5:$H$914,"")</f>
        <v/>
      </c>
    </row>
    <row r="736" hidden="1" ht="21.5" customHeight="1" s="125">
      <c r="A736" t="inlineStr">
        <is>
          <t>DEV000735</t>
        </is>
      </c>
      <c r="B736" s="59" t="inlineStr">
        <is>
          <t>XIA</t>
        </is>
      </c>
      <c r="C736" s="59" t="inlineStr">
        <is>
          <t>TAB</t>
        </is>
      </c>
      <c r="D736" s="61" t="inlineStr">
        <is>
          <t>Xiaomi Pad 6</t>
        </is>
      </c>
      <c r="E736">
        <f>_xlfn.XLOOKUP(D736,'[2]8A. Master Device Catalog'!$F$5:$F$914,'[2]8A. Master Device Catalog'!$G$5:$G$914,"")</f>
        <v/>
      </c>
      <c r="F736">
        <f>_xlfn.XLOOKUP(D736,'[2]8A. Master Device Catalog'!$F$5:$F$914,'[2]8A. Master Device Catalog'!$H$5:$H$914,"")</f>
        <v/>
      </c>
    </row>
    <row r="737" hidden="1" ht="21.5" customHeight="1" s="125">
      <c r="A737" t="inlineStr">
        <is>
          <t>DEV000736</t>
        </is>
      </c>
      <c r="B737" s="59" t="inlineStr">
        <is>
          <t>XIA</t>
        </is>
      </c>
      <c r="C737" s="59" t="inlineStr">
        <is>
          <t>TAB</t>
        </is>
      </c>
      <c r="D737" s="61" t="inlineStr">
        <is>
          <t>Pad 5</t>
        </is>
      </c>
      <c r="E737">
        <f>_xlfn.XLOOKUP(D737,'[2]8A. Master Device Catalog'!$F$5:$F$914,'[2]8A. Master Device Catalog'!$G$5:$G$914,"")</f>
        <v/>
      </c>
      <c r="F737">
        <f>_xlfn.XLOOKUP(D737,'[2]8A. Master Device Catalog'!$F$5:$F$914,'[2]8A. Master Device Catalog'!$H$5:$H$914,"")</f>
        <v/>
      </c>
    </row>
    <row r="738" hidden="1" ht="21.5" customHeight="1" s="125">
      <c r="A738" t="inlineStr">
        <is>
          <t>DEV000737</t>
        </is>
      </c>
      <c r="B738" s="59" t="inlineStr">
        <is>
          <t>XIA</t>
        </is>
      </c>
      <c r="C738" s="59" t="inlineStr">
        <is>
          <t>TAB</t>
        </is>
      </c>
      <c r="D738" s="61" t="inlineStr">
        <is>
          <t>Xiaomi Pad 6S Pro</t>
        </is>
      </c>
      <c r="E738">
        <f>_xlfn.XLOOKUP(D738,'[2]8A. Master Device Catalog'!$F$5:$F$914,'[2]8A. Master Device Catalog'!$G$5:$G$914,"")</f>
        <v/>
      </c>
      <c r="F738">
        <f>_xlfn.XLOOKUP(D738,'[2]8A. Master Device Catalog'!$F$5:$F$914,'[2]8A. Master Device Catalog'!$H$5:$H$914,"")</f>
        <v/>
      </c>
    </row>
    <row r="739" hidden="1" ht="21.5" customHeight="1" s="125">
      <c r="A739" t="inlineStr">
        <is>
          <t>DEV000738</t>
        </is>
      </c>
      <c r="B739" s="59" t="inlineStr">
        <is>
          <t>XIA</t>
        </is>
      </c>
      <c r="C739" s="59" t="inlineStr">
        <is>
          <t>TAB</t>
        </is>
      </c>
      <c r="D739" s="61" t="inlineStr">
        <is>
          <t>Pad 5 Pro</t>
        </is>
      </c>
      <c r="E739">
        <f>_xlfn.XLOOKUP(D739,'[2]8A. Master Device Catalog'!$F$5:$F$914,'[2]8A. Master Device Catalog'!$G$5:$G$914,"")</f>
        <v/>
      </c>
      <c r="F739">
        <f>_xlfn.XLOOKUP(D739,'[2]8A. Master Device Catalog'!$F$5:$F$914,'[2]8A. Master Device Catalog'!$H$5:$H$914,"")</f>
        <v/>
      </c>
    </row>
    <row r="740" hidden="1" ht="21.5" customHeight="1" s="125">
      <c r="A740" t="inlineStr">
        <is>
          <t>DEV000739</t>
        </is>
      </c>
      <c r="B740" s="59" t="inlineStr">
        <is>
          <t>ZTE</t>
        </is>
      </c>
      <c r="C740" s="59" t="inlineStr">
        <is>
          <t>TAB</t>
        </is>
      </c>
      <c r="D740" s="61" t="inlineStr">
        <is>
          <t>ZTE Axon Pad</t>
        </is>
      </c>
      <c r="E740">
        <f>_xlfn.XLOOKUP(D740,'[2]8A. Master Device Catalog'!$F$5:$F$914,'[2]8A. Master Device Catalog'!$G$5:$G$914,"")</f>
        <v/>
      </c>
      <c r="F740">
        <f>_xlfn.XLOOKUP(D740,'[2]8A. Master Device Catalog'!$F$5:$F$914,'[2]8A. Master Device Catalog'!$H$5:$H$914,"")</f>
        <v/>
      </c>
    </row>
    <row r="741" hidden="1" ht="21.5" customHeight="1" s="125">
      <c r="A741" t="inlineStr">
        <is>
          <t>DEV000740</t>
        </is>
      </c>
      <c r="B741" s="59" t="inlineStr">
        <is>
          <t>ZTE</t>
        </is>
      </c>
      <c r="C741" s="59" t="inlineStr">
        <is>
          <t>TAB</t>
        </is>
      </c>
      <c r="D741" s="61" t="inlineStr">
        <is>
          <t>ZTE K98</t>
        </is>
      </c>
      <c r="E741">
        <f>_xlfn.XLOOKUP(D741,'[2]8A. Master Device Catalog'!$F$5:$F$914,'[2]8A. Master Device Catalog'!$G$5:$G$914,"")</f>
        <v/>
      </c>
      <c r="F741">
        <f>_xlfn.XLOOKUP(D741,'[2]8A. Master Device Catalog'!$F$5:$F$914,'[2]8A. Master Device Catalog'!$H$5:$H$914,"")</f>
        <v/>
      </c>
    </row>
    <row r="742" hidden="1" ht="21.5" customHeight="1" s="125">
      <c r="A742" t="inlineStr">
        <is>
          <t>DEV000741</t>
        </is>
      </c>
      <c r="B742" s="59" t="inlineStr">
        <is>
          <t>APL</t>
        </is>
      </c>
      <c r="C742" s="59" t="inlineStr">
        <is>
          <t>WEAR</t>
        </is>
      </c>
      <c r="D742" s="62" t="inlineStr">
        <is>
          <t>Apple Watch Series 1</t>
        </is>
      </c>
      <c r="E742">
        <f>_xlfn.XLOOKUP(D742,'[2]8A. Master Device Catalog'!$F$5:$F$914,'[2]8A. Master Device Catalog'!$G$5:$G$914,"")</f>
        <v/>
      </c>
      <c r="F742">
        <f>_xlfn.XLOOKUP(D742,'[2]8A. Master Device Catalog'!$F$5:$F$914,'[2]8A. Master Device Catalog'!$H$5:$H$914,"")</f>
        <v/>
      </c>
    </row>
    <row r="743" hidden="1" ht="21.5" customHeight="1" s="125">
      <c r="A743" t="inlineStr">
        <is>
          <t>DEV000742</t>
        </is>
      </c>
      <c r="B743" s="59" t="inlineStr">
        <is>
          <t>APL</t>
        </is>
      </c>
      <c r="C743" s="59" t="inlineStr">
        <is>
          <t>WEAR</t>
        </is>
      </c>
      <c r="D743" s="60" t="inlineStr">
        <is>
          <t>Apple Watch (1st Generation)</t>
        </is>
      </c>
      <c r="E743">
        <f>_xlfn.XLOOKUP(D743,'[2]8A. Master Device Catalog'!$F$5:$F$914,'[2]8A. Master Device Catalog'!$G$5:$G$914,"")</f>
        <v/>
      </c>
      <c r="F743">
        <f>_xlfn.XLOOKUP(D743,'[2]8A. Master Device Catalog'!$F$5:$F$914,'[2]8A. Master Device Catalog'!$H$5:$H$914,"")</f>
        <v/>
      </c>
    </row>
    <row r="744" hidden="1" ht="21.5" customHeight="1" s="125">
      <c r="A744" t="inlineStr">
        <is>
          <t>DEV000743</t>
        </is>
      </c>
      <c r="B744" s="59" t="inlineStr">
        <is>
          <t>APL</t>
        </is>
      </c>
      <c r="C744" s="59" t="inlineStr">
        <is>
          <t>WEAR</t>
        </is>
      </c>
      <c r="D744" s="62" t="inlineStr">
        <is>
          <t>Apple Watch Series 2</t>
        </is>
      </c>
      <c r="E744">
        <f>_xlfn.XLOOKUP(D744,'[2]8A. Master Device Catalog'!$F$5:$F$914,'[2]8A. Master Device Catalog'!$G$5:$G$914,"")</f>
        <v/>
      </c>
      <c r="F744">
        <f>_xlfn.XLOOKUP(D744,'[2]8A. Master Device Catalog'!$F$5:$F$914,'[2]8A. Master Device Catalog'!$H$5:$H$914,"")</f>
        <v/>
      </c>
    </row>
    <row r="745" hidden="1" ht="21.5" customHeight="1" s="125">
      <c r="A745" t="inlineStr">
        <is>
          <t>DEV000744</t>
        </is>
      </c>
      <c r="B745" s="59" t="inlineStr">
        <is>
          <t>APL</t>
        </is>
      </c>
      <c r="C745" s="59" t="inlineStr">
        <is>
          <t>WEAR</t>
        </is>
      </c>
      <c r="D745" s="62" t="inlineStr">
        <is>
          <t>Apple Watch Series 3</t>
        </is>
      </c>
      <c r="E745">
        <f>_xlfn.XLOOKUP(D745,'[2]8A. Master Device Catalog'!$F$5:$F$914,'[2]8A. Master Device Catalog'!$G$5:$G$914,"")</f>
        <v/>
      </c>
      <c r="F745">
        <f>_xlfn.XLOOKUP(D745,'[2]8A. Master Device Catalog'!$F$5:$F$914,'[2]8A. Master Device Catalog'!$H$5:$H$914,"")</f>
        <v/>
      </c>
    </row>
    <row r="746" hidden="1" ht="21.5" customHeight="1" s="125">
      <c r="A746" t="inlineStr">
        <is>
          <t>DEV000745</t>
        </is>
      </c>
      <c r="B746" s="59" t="inlineStr">
        <is>
          <t>APL</t>
        </is>
      </c>
      <c r="C746" s="59" t="inlineStr">
        <is>
          <t>WEAR</t>
        </is>
      </c>
      <c r="D746" s="62" t="inlineStr">
        <is>
          <t>Apple Watch Series 4</t>
        </is>
      </c>
      <c r="E746">
        <f>_xlfn.XLOOKUP(D746,'[2]8A. Master Device Catalog'!$F$5:$F$914,'[2]8A. Master Device Catalog'!$G$5:$G$914,"")</f>
        <v/>
      </c>
      <c r="F746">
        <f>_xlfn.XLOOKUP(D746,'[2]8A. Master Device Catalog'!$F$5:$F$914,'[2]8A. Master Device Catalog'!$H$5:$H$914,"")</f>
        <v/>
      </c>
    </row>
    <row r="747" hidden="1" ht="21.5" customHeight="1" s="125">
      <c r="A747" t="inlineStr">
        <is>
          <t>DEV000746</t>
        </is>
      </c>
      <c r="B747" s="59" t="inlineStr">
        <is>
          <t>APL</t>
        </is>
      </c>
      <c r="C747" s="59" t="inlineStr">
        <is>
          <t>WEAR</t>
        </is>
      </c>
      <c r="D747" s="62" t="inlineStr">
        <is>
          <t>Apple Watch Series 5</t>
        </is>
      </c>
      <c r="E747">
        <f>_xlfn.XLOOKUP(D747,'[2]8A. Master Device Catalog'!$F$5:$F$914,'[2]8A. Master Device Catalog'!$G$5:$G$914,"")</f>
        <v/>
      </c>
      <c r="F747">
        <f>_xlfn.XLOOKUP(D747,'[2]8A. Master Device Catalog'!$F$5:$F$914,'[2]8A. Master Device Catalog'!$H$5:$H$914,"")</f>
        <v/>
      </c>
    </row>
    <row r="748" hidden="1" ht="21.5" customHeight="1" s="125">
      <c r="A748" t="inlineStr">
        <is>
          <t>DEV000747</t>
        </is>
      </c>
      <c r="B748" s="59" t="inlineStr">
        <is>
          <t>APL</t>
        </is>
      </c>
      <c r="C748" s="59" t="inlineStr">
        <is>
          <t>WEAR</t>
        </is>
      </c>
      <c r="D748" s="62" t="inlineStr">
        <is>
          <t>Apple Watch Series 6</t>
        </is>
      </c>
      <c r="E748">
        <f>_xlfn.XLOOKUP(D748,'[2]8A. Master Device Catalog'!$F$5:$F$914,'[2]8A. Master Device Catalog'!$G$5:$G$914,"")</f>
        <v/>
      </c>
      <c r="F748">
        <f>_xlfn.XLOOKUP(D748,'[2]8A. Master Device Catalog'!$F$5:$F$914,'[2]8A. Master Device Catalog'!$H$5:$H$914,"")</f>
        <v/>
      </c>
    </row>
    <row r="749" hidden="1" ht="21.5" customHeight="1" s="125">
      <c r="A749" t="inlineStr">
        <is>
          <t>DEV000748</t>
        </is>
      </c>
      <c r="B749" s="59" t="inlineStr">
        <is>
          <t>APL</t>
        </is>
      </c>
      <c r="C749" s="59" t="inlineStr">
        <is>
          <t>WEAR</t>
        </is>
      </c>
      <c r="D749" s="62" t="inlineStr">
        <is>
          <t>Apple Watch SE (1st Generation)</t>
        </is>
      </c>
      <c r="E749">
        <f>_xlfn.XLOOKUP(D749,'[2]8A. Master Device Catalog'!$F$5:$F$914,'[2]8A. Master Device Catalog'!$G$5:$G$914,"")</f>
        <v/>
      </c>
      <c r="F749">
        <f>_xlfn.XLOOKUP(D749,'[2]8A. Master Device Catalog'!$F$5:$F$914,'[2]8A. Master Device Catalog'!$H$5:$H$914,"")</f>
        <v/>
      </c>
    </row>
    <row r="750" hidden="1" ht="21.5" customHeight="1" s="125">
      <c r="A750" t="inlineStr">
        <is>
          <t>DEV000749</t>
        </is>
      </c>
      <c r="B750" s="59" t="inlineStr">
        <is>
          <t>APL</t>
        </is>
      </c>
      <c r="C750" s="59" t="inlineStr">
        <is>
          <t>WEAR</t>
        </is>
      </c>
      <c r="D750" s="62" t="inlineStr">
        <is>
          <t>Apple Watch Series 7</t>
        </is>
      </c>
      <c r="E750">
        <f>_xlfn.XLOOKUP(D750,'[2]8A. Master Device Catalog'!$F$5:$F$914,'[2]8A. Master Device Catalog'!$G$5:$G$914,"")</f>
        <v/>
      </c>
      <c r="F750">
        <f>_xlfn.XLOOKUP(D750,'[2]8A. Master Device Catalog'!$F$5:$F$914,'[2]8A. Master Device Catalog'!$H$5:$H$914,"")</f>
        <v/>
      </c>
    </row>
    <row r="751" hidden="1" ht="21.5" customHeight="1" s="125">
      <c r="A751" t="inlineStr">
        <is>
          <t>DEV000750</t>
        </is>
      </c>
      <c r="B751" s="59" t="inlineStr">
        <is>
          <t>APL</t>
        </is>
      </c>
      <c r="C751" s="59" t="inlineStr">
        <is>
          <t>WEAR</t>
        </is>
      </c>
      <c r="D751" s="62" t="inlineStr">
        <is>
          <t>Apple Watch Series 8</t>
        </is>
      </c>
      <c r="E751">
        <f>_xlfn.XLOOKUP(D751,'[2]8A. Master Device Catalog'!$F$5:$F$914,'[2]8A. Master Device Catalog'!$G$5:$G$914,"")</f>
        <v/>
      </c>
      <c r="F751">
        <f>_xlfn.XLOOKUP(D751,'[2]8A. Master Device Catalog'!$F$5:$F$914,'[2]8A. Master Device Catalog'!$H$5:$H$914,"")</f>
        <v/>
      </c>
    </row>
    <row r="752" hidden="1" ht="21.5" customHeight="1" s="125">
      <c r="A752" t="inlineStr">
        <is>
          <t>DEV000751</t>
        </is>
      </c>
      <c r="B752" s="59" t="inlineStr">
        <is>
          <t>APL</t>
        </is>
      </c>
      <c r="C752" s="59" t="inlineStr">
        <is>
          <t>WEAR</t>
        </is>
      </c>
      <c r="D752" s="62" t="inlineStr">
        <is>
          <t>Apple Watch Ultra</t>
        </is>
      </c>
      <c r="E752">
        <f>_xlfn.XLOOKUP(D752,'[2]8A. Master Device Catalog'!$F$5:$F$914,'[2]8A. Master Device Catalog'!$G$5:$G$914,"")</f>
        <v/>
      </c>
      <c r="F752">
        <f>_xlfn.XLOOKUP(D752,'[2]8A. Master Device Catalog'!$F$5:$F$914,'[2]8A. Master Device Catalog'!$H$5:$H$914,"")</f>
        <v/>
      </c>
    </row>
    <row r="753" hidden="1" ht="21.5" customHeight="1" s="125">
      <c r="A753" t="inlineStr">
        <is>
          <t>DEV000752</t>
        </is>
      </c>
      <c r="B753" s="59" t="inlineStr">
        <is>
          <t>APL</t>
        </is>
      </c>
      <c r="C753" s="59" t="inlineStr">
        <is>
          <t>WEAR</t>
        </is>
      </c>
      <c r="D753" s="62" t="inlineStr">
        <is>
          <t>Apple Watch SE (2nd Generation)</t>
        </is>
      </c>
      <c r="E753">
        <f>_xlfn.XLOOKUP(D753,'[2]8A. Master Device Catalog'!$F$5:$F$914,'[2]8A. Master Device Catalog'!$G$5:$G$914,"")</f>
        <v/>
      </c>
      <c r="F753">
        <f>_xlfn.XLOOKUP(D753,'[2]8A. Master Device Catalog'!$F$5:$F$914,'[2]8A. Master Device Catalog'!$H$5:$H$914,"")</f>
        <v/>
      </c>
    </row>
    <row r="754" hidden="1" ht="21.5" customHeight="1" s="125">
      <c r="A754" t="inlineStr">
        <is>
          <t>DEV000753</t>
        </is>
      </c>
      <c r="B754" s="59" t="inlineStr">
        <is>
          <t>APL</t>
        </is>
      </c>
      <c r="C754" s="59" t="inlineStr">
        <is>
          <t>WEAR</t>
        </is>
      </c>
      <c r="D754" s="62" t="inlineStr">
        <is>
          <t>Apple Watch Series 9</t>
        </is>
      </c>
      <c r="E754">
        <f>_xlfn.XLOOKUP(D754,'[2]8A. Master Device Catalog'!$F$5:$F$914,'[2]8A. Master Device Catalog'!$G$5:$G$914,"")</f>
        <v/>
      </c>
      <c r="F754">
        <f>_xlfn.XLOOKUP(D754,'[2]8A. Master Device Catalog'!$F$5:$F$914,'[2]8A. Master Device Catalog'!$H$5:$H$914,"")</f>
        <v/>
      </c>
    </row>
    <row r="755" hidden="1" ht="21.5" customHeight="1" s="125">
      <c r="A755" t="inlineStr">
        <is>
          <t>DEV000754</t>
        </is>
      </c>
      <c r="B755" s="59" t="inlineStr">
        <is>
          <t>APL</t>
        </is>
      </c>
      <c r="C755" s="59" t="inlineStr">
        <is>
          <t>WEAR</t>
        </is>
      </c>
      <c r="D755" s="62" t="inlineStr">
        <is>
          <t>Apple Watch Ultra 2</t>
        </is>
      </c>
      <c r="E755">
        <f>_xlfn.XLOOKUP(D755,'[2]8A. Master Device Catalog'!$F$5:$F$914,'[2]8A. Master Device Catalog'!$G$5:$G$914,"")</f>
        <v/>
      </c>
      <c r="F755">
        <f>_xlfn.XLOOKUP(D755,'[2]8A. Master Device Catalog'!$F$5:$F$914,'[2]8A. Master Device Catalog'!$H$5:$H$914,"")</f>
        <v/>
      </c>
    </row>
    <row r="756" hidden="1" ht="21.5" customHeight="1" s="125">
      <c r="A756" t="inlineStr">
        <is>
          <t>DEV000755</t>
        </is>
      </c>
      <c r="B756" s="59" t="inlineStr">
        <is>
          <t>APL</t>
        </is>
      </c>
      <c r="C756" s="59" t="inlineStr">
        <is>
          <t>WEAR</t>
        </is>
      </c>
      <c r="D756" s="62" t="inlineStr">
        <is>
          <t>Apple Watch Series 10</t>
        </is>
      </c>
      <c r="E756">
        <f>_xlfn.XLOOKUP(D756,'[2]8A. Master Device Catalog'!$F$5:$F$914,'[2]8A. Master Device Catalog'!$G$5:$G$914,"")</f>
        <v/>
      </c>
      <c r="F756">
        <f>_xlfn.XLOOKUP(D756,'[2]8A. Master Device Catalog'!$F$5:$F$914,'[2]8A. Master Device Catalog'!$H$5:$H$914,"")</f>
        <v/>
      </c>
    </row>
    <row r="757" hidden="1" ht="21.5" customHeight="1" s="125">
      <c r="A757" t="inlineStr">
        <is>
          <t>DEV000756</t>
        </is>
      </c>
      <c r="B757" s="59" t="inlineStr">
        <is>
          <t>APL</t>
        </is>
      </c>
      <c r="C757" s="59" t="inlineStr">
        <is>
          <t>OTH</t>
        </is>
      </c>
      <c r="D757" s="62" t="inlineStr">
        <is>
          <t>Apple TV (1st Generation)</t>
        </is>
      </c>
      <c r="E757">
        <f>_xlfn.XLOOKUP(D757,'[2]8A. Master Device Catalog'!$F$5:$F$914,'[2]8A. Master Device Catalog'!$G$5:$G$914,"")</f>
        <v/>
      </c>
      <c r="F757">
        <f>_xlfn.XLOOKUP(D757,'[2]8A. Master Device Catalog'!$F$5:$F$914,'[2]8A. Master Device Catalog'!$H$5:$H$914,"")</f>
        <v/>
      </c>
    </row>
    <row r="758" hidden="1" ht="21.5" customHeight="1" s="125">
      <c r="A758" t="inlineStr">
        <is>
          <t>DEV000757</t>
        </is>
      </c>
      <c r="B758" s="59" t="inlineStr">
        <is>
          <t>APL</t>
        </is>
      </c>
      <c r="C758" s="59" t="inlineStr">
        <is>
          <t>OTH</t>
        </is>
      </c>
      <c r="D758" s="62" t="inlineStr">
        <is>
          <t>Apple TV (2nd Generation)</t>
        </is>
      </c>
      <c r="E758">
        <f>_xlfn.XLOOKUP(D758,'[2]8A. Master Device Catalog'!$F$5:$F$914,'[2]8A. Master Device Catalog'!$G$5:$G$914,"")</f>
        <v/>
      </c>
      <c r="F758">
        <f>_xlfn.XLOOKUP(D758,'[2]8A. Master Device Catalog'!$F$5:$F$914,'[2]8A. Master Device Catalog'!$H$5:$H$914,"")</f>
        <v/>
      </c>
    </row>
    <row r="759" hidden="1" ht="21.5" customHeight="1" s="125">
      <c r="A759" t="inlineStr">
        <is>
          <t>DEV000758</t>
        </is>
      </c>
      <c r="B759" s="59" t="inlineStr">
        <is>
          <t>APL</t>
        </is>
      </c>
      <c r="C759" s="59" t="inlineStr">
        <is>
          <t>OTH</t>
        </is>
      </c>
      <c r="D759" s="62" t="inlineStr">
        <is>
          <t>Apple TV (3rd Generation)</t>
        </is>
      </c>
      <c r="E759">
        <f>_xlfn.XLOOKUP(D759,'[2]8A. Master Device Catalog'!$F$5:$F$914,'[2]8A. Master Device Catalog'!$G$5:$G$914,"")</f>
        <v/>
      </c>
      <c r="F759">
        <f>_xlfn.XLOOKUP(D759,'[2]8A. Master Device Catalog'!$F$5:$F$914,'[2]8A. Master Device Catalog'!$H$5:$H$914,"")</f>
        <v/>
      </c>
    </row>
    <row r="760" hidden="1" ht="21.5" customHeight="1" s="125">
      <c r="A760" t="inlineStr">
        <is>
          <t>DEV000759</t>
        </is>
      </c>
      <c r="B760" s="59" t="inlineStr">
        <is>
          <t>APL</t>
        </is>
      </c>
      <c r="C760" s="59" t="inlineStr">
        <is>
          <t>OTH</t>
        </is>
      </c>
      <c r="D760" s="62" t="inlineStr">
        <is>
          <t>Apple TV HD</t>
        </is>
      </c>
      <c r="E760">
        <f>_xlfn.XLOOKUP(D760,'[2]8A. Master Device Catalog'!$F$5:$F$914,'[2]8A. Master Device Catalog'!$G$5:$G$914,"")</f>
        <v/>
      </c>
      <c r="F760">
        <f>_xlfn.XLOOKUP(D760,'[2]8A. Master Device Catalog'!$F$5:$F$914,'[2]8A. Master Device Catalog'!$H$5:$H$914,"")</f>
        <v/>
      </c>
    </row>
    <row r="761" hidden="1" ht="21.5" customHeight="1" s="125">
      <c r="A761" t="inlineStr">
        <is>
          <t>DEV000760</t>
        </is>
      </c>
      <c r="B761" s="59" t="inlineStr">
        <is>
          <t>APL</t>
        </is>
      </c>
      <c r="C761" s="59" t="inlineStr">
        <is>
          <t>OTH</t>
        </is>
      </c>
      <c r="D761" s="62" t="inlineStr">
        <is>
          <t>Apple TV 4K (1st Gen)</t>
        </is>
      </c>
      <c r="E761">
        <f>_xlfn.XLOOKUP(D761,'[2]8A. Master Device Catalog'!$F$5:$F$914,'[2]8A. Master Device Catalog'!$G$5:$G$914,"")</f>
        <v/>
      </c>
      <c r="F761">
        <f>_xlfn.XLOOKUP(D761,'[2]8A. Master Device Catalog'!$F$5:$F$914,'[2]8A. Master Device Catalog'!$H$5:$H$914,"")</f>
        <v/>
      </c>
    </row>
    <row r="762" hidden="1" ht="21.5" customHeight="1" s="125">
      <c r="A762" t="inlineStr">
        <is>
          <t>DEV000761</t>
        </is>
      </c>
      <c r="B762" s="59" t="inlineStr">
        <is>
          <t>APL</t>
        </is>
      </c>
      <c r="C762" s="59" t="inlineStr">
        <is>
          <t>OTH</t>
        </is>
      </c>
      <c r="D762" s="62" t="inlineStr">
        <is>
          <t>Apple TV 4K (2nd Gen)</t>
        </is>
      </c>
      <c r="E762">
        <f>_xlfn.XLOOKUP(D762,'[2]8A. Master Device Catalog'!$F$5:$F$914,'[2]8A. Master Device Catalog'!$G$5:$G$914,"")</f>
        <v/>
      </c>
      <c r="F762">
        <f>_xlfn.XLOOKUP(D762,'[2]8A. Master Device Catalog'!$F$5:$F$914,'[2]8A. Master Device Catalog'!$H$5:$H$914,"")</f>
        <v/>
      </c>
    </row>
    <row r="763" hidden="1" ht="21.5" customHeight="1" s="125">
      <c r="A763" t="inlineStr">
        <is>
          <t>DEV000762</t>
        </is>
      </c>
      <c r="B763" s="59" t="inlineStr">
        <is>
          <t>APL</t>
        </is>
      </c>
      <c r="C763" s="59" t="inlineStr">
        <is>
          <t>OTH</t>
        </is>
      </c>
      <c r="D763" s="62" t="inlineStr">
        <is>
          <t>Apple TV 4K (3rd Gen)</t>
        </is>
      </c>
      <c r="E763">
        <f>_xlfn.XLOOKUP(D763,'[2]8A. Master Device Catalog'!$F$5:$F$914,'[2]8A. Master Device Catalog'!$G$5:$G$914,"")</f>
        <v/>
      </c>
      <c r="F763">
        <f>_xlfn.XLOOKUP(D763,'[2]8A. Master Device Catalog'!$F$5:$F$914,'[2]8A. Master Device Catalog'!$H$5:$H$914,"")</f>
        <v/>
      </c>
    </row>
    <row r="764" hidden="1" ht="21.5" customHeight="1" s="125">
      <c r="A764" t="inlineStr">
        <is>
          <t>DEV000763</t>
        </is>
      </c>
      <c r="B764" s="59" t="inlineStr">
        <is>
          <t>APL</t>
        </is>
      </c>
      <c r="C764" s="59" t="inlineStr">
        <is>
          <t>OTH</t>
        </is>
      </c>
      <c r="D764" s="62" t="inlineStr">
        <is>
          <t>Apple Vision Pro</t>
        </is>
      </c>
      <c r="E764">
        <f>_xlfn.XLOOKUP(D764,'[2]8A. Master Device Catalog'!$F$5:$F$914,'[2]8A. Master Device Catalog'!$G$5:$G$914,"")</f>
        <v/>
      </c>
      <c r="F764">
        <f>_xlfn.XLOOKUP(D764,'[2]8A. Master Device Catalog'!$F$5:$F$914,'[2]8A. Master Device Catalog'!$H$5:$H$914,"")</f>
        <v/>
      </c>
    </row>
    <row r="765" hidden="1" ht="21.5" customHeight="1" s="125">
      <c r="A765" t="inlineStr">
        <is>
          <t>DEV000764</t>
        </is>
      </c>
      <c r="B765" s="59" t="inlineStr">
        <is>
          <t>APL</t>
        </is>
      </c>
      <c r="C765" s="59" t="inlineStr">
        <is>
          <t>WEAR</t>
        </is>
      </c>
      <c r="D765" s="61" t="inlineStr">
        <is>
          <t>AirPods</t>
        </is>
      </c>
      <c r="E765">
        <f>_xlfn.XLOOKUP(D765,'[2]8A. Master Device Catalog'!$F$5:$F$914,'[2]8A. Master Device Catalog'!$G$5:$G$914,"")</f>
        <v/>
      </c>
      <c r="F765">
        <f>_xlfn.XLOOKUP(D765,'[2]8A. Master Device Catalog'!$F$5:$F$914,'[2]8A. Master Device Catalog'!$H$5:$H$914,"")</f>
        <v/>
      </c>
    </row>
    <row r="766" hidden="1" ht="21.5" customHeight="1" s="125">
      <c r="A766" t="inlineStr">
        <is>
          <t>DEV000765</t>
        </is>
      </c>
      <c r="B766" s="59" t="inlineStr">
        <is>
          <t>APL</t>
        </is>
      </c>
      <c r="C766" s="59" t="inlineStr">
        <is>
          <t>WEAR</t>
        </is>
      </c>
      <c r="D766" s="61" t="inlineStr">
        <is>
          <t>AirPods Pro</t>
        </is>
      </c>
      <c r="E766">
        <f>_xlfn.XLOOKUP(D766,'[2]8A. Master Device Catalog'!$F$5:$F$914,'[2]8A. Master Device Catalog'!$G$5:$G$914,"")</f>
        <v/>
      </c>
      <c r="F766">
        <f>_xlfn.XLOOKUP(D766,'[2]8A. Master Device Catalog'!$F$5:$F$914,'[2]8A. Master Device Catalog'!$H$5:$H$914,"")</f>
        <v/>
      </c>
    </row>
    <row r="767" hidden="1" ht="21.5" customHeight="1" s="125">
      <c r="A767" t="inlineStr">
        <is>
          <t>DEV000766</t>
        </is>
      </c>
      <c r="B767" s="59" t="inlineStr">
        <is>
          <t>APL</t>
        </is>
      </c>
      <c r="C767" s="59" t="inlineStr">
        <is>
          <t>WEAR</t>
        </is>
      </c>
      <c r="D767" s="61" t="inlineStr">
        <is>
          <t>AirPods Max</t>
        </is>
      </c>
      <c r="E767">
        <f>_xlfn.XLOOKUP(D767,'[2]8A. Master Device Catalog'!$F$5:$F$914,'[2]8A. Master Device Catalog'!$G$5:$G$914,"")</f>
        <v/>
      </c>
      <c r="F767">
        <f>_xlfn.XLOOKUP(D767,'[2]8A. Master Device Catalog'!$F$5:$F$914,'[2]8A. Master Device Catalog'!$H$5:$H$914,"")</f>
        <v/>
      </c>
    </row>
    <row r="768" hidden="1" ht="21.5" customHeight="1" s="125">
      <c r="A768" t="inlineStr">
        <is>
          <t>DEV000767</t>
        </is>
      </c>
      <c r="B768" s="59" t="inlineStr">
        <is>
          <t>FIT</t>
        </is>
      </c>
      <c r="C768" s="59" t="inlineStr">
        <is>
          <t>WEAR</t>
        </is>
      </c>
      <c r="D768" s="61" t="inlineStr">
        <is>
          <t>Inspire 3</t>
        </is>
      </c>
      <c r="E768">
        <f>_xlfn.XLOOKUP(D768,'[2]8A. Master Device Catalog'!$F$5:$F$914,'[2]8A. Master Device Catalog'!$G$5:$G$914,"")</f>
        <v/>
      </c>
      <c r="F768">
        <f>_xlfn.XLOOKUP(D768,'[2]8A. Master Device Catalog'!$F$5:$F$914,'[2]8A. Master Device Catalog'!$H$5:$H$914,"")</f>
        <v/>
      </c>
    </row>
    <row r="769" hidden="1" ht="21.5" customHeight="1" s="125">
      <c r="A769" t="inlineStr">
        <is>
          <t>DEV000768</t>
        </is>
      </c>
      <c r="B769" s="59" t="inlineStr">
        <is>
          <t>FIT</t>
        </is>
      </c>
      <c r="C769" s="59" t="inlineStr">
        <is>
          <t>WEAR</t>
        </is>
      </c>
      <c r="D769" s="61" t="inlineStr">
        <is>
          <t>Charge 6</t>
        </is>
      </c>
      <c r="E769">
        <f>_xlfn.XLOOKUP(D769,'[2]8A. Master Device Catalog'!$F$5:$F$914,'[2]8A. Master Device Catalog'!$G$5:$G$914,"")</f>
        <v/>
      </c>
      <c r="F769">
        <f>_xlfn.XLOOKUP(D769,'[2]8A. Master Device Catalog'!$F$5:$F$914,'[2]8A. Master Device Catalog'!$H$5:$H$914,"")</f>
        <v/>
      </c>
    </row>
    <row r="770" hidden="1" ht="21.5" customHeight="1" s="125">
      <c r="A770" t="inlineStr">
        <is>
          <t>DEV000769</t>
        </is>
      </c>
      <c r="B770" s="59" t="inlineStr">
        <is>
          <t>FIT</t>
        </is>
      </c>
      <c r="C770" s="59" t="inlineStr">
        <is>
          <t>WEAR</t>
        </is>
      </c>
      <c r="D770" s="61" t="inlineStr">
        <is>
          <t>Sense 2</t>
        </is>
      </c>
      <c r="E770">
        <f>_xlfn.XLOOKUP(D770,'[2]8A. Master Device Catalog'!$F$5:$F$914,'[2]8A. Master Device Catalog'!$G$5:$G$914,"")</f>
        <v/>
      </c>
      <c r="F770">
        <f>_xlfn.XLOOKUP(D770,'[2]8A. Master Device Catalog'!$F$5:$F$914,'[2]8A. Master Device Catalog'!$H$5:$H$914,"")</f>
        <v/>
      </c>
    </row>
    <row r="771" hidden="1" ht="21.5" customHeight="1" s="125">
      <c r="A771" t="inlineStr">
        <is>
          <t>DEV000770</t>
        </is>
      </c>
      <c r="B771" s="59" t="inlineStr">
        <is>
          <t>FIT</t>
        </is>
      </c>
      <c r="C771" s="59" t="inlineStr">
        <is>
          <t>WEAR</t>
        </is>
      </c>
      <c r="D771" s="61" t="inlineStr">
        <is>
          <t>Versa 4</t>
        </is>
      </c>
      <c r="E771">
        <f>_xlfn.XLOOKUP(D771,'[2]8A. Master Device Catalog'!$F$5:$F$914,'[2]8A. Master Device Catalog'!$G$5:$G$914,"")</f>
        <v/>
      </c>
      <c r="F771">
        <f>_xlfn.XLOOKUP(D771,'[2]8A. Master Device Catalog'!$F$5:$F$914,'[2]8A. Master Device Catalog'!$H$5:$H$914,"")</f>
        <v/>
      </c>
    </row>
    <row r="772" hidden="1" ht="21.5" customHeight="1" s="125">
      <c r="A772" t="inlineStr">
        <is>
          <t>DEV000771</t>
        </is>
      </c>
      <c r="B772" s="59" t="inlineStr">
        <is>
          <t>FIT</t>
        </is>
      </c>
      <c r="C772" s="59" t="inlineStr">
        <is>
          <t>WEAR</t>
        </is>
      </c>
      <c r="D772" s="61" t="inlineStr">
        <is>
          <t>Charge 5</t>
        </is>
      </c>
      <c r="E772">
        <f>_xlfn.XLOOKUP(D772,'[2]8A. Master Device Catalog'!$F$5:$F$914,'[2]8A. Master Device Catalog'!$G$5:$G$914,"")</f>
        <v/>
      </c>
      <c r="F772">
        <f>_xlfn.XLOOKUP(D772,'[2]8A. Master Device Catalog'!$F$5:$F$914,'[2]8A. Master Device Catalog'!$H$5:$H$914,"")</f>
        <v/>
      </c>
    </row>
    <row r="773" hidden="1" ht="21.5" customHeight="1" s="125">
      <c r="A773" t="inlineStr">
        <is>
          <t>DEV000772</t>
        </is>
      </c>
      <c r="B773" s="59" t="inlineStr">
        <is>
          <t>FIT</t>
        </is>
      </c>
      <c r="C773" s="59" t="inlineStr">
        <is>
          <t>WEAR</t>
        </is>
      </c>
      <c r="D773" s="61" t="inlineStr">
        <is>
          <t>Charge 4</t>
        </is>
      </c>
      <c r="E773">
        <f>_xlfn.XLOOKUP(D773,'[2]8A. Master Device Catalog'!$F$5:$F$914,'[2]8A. Master Device Catalog'!$G$5:$G$914,"")</f>
        <v/>
      </c>
      <c r="F773">
        <f>_xlfn.XLOOKUP(D773,'[2]8A. Master Device Catalog'!$F$5:$F$914,'[2]8A. Master Device Catalog'!$H$5:$H$914,"")</f>
        <v/>
      </c>
    </row>
    <row r="774" hidden="1" ht="21.5" customHeight="1" s="125">
      <c r="A774" t="inlineStr">
        <is>
          <t>DEV000773</t>
        </is>
      </c>
      <c r="B774" s="59" t="inlineStr">
        <is>
          <t>FIT</t>
        </is>
      </c>
      <c r="C774" s="59" t="inlineStr">
        <is>
          <t>WEAR</t>
        </is>
      </c>
      <c r="D774" s="61" t="inlineStr">
        <is>
          <t>Luxe</t>
        </is>
      </c>
      <c r="E774">
        <f>_xlfn.XLOOKUP(D774,'[2]8A. Master Device Catalog'!$F$5:$F$914,'[2]8A. Master Device Catalog'!$G$5:$G$914,"")</f>
        <v/>
      </c>
      <c r="F774">
        <f>_xlfn.XLOOKUP(D774,'[2]8A. Master Device Catalog'!$F$5:$F$914,'[2]8A. Master Device Catalog'!$H$5:$H$914,"")</f>
        <v/>
      </c>
    </row>
    <row r="775" hidden="1" ht="21.5" customHeight="1" s="125">
      <c r="A775" t="inlineStr">
        <is>
          <t>DEV000774</t>
        </is>
      </c>
      <c r="B775" s="59" t="inlineStr">
        <is>
          <t>FIT</t>
        </is>
      </c>
      <c r="C775" s="59" t="inlineStr">
        <is>
          <t>WEAR</t>
        </is>
      </c>
      <c r="D775" s="61" t="inlineStr">
        <is>
          <t>Ace LTE</t>
        </is>
      </c>
      <c r="E775">
        <f>_xlfn.XLOOKUP(D775,'[2]8A. Master Device Catalog'!$F$5:$F$914,'[2]8A. Master Device Catalog'!$G$5:$G$914,"")</f>
        <v/>
      </c>
      <c r="F775">
        <f>_xlfn.XLOOKUP(D775,'[2]8A. Master Device Catalog'!$F$5:$F$914,'[2]8A. Master Device Catalog'!$H$5:$H$914,"")</f>
        <v/>
      </c>
    </row>
    <row r="776" hidden="1" ht="21.5" customHeight="1" s="125">
      <c r="A776" t="inlineStr">
        <is>
          <t>DEV000775</t>
        </is>
      </c>
      <c r="B776" s="59" t="inlineStr">
        <is>
          <t>GAR</t>
        </is>
      </c>
      <c r="C776" s="59" t="inlineStr">
        <is>
          <t>WEAR</t>
        </is>
      </c>
      <c r="D776" s="61" t="inlineStr">
        <is>
          <t>Forerunner 165</t>
        </is>
      </c>
      <c r="E776">
        <f>_xlfn.XLOOKUP(D776,'[2]8A. Master Device Catalog'!$F$5:$F$914,'[2]8A. Master Device Catalog'!$G$5:$G$914,"")</f>
        <v/>
      </c>
      <c r="F776">
        <f>_xlfn.XLOOKUP(D776,'[2]8A. Master Device Catalog'!$F$5:$F$914,'[2]8A. Master Device Catalog'!$H$5:$H$914,"")</f>
        <v/>
      </c>
    </row>
    <row r="777" hidden="1" ht="21.5" customHeight="1" s="125">
      <c r="A777" t="inlineStr">
        <is>
          <t>DEV000776</t>
        </is>
      </c>
      <c r="B777" s="59" t="inlineStr">
        <is>
          <t>GAR</t>
        </is>
      </c>
      <c r="C777" s="59" t="inlineStr">
        <is>
          <t>WEAR</t>
        </is>
      </c>
      <c r="D777" s="61" t="inlineStr">
        <is>
          <t>Fenix 8</t>
        </is>
      </c>
      <c r="E777">
        <f>_xlfn.XLOOKUP(D777,'[2]8A. Master Device Catalog'!$F$5:$F$914,'[2]8A. Master Device Catalog'!$G$5:$G$914,"")</f>
        <v/>
      </c>
      <c r="F777">
        <f>_xlfn.XLOOKUP(D777,'[2]8A. Master Device Catalog'!$F$5:$F$914,'[2]8A. Master Device Catalog'!$H$5:$H$914,"")</f>
        <v/>
      </c>
    </row>
    <row r="778" hidden="1" ht="21.5" customHeight="1" s="125">
      <c r="A778" t="inlineStr">
        <is>
          <t>DEV000777</t>
        </is>
      </c>
      <c r="B778" s="59" t="inlineStr">
        <is>
          <t>GAR</t>
        </is>
      </c>
      <c r="C778" s="59" t="inlineStr">
        <is>
          <t>WEAR</t>
        </is>
      </c>
      <c r="D778" s="61" t="inlineStr">
        <is>
          <t>Forerunner 965</t>
        </is>
      </c>
      <c r="E778">
        <f>_xlfn.XLOOKUP(D778,'[2]8A. Master Device Catalog'!$F$5:$F$914,'[2]8A. Master Device Catalog'!$G$5:$G$914,"")</f>
        <v/>
      </c>
      <c r="F778">
        <f>_xlfn.XLOOKUP(D778,'[2]8A. Master Device Catalog'!$F$5:$F$914,'[2]8A. Master Device Catalog'!$H$5:$H$914,"")</f>
        <v/>
      </c>
    </row>
    <row r="779" hidden="1" ht="21.5" customHeight="1" s="125">
      <c r="A779" t="inlineStr">
        <is>
          <t>DEV000778</t>
        </is>
      </c>
      <c r="B779" s="59" t="inlineStr">
        <is>
          <t>GAR</t>
        </is>
      </c>
      <c r="C779" s="59" t="inlineStr">
        <is>
          <t>WEAR</t>
        </is>
      </c>
      <c r="D779" s="61" t="inlineStr">
        <is>
          <t>Venu 3</t>
        </is>
      </c>
      <c r="E779">
        <f>_xlfn.XLOOKUP(D779,'[2]8A. Master Device Catalog'!$F$5:$F$914,'[2]8A. Master Device Catalog'!$G$5:$G$914,"")</f>
        <v/>
      </c>
      <c r="F779">
        <f>_xlfn.XLOOKUP(D779,'[2]8A. Master Device Catalog'!$F$5:$F$914,'[2]8A. Master Device Catalog'!$H$5:$H$914,"")</f>
        <v/>
      </c>
    </row>
    <row r="780" hidden="1" ht="21.5" customHeight="1" s="125">
      <c r="A780" t="inlineStr">
        <is>
          <t>DEV000779</t>
        </is>
      </c>
      <c r="B780" s="59" t="inlineStr">
        <is>
          <t>GAR</t>
        </is>
      </c>
      <c r="C780" s="59" t="inlineStr">
        <is>
          <t>WEAR</t>
        </is>
      </c>
      <c r="D780" s="61" t="inlineStr">
        <is>
          <t>Epix Pro</t>
        </is>
      </c>
      <c r="E780">
        <f>_xlfn.XLOOKUP(D780,'[2]8A. Master Device Catalog'!$F$5:$F$914,'[2]8A. Master Device Catalog'!$G$5:$G$914,"")</f>
        <v/>
      </c>
      <c r="F780">
        <f>_xlfn.XLOOKUP(D780,'[2]8A. Master Device Catalog'!$F$5:$F$914,'[2]8A. Master Device Catalog'!$H$5:$H$914,"")</f>
        <v/>
      </c>
    </row>
    <row r="781" hidden="1" ht="21.5" customHeight="1" s="125">
      <c r="A781" t="inlineStr">
        <is>
          <t>DEV000780</t>
        </is>
      </c>
      <c r="B781" s="59" t="inlineStr">
        <is>
          <t>GAR</t>
        </is>
      </c>
      <c r="C781" s="59" t="inlineStr">
        <is>
          <t>WEAR</t>
        </is>
      </c>
      <c r="D781" s="61" t="inlineStr">
        <is>
          <t>Instinct 2X</t>
        </is>
      </c>
      <c r="E781">
        <f>_xlfn.XLOOKUP(D781,'[2]8A. Master Device Catalog'!$F$5:$F$914,'[2]8A. Master Device Catalog'!$G$5:$G$914,"")</f>
        <v/>
      </c>
      <c r="F781">
        <f>_xlfn.XLOOKUP(D781,'[2]8A. Master Device Catalog'!$F$5:$F$914,'[2]8A. Master Device Catalog'!$H$5:$H$914,"")</f>
        <v/>
      </c>
    </row>
    <row r="782" hidden="1" ht="21.5" customHeight="1" s="125">
      <c r="A782" t="inlineStr">
        <is>
          <t>DEV000781</t>
        </is>
      </c>
      <c r="B782" s="59" t="inlineStr">
        <is>
          <t>GAR</t>
        </is>
      </c>
      <c r="C782" s="59" t="inlineStr">
        <is>
          <t>WEAR</t>
        </is>
      </c>
      <c r="D782" s="61" t="inlineStr">
        <is>
          <t>Fenix 7</t>
        </is>
      </c>
      <c r="E782">
        <f>_xlfn.XLOOKUP(D782,'[2]8A. Master Device Catalog'!$F$5:$F$914,'[2]8A. Master Device Catalog'!$G$5:$G$914,"")</f>
        <v/>
      </c>
      <c r="F782">
        <f>_xlfn.XLOOKUP(D782,'[2]8A. Master Device Catalog'!$F$5:$F$914,'[2]8A. Master Device Catalog'!$H$5:$H$914,"")</f>
        <v/>
      </c>
    </row>
    <row r="783" hidden="1" ht="21.5" customHeight="1" s="125">
      <c r="A783" t="inlineStr">
        <is>
          <t>DEV000782</t>
        </is>
      </c>
      <c r="B783" s="59" t="inlineStr">
        <is>
          <t>GAR</t>
        </is>
      </c>
      <c r="C783" s="59" t="inlineStr">
        <is>
          <t>WEAR</t>
        </is>
      </c>
      <c r="D783" s="61" t="inlineStr">
        <is>
          <t>Fenix 7 Pro</t>
        </is>
      </c>
      <c r="E783">
        <f>_xlfn.XLOOKUP(D783,'[2]8A. Master Device Catalog'!$F$5:$F$914,'[2]8A. Master Device Catalog'!$G$5:$G$914,"")</f>
        <v/>
      </c>
      <c r="F783">
        <f>_xlfn.XLOOKUP(D783,'[2]8A. Master Device Catalog'!$F$5:$F$914,'[2]8A. Master Device Catalog'!$H$5:$H$914,"")</f>
        <v/>
      </c>
    </row>
    <row r="784" hidden="1" ht="21.5" customHeight="1" s="125">
      <c r="A784" t="inlineStr">
        <is>
          <t>DEV000783</t>
        </is>
      </c>
      <c r="B784" s="59" t="inlineStr">
        <is>
          <t>GAR</t>
        </is>
      </c>
      <c r="C784" s="59" t="inlineStr">
        <is>
          <t>WEAR</t>
        </is>
      </c>
      <c r="D784" s="61" t="inlineStr">
        <is>
          <t>Fenix 6</t>
        </is>
      </c>
      <c r="E784">
        <f>_xlfn.XLOOKUP(D784,'[2]8A. Master Device Catalog'!$F$5:$F$914,'[2]8A. Master Device Catalog'!$G$5:$G$914,"")</f>
        <v/>
      </c>
      <c r="F784">
        <f>_xlfn.XLOOKUP(D784,'[2]8A. Master Device Catalog'!$F$5:$F$914,'[2]8A. Master Device Catalog'!$H$5:$H$914,"")</f>
        <v/>
      </c>
    </row>
    <row r="785" hidden="1" ht="21.5" customHeight="1" s="125">
      <c r="A785" t="inlineStr">
        <is>
          <t>DEV000784</t>
        </is>
      </c>
      <c r="B785" s="59" t="inlineStr">
        <is>
          <t>GAR</t>
        </is>
      </c>
      <c r="C785" s="59" t="inlineStr">
        <is>
          <t>WEAR</t>
        </is>
      </c>
      <c r="D785" s="61" t="inlineStr">
        <is>
          <t>Forerunner 265</t>
        </is>
      </c>
      <c r="E785">
        <f>_xlfn.XLOOKUP(D785,'[2]8A. Master Device Catalog'!$F$5:$F$914,'[2]8A. Master Device Catalog'!$G$5:$G$914,"")</f>
        <v/>
      </c>
      <c r="F785">
        <f>_xlfn.XLOOKUP(D785,'[2]8A. Master Device Catalog'!$F$5:$F$914,'[2]8A. Master Device Catalog'!$H$5:$H$914,"")</f>
        <v/>
      </c>
    </row>
    <row r="786" hidden="1" ht="21.5" customHeight="1" s="125">
      <c r="A786" t="inlineStr">
        <is>
          <t>DEV000785</t>
        </is>
      </c>
      <c r="B786" s="59" t="inlineStr">
        <is>
          <t>GAR</t>
        </is>
      </c>
      <c r="C786" s="59" t="inlineStr">
        <is>
          <t>WEAR</t>
        </is>
      </c>
      <c r="D786" s="61" t="inlineStr">
        <is>
          <t>Forerunner 55</t>
        </is>
      </c>
      <c r="E786">
        <f>_xlfn.XLOOKUP(D786,'[2]8A. Master Device Catalog'!$F$5:$F$914,'[2]8A. Master Device Catalog'!$G$5:$G$914,"")</f>
        <v/>
      </c>
      <c r="F786">
        <f>_xlfn.XLOOKUP(D786,'[2]8A. Master Device Catalog'!$F$5:$F$914,'[2]8A. Master Device Catalog'!$H$5:$H$914,"")</f>
        <v/>
      </c>
    </row>
    <row r="787" hidden="1" ht="21.5" customHeight="1" s="125">
      <c r="A787" t="inlineStr">
        <is>
          <t>DEV000786</t>
        </is>
      </c>
      <c r="B787" s="59" t="inlineStr">
        <is>
          <t>GAR</t>
        </is>
      </c>
      <c r="C787" s="59" t="inlineStr">
        <is>
          <t>WEAR</t>
        </is>
      </c>
      <c r="D787" s="61" t="inlineStr">
        <is>
          <t>Vivoactive 5</t>
        </is>
      </c>
      <c r="E787">
        <f>_xlfn.XLOOKUP(D787,'[2]8A. Master Device Catalog'!$F$5:$F$914,'[2]8A. Master Device Catalog'!$G$5:$G$914,"")</f>
        <v/>
      </c>
      <c r="F787">
        <f>_xlfn.XLOOKUP(D787,'[2]8A. Master Device Catalog'!$F$5:$F$914,'[2]8A. Master Device Catalog'!$H$5:$H$914,"")</f>
        <v/>
      </c>
    </row>
    <row r="788" hidden="1" ht="21.5" customHeight="1" s="125">
      <c r="A788" t="inlineStr">
        <is>
          <t>DEV000787</t>
        </is>
      </c>
      <c r="B788" s="59" t="inlineStr">
        <is>
          <t>GAR</t>
        </is>
      </c>
      <c r="C788" s="59" t="inlineStr">
        <is>
          <t>WEAR</t>
        </is>
      </c>
      <c r="D788" s="61" t="inlineStr">
        <is>
          <t>Enduro 2</t>
        </is>
      </c>
      <c r="E788">
        <f>_xlfn.XLOOKUP(D788,'[2]8A. Master Device Catalog'!$F$5:$F$914,'[2]8A. Master Device Catalog'!$G$5:$G$914,"")</f>
        <v/>
      </c>
      <c r="F788">
        <f>_xlfn.XLOOKUP(D788,'[2]8A. Master Device Catalog'!$F$5:$F$914,'[2]8A. Master Device Catalog'!$H$5:$H$914,"")</f>
        <v/>
      </c>
    </row>
    <row r="789" hidden="1" ht="21.5" customHeight="1" s="125">
      <c r="A789" t="inlineStr">
        <is>
          <t>DEV000788</t>
        </is>
      </c>
      <c r="B789" s="59" t="inlineStr">
        <is>
          <t>GOO</t>
        </is>
      </c>
      <c r="C789" s="59" t="inlineStr">
        <is>
          <t>WEAR</t>
        </is>
      </c>
      <c r="D789" s="61" t="inlineStr">
        <is>
          <t>Pixel Watch 2</t>
        </is>
      </c>
      <c r="E789">
        <f>_xlfn.XLOOKUP(D789,'[2]8A. Master Device Catalog'!$F$5:$F$914,'[2]8A. Master Device Catalog'!$G$5:$G$914,"")</f>
        <v/>
      </c>
      <c r="F789">
        <f>_xlfn.XLOOKUP(D789,'[2]8A. Master Device Catalog'!$F$5:$F$914,'[2]8A. Master Device Catalog'!$H$5:$H$914,"")</f>
        <v/>
      </c>
    </row>
    <row r="790" hidden="1" ht="21.5" customHeight="1" s="125">
      <c r="A790" t="inlineStr">
        <is>
          <t>DEV000789</t>
        </is>
      </c>
      <c r="B790" s="59" t="inlineStr">
        <is>
          <t>GOO</t>
        </is>
      </c>
      <c r="C790" s="59" t="inlineStr">
        <is>
          <t>WEAR</t>
        </is>
      </c>
      <c r="D790" s="61" t="inlineStr">
        <is>
          <t>Pixel Watch</t>
        </is>
      </c>
      <c r="E790">
        <f>_xlfn.XLOOKUP(D790,'[2]8A. Master Device Catalog'!$F$5:$F$914,'[2]8A. Master Device Catalog'!$G$5:$G$914,"")</f>
        <v/>
      </c>
      <c r="F790">
        <f>_xlfn.XLOOKUP(D790,'[2]8A. Master Device Catalog'!$F$5:$F$914,'[2]8A. Master Device Catalog'!$H$5:$H$914,"")</f>
        <v/>
      </c>
    </row>
    <row r="791" hidden="1" ht="21.5" customHeight="1" s="125">
      <c r="A791" t="inlineStr">
        <is>
          <t>DEV000790</t>
        </is>
      </c>
      <c r="B791" s="59" t="inlineStr">
        <is>
          <t>GOO</t>
        </is>
      </c>
      <c r="C791" s="59" t="inlineStr">
        <is>
          <t>WEAR</t>
        </is>
      </c>
      <c r="D791" s="61" t="inlineStr">
        <is>
          <t>Pixel Watch 3</t>
        </is>
      </c>
      <c r="E791">
        <f>_xlfn.XLOOKUP(D791,'[2]8A. Master Device Catalog'!$F$5:$F$914,'[2]8A. Master Device Catalog'!$G$5:$G$914,"")</f>
        <v/>
      </c>
      <c r="F791">
        <f>_xlfn.XLOOKUP(D791,'[2]8A. Master Device Catalog'!$F$5:$F$914,'[2]8A. Master Device Catalog'!$H$5:$H$914,"")</f>
        <v/>
      </c>
    </row>
    <row r="792" hidden="1" ht="21.5" customHeight="1" s="125">
      <c r="A792" t="inlineStr">
        <is>
          <t>DEV000791</t>
        </is>
      </c>
      <c r="B792" s="59" t="inlineStr">
        <is>
          <t>GOO</t>
        </is>
      </c>
      <c r="C792" s="59" t="inlineStr">
        <is>
          <t>WEAR</t>
        </is>
      </c>
      <c r="D792" s="61" t="inlineStr">
        <is>
          <t>Pixel Watch LTE</t>
        </is>
      </c>
      <c r="E792">
        <f>_xlfn.XLOOKUP(D792,'[2]8A. Master Device Catalog'!$F$5:$F$914,'[2]8A. Master Device Catalog'!$G$5:$G$914,"")</f>
        <v/>
      </c>
      <c r="F792">
        <f>_xlfn.XLOOKUP(D792,'[2]8A. Master Device Catalog'!$F$5:$F$914,'[2]8A. Master Device Catalog'!$H$5:$H$914,"")</f>
        <v/>
      </c>
    </row>
    <row r="793" hidden="1" ht="21.5" customHeight="1" s="125">
      <c r="A793" t="inlineStr">
        <is>
          <t>DEV000792</t>
        </is>
      </c>
      <c r="B793" s="59" t="inlineStr">
        <is>
          <t>SAM</t>
        </is>
      </c>
      <c r="C793" s="59" t="inlineStr">
        <is>
          <t>WEAR</t>
        </is>
      </c>
      <c r="D793" s="61" t="inlineStr">
        <is>
          <t>Galaxy Watch6</t>
        </is>
      </c>
      <c r="E793">
        <f>_xlfn.XLOOKUP(D793,'[2]8A. Master Device Catalog'!$F$5:$F$914,'[2]8A. Master Device Catalog'!$G$5:$G$914,"")</f>
        <v/>
      </c>
      <c r="F793">
        <f>_xlfn.XLOOKUP(D793,'[2]8A. Master Device Catalog'!$F$5:$F$914,'[2]8A. Master Device Catalog'!$H$5:$H$914,"")</f>
        <v/>
      </c>
    </row>
    <row r="794" hidden="1" ht="21.5" customHeight="1" s="125">
      <c r="A794" t="inlineStr">
        <is>
          <t>DEV000793</t>
        </is>
      </c>
      <c r="B794" s="59" t="inlineStr">
        <is>
          <t>SAM</t>
        </is>
      </c>
      <c r="C794" s="59" t="inlineStr">
        <is>
          <t>WEAR</t>
        </is>
      </c>
      <c r="D794" s="61" t="inlineStr">
        <is>
          <t>Galaxy Watch FE</t>
        </is>
      </c>
      <c r="E794">
        <f>_xlfn.XLOOKUP(D794,'[2]8A. Master Device Catalog'!$F$5:$F$914,'[2]8A. Master Device Catalog'!$G$5:$G$914,"")</f>
        <v/>
      </c>
      <c r="F794">
        <f>_xlfn.XLOOKUP(D794,'[2]8A. Master Device Catalog'!$F$5:$F$914,'[2]8A. Master Device Catalog'!$H$5:$H$914,"")</f>
        <v/>
      </c>
    </row>
    <row r="795" hidden="1" ht="21.5" customHeight="1" s="125">
      <c r="A795" t="inlineStr">
        <is>
          <t>DEV000794</t>
        </is>
      </c>
      <c r="B795" s="59" t="inlineStr">
        <is>
          <t>SAM</t>
        </is>
      </c>
      <c r="C795" s="59" t="inlineStr">
        <is>
          <t>WEAR</t>
        </is>
      </c>
      <c r="D795" s="61" t="inlineStr">
        <is>
          <t>Galaxy Watch6 Classic</t>
        </is>
      </c>
      <c r="E795">
        <f>_xlfn.XLOOKUP(D795,'[2]8A. Master Device Catalog'!$F$5:$F$914,'[2]8A. Master Device Catalog'!$G$5:$G$914,"")</f>
        <v/>
      </c>
      <c r="F795">
        <f>_xlfn.XLOOKUP(D795,'[2]8A. Master Device Catalog'!$F$5:$F$914,'[2]8A. Master Device Catalog'!$H$5:$H$914,"")</f>
        <v/>
      </c>
    </row>
    <row r="796" hidden="1" ht="21.5" customHeight="1" s="125">
      <c r="A796" t="inlineStr">
        <is>
          <t>DEV000795</t>
        </is>
      </c>
      <c r="B796" s="59" t="inlineStr">
        <is>
          <t>SAM</t>
        </is>
      </c>
      <c r="C796" s="59" t="inlineStr">
        <is>
          <t>WEAR</t>
        </is>
      </c>
      <c r="D796" s="61" t="inlineStr">
        <is>
          <t>Galaxy Watch7</t>
        </is>
      </c>
      <c r="E796">
        <f>_xlfn.XLOOKUP(D796,'[2]8A. Master Device Catalog'!$F$5:$F$914,'[2]8A. Master Device Catalog'!$G$5:$G$914,"")</f>
        <v/>
      </c>
      <c r="F796">
        <f>_xlfn.XLOOKUP(D796,'[2]8A. Master Device Catalog'!$F$5:$F$914,'[2]8A. Master Device Catalog'!$H$5:$H$914,"")</f>
        <v/>
      </c>
    </row>
    <row r="797" hidden="1" ht="21.5" customHeight="1" s="125">
      <c r="A797" t="inlineStr">
        <is>
          <t>DEV000796</t>
        </is>
      </c>
      <c r="B797" s="59" t="inlineStr">
        <is>
          <t>SAM</t>
        </is>
      </c>
      <c r="C797" s="59" t="inlineStr">
        <is>
          <t>WEAR</t>
        </is>
      </c>
      <c r="D797" s="61" t="inlineStr">
        <is>
          <t>Galaxy Watch Ultra</t>
        </is>
      </c>
      <c r="E797">
        <f>_xlfn.XLOOKUP(D797,'[2]8A. Master Device Catalog'!$F$5:$F$914,'[2]8A. Master Device Catalog'!$G$5:$G$914,"")</f>
        <v/>
      </c>
      <c r="F797">
        <f>_xlfn.XLOOKUP(D797,'[2]8A. Master Device Catalog'!$F$5:$F$914,'[2]8A. Master Device Catalog'!$H$5:$H$914,"")</f>
        <v/>
      </c>
    </row>
    <row r="798" hidden="1" ht="21.5" customHeight="1" s="125">
      <c r="A798" t="inlineStr">
        <is>
          <t>DEV000797</t>
        </is>
      </c>
      <c r="B798" s="59" t="inlineStr">
        <is>
          <t>SAM</t>
        </is>
      </c>
      <c r="C798" s="59" t="inlineStr">
        <is>
          <t>WEAR</t>
        </is>
      </c>
      <c r="D798" s="61" t="inlineStr">
        <is>
          <t>Galaxy Fit3</t>
        </is>
      </c>
      <c r="E798">
        <f>_xlfn.XLOOKUP(D798,'[2]8A. Master Device Catalog'!$F$5:$F$914,'[2]8A. Master Device Catalog'!$G$5:$G$914,"")</f>
        <v/>
      </c>
      <c r="F798">
        <f>_xlfn.XLOOKUP(D798,'[2]8A. Master Device Catalog'!$F$5:$F$914,'[2]8A. Master Device Catalog'!$H$5:$H$914,"")</f>
        <v/>
      </c>
    </row>
    <row r="799" hidden="1" ht="21.5" customHeight="1" s="125">
      <c r="A799" t="inlineStr">
        <is>
          <t>DEV000798</t>
        </is>
      </c>
      <c r="B799" s="59" t="inlineStr">
        <is>
          <t>SAM</t>
        </is>
      </c>
      <c r="C799" s="59" t="inlineStr">
        <is>
          <t>WEAR</t>
        </is>
      </c>
      <c r="D799" s="61" t="inlineStr">
        <is>
          <t>Galaxy Buds FE</t>
        </is>
      </c>
      <c r="E799">
        <f>_xlfn.XLOOKUP(D799,'[2]8A. Master Device Catalog'!$F$5:$F$914,'[2]8A. Master Device Catalog'!$G$5:$G$914,"")</f>
        <v/>
      </c>
      <c r="F799">
        <f>_xlfn.XLOOKUP(D799,'[2]8A. Master Device Catalog'!$F$5:$F$914,'[2]8A. Master Device Catalog'!$H$5:$H$914,"")</f>
        <v/>
      </c>
    </row>
    <row r="800" hidden="1" ht="21.5" customHeight="1" s="125">
      <c r="A800" t="inlineStr">
        <is>
          <t>DEV000799</t>
        </is>
      </c>
      <c r="B800" s="59" t="inlineStr">
        <is>
          <t>SAM</t>
        </is>
      </c>
      <c r="C800" s="59" t="inlineStr">
        <is>
          <t>WEAR</t>
        </is>
      </c>
      <c r="D800" s="61" t="inlineStr">
        <is>
          <t>Galaxy Watch5</t>
        </is>
      </c>
      <c r="E800">
        <f>_xlfn.XLOOKUP(D800,'[2]8A. Master Device Catalog'!$F$5:$F$914,'[2]8A. Master Device Catalog'!$G$5:$G$914,"")</f>
        <v/>
      </c>
      <c r="F800">
        <f>_xlfn.XLOOKUP(D800,'[2]8A. Master Device Catalog'!$F$5:$F$914,'[2]8A. Master Device Catalog'!$H$5:$H$914,"")</f>
        <v/>
      </c>
    </row>
    <row r="801" hidden="1" ht="21.5" customHeight="1" s="125">
      <c r="A801" t="inlineStr">
        <is>
          <t>DEV000800</t>
        </is>
      </c>
      <c r="B801" s="59" t="inlineStr">
        <is>
          <t>SAM</t>
        </is>
      </c>
      <c r="C801" s="59" t="inlineStr">
        <is>
          <t>WEAR</t>
        </is>
      </c>
      <c r="D801" s="61" t="inlineStr">
        <is>
          <t>Galaxy Watch5 Pro</t>
        </is>
      </c>
      <c r="E801">
        <f>_xlfn.XLOOKUP(D801,'[2]8A. Master Device Catalog'!$F$5:$F$914,'[2]8A. Master Device Catalog'!$G$5:$G$914,"")</f>
        <v/>
      </c>
      <c r="F801">
        <f>_xlfn.XLOOKUP(D801,'[2]8A. Master Device Catalog'!$F$5:$F$914,'[2]8A. Master Device Catalog'!$H$5:$H$914,"")</f>
        <v/>
      </c>
    </row>
    <row r="802" hidden="1" ht="21.5" customHeight="1" s="125">
      <c r="A802" t="inlineStr">
        <is>
          <t>DEV000801</t>
        </is>
      </c>
      <c r="B802" s="59" t="inlineStr">
        <is>
          <t>SAM</t>
        </is>
      </c>
      <c r="C802" s="59" t="inlineStr">
        <is>
          <t>WEAR</t>
        </is>
      </c>
      <c r="D802" s="61" t="inlineStr">
        <is>
          <t>Galaxy Watch4</t>
        </is>
      </c>
      <c r="E802">
        <f>_xlfn.XLOOKUP(D802,'[2]8A. Master Device Catalog'!$F$5:$F$914,'[2]8A. Master Device Catalog'!$G$5:$G$914,"")</f>
        <v/>
      </c>
      <c r="F802">
        <f>_xlfn.XLOOKUP(D802,'[2]8A. Master Device Catalog'!$F$5:$F$914,'[2]8A. Master Device Catalog'!$H$5:$H$914,"")</f>
        <v/>
      </c>
    </row>
    <row r="803" hidden="1" ht="21.5" customHeight="1" s="125">
      <c r="A803" t="inlineStr">
        <is>
          <t>DEV000802</t>
        </is>
      </c>
      <c r="B803" s="59" t="inlineStr">
        <is>
          <t>SAM</t>
        </is>
      </c>
      <c r="C803" s="59" t="inlineStr">
        <is>
          <t>WEAR</t>
        </is>
      </c>
      <c r="D803" s="61" t="inlineStr">
        <is>
          <t>Galaxy Watch4 Classic</t>
        </is>
      </c>
      <c r="E803">
        <f>_xlfn.XLOOKUP(D803,'[2]8A. Master Device Catalog'!$F$5:$F$914,'[2]8A. Master Device Catalog'!$G$5:$G$914,"")</f>
        <v/>
      </c>
      <c r="F803">
        <f>_xlfn.XLOOKUP(D803,'[2]8A. Master Device Catalog'!$F$5:$F$914,'[2]8A. Master Device Catalog'!$H$5:$H$914,"")</f>
        <v/>
      </c>
    </row>
    <row r="804" hidden="1" ht="21.5" customHeight="1" s="125">
      <c r="A804" t="inlineStr">
        <is>
          <t>DEV000803</t>
        </is>
      </c>
      <c r="B804" s="59" t="inlineStr">
        <is>
          <t>SAM</t>
        </is>
      </c>
      <c r="C804" s="59" t="inlineStr">
        <is>
          <t>WEAR</t>
        </is>
      </c>
      <c r="D804" s="61" t="inlineStr">
        <is>
          <t>Galaxy Fit2</t>
        </is>
      </c>
      <c r="E804">
        <f>_xlfn.XLOOKUP(D804,'[2]8A. Master Device Catalog'!$F$5:$F$914,'[2]8A. Master Device Catalog'!$G$5:$G$914,"")</f>
        <v/>
      </c>
      <c r="F804">
        <f>_xlfn.XLOOKUP(D804,'[2]8A. Master Device Catalog'!$F$5:$F$914,'[2]8A. Master Device Catalog'!$H$5:$H$914,"")</f>
        <v/>
      </c>
    </row>
    <row r="805" hidden="1" ht="21.5" customHeight="1" s="125">
      <c r="A805" t="inlineStr">
        <is>
          <t>DEV000804</t>
        </is>
      </c>
      <c r="B805" s="59" t="inlineStr">
        <is>
          <t>SAM</t>
        </is>
      </c>
      <c r="C805" s="59" t="inlineStr">
        <is>
          <t>WEAR</t>
        </is>
      </c>
      <c r="D805" s="61" t="inlineStr">
        <is>
          <t>Galaxy Watch</t>
        </is>
      </c>
      <c r="E805">
        <f>_xlfn.XLOOKUP(D805,'[2]8A. Master Device Catalog'!$F$5:$F$914,'[2]8A. Master Device Catalog'!$G$5:$G$914,"")</f>
        <v/>
      </c>
      <c r="F805">
        <f>_xlfn.XLOOKUP(D805,'[2]8A. Master Device Catalog'!$F$5:$F$914,'[2]8A. Master Device Catalog'!$H$5:$H$914,"")</f>
        <v/>
      </c>
    </row>
    <row r="806" hidden="1" ht="21.5" customHeight="1" s="125">
      <c r="A806" t="inlineStr">
        <is>
          <t>DEV000805</t>
        </is>
      </c>
      <c r="B806" s="59" t="inlineStr">
        <is>
          <t>SAM</t>
        </is>
      </c>
      <c r="C806" s="59" t="inlineStr">
        <is>
          <t>WEAR</t>
        </is>
      </c>
      <c r="D806" s="60" t="inlineStr">
        <is>
          <t>Galaxy Watch Active</t>
        </is>
      </c>
      <c r="E806">
        <f>_xlfn.XLOOKUP(D806,'[2]8A. Master Device Catalog'!$F$5:$F$914,'[2]8A. Master Device Catalog'!$G$5:$G$914,"")</f>
        <v/>
      </c>
      <c r="F806">
        <f>_xlfn.XLOOKUP(D806,'[2]8A. Master Device Catalog'!$F$5:$F$914,'[2]8A. Master Device Catalog'!$H$5:$H$914,"")</f>
        <v/>
      </c>
    </row>
    <row r="807" hidden="1" ht="21.5" customHeight="1" s="125">
      <c r="A807" t="inlineStr">
        <is>
          <t>DEV000806</t>
        </is>
      </c>
      <c r="B807" s="59" t="inlineStr">
        <is>
          <t>SAM</t>
        </is>
      </c>
      <c r="C807" s="59" t="inlineStr">
        <is>
          <t>WEAR</t>
        </is>
      </c>
      <c r="D807" s="60" t="inlineStr">
        <is>
          <t>Galaxy Watch Active2</t>
        </is>
      </c>
      <c r="E807">
        <f>_xlfn.XLOOKUP(D807,'[2]8A. Master Device Catalog'!$F$5:$F$914,'[2]8A. Master Device Catalog'!$G$5:$G$914,"")</f>
        <v/>
      </c>
      <c r="F807">
        <f>_xlfn.XLOOKUP(D807,'[2]8A. Master Device Catalog'!$F$5:$F$914,'[2]8A. Master Device Catalog'!$H$5:$H$914,"")</f>
        <v/>
      </c>
    </row>
    <row r="808" hidden="1" ht="21.5" customHeight="1" s="125">
      <c r="A808" t="inlineStr">
        <is>
          <t>DEV000807</t>
        </is>
      </c>
      <c r="B808" s="59" t="inlineStr">
        <is>
          <t>SAM</t>
        </is>
      </c>
      <c r="C808" s="59" t="inlineStr">
        <is>
          <t>WEAR</t>
        </is>
      </c>
      <c r="D808" s="60" t="inlineStr">
        <is>
          <t>Galaxy Watch3</t>
        </is>
      </c>
      <c r="E808">
        <f>_xlfn.XLOOKUP(D808,'[2]8A. Master Device Catalog'!$F$5:$F$914,'[2]8A. Master Device Catalog'!$G$5:$G$914,"")</f>
        <v/>
      </c>
      <c r="F808">
        <f>_xlfn.XLOOKUP(D808,'[2]8A. Master Device Catalog'!$F$5:$F$914,'[2]8A. Master Device Catalog'!$H$5:$H$914,"")</f>
        <v/>
      </c>
    </row>
    <row r="809" hidden="1" ht="21.5" customHeight="1" s="125">
      <c r="A809" t="inlineStr">
        <is>
          <t>DEV000808</t>
        </is>
      </c>
      <c r="B809" s="59" t="inlineStr">
        <is>
          <t>SAM</t>
        </is>
      </c>
      <c r="C809" s="59" t="inlineStr">
        <is>
          <t>WEAR</t>
        </is>
      </c>
      <c r="D809" s="60" t="inlineStr">
        <is>
          <t>Galaxy Buds</t>
        </is>
      </c>
      <c r="E809">
        <f>_xlfn.XLOOKUP(D809,'[2]8A. Master Device Catalog'!$F$5:$F$914,'[2]8A. Master Device Catalog'!$G$5:$G$914,"")</f>
        <v/>
      </c>
      <c r="F809">
        <f>_xlfn.XLOOKUP(D809,'[2]8A. Master Device Catalog'!$F$5:$F$914,'[2]8A. Master Device Catalog'!$H$5:$H$914,"")</f>
        <v/>
      </c>
    </row>
    <row r="810" hidden="1" ht="21.5" customHeight="1" s="125">
      <c r="A810" t="inlineStr">
        <is>
          <t>DEV000809</t>
        </is>
      </c>
      <c r="B810" s="59" t="inlineStr">
        <is>
          <t>SAM</t>
        </is>
      </c>
      <c r="C810" s="59" t="inlineStr">
        <is>
          <t>WEAR</t>
        </is>
      </c>
      <c r="D810" s="60" t="inlineStr">
        <is>
          <t>Galaxy Buds+</t>
        </is>
      </c>
      <c r="E810">
        <f>_xlfn.XLOOKUP(D810,'[2]8A. Master Device Catalog'!$F$5:$F$914,'[2]8A. Master Device Catalog'!$G$5:$G$914,"")</f>
        <v/>
      </c>
      <c r="F810">
        <f>_xlfn.XLOOKUP(D810,'[2]8A. Master Device Catalog'!$F$5:$F$914,'[2]8A. Master Device Catalog'!$H$5:$H$914,"")</f>
        <v/>
      </c>
    </row>
    <row r="811" hidden="1" ht="21.5" customHeight="1" s="125">
      <c r="A811" t="inlineStr">
        <is>
          <t>DEV000810</t>
        </is>
      </c>
      <c r="B811" s="59" t="inlineStr">
        <is>
          <t>SAM</t>
        </is>
      </c>
      <c r="C811" s="59" t="inlineStr">
        <is>
          <t>WEAR</t>
        </is>
      </c>
      <c r="D811" s="60" t="inlineStr">
        <is>
          <t>Galaxy Buds Live</t>
        </is>
      </c>
      <c r="E811">
        <f>_xlfn.XLOOKUP(D811,'[2]8A. Master Device Catalog'!$F$5:$F$914,'[2]8A. Master Device Catalog'!$G$5:$G$914,"")</f>
        <v/>
      </c>
      <c r="F811">
        <f>_xlfn.XLOOKUP(D811,'[2]8A. Master Device Catalog'!$F$5:$F$914,'[2]8A. Master Device Catalog'!$H$5:$H$914,"")</f>
        <v/>
      </c>
    </row>
    <row r="812" hidden="1" ht="21.5" customHeight="1" s="125">
      <c r="A812" t="inlineStr">
        <is>
          <t>DEV000811</t>
        </is>
      </c>
      <c r="B812" s="59" t="inlineStr">
        <is>
          <t>SAM</t>
        </is>
      </c>
      <c r="C812" s="59" t="inlineStr">
        <is>
          <t>WEAR</t>
        </is>
      </c>
      <c r="D812" s="60" t="inlineStr">
        <is>
          <t>Galaxy Buds Pro</t>
        </is>
      </c>
      <c r="E812">
        <f>_xlfn.XLOOKUP(D812,'[2]8A. Master Device Catalog'!$F$5:$F$914,'[2]8A. Master Device Catalog'!$G$5:$G$914,"")</f>
        <v/>
      </c>
      <c r="F812">
        <f>_xlfn.XLOOKUP(D812,'[2]8A. Master Device Catalog'!$F$5:$F$914,'[2]8A. Master Device Catalog'!$H$5:$H$914,"")</f>
        <v/>
      </c>
    </row>
    <row r="813" hidden="1" ht="21.5" customHeight="1" s="125">
      <c r="A813" t="inlineStr">
        <is>
          <t>DEV000812</t>
        </is>
      </c>
      <c r="B813" s="59" t="inlineStr">
        <is>
          <t>SAM</t>
        </is>
      </c>
      <c r="C813" s="59" t="inlineStr">
        <is>
          <t>WEAR</t>
        </is>
      </c>
      <c r="D813" s="60" t="inlineStr">
        <is>
          <t>Galaxy Buds2</t>
        </is>
      </c>
      <c r="E813">
        <f>_xlfn.XLOOKUP(D813,'[2]8A. Master Device Catalog'!$F$5:$F$914,'[2]8A. Master Device Catalog'!$G$5:$G$914,"")</f>
        <v/>
      </c>
      <c r="F813">
        <f>_xlfn.XLOOKUP(D813,'[2]8A. Master Device Catalog'!$F$5:$F$914,'[2]8A. Master Device Catalog'!$H$5:$H$914,"")</f>
        <v/>
      </c>
    </row>
    <row r="814" hidden="1" ht="21.5" customHeight="1" s="125">
      <c r="A814" t="inlineStr">
        <is>
          <t>DEV000813</t>
        </is>
      </c>
      <c r="B814" s="59" t="inlineStr">
        <is>
          <t>SAM</t>
        </is>
      </c>
      <c r="C814" s="59" t="inlineStr">
        <is>
          <t>WEAR</t>
        </is>
      </c>
      <c r="D814" s="60" t="inlineStr">
        <is>
          <t>Galaxy Buds2 Pro</t>
        </is>
      </c>
      <c r="E814">
        <f>_xlfn.XLOOKUP(D814,'[2]8A. Master Device Catalog'!$F$5:$F$914,'[2]8A. Master Device Catalog'!$G$5:$G$914,"")</f>
        <v/>
      </c>
      <c r="F814">
        <f>_xlfn.XLOOKUP(D814,'[2]8A. Master Device Catalog'!$F$5:$F$914,'[2]8A. Master Device Catalog'!$H$5:$H$914,"")</f>
        <v/>
      </c>
    </row>
    <row r="815" hidden="1" ht="21.5" customHeight="1" s="125">
      <c r="A815" t="inlineStr">
        <is>
          <t>DEV000814</t>
        </is>
      </c>
      <c r="B815" s="59" t="inlineStr">
        <is>
          <t>SAM</t>
        </is>
      </c>
      <c r="C815" s="59" t="inlineStr">
        <is>
          <t>WEAR</t>
        </is>
      </c>
      <c r="D815" s="60" t="inlineStr">
        <is>
          <t>Galaxy Buds3</t>
        </is>
      </c>
      <c r="E815">
        <f>_xlfn.XLOOKUP(D815,'[2]8A. Master Device Catalog'!$F$5:$F$914,'[2]8A. Master Device Catalog'!$G$5:$G$914,"")</f>
        <v/>
      </c>
      <c r="F815">
        <f>_xlfn.XLOOKUP(D815,'[2]8A. Master Device Catalog'!$F$5:$F$914,'[2]8A. Master Device Catalog'!$H$5:$H$914,"")</f>
        <v/>
      </c>
    </row>
    <row r="816" hidden="1" ht="21.5" customHeight="1" s="125">
      <c r="A816" t="inlineStr">
        <is>
          <t>DEV000815</t>
        </is>
      </c>
      <c r="B816" s="59" t="inlineStr">
        <is>
          <t>SAM</t>
        </is>
      </c>
      <c r="C816" s="59" t="inlineStr">
        <is>
          <t>WEAR</t>
        </is>
      </c>
      <c r="D816" s="60" t="inlineStr">
        <is>
          <t>Galaxy Buds3 Pro</t>
        </is>
      </c>
      <c r="E816">
        <f>_xlfn.XLOOKUP(D816,'[2]8A. Master Device Catalog'!$F$5:$F$914,'[2]8A. Master Device Catalog'!$G$5:$G$914,"")</f>
        <v/>
      </c>
      <c r="F816">
        <f>_xlfn.XLOOKUP(D816,'[2]8A. Master Device Catalog'!$F$5:$F$914,'[2]8A. Master Device Catalog'!$H$5:$H$914,"")</f>
        <v/>
      </c>
    </row>
    <row r="817" hidden="1" ht="21.5" customHeight="1" s="125">
      <c r="A817" t="inlineStr">
        <is>
          <t>DEV000816</t>
        </is>
      </c>
      <c r="B817" s="59" t="inlineStr">
        <is>
          <t>ASU</t>
        </is>
      </c>
      <c r="C817" s="59" t="inlineStr">
        <is>
          <t>GAM</t>
        </is>
      </c>
      <c r="D817" s="61" t="inlineStr">
        <is>
          <t>ROG Ally X</t>
        </is>
      </c>
      <c r="E817">
        <f>_xlfn.XLOOKUP(D817,'[2]8A. Master Device Catalog'!$F$5:$F$914,'[2]8A. Master Device Catalog'!$G$5:$G$914,"")</f>
        <v/>
      </c>
      <c r="F817">
        <f>_xlfn.XLOOKUP(D817,'[2]8A. Master Device Catalog'!$F$5:$F$914,'[2]8A. Master Device Catalog'!$H$5:$H$914,"")</f>
        <v/>
      </c>
    </row>
    <row r="818" hidden="1" ht="21.5" customHeight="1" s="125">
      <c r="A818" t="inlineStr">
        <is>
          <t>DEV000817</t>
        </is>
      </c>
      <c r="B818" s="59" t="inlineStr">
        <is>
          <t>ASU</t>
        </is>
      </c>
      <c r="C818" s="59" t="inlineStr">
        <is>
          <t>GAM</t>
        </is>
      </c>
      <c r="D818" s="61" t="inlineStr">
        <is>
          <t>ROG Ally</t>
        </is>
      </c>
      <c r="E818">
        <f>_xlfn.XLOOKUP(D818,'[2]8A. Master Device Catalog'!$F$5:$F$914,'[2]8A. Master Device Catalog'!$G$5:$G$914,"")</f>
        <v/>
      </c>
      <c r="F818">
        <f>_xlfn.XLOOKUP(D818,'[2]8A. Master Device Catalog'!$F$5:$F$914,'[2]8A. Master Device Catalog'!$H$5:$H$914,"")</f>
        <v/>
      </c>
    </row>
    <row r="819" hidden="1" ht="21.5" customHeight="1" s="125">
      <c r="A819" t="inlineStr">
        <is>
          <t>DEV000818</t>
        </is>
      </c>
      <c r="B819" s="59" t="inlineStr">
        <is>
          <t>LEN</t>
        </is>
      </c>
      <c r="C819" s="59" t="inlineStr">
        <is>
          <t>GAM</t>
        </is>
      </c>
      <c r="D819" s="61" t="inlineStr">
        <is>
          <t>Legion Go</t>
        </is>
      </c>
      <c r="E819">
        <f>_xlfn.XLOOKUP(D819,'[2]8A. Master Device Catalog'!$F$5:$F$914,'[2]8A. Master Device Catalog'!$G$5:$G$914,"")</f>
        <v/>
      </c>
      <c r="F819">
        <f>_xlfn.XLOOKUP(D819,'[2]8A. Master Device Catalog'!$F$5:$F$914,'[2]8A. Master Device Catalog'!$H$5:$H$914,"")</f>
        <v/>
      </c>
    </row>
    <row r="820" hidden="1" ht="21.5" customHeight="1" s="125">
      <c r="A820" t="inlineStr">
        <is>
          <t>DEV000819</t>
        </is>
      </c>
      <c r="B820" s="59" t="inlineStr">
        <is>
          <t>MSF</t>
        </is>
      </c>
      <c r="C820" s="59" t="inlineStr">
        <is>
          <t>GAM</t>
        </is>
      </c>
      <c r="D820" s="61" t="inlineStr">
        <is>
          <t>Xbox One S</t>
        </is>
      </c>
      <c r="E820">
        <f>_xlfn.XLOOKUP(D820,'[2]8A. Master Device Catalog'!$F$5:$F$914,'[2]8A. Master Device Catalog'!$G$5:$G$914,"")</f>
        <v/>
      </c>
      <c r="F820">
        <f>_xlfn.XLOOKUP(D820,'[2]8A. Master Device Catalog'!$F$5:$F$914,'[2]8A. Master Device Catalog'!$H$5:$H$914,"")</f>
        <v/>
      </c>
    </row>
    <row r="821" hidden="1" ht="21.5" customHeight="1" s="125">
      <c r="A821" t="inlineStr">
        <is>
          <t>DEV000820</t>
        </is>
      </c>
      <c r="B821" s="59" t="inlineStr">
        <is>
          <t>MSF</t>
        </is>
      </c>
      <c r="C821" s="59" t="inlineStr">
        <is>
          <t>GAM</t>
        </is>
      </c>
      <c r="D821" s="61" t="inlineStr">
        <is>
          <t>Xbox One</t>
        </is>
      </c>
      <c r="E821">
        <f>_xlfn.XLOOKUP(D821,'[2]8A. Master Device Catalog'!$F$5:$F$914,'[2]8A. Master Device Catalog'!$G$5:$G$914,"")</f>
        <v/>
      </c>
      <c r="F821">
        <f>_xlfn.XLOOKUP(D821,'[2]8A. Master Device Catalog'!$F$5:$F$914,'[2]8A. Master Device Catalog'!$H$5:$H$914,"")</f>
        <v/>
      </c>
    </row>
    <row r="822" hidden="1" ht="21.5" customHeight="1" s="125">
      <c r="A822" t="inlineStr">
        <is>
          <t>DEV000821</t>
        </is>
      </c>
      <c r="B822" s="59" t="inlineStr">
        <is>
          <t>MSF</t>
        </is>
      </c>
      <c r="C822" s="59" t="inlineStr">
        <is>
          <t>GAM</t>
        </is>
      </c>
      <c r="D822" s="61" t="inlineStr">
        <is>
          <t>Xbox One X</t>
        </is>
      </c>
      <c r="E822">
        <f>_xlfn.XLOOKUP(D822,'[2]8A. Master Device Catalog'!$F$5:$F$914,'[2]8A. Master Device Catalog'!$G$5:$G$914,"")</f>
        <v/>
      </c>
      <c r="F822">
        <f>_xlfn.XLOOKUP(D822,'[2]8A. Master Device Catalog'!$F$5:$F$914,'[2]8A. Master Device Catalog'!$H$5:$H$914,"")</f>
        <v/>
      </c>
    </row>
    <row r="823" hidden="1" ht="21.5" customHeight="1" s="125">
      <c r="A823" t="inlineStr">
        <is>
          <t>DEV000822</t>
        </is>
      </c>
      <c r="B823" s="59" t="inlineStr">
        <is>
          <t>MSF</t>
        </is>
      </c>
      <c r="C823" s="59" t="inlineStr">
        <is>
          <t>GAM</t>
        </is>
      </c>
      <c r="D823" s="61" t="inlineStr">
        <is>
          <t>Xbox Series S</t>
        </is>
      </c>
      <c r="E823">
        <f>_xlfn.XLOOKUP(D823,'[2]8A. Master Device Catalog'!$F$5:$F$914,'[2]8A. Master Device Catalog'!$G$5:$G$914,"")</f>
        <v/>
      </c>
      <c r="F823">
        <f>_xlfn.XLOOKUP(D823,'[2]8A. Master Device Catalog'!$F$5:$F$914,'[2]8A. Master Device Catalog'!$H$5:$H$914,"")</f>
        <v/>
      </c>
    </row>
    <row r="824" hidden="1" ht="21.5" customHeight="1" s="125">
      <c r="A824" t="inlineStr">
        <is>
          <t>DEV000823</t>
        </is>
      </c>
      <c r="B824" s="59" t="inlineStr">
        <is>
          <t>MSF</t>
        </is>
      </c>
      <c r="C824" s="59" t="inlineStr">
        <is>
          <t>GAM</t>
        </is>
      </c>
      <c r="D824" s="61" t="inlineStr">
        <is>
          <t>Xbox Series X</t>
        </is>
      </c>
      <c r="E824">
        <f>_xlfn.XLOOKUP(D824,'[2]8A. Master Device Catalog'!$F$5:$F$914,'[2]8A. Master Device Catalog'!$G$5:$G$914,"")</f>
        <v/>
      </c>
      <c r="F824">
        <f>_xlfn.XLOOKUP(D824,'[2]8A. Master Device Catalog'!$F$5:$F$914,'[2]8A. Master Device Catalog'!$H$5:$H$914,"")</f>
        <v/>
      </c>
    </row>
    <row r="825" hidden="1" ht="21.5" customHeight="1" s="125">
      <c r="A825" t="inlineStr">
        <is>
          <t>DEV000824</t>
        </is>
      </c>
      <c r="B825" s="59" t="inlineStr">
        <is>
          <t>NTD</t>
        </is>
      </c>
      <c r="C825" s="59" t="inlineStr">
        <is>
          <t>GAM</t>
        </is>
      </c>
      <c r="D825" s="61" t="inlineStr">
        <is>
          <t>Nintendo Switch Lite</t>
        </is>
      </c>
      <c r="E825">
        <f>_xlfn.XLOOKUP(D825,'[2]8A. Master Device Catalog'!$F$5:$F$914,'[2]8A. Master Device Catalog'!$G$5:$G$914,"")</f>
        <v/>
      </c>
      <c r="F825">
        <f>_xlfn.XLOOKUP(D825,'[2]8A. Master Device Catalog'!$F$5:$F$914,'[2]8A. Master Device Catalog'!$H$5:$H$914,"")</f>
        <v/>
      </c>
    </row>
    <row r="826" hidden="1" ht="21.5" customHeight="1" s="125">
      <c r="A826" t="inlineStr">
        <is>
          <t>DEV000825</t>
        </is>
      </c>
      <c r="B826" s="59" t="inlineStr">
        <is>
          <t>NTD</t>
        </is>
      </c>
      <c r="C826" s="59" t="inlineStr">
        <is>
          <t>GAM</t>
        </is>
      </c>
      <c r="D826" s="61" t="inlineStr">
        <is>
          <t>Nintendo Switch</t>
        </is>
      </c>
      <c r="E826">
        <f>_xlfn.XLOOKUP(D826,'[2]8A. Master Device Catalog'!$F$5:$F$914,'[2]8A. Master Device Catalog'!$G$5:$G$914,"")</f>
        <v/>
      </c>
      <c r="F826">
        <f>_xlfn.XLOOKUP(D826,'[2]8A. Master Device Catalog'!$F$5:$F$914,'[2]8A. Master Device Catalog'!$H$5:$H$914,"")</f>
        <v/>
      </c>
    </row>
    <row r="827" hidden="1" ht="21.5" customHeight="1" s="125">
      <c r="A827" t="inlineStr">
        <is>
          <t>DEV000826</t>
        </is>
      </c>
      <c r="B827" s="59" t="inlineStr">
        <is>
          <t>NTD</t>
        </is>
      </c>
      <c r="C827" s="59" t="inlineStr">
        <is>
          <t>GAM</t>
        </is>
      </c>
      <c r="D827" s="61" t="inlineStr">
        <is>
          <t>Nintendo Switch OLED</t>
        </is>
      </c>
      <c r="E827">
        <f>_xlfn.XLOOKUP(D827,'[2]8A. Master Device Catalog'!$F$5:$F$914,'[2]8A. Master Device Catalog'!$G$5:$G$914,"")</f>
        <v/>
      </c>
      <c r="F827">
        <f>_xlfn.XLOOKUP(D827,'[2]8A. Master Device Catalog'!$F$5:$F$914,'[2]8A. Master Device Catalog'!$H$5:$H$914,"")</f>
        <v/>
      </c>
    </row>
    <row r="828" hidden="1" ht="21.5" customHeight="1" s="125">
      <c r="A828" t="inlineStr">
        <is>
          <t>DEV000827</t>
        </is>
      </c>
      <c r="B828" s="59" t="inlineStr">
        <is>
          <t>NTD</t>
        </is>
      </c>
      <c r="C828" s="59" t="inlineStr">
        <is>
          <t>GAM</t>
        </is>
      </c>
      <c r="D828" s="61" t="inlineStr">
        <is>
          <t>Nintendo Switch HAC-001</t>
        </is>
      </c>
      <c r="E828">
        <f>_xlfn.XLOOKUP(D828,'[2]8A. Master Device Catalog'!$F$5:$F$914,'[2]8A. Master Device Catalog'!$G$5:$G$914,"")</f>
        <v/>
      </c>
      <c r="F828">
        <f>_xlfn.XLOOKUP(D828,'[2]8A. Master Device Catalog'!$F$5:$F$914,'[2]8A. Master Device Catalog'!$H$5:$H$914,"")</f>
        <v/>
      </c>
    </row>
    <row r="829" hidden="1" ht="21.5" customHeight="1" s="125">
      <c r="A829" t="inlineStr">
        <is>
          <t>DEV000828</t>
        </is>
      </c>
      <c r="B829" s="59" t="inlineStr">
        <is>
          <t>NTD</t>
        </is>
      </c>
      <c r="C829" s="59" t="inlineStr">
        <is>
          <t>GAM</t>
        </is>
      </c>
      <c r="D829" s="61" t="inlineStr">
        <is>
          <t>Nintendo Switch OLED HEG-001</t>
        </is>
      </c>
      <c r="E829">
        <f>_xlfn.XLOOKUP(D829,'[2]8A. Master Device Catalog'!$F$5:$F$914,'[2]8A. Master Device Catalog'!$G$5:$G$914,"")</f>
        <v/>
      </c>
      <c r="F829">
        <f>_xlfn.XLOOKUP(D829,'[2]8A. Master Device Catalog'!$F$5:$F$914,'[2]8A. Master Device Catalog'!$H$5:$H$914,"")</f>
        <v/>
      </c>
    </row>
    <row r="830" hidden="1" ht="21.5" customHeight="1" s="125">
      <c r="A830" t="inlineStr">
        <is>
          <t>DEV000829</t>
        </is>
      </c>
      <c r="B830" s="59" t="inlineStr">
        <is>
          <t>SNY</t>
        </is>
      </c>
      <c r="C830" s="59" t="inlineStr">
        <is>
          <t>GAM</t>
        </is>
      </c>
      <c r="D830" s="63" t="inlineStr">
        <is>
          <t>PlayStation VR2</t>
        </is>
      </c>
      <c r="E830">
        <f>_xlfn.XLOOKUP(D830,'[2]8A. Master Device Catalog'!$F$5:$F$914,'[2]8A. Master Device Catalog'!$G$5:$G$914,"")</f>
        <v/>
      </c>
      <c r="F830">
        <f>_xlfn.XLOOKUP(D830,'[2]8A. Master Device Catalog'!$F$5:$F$914,'[2]8A. Master Device Catalog'!$H$5:$H$914,"")</f>
        <v/>
      </c>
    </row>
    <row r="831" hidden="1" ht="21.5" customHeight="1" s="125">
      <c r="A831" t="inlineStr">
        <is>
          <t>DEV000830</t>
        </is>
      </c>
      <c r="B831" s="59" t="inlineStr">
        <is>
          <t>SNY</t>
        </is>
      </c>
      <c r="C831" s="59" t="inlineStr">
        <is>
          <t>GAM</t>
        </is>
      </c>
      <c r="D831" s="63" t="inlineStr">
        <is>
          <t>PlayStation 4</t>
        </is>
      </c>
      <c r="E831">
        <f>_xlfn.XLOOKUP(D831,'[2]8A. Master Device Catalog'!$F$5:$F$914,'[2]8A. Master Device Catalog'!$G$5:$G$914,"")</f>
        <v/>
      </c>
      <c r="F831">
        <f>_xlfn.XLOOKUP(D831,'[2]8A. Master Device Catalog'!$F$5:$F$914,'[2]8A. Master Device Catalog'!$H$5:$H$914,"")</f>
        <v/>
      </c>
    </row>
    <row r="832" hidden="1" ht="21.5" customHeight="1" s="125">
      <c r="A832" t="inlineStr">
        <is>
          <t>DEV000831</t>
        </is>
      </c>
      <c r="B832" s="59" t="inlineStr">
        <is>
          <t>SNY</t>
        </is>
      </c>
      <c r="C832" s="59" t="inlineStr">
        <is>
          <t>GAM</t>
        </is>
      </c>
      <c r="D832" s="63" t="inlineStr">
        <is>
          <t>PlayStation 4 Slim</t>
        </is>
      </c>
      <c r="E832">
        <f>_xlfn.XLOOKUP(D832,'[2]8A. Master Device Catalog'!$F$5:$F$914,'[2]8A. Master Device Catalog'!$G$5:$G$914,"")</f>
        <v/>
      </c>
      <c r="F832">
        <f>_xlfn.XLOOKUP(D832,'[2]8A. Master Device Catalog'!$F$5:$F$914,'[2]8A. Master Device Catalog'!$H$5:$H$914,"")</f>
        <v/>
      </c>
    </row>
    <row r="833" hidden="1" ht="21.5" customHeight="1" s="125">
      <c r="A833" t="inlineStr">
        <is>
          <t>DEV000832</t>
        </is>
      </c>
      <c r="B833" s="59" t="inlineStr">
        <is>
          <t>SNY</t>
        </is>
      </c>
      <c r="C833" s="59" t="inlineStr">
        <is>
          <t>GAM</t>
        </is>
      </c>
      <c r="D833" s="63" t="inlineStr">
        <is>
          <t>PlayStation 4 Pro</t>
        </is>
      </c>
      <c r="E833">
        <f>_xlfn.XLOOKUP(D833,'[2]8A. Master Device Catalog'!$F$5:$F$914,'[2]8A. Master Device Catalog'!$G$5:$G$914,"")</f>
        <v/>
      </c>
      <c r="F833">
        <f>_xlfn.XLOOKUP(D833,'[2]8A. Master Device Catalog'!$F$5:$F$914,'[2]8A. Master Device Catalog'!$H$5:$H$914,"")</f>
        <v/>
      </c>
    </row>
    <row r="834" hidden="1" ht="21.5" customHeight="1" s="125">
      <c r="A834" t="inlineStr">
        <is>
          <t>DEV000833</t>
        </is>
      </c>
      <c r="B834" s="59" t="inlineStr">
        <is>
          <t>SNY</t>
        </is>
      </c>
      <c r="C834" s="59" t="inlineStr">
        <is>
          <t>GAM</t>
        </is>
      </c>
      <c r="D834" s="63" t="inlineStr">
        <is>
          <t>PlayStation 5</t>
        </is>
      </c>
      <c r="E834">
        <f>_xlfn.XLOOKUP(D834,'[2]8A. Master Device Catalog'!$F$5:$F$914,'[2]8A. Master Device Catalog'!$G$5:$G$914,"")</f>
        <v/>
      </c>
      <c r="F834">
        <f>_xlfn.XLOOKUP(D834,'[2]8A. Master Device Catalog'!$F$5:$F$914,'[2]8A. Master Device Catalog'!$H$5:$H$914,"")</f>
        <v/>
      </c>
    </row>
    <row r="835" hidden="1" ht="21.5" customHeight="1" s="125">
      <c r="A835" t="inlineStr">
        <is>
          <t>DEV000834</t>
        </is>
      </c>
      <c r="B835" s="59" t="inlineStr">
        <is>
          <t>SNY</t>
        </is>
      </c>
      <c r="C835" s="59" t="inlineStr">
        <is>
          <t>GAM</t>
        </is>
      </c>
      <c r="D835" s="63" t="inlineStr">
        <is>
          <t>PlayStation 5 Slim</t>
        </is>
      </c>
      <c r="E835">
        <f>_xlfn.XLOOKUP(D835,'[2]8A. Master Device Catalog'!$F$5:$F$914,'[2]8A. Master Device Catalog'!$G$5:$G$914,"")</f>
        <v/>
      </c>
      <c r="F835">
        <f>_xlfn.XLOOKUP(D835,'[2]8A. Master Device Catalog'!$F$5:$F$914,'[2]8A. Master Device Catalog'!$H$5:$H$914,"")</f>
        <v/>
      </c>
    </row>
    <row r="836" hidden="1" ht="21.5" customHeight="1" s="125">
      <c r="A836" t="inlineStr">
        <is>
          <t>DEV000835</t>
        </is>
      </c>
      <c r="B836" s="59" t="inlineStr">
        <is>
          <t>SNY</t>
        </is>
      </c>
      <c r="C836" s="59" t="inlineStr">
        <is>
          <t>GAM</t>
        </is>
      </c>
      <c r="D836" s="63" t="inlineStr">
        <is>
          <t>PlayStation 5 Pro</t>
        </is>
      </c>
      <c r="E836">
        <f>_xlfn.XLOOKUP(D836,'[2]8A. Master Device Catalog'!$F$5:$F$914,'[2]8A. Master Device Catalog'!$G$5:$G$914,"")</f>
        <v/>
      </c>
      <c r="F836">
        <f>_xlfn.XLOOKUP(D836,'[2]8A. Master Device Catalog'!$F$5:$F$914,'[2]8A. Master Device Catalog'!$H$5:$H$914,"")</f>
        <v/>
      </c>
    </row>
    <row r="837" hidden="1" ht="21.5" customHeight="1" s="125">
      <c r="A837" t="inlineStr">
        <is>
          <t>DEV000836</t>
        </is>
      </c>
      <c r="B837" s="59" t="inlineStr">
        <is>
          <t>SNY</t>
        </is>
      </c>
      <c r="C837" s="59" t="inlineStr">
        <is>
          <t>GAM</t>
        </is>
      </c>
      <c r="D837" s="63" t="inlineStr">
        <is>
          <t>PlayStation Portal</t>
        </is>
      </c>
      <c r="E837">
        <f>_xlfn.XLOOKUP(D837,'[2]8A. Master Device Catalog'!$F$5:$F$914,'[2]8A. Master Device Catalog'!$G$5:$G$914,"")</f>
        <v/>
      </c>
      <c r="F837">
        <f>_xlfn.XLOOKUP(D837,'[2]8A. Master Device Catalog'!$F$5:$F$914,'[2]8A. Master Device Catalog'!$H$5:$H$914,"")</f>
        <v/>
      </c>
    </row>
    <row r="838" hidden="1" ht="21.5" customHeight="1" s="125">
      <c r="A838" t="inlineStr">
        <is>
          <t>DEV000837</t>
        </is>
      </c>
      <c r="B838" s="59" t="inlineStr">
        <is>
          <t>SNY</t>
        </is>
      </c>
      <c r="C838" s="59" t="inlineStr">
        <is>
          <t>GAM</t>
        </is>
      </c>
      <c r="D838" s="63" t="inlineStr">
        <is>
          <t>PlayStation VR</t>
        </is>
      </c>
      <c r="E838">
        <f>_xlfn.XLOOKUP(D838,'[2]8A. Master Device Catalog'!$F$5:$F$914,'[2]8A. Master Device Catalog'!$G$5:$G$914,"")</f>
        <v/>
      </c>
      <c r="F838">
        <f>_xlfn.XLOOKUP(D838,'[2]8A. Master Device Catalog'!$F$5:$F$914,'[2]8A. Master Device Catalog'!$H$5:$H$914,"")</f>
        <v/>
      </c>
    </row>
    <row r="839" hidden="1" ht="21.5" customHeight="1" s="125">
      <c r="A839" t="inlineStr">
        <is>
          <t>DEV000838</t>
        </is>
      </c>
      <c r="B839" s="59" t="inlineStr">
        <is>
          <t>SNY</t>
        </is>
      </c>
      <c r="C839" s="59" t="inlineStr">
        <is>
          <t>GAM</t>
        </is>
      </c>
      <c r="D839" s="61" t="inlineStr">
        <is>
          <t>PlayStation 3</t>
        </is>
      </c>
      <c r="E839">
        <f>_xlfn.XLOOKUP(D839,'[2]8A. Master Device Catalog'!$F$5:$F$914,'[2]8A. Master Device Catalog'!$G$5:$G$914,"")</f>
        <v/>
      </c>
      <c r="F839">
        <f>_xlfn.XLOOKUP(D839,'[2]8A. Master Device Catalog'!$F$5:$F$914,'[2]8A. Master Device Catalog'!$H$5:$H$914,"")</f>
        <v/>
      </c>
    </row>
    <row r="840" hidden="1" ht="21.5" customHeight="1" s="125">
      <c r="A840" t="inlineStr">
        <is>
          <t>DEV000839</t>
        </is>
      </c>
      <c r="B840" s="59" t="inlineStr">
        <is>
          <t>SNY</t>
        </is>
      </c>
      <c r="C840" s="59" t="inlineStr">
        <is>
          <t>GAM</t>
        </is>
      </c>
      <c r="D840" s="61" t="inlineStr">
        <is>
          <t>PlayStation Vita</t>
        </is>
      </c>
      <c r="E840">
        <f>_xlfn.XLOOKUP(D840,'[2]8A. Master Device Catalog'!$F$5:$F$914,'[2]8A. Master Device Catalog'!$G$5:$G$914,"")</f>
        <v/>
      </c>
      <c r="F840">
        <f>_xlfn.XLOOKUP(D840,'[2]8A. Master Device Catalog'!$F$5:$F$914,'[2]8A. Master Device Catalog'!$H$5:$H$914,"")</f>
        <v/>
      </c>
    </row>
    <row r="841" hidden="1" ht="21.5" customHeight="1" s="125">
      <c r="A841" t="inlineStr">
        <is>
          <t>DEV000840</t>
        </is>
      </c>
      <c r="B841" s="59" t="inlineStr">
        <is>
          <t>VAL</t>
        </is>
      </c>
      <c r="C841" s="59" t="inlineStr">
        <is>
          <t>GAM</t>
        </is>
      </c>
      <c r="D841" s="61" t="inlineStr">
        <is>
          <t>Steam Deck</t>
        </is>
      </c>
      <c r="E841">
        <f>_xlfn.XLOOKUP(D841,'[2]8A. Master Device Catalog'!$F$5:$F$914,'[2]8A. Master Device Catalog'!$G$5:$G$914,"")</f>
        <v/>
      </c>
      <c r="F841">
        <f>_xlfn.XLOOKUP(D841,'[2]8A. Master Device Catalog'!$F$5:$F$914,'[2]8A. Master Device Catalog'!$H$5:$H$914,"")</f>
        <v/>
      </c>
    </row>
    <row r="842" hidden="1" ht="21.5" customHeight="1" s="125">
      <c r="A842" t="inlineStr">
        <is>
          <t>DEV000841</t>
        </is>
      </c>
      <c r="B842" s="59" t="inlineStr">
        <is>
          <t>VAL</t>
        </is>
      </c>
      <c r="C842" s="59" t="inlineStr">
        <is>
          <t>GAM</t>
        </is>
      </c>
      <c r="D842" s="61" t="inlineStr">
        <is>
          <t>Steam Deck LCD</t>
        </is>
      </c>
      <c r="E842">
        <f>_xlfn.XLOOKUP(D842,'[2]8A. Master Device Catalog'!$F$5:$F$914,'[2]8A. Master Device Catalog'!$G$5:$G$914,"")</f>
        <v/>
      </c>
      <c r="F842">
        <f>_xlfn.XLOOKUP(D842,'[2]8A. Master Device Catalog'!$F$5:$F$914,'[2]8A. Master Device Catalog'!$H$5:$H$914,"")</f>
        <v/>
      </c>
    </row>
    <row r="843" hidden="1" ht="21.5" customHeight="1" s="125">
      <c r="A843" t="inlineStr">
        <is>
          <t>DEV000842</t>
        </is>
      </c>
      <c r="B843" s="59" t="inlineStr">
        <is>
          <t>VAL</t>
        </is>
      </c>
      <c r="C843" s="59" t="inlineStr">
        <is>
          <t>GAM</t>
        </is>
      </c>
      <c r="D843" s="64" t="inlineStr">
        <is>
          <t>Steam Deck OLED</t>
        </is>
      </c>
      <c r="E843">
        <f>_xlfn.XLOOKUP(D843,'[2]8A. Master Device Catalog'!$F$5:$F$914,'[2]8A. Master Device Catalog'!$G$5:$G$914,"")</f>
        <v/>
      </c>
      <c r="F843">
        <f>_xlfn.XLOOKUP(D843,'[2]8A. Master Device Catalog'!$F$5:$F$914,'[2]8A. Master Device Catalog'!$H$5:$H$914,"")</f>
        <v/>
      </c>
    </row>
  </sheetData>
  <conditionalFormatting sqref="D443:D562 D564:D615">
    <cfRule type="duplicateValues" priority="2" dxfId="0"/>
  </conditionalFormatting>
  <conditionalFormatting sqref="D616:D627 D630:D697 D699:D723">
    <cfRule type="duplicateValues" priority="3" dxfId="0"/>
  </conditionalFormatting>
  <conditionalFormatting sqref="D724:D735 D740:D809">
    <cfRule type="duplicateValues" priority="4" dxfId="0"/>
  </conditionalFormatting>
  <conditionalFormatting sqref="D810:D816 D826:D838 D841:D842">
    <cfRule type="duplicateValues" priority="5" dxfId="0"/>
  </conditionalFormatting>
  <conditionalFormatting sqref="D1:D843 I844:I1048576">
    <cfRule type="duplicateValues" priority="1" dxfId="0"/>
  </conditionalFormatting>
  <dataValidations count="1">
    <dataValidation sqref="B2:B843" showDropDown="0" showInputMessage="1" showErrorMessage="1" allowBlank="1" type="list">
      <formula1>Manufacturer_ID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3.xml><?xml version="1.0" encoding="utf-8"?>
<worksheet xmlns="http://schemas.openxmlformats.org/spreadsheetml/2006/main">
  <sheetPr>
    <tabColor rgb="FFFFFF00"/>
    <outlinePr summaryBelow="1" summaryRight="1"/>
    <pageSetUpPr/>
  </sheetPr>
  <dimension ref="B4:W74"/>
  <sheetViews>
    <sheetView topLeftCell="I1" workbookViewId="0">
      <selection activeCell="J33" sqref="J33"/>
    </sheetView>
  </sheetViews>
  <sheetFormatPr baseColWidth="8" defaultRowHeight="14.5"/>
  <cols>
    <col width="15.08984375" bestFit="1" customWidth="1" style="125" min="2" max="2"/>
    <col width="28.36328125" bestFit="1" customWidth="1" style="125" min="3" max="3"/>
    <col width="15.453125" customWidth="1" style="125" min="4" max="4"/>
    <col width="21.81640625" customWidth="1" style="125" min="5" max="5"/>
    <col width="19.08984375" customWidth="1" style="125" min="6" max="6"/>
    <col width="9.453125" customWidth="1" style="125" min="7" max="7"/>
    <col width="18" bestFit="1" customWidth="1" style="125" min="12" max="12"/>
    <col width="27.08984375" bestFit="1" customWidth="1" style="125" min="13" max="13"/>
    <col width="19.81640625" customWidth="1" style="125" min="14" max="14"/>
    <col width="11.7265625" customWidth="1" style="125" min="15" max="15"/>
    <col width="21.1796875" customWidth="1" style="125" min="16" max="16"/>
    <col width="23.453125" customWidth="1" style="125" min="17" max="17"/>
    <col width="9.453125" customWidth="1" style="125" min="18" max="18"/>
    <col width="15.1796875" customWidth="1" style="125" min="20" max="20"/>
  </cols>
  <sheetData>
    <row r="4">
      <c r="B4" s="52" t="inlineStr">
        <is>
          <t>Service Category</t>
        </is>
      </c>
      <c r="C4" s="52" t="inlineStr">
        <is>
          <t>Service Type</t>
        </is>
      </c>
      <c r="D4" s="52" t="inlineStr">
        <is>
          <t>Description</t>
        </is>
      </c>
      <c r="E4" s="66" t="inlineStr">
        <is>
          <t>Default Warranty</t>
        </is>
      </c>
      <c r="F4" s="66" t="inlineStr">
        <is>
          <t>Default Labor Time</t>
        </is>
      </c>
      <c r="G4" s="52" t="inlineStr">
        <is>
          <t>Taxable</t>
        </is>
      </c>
      <c r="H4" s="52" t="inlineStr">
        <is>
          <t>Active</t>
        </is>
      </c>
      <c r="L4" t="inlineStr">
        <is>
          <t>Service Category</t>
        </is>
      </c>
      <c r="M4" t="inlineStr">
        <is>
          <t>Service Type</t>
        </is>
      </c>
      <c r="N4" t="inlineStr">
        <is>
          <t>Service Description</t>
        </is>
      </c>
      <c r="O4" t="inlineStr">
        <is>
          <t>Applies To</t>
        </is>
      </c>
      <c r="P4" t="inlineStr">
        <is>
          <t>Estimated Time (Min)</t>
        </is>
      </c>
      <c r="Q4" t="inlineStr">
        <is>
          <t>Default Warranty (Days)</t>
        </is>
      </c>
      <c r="R4" t="inlineStr">
        <is>
          <t>Taxable</t>
        </is>
      </c>
      <c r="S4" t="inlineStr">
        <is>
          <t>Active</t>
        </is>
      </c>
      <c r="T4" t="inlineStr">
        <is>
          <t>Internal Notes</t>
        </is>
      </c>
      <c r="W4" s="65" t="n"/>
    </row>
    <row r="5">
      <c r="B5" s="57" t="n"/>
      <c r="C5" s="57" t="n"/>
      <c r="L5" s="57" t="inlineStr">
        <is>
          <t>Hardware Repair</t>
        </is>
      </c>
      <c r="M5" s="57" t="inlineStr">
        <is>
          <t>Screen Replacement</t>
        </is>
      </c>
      <c r="N5" s="65" t="n"/>
      <c r="O5" s="65" t="n"/>
      <c r="P5" s="65" t="n"/>
      <c r="Q5" s="65" t="n"/>
      <c r="R5" s="65" t="n"/>
      <c r="S5" s="65" t="n"/>
      <c r="T5" s="65" t="n"/>
      <c r="W5" s="65" t="n"/>
    </row>
    <row r="6">
      <c r="B6" s="57" t="inlineStr">
        <is>
          <t>Hardware Repair</t>
        </is>
      </c>
      <c r="C6" s="57" t="inlineStr">
        <is>
          <t>Battery Replacement</t>
        </is>
      </c>
      <c r="L6" s="57" t="inlineStr">
        <is>
          <t>Hardware Repair</t>
        </is>
      </c>
      <c r="M6" s="57" t="inlineStr">
        <is>
          <t>Screen Repair</t>
        </is>
      </c>
      <c r="N6" s="65" t="n"/>
      <c r="O6" s="65" t="n"/>
      <c r="P6" s="65" t="n"/>
      <c r="Q6" s="65" t="n"/>
      <c r="R6" s="65" t="n"/>
      <c r="S6" s="65" t="n"/>
      <c r="T6" s="65" t="n"/>
      <c r="W6" s="65" t="n"/>
    </row>
    <row r="7">
      <c r="B7" s="57" t="inlineStr">
        <is>
          <t>Hardware Repair</t>
        </is>
      </c>
      <c r="C7" s="57" t="inlineStr">
        <is>
          <t>Charging Port Repair</t>
        </is>
      </c>
      <c r="L7" s="57" t="inlineStr">
        <is>
          <t>Hardware Repair</t>
        </is>
      </c>
      <c r="M7" s="57" t="inlineStr">
        <is>
          <t>OLED Replacement</t>
        </is>
      </c>
      <c r="N7" s="65" t="n"/>
      <c r="O7" s="65" t="n"/>
      <c r="P7" s="65" t="n"/>
      <c r="Q7" s="65" t="n"/>
      <c r="R7" s="65" t="n"/>
      <c r="S7" s="65" t="n"/>
      <c r="T7" s="65" t="n"/>
      <c r="W7" s="65" t="n"/>
    </row>
    <row r="8">
      <c r="B8" s="57" t="inlineStr">
        <is>
          <t>Hardware Repair</t>
        </is>
      </c>
      <c r="C8" s="57" t="inlineStr">
        <is>
          <t>Rear Camera Replacement</t>
        </is>
      </c>
      <c r="L8" s="57" t="inlineStr">
        <is>
          <t>Hardware Repair</t>
        </is>
      </c>
      <c r="M8" s="57" t="inlineStr">
        <is>
          <t>LCD Replacement</t>
        </is>
      </c>
      <c r="N8" s="65" t="n"/>
      <c r="O8" s="65" t="n"/>
      <c r="P8" s="65" t="n"/>
      <c r="Q8" s="65" t="n"/>
      <c r="R8" s="65" t="n"/>
      <c r="S8" s="65" t="n"/>
      <c r="T8" s="65" t="n"/>
      <c r="W8" s="65" t="n"/>
    </row>
    <row r="9">
      <c r="B9" s="57" t="inlineStr">
        <is>
          <t>Hardware Repair</t>
        </is>
      </c>
      <c r="C9" s="57" t="inlineStr">
        <is>
          <t>Front Camera Replacement</t>
        </is>
      </c>
      <c r="L9" s="57" t="inlineStr">
        <is>
          <t>Hardware Repair</t>
        </is>
      </c>
      <c r="M9" s="57" t="inlineStr">
        <is>
          <t>Digitizer Replacement</t>
        </is>
      </c>
      <c r="N9" s="65" t="n"/>
      <c r="O9" s="65" t="n"/>
      <c r="P9" s="65" t="n"/>
      <c r="Q9" s="65" t="n"/>
      <c r="R9" s="65" t="n"/>
      <c r="S9" s="65" t="n"/>
      <c r="T9" s="65" t="n"/>
      <c r="W9" s="65" t="n"/>
    </row>
    <row r="10">
      <c r="B10" s="57" t="inlineStr">
        <is>
          <t>Hardware Repair</t>
        </is>
      </c>
      <c r="C10" s="57" t="inlineStr">
        <is>
          <t>Speaker Replacement</t>
        </is>
      </c>
      <c r="L10" s="57" t="inlineStr">
        <is>
          <t>Hardware Repair</t>
        </is>
      </c>
      <c r="M10" s="57" t="inlineStr">
        <is>
          <t>Glass Replacement</t>
        </is>
      </c>
      <c r="N10" s="65" t="n"/>
      <c r="O10" s="65" t="n"/>
      <c r="P10" s="65" t="n"/>
      <c r="Q10" s="65" t="n"/>
      <c r="R10" s="65" t="n"/>
      <c r="S10" s="65" t="n"/>
      <c r="T10" s="65" t="n"/>
      <c r="W10" s="65" t="n"/>
    </row>
    <row r="11">
      <c r="B11" s="57" t="inlineStr">
        <is>
          <t>Hardware Repair</t>
        </is>
      </c>
      <c r="C11" s="57" t="inlineStr">
        <is>
          <t>Microphone Repair</t>
        </is>
      </c>
      <c r="L11" s="57" t="inlineStr">
        <is>
          <t>Hardware Repair</t>
        </is>
      </c>
      <c r="M11" s="57" t="inlineStr">
        <is>
          <t>Battery Replacement</t>
        </is>
      </c>
      <c r="N11" s="65" t="n"/>
      <c r="O11" s="65" t="n"/>
      <c r="P11" s="65" t="n"/>
      <c r="Q11" s="65" t="n"/>
      <c r="R11" s="65" t="n"/>
      <c r="S11" s="65" t="n"/>
      <c r="T11" s="65" t="n"/>
      <c r="W11" s="65" t="n"/>
    </row>
    <row r="12">
      <c r="B12" s="57" t="inlineStr">
        <is>
          <t>Hardware Repair</t>
        </is>
      </c>
      <c r="C12" s="57" t="inlineStr">
        <is>
          <t>Camera Lens Replacement</t>
        </is>
      </c>
      <c r="L12" s="57" t="inlineStr">
        <is>
          <t>Hardware Repair</t>
        </is>
      </c>
      <c r="M12" s="57" t="inlineStr">
        <is>
          <t>Charging Port Repair</t>
        </is>
      </c>
      <c r="N12" s="65" t="n"/>
      <c r="O12" s="65" t="n"/>
      <c r="P12" s="65" t="n"/>
      <c r="Q12" s="65" t="n"/>
      <c r="R12" s="65" t="n"/>
      <c r="S12" s="65" t="n"/>
      <c r="T12" s="65" t="n"/>
      <c r="W12" s="65" t="n"/>
    </row>
    <row r="13">
      <c r="B13" s="57" t="inlineStr">
        <is>
          <t>Hardware Repair</t>
        </is>
      </c>
      <c r="C13" s="57" t="inlineStr">
        <is>
          <t>Back Glass Replacement</t>
        </is>
      </c>
      <c r="L13" s="57" t="inlineStr">
        <is>
          <t>Hardware Repair</t>
        </is>
      </c>
      <c r="M13" s="57" t="inlineStr">
        <is>
          <t>Charging Port Replacement</t>
        </is>
      </c>
      <c r="N13" s="65" t="n"/>
      <c r="O13" s="65" t="n"/>
      <c r="P13" s="65" t="n"/>
      <c r="Q13" s="65" t="n"/>
      <c r="R13" s="65" t="n"/>
      <c r="S13" s="65" t="n"/>
      <c r="T13" s="65" t="n"/>
    </row>
    <row r="14">
      <c r="B14" s="57" t="inlineStr">
        <is>
          <t>Hardware Repair</t>
        </is>
      </c>
      <c r="C14" s="57" t="inlineStr">
        <is>
          <t>Housing Replacement</t>
        </is>
      </c>
      <c r="L14" s="57" t="inlineStr">
        <is>
          <t>Hardware Repair</t>
        </is>
      </c>
      <c r="M14" s="57" t="inlineStr">
        <is>
          <t>Rear Camera Replacement</t>
        </is>
      </c>
      <c r="N14" s="65" t="n"/>
      <c r="O14" s="65" t="n"/>
      <c r="P14" s="65" t="n"/>
      <c r="Q14" s="65" t="n"/>
      <c r="R14" s="65" t="n"/>
      <c r="S14" s="65" t="n"/>
      <c r="T14" s="65" t="n"/>
    </row>
    <row r="15">
      <c r="B15" s="57" t="inlineStr">
        <is>
          <t>Hardware Repair</t>
        </is>
      </c>
      <c r="C15" s="57" t="inlineStr">
        <is>
          <t>Button Repair</t>
        </is>
      </c>
      <c r="L15" s="57" t="inlineStr">
        <is>
          <t>Hardware Repair</t>
        </is>
      </c>
      <c r="M15" s="57" t="inlineStr">
        <is>
          <t>Front Camera Replacement</t>
        </is>
      </c>
      <c r="N15" s="65" t="n"/>
      <c r="O15" s="65" t="n"/>
      <c r="P15" s="65" t="n"/>
      <c r="Q15" s="65" t="n"/>
      <c r="R15" s="65" t="n"/>
      <c r="S15" s="65" t="n"/>
      <c r="T15" s="65" t="n"/>
    </row>
    <row r="16">
      <c r="B16" s="57" t="inlineStr">
        <is>
          <t>Hardware Repair</t>
        </is>
      </c>
      <c r="C16" s="57" t="inlineStr">
        <is>
          <t>Board-Level Repair</t>
        </is>
      </c>
      <c r="L16" s="57" t="inlineStr">
        <is>
          <t>Hardware Repair</t>
        </is>
      </c>
      <c r="M16" s="57" t="inlineStr">
        <is>
          <t>Camera Lens Replacement</t>
        </is>
      </c>
      <c r="N16" s="65" t="n"/>
      <c r="O16" s="65" t="n"/>
      <c r="P16" s="65" t="n"/>
      <c r="Q16" s="65" t="n"/>
      <c r="R16" s="65" t="n"/>
      <c r="S16" s="65" t="n"/>
      <c r="T16" s="65" t="n"/>
    </row>
    <row r="17">
      <c r="B17" s="57" t="inlineStr">
        <is>
          <t>Hardware Repair</t>
        </is>
      </c>
      <c r="C17" s="57" t="inlineStr">
        <is>
          <t>Water Damage Treatment</t>
        </is>
      </c>
      <c r="L17" s="57" t="inlineStr">
        <is>
          <t>Hardware Repair</t>
        </is>
      </c>
      <c r="M17" s="57" t="inlineStr">
        <is>
          <t>Speaker Replacement</t>
        </is>
      </c>
      <c r="N17" s="65" t="n"/>
      <c r="O17" s="65" t="n"/>
      <c r="P17" s="65" t="n"/>
      <c r="Q17" s="65" t="n"/>
      <c r="R17" s="65" t="n"/>
      <c r="S17" s="65" t="n"/>
      <c r="T17" s="65" t="n"/>
    </row>
    <row r="18">
      <c r="B18" s="57" t="inlineStr">
        <is>
          <t>Diagnostics</t>
        </is>
      </c>
      <c r="C18" s="57" t="inlineStr">
        <is>
          <t>Diagnostic</t>
        </is>
      </c>
      <c r="L18" s="57" t="inlineStr">
        <is>
          <t>Hardware Repair</t>
        </is>
      </c>
      <c r="M18" s="57" t="inlineStr">
        <is>
          <t>Earpiece Speaker Replacement</t>
        </is>
      </c>
      <c r="N18" s="65" t="n"/>
      <c r="O18" s="65" t="n"/>
      <c r="P18" s="65" t="n"/>
      <c r="Q18" s="65" t="n"/>
      <c r="R18" s="65" t="n"/>
      <c r="S18" s="65" t="n"/>
      <c r="T18" s="65" t="n"/>
    </row>
    <row r="19">
      <c r="B19" s="57" t="inlineStr">
        <is>
          <t>Software</t>
        </is>
      </c>
      <c r="C19" s="57" t="inlineStr">
        <is>
          <t>Software Repair</t>
        </is>
      </c>
      <c r="L19" s="57" t="inlineStr">
        <is>
          <t>Hardware Repair</t>
        </is>
      </c>
      <c r="M19" s="57" t="inlineStr">
        <is>
          <t>Loudspeaker Replacement</t>
        </is>
      </c>
      <c r="N19" s="65" t="n"/>
      <c r="O19" s="65" t="n"/>
      <c r="P19" s="65" t="n"/>
      <c r="Q19" s="65" t="n"/>
      <c r="R19" s="65" t="n"/>
      <c r="S19" s="65" t="n"/>
      <c r="T19" s="65" t="n"/>
    </row>
    <row r="20">
      <c r="B20" s="57" t="inlineStr">
        <is>
          <t>Software</t>
        </is>
      </c>
      <c r="C20" s="57" t="inlineStr">
        <is>
          <t>Software Troubleshooting</t>
        </is>
      </c>
      <c r="L20" s="57" t="inlineStr">
        <is>
          <t>Hardware Repair</t>
        </is>
      </c>
      <c r="M20" s="57" t="inlineStr">
        <is>
          <t>Microphone Replacement</t>
        </is>
      </c>
      <c r="N20" s="65" t="n"/>
      <c r="O20" s="65" t="n"/>
      <c r="P20" s="65" t="n"/>
      <c r="Q20" s="65" t="n"/>
      <c r="R20" s="65" t="n"/>
      <c r="S20" s="65" t="n"/>
      <c r="T20" s="65" t="n"/>
    </row>
    <row r="21">
      <c r="B21" s="57" t="inlineStr">
        <is>
          <t>Software</t>
        </is>
      </c>
      <c r="C21" s="57" t="inlineStr">
        <is>
          <t>Firmware Update</t>
        </is>
      </c>
      <c r="L21" s="57" t="inlineStr">
        <is>
          <t>Hardware Repair</t>
        </is>
      </c>
      <c r="M21" s="57" t="inlineStr">
        <is>
          <t>Vibrator Motor Replacement</t>
        </is>
      </c>
      <c r="N21" s="65" t="n"/>
      <c r="O21" s="65" t="n"/>
      <c r="P21" s="65" t="n"/>
      <c r="Q21" s="65" t="n"/>
      <c r="R21" s="65" t="n"/>
      <c r="S21" s="65" t="n"/>
      <c r="T21" s="65" t="n"/>
    </row>
    <row r="22">
      <c r="B22" s="57" t="inlineStr">
        <is>
          <t>Software</t>
        </is>
      </c>
      <c r="C22" s="57" t="inlineStr">
        <is>
          <t>Operating System Reinstallation</t>
        </is>
      </c>
      <c r="L22" s="57" t="inlineStr">
        <is>
          <t>Hardware Repair</t>
        </is>
      </c>
      <c r="M22" s="57" t="inlineStr">
        <is>
          <t>Button Repair</t>
        </is>
      </c>
      <c r="N22" s="65" t="n"/>
      <c r="O22" s="65" t="n"/>
      <c r="P22" s="65" t="n"/>
      <c r="Q22" s="65" t="n"/>
      <c r="R22" s="65" t="n"/>
      <c r="S22" s="65" t="n"/>
      <c r="T22" s="65" t="n"/>
    </row>
    <row r="23">
      <c r="B23" s="57" t="inlineStr">
        <is>
          <t>Software</t>
        </is>
      </c>
      <c r="C23" s="57" t="inlineStr">
        <is>
          <t>Device Setup</t>
        </is>
      </c>
      <c r="L23" s="57" t="inlineStr">
        <is>
          <t>Hardware Repair</t>
        </is>
      </c>
      <c r="M23" s="57" t="inlineStr">
        <is>
          <t>Button Replacement</t>
        </is>
      </c>
      <c r="N23" s="65" t="n"/>
      <c r="O23" s="65" t="n"/>
      <c r="P23" s="65" t="n"/>
      <c r="Q23" s="65" t="n"/>
      <c r="R23" s="65" t="n"/>
      <c r="S23" s="65" t="n"/>
      <c r="T23" s="65" t="n"/>
    </row>
    <row r="24">
      <c r="B24" s="57" t="inlineStr">
        <is>
          <t>Software</t>
        </is>
      </c>
      <c r="C24" s="57" t="inlineStr">
        <is>
          <t>Performance Optimization</t>
        </is>
      </c>
      <c r="L24" s="57" t="inlineStr">
        <is>
          <t>Hardware Repair</t>
        </is>
      </c>
      <c r="M24" s="57" t="inlineStr">
        <is>
          <t>Power Button Repair</t>
        </is>
      </c>
      <c r="N24" s="65" t="n"/>
      <c r="O24" s="65" t="n"/>
      <c r="P24" s="65" t="n"/>
      <c r="Q24" s="65" t="n"/>
      <c r="R24" s="65" t="n"/>
      <c r="S24" s="65" t="n"/>
      <c r="T24" s="65" t="n"/>
    </row>
    <row r="25">
      <c r="B25" s="57" t="inlineStr">
        <is>
          <t>Software</t>
        </is>
      </c>
      <c r="C25" s="57" t="inlineStr">
        <is>
          <t>Data Transfer</t>
        </is>
      </c>
      <c r="L25" s="57" t="inlineStr">
        <is>
          <t>Hardware Repair</t>
        </is>
      </c>
      <c r="M25" s="57" t="inlineStr">
        <is>
          <t>Volume Button Repair</t>
        </is>
      </c>
      <c r="N25" s="65" t="n"/>
      <c r="O25" s="65" t="n"/>
      <c r="P25" s="65" t="n"/>
      <c r="Q25" s="65" t="n"/>
      <c r="R25" s="65" t="n"/>
      <c r="S25" s="65" t="n"/>
      <c r="T25" s="65" t="n"/>
    </row>
    <row r="26">
      <c r="B26" s="57" t="inlineStr">
        <is>
          <t>Software</t>
        </is>
      </c>
      <c r="C26" s="57" t="inlineStr">
        <is>
          <t>Data Recovery</t>
        </is>
      </c>
      <c r="L26" s="57" t="inlineStr">
        <is>
          <t>Hardware Repair</t>
        </is>
      </c>
      <c r="M26" s="57" t="inlineStr">
        <is>
          <t>Home Button Repair</t>
        </is>
      </c>
      <c r="N26" s="65" t="n"/>
      <c r="O26" s="65" t="n"/>
      <c r="P26" s="65" t="n"/>
      <c r="Q26" s="65" t="n"/>
      <c r="R26" s="65" t="n"/>
      <c r="S26" s="65" t="n"/>
      <c r="T26" s="65" t="n"/>
    </row>
    <row r="27">
      <c r="B27" s="57" t="inlineStr">
        <is>
          <t>Maintenance</t>
        </is>
      </c>
      <c r="C27" s="57" t="inlineStr">
        <is>
          <t>Device Cleaning</t>
        </is>
      </c>
      <c r="L27" s="57" t="inlineStr">
        <is>
          <t>Hardware Repair</t>
        </is>
      </c>
      <c r="M27" s="57" t="inlineStr">
        <is>
          <t>Face ID Repair</t>
        </is>
      </c>
      <c r="N27" s="65" t="n"/>
      <c r="O27" s="65" t="n"/>
      <c r="P27" s="65" t="n"/>
      <c r="Q27" s="65" t="n"/>
      <c r="R27" s="65" t="n"/>
      <c r="S27" s="65" t="n"/>
      <c r="T27" s="65" t="n"/>
    </row>
    <row r="28">
      <c r="B28" s="57" t="inlineStr">
        <is>
          <t>Maintenance</t>
        </is>
      </c>
      <c r="C28" s="57" t="inlineStr">
        <is>
          <t>Thermal Paste Replacement</t>
        </is>
      </c>
      <c r="L28" s="57" t="inlineStr">
        <is>
          <t>Hardware Repair</t>
        </is>
      </c>
      <c r="M28" s="57" t="inlineStr">
        <is>
          <t>Touch ID Repair</t>
        </is>
      </c>
      <c r="N28" s="65" t="n"/>
      <c r="O28" s="65" t="n"/>
      <c r="P28" s="65" t="n"/>
      <c r="Q28" s="65" t="n"/>
      <c r="R28" s="65" t="n"/>
      <c r="S28" s="65" t="n"/>
      <c r="T28" s="65" t="n"/>
    </row>
    <row r="29">
      <c r="B29" s="57" t="inlineStr">
        <is>
          <t>Upgrade</t>
        </is>
      </c>
      <c r="C29" s="57" t="inlineStr">
        <is>
          <t>RAM Upgrade</t>
        </is>
      </c>
      <c r="L29" s="57" t="inlineStr">
        <is>
          <t>Hardware Repair</t>
        </is>
      </c>
      <c r="M29" s="57" t="inlineStr">
        <is>
          <t>Fingerprint Sensor Repair</t>
        </is>
      </c>
      <c r="N29" s="65" t="n"/>
      <c r="O29" s="65" t="n"/>
      <c r="P29" s="65" t="n"/>
      <c r="Q29" s="65" t="n"/>
      <c r="R29" s="65" t="n"/>
      <c r="S29" s="65" t="n"/>
      <c r="T29" s="65" t="n"/>
    </row>
    <row r="30">
      <c r="B30" s="57" t="inlineStr">
        <is>
          <t>Upgrade</t>
        </is>
      </c>
      <c r="C30" s="57" t="inlineStr">
        <is>
          <t>SSD Upgrade</t>
        </is>
      </c>
      <c r="L30" s="57" t="inlineStr">
        <is>
          <t>Hardware Repair</t>
        </is>
      </c>
      <c r="M30" s="57" t="inlineStr">
        <is>
          <t>Housing Replacement</t>
        </is>
      </c>
      <c r="N30" s="65" t="n"/>
      <c r="O30" s="65" t="n"/>
      <c r="P30" s="65" t="n"/>
      <c r="Q30" s="65" t="n"/>
      <c r="R30" s="65" t="n"/>
      <c r="S30" s="65" t="n"/>
      <c r="T30" s="65" t="n"/>
    </row>
    <row r="31">
      <c r="B31" s="57" t="inlineStr">
        <is>
          <t>Gaming</t>
        </is>
      </c>
      <c r="C31" s="57" t="inlineStr">
        <is>
          <t>HDMI Port Repair</t>
        </is>
      </c>
      <c r="L31" s="57" t="inlineStr">
        <is>
          <t>Hardware Repair</t>
        </is>
      </c>
      <c r="M31" s="57" t="inlineStr">
        <is>
          <t>Midframe Replacement</t>
        </is>
      </c>
      <c r="N31" s="65" t="n"/>
      <c r="O31" s="65" t="n"/>
      <c r="P31" s="65" t="n"/>
      <c r="Q31" s="65" t="n"/>
      <c r="R31" s="65" t="n"/>
      <c r="S31" s="65" t="n"/>
      <c r="T31" s="65" t="n"/>
    </row>
    <row r="32">
      <c r="B32" s="57" t="inlineStr">
        <is>
          <t>Gaming</t>
        </is>
      </c>
      <c r="C32" s="57" t="inlineStr">
        <is>
          <t>Fan Replacement</t>
        </is>
      </c>
      <c r="L32" s="57" t="inlineStr">
        <is>
          <t>Hardware Repair</t>
        </is>
      </c>
      <c r="M32" s="57" t="inlineStr">
        <is>
          <t>Back Glass Replacement</t>
        </is>
      </c>
      <c r="N32" s="65" t="n"/>
      <c r="O32" s="65" t="n"/>
      <c r="P32" s="65" t="n"/>
      <c r="Q32" s="65" t="n"/>
      <c r="R32" s="65" t="n"/>
      <c r="S32" s="65" t="n"/>
      <c r="T32" s="65" t="n"/>
    </row>
    <row r="33">
      <c r="B33" s="57" t="inlineStr">
        <is>
          <t>Gaming</t>
        </is>
      </c>
      <c r="C33" s="57" t="inlineStr">
        <is>
          <t>Storage Upgrade</t>
        </is>
      </c>
      <c r="L33" s="57" t="inlineStr">
        <is>
          <t>Hardware Repair</t>
        </is>
      </c>
      <c r="M33" s="57" t="inlineStr">
        <is>
          <t>SIM Reader Repair</t>
        </is>
      </c>
      <c r="N33" s="65" t="n"/>
      <c r="O33" s="65" t="n"/>
      <c r="P33" s="65" t="n"/>
      <c r="Q33" s="65" t="n"/>
      <c r="R33" s="65" t="n"/>
      <c r="S33" s="65" t="n"/>
      <c r="T33" s="65" t="n"/>
    </row>
    <row r="34">
      <c r="L34" s="57" t="inlineStr">
        <is>
          <t>Hardware Repair</t>
        </is>
      </c>
      <c r="M34" s="57" t="inlineStr">
        <is>
          <t>SD Card Reader Repair</t>
        </is>
      </c>
      <c r="N34" s="65" t="n"/>
      <c r="O34" s="65" t="n"/>
      <c r="P34" s="65" t="n"/>
      <c r="Q34" s="65" t="n"/>
      <c r="R34" s="65" t="n"/>
      <c r="S34" s="65" t="n"/>
      <c r="T34" s="65" t="n"/>
    </row>
    <row r="35">
      <c r="L35" s="57" t="inlineStr">
        <is>
          <t>Hardware Repair</t>
        </is>
      </c>
      <c r="M35" s="57" t="inlineStr">
        <is>
          <t>Antenna Repair</t>
        </is>
      </c>
      <c r="N35" s="65" t="n"/>
      <c r="O35" s="65" t="n"/>
      <c r="P35" s="65" t="n"/>
      <c r="Q35" s="65" t="n"/>
      <c r="R35" s="65" t="n"/>
      <c r="S35" s="65" t="n"/>
      <c r="T35" s="65" t="n"/>
    </row>
    <row r="36">
      <c r="L36" s="57" t="inlineStr">
        <is>
          <t>Hardware Repair</t>
        </is>
      </c>
      <c r="M36" s="57" t="inlineStr">
        <is>
          <t>Wi-Fi Repair</t>
        </is>
      </c>
      <c r="N36" s="65" t="n"/>
      <c r="O36" s="65" t="n"/>
      <c r="P36" s="65" t="n"/>
      <c r="Q36" s="65" t="n"/>
      <c r="R36" s="65" t="n"/>
      <c r="S36" s="65" t="n"/>
      <c r="T36" s="65" t="n"/>
    </row>
    <row r="37">
      <c r="L37" s="57" t="inlineStr">
        <is>
          <t>Hardware Repair</t>
        </is>
      </c>
      <c r="M37" s="57" t="inlineStr">
        <is>
          <t>Bluetooth Repair</t>
        </is>
      </c>
      <c r="N37" s="65" t="n"/>
      <c r="O37" s="65" t="n"/>
      <c r="P37" s="65" t="n"/>
      <c r="Q37" s="65" t="n"/>
      <c r="R37" s="65" t="n"/>
      <c r="S37" s="65" t="n"/>
      <c r="T37" s="65" t="n"/>
    </row>
    <row r="38">
      <c r="L38" s="57" t="inlineStr">
        <is>
          <t>Hardware Repair</t>
        </is>
      </c>
      <c r="M38" s="57" t="inlineStr">
        <is>
          <t>NFC Repair</t>
        </is>
      </c>
      <c r="N38" s="65" t="n"/>
      <c r="O38" s="65" t="n"/>
      <c r="P38" s="65" t="n"/>
      <c r="Q38" s="65" t="n"/>
      <c r="R38" s="65" t="n"/>
      <c r="S38" s="65" t="n"/>
      <c r="T38" s="65" t="n"/>
    </row>
    <row r="39">
      <c r="L39" s="57" t="inlineStr">
        <is>
          <t>Hardware Repair</t>
        </is>
      </c>
      <c r="M39" s="57" t="inlineStr">
        <is>
          <t>GPS Repair</t>
        </is>
      </c>
      <c r="N39" s="65" t="n"/>
      <c r="O39" s="65" t="n"/>
      <c r="P39" s="65" t="n"/>
      <c r="Q39" s="65" t="n"/>
      <c r="R39" s="65" t="n"/>
      <c r="S39" s="65" t="n"/>
      <c r="T39" s="65" t="n"/>
    </row>
    <row r="40">
      <c r="L40" s="57" t="inlineStr">
        <is>
          <t>Hardware Repair</t>
        </is>
      </c>
      <c r="M40" s="57" t="inlineStr">
        <is>
          <t>Motherboard Repair</t>
        </is>
      </c>
      <c r="N40" s="65" t="n"/>
      <c r="O40" s="65" t="n"/>
      <c r="P40" s="65" t="n"/>
      <c r="Q40" s="65" t="n"/>
      <c r="R40" s="65" t="n"/>
      <c r="S40" s="65" t="n"/>
      <c r="T40" s="65" t="n"/>
    </row>
    <row r="41">
      <c r="L41" s="57" t="inlineStr">
        <is>
          <t>Hardware Repair</t>
        </is>
      </c>
      <c r="M41" s="57" t="inlineStr">
        <is>
          <t>Board-Level Repair</t>
        </is>
      </c>
      <c r="N41" s="65" t="n"/>
      <c r="O41" s="65" t="n"/>
      <c r="P41" s="65" t="n"/>
      <c r="Q41" s="65" t="n"/>
      <c r="R41" s="65" t="n"/>
      <c r="S41" s="65" t="n"/>
      <c r="T41" s="65" t="n"/>
    </row>
    <row r="42">
      <c r="L42" s="57" t="inlineStr">
        <is>
          <t>Hardware Repair</t>
        </is>
      </c>
      <c r="M42" s="57" t="inlineStr">
        <is>
          <t>Logic Board Repair</t>
        </is>
      </c>
      <c r="N42" s="65" t="n"/>
      <c r="O42" s="65" t="n"/>
      <c r="P42" s="65" t="n"/>
      <c r="Q42" s="65" t="n"/>
      <c r="R42" s="65" t="n"/>
      <c r="S42" s="65" t="n"/>
      <c r="T42" s="65" t="n"/>
    </row>
    <row r="43">
      <c r="L43" s="57" t="inlineStr">
        <is>
          <t>Hardware Repair</t>
        </is>
      </c>
      <c r="M43" s="57" t="inlineStr">
        <is>
          <t>HDMI Port Repair</t>
        </is>
      </c>
      <c r="N43" s="65" t="n"/>
      <c r="O43" s="65" t="n"/>
      <c r="P43" s="65" t="n"/>
      <c r="Q43" s="65" t="n"/>
      <c r="R43" s="65" t="n"/>
      <c r="S43" s="65" t="n"/>
      <c r="T43" s="65" t="n"/>
    </row>
    <row r="44">
      <c r="L44" s="57" t="inlineStr">
        <is>
          <t>Hardware Repair</t>
        </is>
      </c>
      <c r="M44" s="57" t="inlineStr">
        <is>
          <t>USB Port Repair</t>
        </is>
      </c>
      <c r="N44" s="65" t="n"/>
      <c r="O44" s="65" t="n"/>
      <c r="P44" s="65" t="n"/>
      <c r="Q44" s="65" t="n"/>
      <c r="R44" s="65" t="n"/>
      <c r="S44" s="65" t="n"/>
      <c r="T44" s="65" t="n"/>
    </row>
    <row r="45">
      <c r="L45" s="57" t="inlineStr">
        <is>
          <t>Hardware Repair</t>
        </is>
      </c>
      <c r="M45" s="57" t="inlineStr">
        <is>
          <t>Fan Replacement</t>
        </is>
      </c>
      <c r="N45" s="65" t="n"/>
      <c r="O45" s="65" t="n"/>
      <c r="P45" s="65" t="n"/>
      <c r="Q45" s="65" t="n"/>
      <c r="R45" s="65" t="n"/>
      <c r="S45" s="65" t="n"/>
      <c r="T45" s="65" t="n"/>
    </row>
    <row r="46">
      <c r="L46" s="57" t="inlineStr">
        <is>
          <t>Hardware Repair</t>
        </is>
      </c>
      <c r="M46" s="57" t="inlineStr">
        <is>
          <t>Thermal Paste Replacement</t>
        </is>
      </c>
      <c r="N46" s="65" t="n"/>
      <c r="O46" s="65" t="n"/>
      <c r="P46" s="65" t="n"/>
      <c r="Q46" s="65" t="n"/>
      <c r="R46" s="65" t="n"/>
      <c r="S46" s="65" t="n"/>
      <c r="T46" s="65" t="n"/>
    </row>
    <row r="47">
      <c r="L47" s="57" t="inlineStr">
        <is>
          <t>Software Services</t>
        </is>
      </c>
      <c r="M47" s="57" t="inlineStr">
        <is>
          <t>Software Repair</t>
        </is>
      </c>
      <c r="N47" s="65" t="n"/>
      <c r="O47" s="65" t="n"/>
      <c r="P47" s="65" t="n"/>
      <c r="Q47" s="65" t="n"/>
      <c r="R47" s="65" t="n"/>
      <c r="S47" s="65" t="n"/>
      <c r="T47" s="65" t="n"/>
    </row>
    <row r="48">
      <c r="L48" s="57" t="inlineStr">
        <is>
          <t>Software Services</t>
        </is>
      </c>
      <c r="M48" s="57" t="inlineStr">
        <is>
          <t>Software Troubleshooting</t>
        </is>
      </c>
      <c r="N48" s="65" t="n"/>
      <c r="O48" s="65" t="n"/>
      <c r="P48" s="65" t="n"/>
      <c r="Q48" s="65" t="n"/>
      <c r="R48" s="65" t="n"/>
      <c r="S48" s="65" t="n"/>
      <c r="T48" s="65" t="n"/>
    </row>
    <row r="49">
      <c r="L49" s="57" t="inlineStr">
        <is>
          <t>Software Services</t>
        </is>
      </c>
      <c r="M49" s="57" t="inlineStr">
        <is>
          <t>Operating System Reinstallation</t>
        </is>
      </c>
      <c r="N49" s="65" t="n"/>
      <c r="O49" s="65" t="n"/>
      <c r="P49" s="65" t="n"/>
      <c r="Q49" s="65" t="n"/>
      <c r="R49" s="65" t="n"/>
      <c r="S49" s="65" t="n"/>
      <c r="T49" s="65" t="n"/>
    </row>
    <row r="50">
      <c r="L50" s="57" t="inlineStr">
        <is>
          <t>Software Services</t>
        </is>
      </c>
      <c r="M50" s="57" t="inlineStr">
        <is>
          <t>Firmware Update</t>
        </is>
      </c>
      <c r="N50" s="65" t="n"/>
      <c r="O50" s="65" t="n"/>
      <c r="P50" s="65" t="n"/>
      <c r="Q50" s="65" t="n"/>
      <c r="R50" s="65" t="n"/>
      <c r="S50" s="65" t="n"/>
      <c r="T50" s="65" t="n"/>
    </row>
    <row r="51">
      <c r="L51" s="57" t="inlineStr">
        <is>
          <t>Software Services</t>
        </is>
      </c>
      <c r="M51" s="57" t="inlineStr">
        <is>
          <t>Driver Installation</t>
        </is>
      </c>
      <c r="N51" s="65" t="n"/>
      <c r="O51" s="65" t="n"/>
      <c r="P51" s="65" t="n"/>
      <c r="Q51" s="65" t="n"/>
      <c r="R51" s="65" t="n"/>
      <c r="S51" s="65" t="n"/>
      <c r="T51" s="65" t="n"/>
    </row>
    <row r="52">
      <c r="L52" s="57" t="inlineStr">
        <is>
          <t>Software Services</t>
        </is>
      </c>
      <c r="M52" s="57" t="inlineStr">
        <is>
          <t>Device Setup</t>
        </is>
      </c>
      <c r="N52" s="65" t="n"/>
      <c r="O52" s="65" t="n"/>
      <c r="P52" s="65" t="n"/>
      <c r="Q52" s="65" t="n"/>
      <c r="R52" s="65" t="n"/>
      <c r="S52" s="65" t="n"/>
      <c r="T52" s="65" t="n"/>
    </row>
    <row r="53">
      <c r="L53" s="57" t="inlineStr">
        <is>
          <t>Software Services</t>
        </is>
      </c>
      <c r="M53" s="57" t="inlineStr">
        <is>
          <t>Device Optimization</t>
        </is>
      </c>
      <c r="N53" s="65" t="n"/>
      <c r="O53" s="65" t="n"/>
      <c r="P53" s="65" t="n"/>
      <c r="Q53" s="65" t="n"/>
      <c r="R53" s="65" t="n"/>
      <c r="S53" s="65" t="n"/>
      <c r="T53" s="65" t="n"/>
    </row>
    <row r="54">
      <c r="L54" s="57" t="inlineStr">
        <is>
          <t>Software Services</t>
        </is>
      </c>
      <c r="M54" s="57" t="inlineStr">
        <is>
          <t>Password Reset</t>
        </is>
      </c>
      <c r="N54" s="65" t="n"/>
      <c r="O54" s="65" t="n"/>
      <c r="P54" s="65" t="n"/>
      <c r="Q54" s="65" t="n"/>
      <c r="R54" s="65" t="n"/>
      <c r="S54" s="65" t="n"/>
      <c r="T54" s="65" t="n"/>
    </row>
    <row r="55">
      <c r="L55" s="57" t="inlineStr">
        <is>
          <t>Software Services</t>
        </is>
      </c>
      <c r="M55" s="57" t="inlineStr">
        <is>
          <t>Account Recovery</t>
        </is>
      </c>
      <c r="N55" s="65" t="n"/>
      <c r="O55" s="65" t="n"/>
      <c r="P55" s="65" t="n"/>
      <c r="Q55" s="65" t="n"/>
      <c r="R55" s="65" t="n"/>
      <c r="S55" s="65" t="n"/>
      <c r="T55" s="65" t="n"/>
    </row>
    <row r="56">
      <c r="L56" s="57" t="inlineStr">
        <is>
          <t>Software Services</t>
        </is>
      </c>
      <c r="M56" s="57" t="inlineStr">
        <is>
          <t>Backup Service</t>
        </is>
      </c>
      <c r="N56" s="65" t="n"/>
      <c r="O56" s="65" t="n"/>
      <c r="P56" s="65" t="n"/>
      <c r="Q56" s="65" t="n"/>
      <c r="R56" s="65" t="n"/>
      <c r="S56" s="65" t="n"/>
      <c r="T56" s="65" t="n"/>
    </row>
    <row r="57">
      <c r="L57" s="57" t="inlineStr">
        <is>
          <t>Software Services</t>
        </is>
      </c>
      <c r="M57" s="57" t="inlineStr">
        <is>
          <t>Data Transfer</t>
        </is>
      </c>
      <c r="N57" s="65" t="n"/>
      <c r="O57" s="65" t="n"/>
      <c r="P57" s="65" t="n"/>
      <c r="Q57" s="65" t="n"/>
      <c r="R57" s="65" t="n"/>
      <c r="S57" s="65" t="n"/>
      <c r="T57" s="65" t="n"/>
    </row>
    <row r="58">
      <c r="L58" s="57" t="inlineStr">
        <is>
          <t>Software Services</t>
        </is>
      </c>
      <c r="M58" s="57" t="inlineStr">
        <is>
          <t>Data Recovery</t>
        </is>
      </c>
      <c r="N58" s="65" t="n"/>
      <c r="O58" s="65" t="n"/>
      <c r="P58" s="65" t="n"/>
      <c r="Q58" s="65" t="n"/>
      <c r="R58" s="65" t="n"/>
      <c r="S58" s="65" t="n"/>
      <c r="T58" s="65" t="n"/>
    </row>
    <row r="59">
      <c r="L59" s="57" t="inlineStr">
        <is>
          <t>Diagnostics</t>
        </is>
      </c>
      <c r="M59" s="57" t="inlineStr">
        <is>
          <t>Diagnostic</t>
        </is>
      </c>
      <c r="N59" s="65" t="n"/>
      <c r="O59" s="65" t="n"/>
      <c r="P59" s="65" t="n"/>
      <c r="Q59" s="65" t="n"/>
      <c r="R59" s="65" t="n"/>
      <c r="S59" s="65" t="n"/>
      <c r="T59" s="65" t="n"/>
    </row>
    <row r="60">
      <c r="L60" s="57" t="inlineStr">
        <is>
          <t>Diagnostics</t>
        </is>
      </c>
      <c r="M60" s="57" t="inlineStr">
        <is>
          <t>Hardware Diagnostic</t>
        </is>
      </c>
      <c r="N60" s="65" t="n"/>
      <c r="O60" s="65" t="n"/>
      <c r="P60" s="65" t="n"/>
      <c r="Q60" s="65" t="n"/>
      <c r="R60" s="65" t="n"/>
      <c r="S60" s="65" t="n"/>
      <c r="T60" s="65" t="n"/>
    </row>
    <row r="61">
      <c r="L61" s="57" t="inlineStr">
        <is>
          <t>Diagnostics</t>
        </is>
      </c>
      <c r="M61" s="57" t="inlineStr">
        <is>
          <t>Software Diagnostic</t>
        </is>
      </c>
      <c r="N61" s="65" t="n"/>
      <c r="O61" s="65" t="n"/>
      <c r="P61" s="65" t="n"/>
      <c r="Q61" s="65" t="n"/>
      <c r="R61" s="65" t="n"/>
      <c r="S61" s="65" t="n"/>
      <c r="T61" s="65" t="n"/>
    </row>
    <row r="62">
      <c r="L62" s="57" t="inlineStr">
        <is>
          <t>Diagnostics</t>
        </is>
      </c>
      <c r="M62" s="57" t="inlineStr">
        <is>
          <t>Liquid Damage Inspection</t>
        </is>
      </c>
      <c r="N62" s="65" t="n"/>
      <c r="O62" s="65" t="n"/>
      <c r="P62" s="65" t="n"/>
      <c r="Q62" s="65" t="n"/>
      <c r="R62" s="65" t="n"/>
      <c r="S62" s="65" t="n"/>
      <c r="T62" s="65" t="n"/>
    </row>
    <row r="63">
      <c r="L63" s="57" t="inlineStr">
        <is>
          <t>Maintenance</t>
        </is>
      </c>
      <c r="M63" s="57" t="inlineStr">
        <is>
          <t>Internal Cleaning</t>
        </is>
      </c>
      <c r="N63" s="65" t="n"/>
      <c r="O63" s="65" t="n"/>
      <c r="P63" s="65" t="n"/>
      <c r="Q63" s="65" t="n"/>
      <c r="R63" s="65" t="n"/>
      <c r="S63" s="65" t="n"/>
      <c r="T63" s="65" t="n"/>
    </row>
    <row r="64">
      <c r="L64" s="57" t="inlineStr">
        <is>
          <t>Maintenance</t>
        </is>
      </c>
      <c r="M64" s="57" t="inlineStr">
        <is>
          <t>External Cleaning</t>
        </is>
      </c>
      <c r="N64" s="65" t="n"/>
      <c r="O64" s="65" t="n"/>
      <c r="P64" s="65" t="n"/>
      <c r="Q64" s="65" t="n"/>
      <c r="R64" s="65" t="n"/>
      <c r="S64" s="65" t="n"/>
      <c r="T64" s="65" t="n"/>
    </row>
    <row r="65">
      <c r="L65" s="57" t="inlineStr">
        <is>
          <t>Maintenance</t>
        </is>
      </c>
      <c r="M65" s="57" t="inlineStr">
        <is>
          <t>Corrosion Cleaning</t>
        </is>
      </c>
      <c r="N65" s="65" t="n"/>
      <c r="O65" s="65" t="n"/>
      <c r="P65" s="65" t="n"/>
      <c r="Q65" s="65" t="n"/>
      <c r="R65" s="65" t="n"/>
      <c r="S65" s="65" t="n"/>
      <c r="T65" s="65" t="n"/>
    </row>
    <row r="66">
      <c r="L66" s="57" t="inlineStr">
        <is>
          <t>Maintenance</t>
        </is>
      </c>
      <c r="M66" s="57" t="inlineStr">
        <is>
          <t>Dust Removal</t>
        </is>
      </c>
      <c r="N66" s="65" t="n"/>
      <c r="O66" s="65" t="n"/>
      <c r="P66" s="65" t="n"/>
      <c r="Q66" s="65" t="n"/>
      <c r="R66" s="65" t="n"/>
      <c r="S66" s="65" t="n"/>
      <c r="T66" s="65" t="n"/>
    </row>
    <row r="67">
      <c r="L67" s="57" t="inlineStr">
        <is>
          <t>Upgrade</t>
        </is>
      </c>
      <c r="M67" s="57" t="inlineStr">
        <is>
          <t>SSD Upgrade</t>
        </is>
      </c>
      <c r="N67" s="65" t="n"/>
      <c r="O67" s="65" t="n"/>
      <c r="P67" s="65" t="n"/>
      <c r="Q67" s="65" t="n"/>
      <c r="R67" s="65" t="n"/>
      <c r="S67" s="65" t="n"/>
      <c r="T67" s="65" t="n"/>
    </row>
    <row r="68">
      <c r="L68" s="57" t="inlineStr">
        <is>
          <t>Upgrade</t>
        </is>
      </c>
      <c r="M68" s="57" t="inlineStr">
        <is>
          <t>RAM Upgrade</t>
        </is>
      </c>
      <c r="N68" s="65" t="n"/>
      <c r="O68" s="65" t="n"/>
      <c r="P68" s="65" t="n"/>
      <c r="Q68" s="65" t="n"/>
      <c r="R68" s="65" t="n"/>
      <c r="S68" s="65" t="n"/>
      <c r="T68" s="65" t="n"/>
    </row>
    <row r="69">
      <c r="L69" s="57" t="inlineStr">
        <is>
          <t>Upgrade</t>
        </is>
      </c>
      <c r="M69" s="57" t="inlineStr">
        <is>
          <t>Battery Upgrade</t>
        </is>
      </c>
      <c r="N69" s="65" t="n"/>
      <c r="O69" s="65" t="n"/>
      <c r="P69" s="65" t="n"/>
      <c r="Q69" s="65" t="n"/>
      <c r="R69" s="65" t="n"/>
      <c r="S69" s="65" t="n"/>
      <c r="T69" s="65" t="n"/>
    </row>
    <row r="70">
      <c r="L70" s="57" t="inlineStr">
        <is>
          <t>Upgrade</t>
        </is>
      </c>
      <c r="M70" s="57" t="inlineStr">
        <is>
          <t>Storage Upgrade</t>
        </is>
      </c>
      <c r="N70" s="65" t="n"/>
      <c r="O70" s="65" t="n"/>
      <c r="P70" s="65" t="n"/>
      <c r="Q70" s="65" t="n"/>
      <c r="R70" s="65" t="n"/>
      <c r="S70" s="65" t="n"/>
      <c r="T70" s="65" t="n"/>
    </row>
    <row r="71">
      <c r="L71" s="57" t="inlineStr">
        <is>
          <t>Accessory Services</t>
        </is>
      </c>
      <c r="M71" s="57" t="inlineStr">
        <is>
          <t>Screen Protector Installation</t>
        </is>
      </c>
      <c r="N71" s="65" t="n"/>
      <c r="O71" s="65" t="n"/>
      <c r="P71" s="65" t="n"/>
      <c r="Q71" s="65" t="n"/>
      <c r="R71" s="65" t="n"/>
      <c r="S71" s="65" t="n"/>
      <c r="T71" s="65" t="n"/>
    </row>
    <row r="72">
      <c r="L72" s="57" t="inlineStr">
        <is>
          <t>Accessory Services</t>
        </is>
      </c>
      <c r="M72" s="57" t="inlineStr">
        <is>
          <t>Case Installation</t>
        </is>
      </c>
      <c r="N72" s="65" t="n"/>
      <c r="O72" s="65" t="n"/>
      <c r="P72" s="65" t="n"/>
      <c r="Q72" s="65" t="n"/>
      <c r="R72" s="65" t="n"/>
      <c r="S72" s="65" t="n"/>
      <c r="T72" s="65" t="n"/>
    </row>
    <row r="73">
      <c r="L73" s="57" t="inlineStr">
        <is>
          <t>Accessory Services</t>
        </is>
      </c>
      <c r="M73" s="57" t="inlineStr">
        <is>
          <t>Accessory Setup</t>
        </is>
      </c>
      <c r="N73" s="65" t="n"/>
      <c r="O73" s="65" t="n"/>
      <c r="P73" s="65" t="n"/>
      <c r="Q73" s="65" t="n"/>
      <c r="R73" s="65" t="n"/>
      <c r="S73" s="65" t="n"/>
      <c r="T73" s="65" t="n"/>
    </row>
    <row r="74">
      <c r="L74" s="57" t="inlineStr">
        <is>
          <t>Accessory Services</t>
        </is>
      </c>
      <c r="M74" s="57" t="inlineStr">
        <is>
          <t>Device Pairing</t>
        </is>
      </c>
      <c r="N74" s="65" t="n"/>
      <c r="O74" s="65" t="n"/>
      <c r="P74" s="65" t="n"/>
      <c r="Q74" s="65" t="n"/>
      <c r="R74" s="65" t="n"/>
      <c r="S74" s="65" t="n"/>
      <c r="T74" s="65" t="n"/>
    </row>
  </sheetData>
  <pageMargins left="0.7" right="0.7" top="0.75" bottom="0.75" header="0.3" footer="0.3"/>
  <legacyDrawing xmlns:r="http://schemas.openxmlformats.org/officeDocument/2006/relationships" r:id="anysvml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24.xml><?xml version="1.0" encoding="utf-8"?>
<worksheet xmlns="http://schemas.openxmlformats.org/spreadsheetml/2006/main">
  <sheetPr>
    <tabColor rgb="FFFFFF00"/>
    <outlinePr summaryBelow="1" summaryRight="1"/>
    <pageSetUpPr/>
  </sheetPr>
  <dimension ref="A1:K76"/>
  <sheetViews>
    <sheetView topLeftCell="A15" workbookViewId="0">
      <selection activeCell="B66" sqref="B66"/>
    </sheetView>
  </sheetViews>
  <sheetFormatPr baseColWidth="8" defaultRowHeight="14.5"/>
  <cols>
    <col width="11.6328125" customWidth="1" style="125" min="1" max="1"/>
    <col width="24" bestFit="1" customWidth="1" style="125" min="2" max="2"/>
    <col width="20.1796875" bestFit="1" customWidth="1" style="125" min="3" max="3"/>
    <col width="14.6328125" customWidth="1" style="125" min="4" max="4"/>
    <col width="18.08984375" bestFit="1" customWidth="1" style="125" min="5" max="5"/>
    <col width="35.7265625" bestFit="1" customWidth="1" style="125" min="6" max="6"/>
    <col width="23.26953125" bestFit="1" customWidth="1" style="125" min="7" max="7"/>
    <col width="19.54296875" bestFit="1" customWidth="1" style="125" min="8" max="8"/>
    <col width="19.54296875" customWidth="1" style="125" min="9" max="9"/>
  </cols>
  <sheetData>
    <row r="1">
      <c r="A1" s="58" t="inlineStr">
        <is>
          <t>Service ID</t>
        </is>
      </c>
      <c r="B1" s="58" t="inlineStr">
        <is>
          <t>Service Name</t>
        </is>
      </c>
      <c r="C1" s="58" t="inlineStr">
        <is>
          <t>Service Category</t>
        </is>
      </c>
      <c r="D1" s="58" t="inlineStr">
        <is>
          <t>Repair Type</t>
        </is>
      </c>
      <c r="E1" s="58" t="inlineStr">
        <is>
          <t xml:space="preserve">Requires Part </t>
        </is>
      </c>
      <c r="F1" s="58" t="inlineStr">
        <is>
          <t>Requires Labor</t>
        </is>
      </c>
      <c r="G1" s="58" t="inlineStr">
        <is>
          <t>Estimated Labor (hrs)</t>
        </is>
      </c>
      <c r="H1" s="58" t="inlineStr">
        <is>
          <t>Warranty Eligible</t>
        </is>
      </c>
      <c r="I1" s="58" t="inlineStr">
        <is>
          <t>Repair Difficulty</t>
        </is>
      </c>
      <c r="J1" s="58" t="inlineStr">
        <is>
          <t>Active</t>
        </is>
      </c>
      <c r="K1" s="58" t="inlineStr">
        <is>
          <t>Notes</t>
        </is>
      </c>
    </row>
    <row r="2">
      <c r="A2" s="65" t="inlineStr">
        <is>
          <t>SVC000001</t>
        </is>
      </c>
      <c r="B2" s="65" t="inlineStr">
        <is>
          <t>Screen Replacement</t>
        </is>
      </c>
      <c r="C2" s="65" t="inlineStr">
        <is>
          <t>Display</t>
        </is>
      </c>
      <c r="D2" s="65" t="inlineStr">
        <is>
          <t>Hardware</t>
        </is>
      </c>
      <c r="E2" s="57" t="b">
        <v>1</v>
      </c>
      <c r="F2" s="57" t="b">
        <v>1</v>
      </c>
      <c r="G2" s="57" t="n"/>
      <c r="H2" s="57" t="b">
        <v>1</v>
      </c>
      <c r="J2" s="57" t="b">
        <v>1</v>
      </c>
      <c r="K2" s="57" t="n"/>
    </row>
    <row r="3">
      <c r="A3" s="65" t="inlineStr">
        <is>
          <t>SVC000002</t>
        </is>
      </c>
      <c r="B3" s="65" t="inlineStr">
        <is>
          <t>OLED Replacement</t>
        </is>
      </c>
      <c r="C3" s="65" t="inlineStr">
        <is>
          <t>Display</t>
        </is>
      </c>
      <c r="D3" s="65" t="inlineStr">
        <is>
          <t>Hardware</t>
        </is>
      </c>
      <c r="E3" s="57" t="b">
        <v>1</v>
      </c>
      <c r="F3" s="57" t="b">
        <v>1</v>
      </c>
      <c r="G3" s="57" t="n"/>
      <c r="H3" s="57" t="b">
        <v>1</v>
      </c>
      <c r="J3" s="57" t="b">
        <v>1</v>
      </c>
      <c r="K3" s="57" t="n"/>
    </row>
    <row r="4">
      <c r="A4" s="65" t="inlineStr">
        <is>
          <t>SVC000003</t>
        </is>
      </c>
      <c r="B4" s="65" t="inlineStr">
        <is>
          <t>LCD Replacement</t>
        </is>
      </c>
      <c r="C4" s="65" t="inlineStr">
        <is>
          <t>Display</t>
        </is>
      </c>
      <c r="D4" s="65" t="inlineStr">
        <is>
          <t>Hardware</t>
        </is>
      </c>
      <c r="E4" s="57" t="b">
        <v>1</v>
      </c>
      <c r="F4" s="57" t="b">
        <v>1</v>
      </c>
      <c r="G4" s="57" t="n"/>
      <c r="H4" s="57" t="b">
        <v>1</v>
      </c>
      <c r="J4" s="57" t="b">
        <v>1</v>
      </c>
      <c r="K4" s="57" t="n"/>
    </row>
    <row r="5">
      <c r="A5" s="65" t="inlineStr">
        <is>
          <t>SVC000004</t>
        </is>
      </c>
      <c r="B5" s="65" t="inlineStr">
        <is>
          <t>Digitizer Replacement</t>
        </is>
      </c>
      <c r="C5" s="65" t="inlineStr">
        <is>
          <t>Display</t>
        </is>
      </c>
      <c r="D5" s="65" t="inlineStr">
        <is>
          <t>Hardware</t>
        </is>
      </c>
      <c r="E5" s="57" t="b">
        <v>1</v>
      </c>
      <c r="F5" s="57" t="b">
        <v>1</v>
      </c>
      <c r="G5" s="57" t="n"/>
      <c r="H5" s="57" t="b">
        <v>1</v>
      </c>
      <c r="J5" s="57" t="b">
        <v>1</v>
      </c>
      <c r="K5" s="57" t="n"/>
    </row>
    <row r="6">
      <c r="A6" s="65" t="inlineStr">
        <is>
          <t>SVC000005</t>
        </is>
      </c>
      <c r="B6" s="65" t="inlineStr">
        <is>
          <t>Back Glass Replacement</t>
        </is>
      </c>
      <c r="C6" s="65" t="inlineStr">
        <is>
          <t>Display</t>
        </is>
      </c>
      <c r="D6" s="65" t="inlineStr">
        <is>
          <t>Hardware</t>
        </is>
      </c>
      <c r="E6" s="57" t="b">
        <v>1</v>
      </c>
      <c r="F6" s="57" t="b">
        <v>1</v>
      </c>
      <c r="G6" s="57" t="n"/>
      <c r="H6" s="57" t="b">
        <v>1</v>
      </c>
      <c r="J6" s="57" t="b">
        <v>1</v>
      </c>
      <c r="K6" s="57" t="n"/>
    </row>
    <row r="7">
      <c r="A7" s="65" t="inlineStr">
        <is>
          <t>SVC000006</t>
        </is>
      </c>
      <c r="B7" s="65" t="inlineStr">
        <is>
          <t>Glass Only Repair</t>
        </is>
      </c>
      <c r="C7" s="65" t="inlineStr">
        <is>
          <t>Display</t>
        </is>
      </c>
      <c r="D7" s="65" t="inlineStr">
        <is>
          <t>Hardware</t>
        </is>
      </c>
      <c r="E7" s="57" t="b">
        <v>1</v>
      </c>
      <c r="F7" s="57" t="b">
        <v>1</v>
      </c>
      <c r="G7" s="57" t="n"/>
      <c r="H7" s="57" t="b">
        <v>1</v>
      </c>
      <c r="J7" s="57" t="b">
        <v>1</v>
      </c>
      <c r="K7" s="57" t="n"/>
    </row>
    <row r="8">
      <c r="A8" s="65" t="inlineStr">
        <is>
          <t>SVC000007</t>
        </is>
      </c>
      <c r="B8" s="65" t="inlineStr">
        <is>
          <t>Battery Replacement</t>
        </is>
      </c>
      <c r="C8" s="65" t="inlineStr">
        <is>
          <t>Battery</t>
        </is>
      </c>
      <c r="D8" s="65" t="inlineStr">
        <is>
          <t>Hardware</t>
        </is>
      </c>
      <c r="E8" s="57" t="b">
        <v>1</v>
      </c>
      <c r="F8" s="57" t="b">
        <v>1</v>
      </c>
      <c r="G8" s="57" t="n"/>
      <c r="H8" s="57" t="b">
        <v>1</v>
      </c>
      <c r="J8" s="57" t="b">
        <v>1</v>
      </c>
      <c r="K8" s="57" t="n"/>
    </row>
    <row r="9">
      <c r="A9" s="65" t="inlineStr">
        <is>
          <t>SVC000008</t>
        </is>
      </c>
      <c r="B9" s="65" t="inlineStr">
        <is>
          <t>Battery Diagnostic</t>
        </is>
      </c>
      <c r="C9" s="65" t="inlineStr">
        <is>
          <t>Battery</t>
        </is>
      </c>
      <c r="D9" s="65" t="inlineStr">
        <is>
          <t>Diagnostic</t>
        </is>
      </c>
      <c r="E9" s="57" t="b">
        <v>1</v>
      </c>
      <c r="F9" s="57" t="b">
        <v>1</v>
      </c>
      <c r="G9" s="57" t="n"/>
      <c r="H9" s="57" t="b">
        <v>1</v>
      </c>
      <c r="J9" s="57" t="b">
        <v>1</v>
      </c>
      <c r="K9" s="57" t="n"/>
    </row>
    <row r="10">
      <c r="A10" s="65" t="inlineStr">
        <is>
          <t>SVC000009</t>
        </is>
      </c>
      <c r="B10" s="65" t="inlineStr">
        <is>
          <t>Battery Calibration</t>
        </is>
      </c>
      <c r="C10" s="65" t="inlineStr">
        <is>
          <t>Battery</t>
        </is>
      </c>
      <c r="D10" s="65" t="inlineStr">
        <is>
          <t>Software</t>
        </is>
      </c>
      <c r="E10" s="57" t="b">
        <v>1</v>
      </c>
      <c r="F10" s="57" t="b">
        <v>1</v>
      </c>
      <c r="G10" s="57" t="n"/>
      <c r="H10" s="57" t="b">
        <v>1</v>
      </c>
      <c r="J10" s="57" t="b">
        <v>1</v>
      </c>
      <c r="K10" s="57" t="n"/>
    </row>
    <row r="11">
      <c r="A11" s="65" t="inlineStr">
        <is>
          <t>SVC000010</t>
        </is>
      </c>
      <c r="B11" s="65" t="inlineStr">
        <is>
          <t>Charging Port Replacement</t>
        </is>
      </c>
      <c r="C11" s="65" t="inlineStr">
        <is>
          <t>Charging</t>
        </is>
      </c>
      <c r="D11" s="65" t="inlineStr">
        <is>
          <t>Hardware</t>
        </is>
      </c>
      <c r="E11" s="57" t="b">
        <v>1</v>
      </c>
      <c r="F11" s="57" t="b">
        <v>1</v>
      </c>
      <c r="G11" s="57" t="n"/>
      <c r="H11" s="57" t="b">
        <v>1</v>
      </c>
      <c r="J11" s="57" t="b">
        <v>1</v>
      </c>
      <c r="K11" s="57" t="n"/>
    </row>
    <row r="12">
      <c r="A12" s="65" t="inlineStr">
        <is>
          <t>SVC000011</t>
        </is>
      </c>
      <c r="B12" s="65" t="inlineStr">
        <is>
          <t>Charging Port Cleaning</t>
        </is>
      </c>
      <c r="C12" s="65" t="inlineStr">
        <is>
          <t>Charging</t>
        </is>
      </c>
      <c r="D12" s="65" t="inlineStr">
        <is>
          <t>Hardware</t>
        </is>
      </c>
      <c r="E12" s="57" t="b">
        <v>1</v>
      </c>
      <c r="F12" s="57" t="b">
        <v>1</v>
      </c>
      <c r="G12" s="57" t="n"/>
      <c r="H12" s="57" t="b">
        <v>1</v>
      </c>
      <c r="J12" s="57" t="b">
        <v>1</v>
      </c>
      <c r="K12" s="57" t="n"/>
    </row>
    <row r="13">
      <c r="A13" s="65" t="inlineStr">
        <is>
          <t>SVC000012</t>
        </is>
      </c>
      <c r="B13" s="65" t="inlineStr">
        <is>
          <t>Wireless Charging Repair</t>
        </is>
      </c>
      <c r="C13" s="65" t="inlineStr">
        <is>
          <t>Charging</t>
        </is>
      </c>
      <c r="D13" s="65" t="inlineStr">
        <is>
          <t>Hardware</t>
        </is>
      </c>
      <c r="E13" s="57" t="b">
        <v>1</v>
      </c>
      <c r="F13" s="57" t="b">
        <v>1</v>
      </c>
      <c r="G13" s="57" t="n"/>
      <c r="H13" s="57" t="b">
        <v>1</v>
      </c>
      <c r="J13" s="57" t="b">
        <v>1</v>
      </c>
      <c r="K13" s="57" t="n"/>
    </row>
    <row r="14">
      <c r="A14" s="65" t="inlineStr">
        <is>
          <t>SVC000013</t>
        </is>
      </c>
      <c r="B14" s="65" t="inlineStr">
        <is>
          <t>Rear Camera Replacement</t>
        </is>
      </c>
      <c r="C14" s="65" t="inlineStr">
        <is>
          <t>Camera</t>
        </is>
      </c>
      <c r="D14" s="65" t="inlineStr">
        <is>
          <t>Hardware</t>
        </is>
      </c>
      <c r="E14" s="57" t="b">
        <v>1</v>
      </c>
      <c r="F14" s="57" t="b">
        <v>1</v>
      </c>
      <c r="G14" s="57" t="n"/>
      <c r="H14" s="57" t="b">
        <v>1</v>
      </c>
      <c r="J14" s="57" t="b">
        <v>1</v>
      </c>
      <c r="K14" s="57" t="n"/>
    </row>
    <row r="15">
      <c r="A15" s="65" t="inlineStr">
        <is>
          <t>SVC000014</t>
        </is>
      </c>
      <c r="B15" s="65" t="inlineStr">
        <is>
          <t>Front Camera Replacement</t>
        </is>
      </c>
      <c r="C15" s="65" t="inlineStr">
        <is>
          <t>Camera</t>
        </is>
      </c>
      <c r="D15" s="65" t="inlineStr">
        <is>
          <t>Hardware</t>
        </is>
      </c>
      <c r="E15" s="57" t="b">
        <v>1</v>
      </c>
      <c r="F15" s="57" t="b">
        <v>1</v>
      </c>
      <c r="G15" s="57" t="n"/>
      <c r="H15" s="57" t="b">
        <v>1</v>
      </c>
      <c r="J15" s="57" t="b">
        <v>1</v>
      </c>
      <c r="K15" s="57" t="n"/>
    </row>
    <row r="16">
      <c r="A16" s="65" t="inlineStr">
        <is>
          <t>SVC000015</t>
        </is>
      </c>
      <c r="B16" s="65" t="inlineStr">
        <is>
          <t>Camera Lens Replacement</t>
        </is>
      </c>
      <c r="C16" s="65" t="inlineStr">
        <is>
          <t>Camera</t>
        </is>
      </c>
      <c r="D16" s="65" t="inlineStr">
        <is>
          <t>Hardware</t>
        </is>
      </c>
      <c r="E16" s="57" t="b">
        <v>1</v>
      </c>
      <c r="F16" s="57" t="b">
        <v>1</v>
      </c>
      <c r="G16" s="57" t="n"/>
      <c r="H16" s="57" t="b">
        <v>1</v>
      </c>
      <c r="J16" s="57" t="b">
        <v>1</v>
      </c>
      <c r="K16" s="57" t="n"/>
    </row>
    <row r="17">
      <c r="A17" s="65" t="inlineStr">
        <is>
          <t>SVC000016</t>
        </is>
      </c>
      <c r="B17" s="65" t="inlineStr">
        <is>
          <t>Camera Calibration</t>
        </is>
      </c>
      <c r="C17" s="65" t="inlineStr">
        <is>
          <t>Camera</t>
        </is>
      </c>
      <c r="D17" s="65" t="inlineStr">
        <is>
          <t>Software</t>
        </is>
      </c>
      <c r="E17" s="57" t="b">
        <v>1</v>
      </c>
      <c r="F17" s="57" t="b">
        <v>1</v>
      </c>
      <c r="G17" s="57" t="n"/>
      <c r="H17" s="57" t="b">
        <v>1</v>
      </c>
      <c r="J17" s="57" t="b">
        <v>1</v>
      </c>
      <c r="K17" s="57" t="n"/>
    </row>
    <row r="18">
      <c r="A18" s="65" t="inlineStr">
        <is>
          <t>SVC000017</t>
        </is>
      </c>
      <c r="B18" s="65" t="inlineStr">
        <is>
          <t>Speaker Replacement</t>
        </is>
      </c>
      <c r="C18" s="65" t="inlineStr">
        <is>
          <t>Audio</t>
        </is>
      </c>
      <c r="D18" s="65" t="inlineStr">
        <is>
          <t>Hardware</t>
        </is>
      </c>
      <c r="E18" s="57" t="b">
        <v>1</v>
      </c>
      <c r="F18" s="57" t="b">
        <v>1</v>
      </c>
      <c r="G18" s="57" t="n"/>
      <c r="H18" s="57" t="b">
        <v>1</v>
      </c>
      <c r="J18" s="57" t="b">
        <v>1</v>
      </c>
      <c r="K18" s="57" t="n"/>
    </row>
    <row r="19">
      <c r="A19" s="65" t="inlineStr">
        <is>
          <t>SVC000018</t>
        </is>
      </c>
      <c r="B19" s="65" t="inlineStr">
        <is>
          <t>Microphone Replacement</t>
        </is>
      </c>
      <c r="C19" s="65" t="inlineStr">
        <is>
          <t>Audio</t>
        </is>
      </c>
      <c r="D19" s="65" t="inlineStr">
        <is>
          <t>Hardware</t>
        </is>
      </c>
      <c r="E19" s="57" t="b">
        <v>1</v>
      </c>
      <c r="F19" s="57" t="b">
        <v>1</v>
      </c>
      <c r="G19" s="57" t="n"/>
      <c r="H19" s="57" t="b">
        <v>1</v>
      </c>
      <c r="J19" s="57" t="b">
        <v>1</v>
      </c>
      <c r="K19" s="57" t="n"/>
    </row>
    <row r="20">
      <c r="A20" s="65" t="inlineStr">
        <is>
          <t>SVC000019</t>
        </is>
      </c>
      <c r="B20" s="65" t="inlineStr">
        <is>
          <t>Earpiece Replacement</t>
        </is>
      </c>
      <c r="C20" s="65" t="inlineStr">
        <is>
          <t>Audio</t>
        </is>
      </c>
      <c r="D20" s="65" t="inlineStr">
        <is>
          <t>Hardware</t>
        </is>
      </c>
      <c r="E20" s="57" t="b">
        <v>1</v>
      </c>
      <c r="F20" s="57" t="b">
        <v>1</v>
      </c>
      <c r="G20" s="57" t="n"/>
      <c r="H20" s="57" t="b">
        <v>1</v>
      </c>
      <c r="J20" s="57" t="b">
        <v>1</v>
      </c>
      <c r="K20" s="57" t="n"/>
    </row>
    <row r="21">
      <c r="A21" s="65" t="inlineStr">
        <is>
          <t>SVC000020</t>
        </is>
      </c>
      <c r="B21" s="65" t="inlineStr">
        <is>
          <t>Headphone Jack Repair</t>
        </is>
      </c>
      <c r="C21" s="65" t="inlineStr">
        <is>
          <t>Audio</t>
        </is>
      </c>
      <c r="D21" s="65" t="inlineStr">
        <is>
          <t>Hardware</t>
        </is>
      </c>
      <c r="E21" s="57" t="b">
        <v>1</v>
      </c>
      <c r="F21" s="57" t="b">
        <v>1</v>
      </c>
      <c r="G21" s="57" t="n"/>
      <c r="H21" s="57" t="b">
        <v>1</v>
      </c>
      <c r="J21" s="57" t="b">
        <v>1</v>
      </c>
      <c r="K21" s="57" t="n"/>
    </row>
    <row r="22">
      <c r="A22" s="65" t="inlineStr">
        <is>
          <t>SVC000021</t>
        </is>
      </c>
      <c r="B22" s="65" t="inlineStr">
        <is>
          <t>Power Button Repair</t>
        </is>
      </c>
      <c r="C22" s="65" t="inlineStr">
        <is>
          <t>Buttons</t>
        </is>
      </c>
      <c r="D22" s="65" t="inlineStr">
        <is>
          <t>Hardware</t>
        </is>
      </c>
      <c r="E22" s="57" t="b">
        <v>1</v>
      </c>
      <c r="F22" s="57" t="b">
        <v>1</v>
      </c>
      <c r="G22" s="57" t="n"/>
      <c r="H22" s="57" t="b">
        <v>1</v>
      </c>
      <c r="J22" s="57" t="b">
        <v>1</v>
      </c>
      <c r="K22" s="57" t="n"/>
    </row>
    <row r="23">
      <c r="A23" s="65" t="inlineStr">
        <is>
          <t>SVC000022</t>
        </is>
      </c>
      <c r="B23" s="65" t="inlineStr">
        <is>
          <t>Volume Button Repair</t>
        </is>
      </c>
      <c r="C23" s="65" t="inlineStr">
        <is>
          <t>Buttons</t>
        </is>
      </c>
      <c r="D23" s="65" t="inlineStr">
        <is>
          <t>Hardware</t>
        </is>
      </c>
      <c r="E23" s="57" t="b">
        <v>1</v>
      </c>
      <c r="F23" s="57" t="b">
        <v>1</v>
      </c>
      <c r="G23" s="57" t="n"/>
      <c r="H23" s="57" t="b">
        <v>1</v>
      </c>
      <c r="J23" s="57" t="b">
        <v>1</v>
      </c>
      <c r="K23" s="57" t="n"/>
    </row>
    <row r="24">
      <c r="A24" s="65" t="inlineStr">
        <is>
          <t>SVC000023</t>
        </is>
      </c>
      <c r="B24" s="65" t="inlineStr">
        <is>
          <t>Home Button Repair</t>
        </is>
      </c>
      <c r="C24" s="65" t="inlineStr">
        <is>
          <t>Buttons</t>
        </is>
      </c>
      <c r="D24" s="65" t="inlineStr">
        <is>
          <t>Hardware</t>
        </is>
      </c>
      <c r="E24" s="57" t="b">
        <v>1</v>
      </c>
      <c r="F24" s="57" t="b">
        <v>1</v>
      </c>
      <c r="G24" s="57" t="n"/>
      <c r="H24" s="57" t="b">
        <v>1</v>
      </c>
      <c r="J24" s="57" t="b">
        <v>1</v>
      </c>
      <c r="K24" s="57" t="n"/>
    </row>
    <row r="25">
      <c r="A25" s="65" t="inlineStr">
        <is>
          <t>SVC000024</t>
        </is>
      </c>
      <c r="B25" s="65" t="inlineStr">
        <is>
          <t>Mute Switch Repair</t>
        </is>
      </c>
      <c r="C25" s="65" t="inlineStr">
        <is>
          <t>Buttons</t>
        </is>
      </c>
      <c r="D25" s="65" t="inlineStr">
        <is>
          <t>Hardware</t>
        </is>
      </c>
      <c r="E25" s="57" t="b">
        <v>1</v>
      </c>
      <c r="F25" s="57" t="b">
        <v>1</v>
      </c>
      <c r="G25" s="57" t="n"/>
      <c r="H25" s="57" t="b">
        <v>1</v>
      </c>
      <c r="J25" s="57" t="b">
        <v>1</v>
      </c>
      <c r="K25" s="57" t="n"/>
    </row>
    <row r="26">
      <c r="A26" s="65" t="inlineStr">
        <is>
          <t>SVC000025</t>
        </is>
      </c>
      <c r="B26" s="65" t="inlineStr">
        <is>
          <t>Frame Replacement</t>
        </is>
      </c>
      <c r="C26" s="65" t="inlineStr">
        <is>
          <t>Housing</t>
        </is>
      </c>
      <c r="D26" s="65" t="inlineStr">
        <is>
          <t>Hardware</t>
        </is>
      </c>
      <c r="E26" s="57" t="b">
        <v>1</v>
      </c>
      <c r="F26" s="57" t="b">
        <v>1</v>
      </c>
      <c r="G26" s="57" t="n"/>
      <c r="H26" s="57" t="b">
        <v>1</v>
      </c>
      <c r="J26" s="57" t="b">
        <v>1</v>
      </c>
      <c r="K26" s="57" t="n"/>
    </row>
    <row r="27">
      <c r="A27" s="65" t="inlineStr">
        <is>
          <t>SVC000026</t>
        </is>
      </c>
      <c r="B27" s="65" t="inlineStr">
        <is>
          <t>Housing Replacement</t>
        </is>
      </c>
      <c r="C27" s="65" t="inlineStr">
        <is>
          <t>Housing</t>
        </is>
      </c>
      <c r="D27" s="65" t="inlineStr">
        <is>
          <t>Hardware</t>
        </is>
      </c>
      <c r="E27" s="57" t="b">
        <v>1</v>
      </c>
      <c r="F27" s="57" t="b">
        <v>1</v>
      </c>
      <c r="G27" s="57" t="n"/>
      <c r="H27" s="57" t="b">
        <v>1</v>
      </c>
      <c r="J27" s="57" t="b">
        <v>1</v>
      </c>
      <c r="K27" s="57" t="n"/>
    </row>
    <row r="28">
      <c r="A28" s="65" t="inlineStr">
        <is>
          <t>SVC000027</t>
        </is>
      </c>
      <c r="B28" s="65" t="inlineStr">
        <is>
          <t>Rear Housing Repair</t>
        </is>
      </c>
      <c r="C28" s="65" t="inlineStr">
        <is>
          <t>Housing</t>
        </is>
      </c>
      <c r="D28" s="65" t="inlineStr">
        <is>
          <t>Hardware</t>
        </is>
      </c>
      <c r="E28" s="57" t="b">
        <v>1</v>
      </c>
      <c r="F28" s="57" t="b">
        <v>1</v>
      </c>
      <c r="G28" s="57" t="n"/>
      <c r="H28" s="57" t="b">
        <v>1</v>
      </c>
      <c r="J28" s="57" t="b">
        <v>1</v>
      </c>
      <c r="K28" s="57" t="n"/>
    </row>
    <row r="29">
      <c r="A29" s="65" t="inlineStr">
        <is>
          <t>SVC000028</t>
        </is>
      </c>
      <c r="B29" s="65" t="inlineStr">
        <is>
          <t>Hinge Repair</t>
        </is>
      </c>
      <c r="C29" s="65" t="inlineStr">
        <is>
          <t>Housing</t>
        </is>
      </c>
      <c r="D29" s="65" t="inlineStr">
        <is>
          <t>Hardware</t>
        </is>
      </c>
      <c r="E29" s="57" t="b">
        <v>1</v>
      </c>
      <c r="F29" s="57" t="b">
        <v>1</v>
      </c>
      <c r="G29" s="57" t="n"/>
      <c r="H29" s="57" t="b">
        <v>1</v>
      </c>
      <c r="J29" s="57" t="b">
        <v>1</v>
      </c>
      <c r="K29" s="57" t="n"/>
    </row>
    <row r="30">
      <c r="A30" s="65" t="inlineStr">
        <is>
          <t>SVC000029</t>
        </is>
      </c>
      <c r="B30" s="65" t="inlineStr">
        <is>
          <t>Logic Board Repair</t>
        </is>
      </c>
      <c r="C30" s="65" t="inlineStr">
        <is>
          <t>Motherboard</t>
        </is>
      </c>
      <c r="D30" s="65" t="inlineStr">
        <is>
          <t>Hardware</t>
        </is>
      </c>
      <c r="E30" s="57" t="b">
        <v>1</v>
      </c>
      <c r="F30" s="57" t="b">
        <v>1</v>
      </c>
      <c r="G30" s="57" t="n"/>
      <c r="H30" s="57" t="b">
        <v>1</v>
      </c>
      <c r="J30" s="57" t="b">
        <v>1</v>
      </c>
      <c r="K30" s="57" t="n"/>
    </row>
    <row r="31">
      <c r="A31" s="65" t="inlineStr">
        <is>
          <t>SVC000030</t>
        </is>
      </c>
      <c r="B31" s="65" t="inlineStr">
        <is>
          <t>Board Diagnosis</t>
        </is>
      </c>
      <c r="C31" s="65" t="inlineStr">
        <is>
          <t>Motherboard</t>
        </is>
      </c>
      <c r="D31" s="65" t="inlineStr">
        <is>
          <t>Diagnostic</t>
        </is>
      </c>
      <c r="E31" s="57" t="b">
        <v>1</v>
      </c>
      <c r="F31" s="57" t="b">
        <v>1</v>
      </c>
      <c r="G31" s="57" t="n"/>
      <c r="H31" s="57" t="b">
        <v>0</v>
      </c>
      <c r="J31" s="57" t="b">
        <v>1</v>
      </c>
      <c r="K31" s="57" t="n"/>
    </row>
    <row r="32">
      <c r="A32" s="65" t="inlineStr">
        <is>
          <t>SVC000031</t>
        </is>
      </c>
      <c r="B32" s="65" t="inlineStr">
        <is>
          <t>Micro Soldering</t>
        </is>
      </c>
      <c r="C32" s="65" t="inlineStr">
        <is>
          <t>Motherboard</t>
        </is>
      </c>
      <c r="D32" s="65" t="inlineStr">
        <is>
          <t>Hardware</t>
        </is>
      </c>
      <c r="E32" s="57" t="b">
        <v>1</v>
      </c>
      <c r="F32" s="57" t="b">
        <v>1</v>
      </c>
      <c r="G32" s="57" t="n"/>
      <c r="H32" s="57" t="b">
        <v>0</v>
      </c>
      <c r="J32" s="57" t="b">
        <v>0</v>
      </c>
      <c r="K32" s="57" t="n"/>
    </row>
    <row r="33">
      <c r="A33" s="65" t="inlineStr">
        <is>
          <t>SVC000032</t>
        </is>
      </c>
      <c r="B33" s="65" t="inlineStr">
        <is>
          <t>IC Replacement</t>
        </is>
      </c>
      <c r="C33" s="65" t="inlineStr">
        <is>
          <t>Motherboard</t>
        </is>
      </c>
      <c r="D33" s="65" t="inlineStr">
        <is>
          <t>Hardware</t>
        </is>
      </c>
      <c r="E33" s="57" t="b">
        <v>1</v>
      </c>
      <c r="F33" s="57" t="b">
        <v>1</v>
      </c>
      <c r="G33" s="57" t="n"/>
      <c r="H33" s="57" t="b">
        <v>1</v>
      </c>
      <c r="J33" s="57" t="b">
        <v>1</v>
      </c>
      <c r="K33" s="57" t="n"/>
    </row>
    <row r="34">
      <c r="A34" s="65" t="inlineStr">
        <is>
          <t>SVC000033</t>
        </is>
      </c>
      <c r="B34" s="65" t="inlineStr">
        <is>
          <t>OS Reinstallation</t>
        </is>
      </c>
      <c r="C34" s="65" t="inlineStr">
        <is>
          <t>Software</t>
        </is>
      </c>
      <c r="D34" s="65" t="inlineStr">
        <is>
          <t>Software</t>
        </is>
      </c>
      <c r="E34" s="57" t="b">
        <v>1</v>
      </c>
      <c r="F34" s="57" t="b">
        <v>1</v>
      </c>
      <c r="G34" s="57" t="n"/>
      <c r="H34" s="57" t="b">
        <v>1</v>
      </c>
      <c r="J34" s="57" t="b">
        <v>1</v>
      </c>
      <c r="K34" s="57" t="n"/>
    </row>
    <row r="35">
      <c r="A35" s="65" t="inlineStr">
        <is>
          <t>SVC000034</t>
        </is>
      </c>
      <c r="B35" s="65" t="inlineStr">
        <is>
          <t>Software Repair</t>
        </is>
      </c>
      <c r="C35" s="65" t="inlineStr">
        <is>
          <t>Software</t>
        </is>
      </c>
      <c r="D35" s="65" t="inlineStr">
        <is>
          <t>Software</t>
        </is>
      </c>
      <c r="E35" s="57" t="b">
        <v>1</v>
      </c>
      <c r="F35" s="57" t="b">
        <v>1</v>
      </c>
      <c r="G35" s="57" t="n"/>
      <c r="H35" s="57" t="b">
        <v>1</v>
      </c>
      <c r="J35" s="57" t="b">
        <v>1</v>
      </c>
      <c r="K35" s="57" t="n"/>
    </row>
    <row r="36">
      <c r="A36" s="65" t="inlineStr">
        <is>
          <t>SVC000035</t>
        </is>
      </c>
      <c r="B36" s="65" t="inlineStr">
        <is>
          <t>Firmware Flash</t>
        </is>
      </c>
      <c r="C36" s="65" t="inlineStr">
        <is>
          <t>Software</t>
        </is>
      </c>
      <c r="D36" s="65" t="inlineStr">
        <is>
          <t>Software</t>
        </is>
      </c>
      <c r="E36" s="57" t="b">
        <v>1</v>
      </c>
      <c r="F36" s="57" t="b">
        <v>1</v>
      </c>
      <c r="G36" s="57" t="n"/>
      <c r="H36" s="57" t="b">
        <v>1</v>
      </c>
      <c r="J36" s="57" t="b">
        <v>1</v>
      </c>
      <c r="K36" s="57" t="n"/>
    </row>
    <row r="37">
      <c r="A37" s="65" t="inlineStr">
        <is>
          <t>SVC000036</t>
        </is>
      </c>
      <c r="B37" s="65" t="inlineStr">
        <is>
          <t>Device Setup</t>
        </is>
      </c>
      <c r="C37" s="65" t="inlineStr">
        <is>
          <t>Software</t>
        </is>
      </c>
      <c r="D37" s="65" t="inlineStr">
        <is>
          <t>Software</t>
        </is>
      </c>
      <c r="E37" s="57" t="b">
        <v>1</v>
      </c>
      <c r="F37" s="57" t="b">
        <v>1</v>
      </c>
      <c r="G37" s="57" t="n"/>
      <c r="H37" s="57" t="b">
        <v>1</v>
      </c>
      <c r="J37" s="57" t="b">
        <v>1</v>
      </c>
      <c r="K37" s="57" t="n"/>
    </row>
    <row r="38">
      <c r="A38" s="65" t="inlineStr">
        <is>
          <t>SVC000037</t>
        </is>
      </c>
      <c r="B38" s="65" t="inlineStr">
        <is>
          <t>Data Transfer</t>
        </is>
      </c>
      <c r="C38" s="65" t="inlineStr">
        <is>
          <t>Software</t>
        </is>
      </c>
      <c r="D38" s="65" t="inlineStr">
        <is>
          <t>Software</t>
        </is>
      </c>
      <c r="E38" s="57" t="b">
        <v>1</v>
      </c>
      <c r="F38" s="57" t="b">
        <v>1</v>
      </c>
      <c r="G38" s="57" t="n"/>
      <c r="H38" s="57" t="b">
        <v>1</v>
      </c>
      <c r="J38" s="57" t="b">
        <v>1</v>
      </c>
      <c r="K38" s="57" t="n"/>
    </row>
    <row r="39">
      <c r="A39" s="65" t="inlineStr">
        <is>
          <t>SVC000038</t>
        </is>
      </c>
      <c r="B39" s="65" t="inlineStr">
        <is>
          <t>Account Recovery</t>
        </is>
      </c>
      <c r="C39" s="65" t="inlineStr">
        <is>
          <t>Software</t>
        </is>
      </c>
      <c r="D39" s="65" t="inlineStr">
        <is>
          <t>Software</t>
        </is>
      </c>
      <c r="E39" s="57" t="b">
        <v>1</v>
      </c>
      <c r="F39" s="57" t="b">
        <v>1</v>
      </c>
      <c r="G39" s="57" t="n"/>
      <c r="H39" s="57" t="b">
        <v>1</v>
      </c>
      <c r="J39" s="57" t="b">
        <v>1</v>
      </c>
      <c r="K39" s="57" t="n"/>
    </row>
    <row r="40">
      <c r="A40" s="65" t="inlineStr">
        <is>
          <t>SVC000039</t>
        </is>
      </c>
      <c r="B40" s="65" t="inlineStr">
        <is>
          <t>Virus Removal</t>
        </is>
      </c>
      <c r="C40" s="65" t="inlineStr">
        <is>
          <t>Software</t>
        </is>
      </c>
      <c r="D40" s="65" t="inlineStr">
        <is>
          <t>Software</t>
        </is>
      </c>
      <c r="E40" s="57" t="b">
        <v>1</v>
      </c>
      <c r="F40" s="57" t="b">
        <v>1</v>
      </c>
      <c r="G40" s="57" t="n"/>
      <c r="H40" s="57" t="b">
        <v>1</v>
      </c>
      <c r="J40" s="57" t="b">
        <v>1</v>
      </c>
      <c r="K40" s="57" t="n"/>
    </row>
    <row r="41">
      <c r="A41" s="65" t="inlineStr">
        <is>
          <t>SVC000040</t>
        </is>
      </c>
      <c r="B41" s="65" t="inlineStr">
        <is>
          <t>Password Reset</t>
        </is>
      </c>
      <c r="C41" s="65" t="inlineStr">
        <is>
          <t>Software</t>
        </is>
      </c>
      <c r="D41" s="65" t="inlineStr">
        <is>
          <t>Software</t>
        </is>
      </c>
      <c r="E41" s="57" t="b">
        <v>1</v>
      </c>
      <c r="F41" s="57" t="b">
        <v>1</v>
      </c>
      <c r="G41" s="57" t="n"/>
      <c r="H41" s="57" t="b">
        <v>1</v>
      </c>
      <c r="J41" s="57" t="b">
        <v>1</v>
      </c>
      <c r="K41" s="57" t="n"/>
    </row>
    <row r="42">
      <c r="A42" s="65" t="inlineStr">
        <is>
          <t>SVC000041</t>
        </is>
      </c>
      <c r="B42" s="65" t="inlineStr">
        <is>
          <t>Basic Diagnostic</t>
        </is>
      </c>
      <c r="C42" s="65" t="inlineStr">
        <is>
          <t>Diagnostics</t>
        </is>
      </c>
      <c r="D42" s="65" t="inlineStr">
        <is>
          <t>Diagnostic</t>
        </is>
      </c>
      <c r="E42" s="57" t="b">
        <v>1</v>
      </c>
      <c r="F42" s="57" t="b">
        <v>1</v>
      </c>
      <c r="G42" s="57" t="n"/>
      <c r="H42" s="57" t="b">
        <v>0</v>
      </c>
      <c r="J42" s="57" t="b">
        <v>1</v>
      </c>
      <c r="K42" s="57" t="n"/>
    </row>
    <row r="43">
      <c r="A43" s="65" t="inlineStr">
        <is>
          <t>SVC000042</t>
        </is>
      </c>
      <c r="B43" s="65" t="inlineStr">
        <is>
          <t>Advanced Diagnostic</t>
        </is>
      </c>
      <c r="C43" s="65" t="inlineStr">
        <is>
          <t>Diagnostics</t>
        </is>
      </c>
      <c r="D43" s="65" t="inlineStr">
        <is>
          <t>Diagnostic</t>
        </is>
      </c>
      <c r="E43" s="57" t="b">
        <v>1</v>
      </c>
      <c r="F43" s="57" t="b">
        <v>1</v>
      </c>
      <c r="G43" s="57" t="n"/>
      <c r="H43" s="57" t="b">
        <v>0</v>
      </c>
      <c r="J43" s="57" t="b">
        <v>1</v>
      </c>
      <c r="K43" s="57" t="n"/>
    </row>
    <row r="44">
      <c r="A44" s="65" t="inlineStr">
        <is>
          <t>SVC000043</t>
        </is>
      </c>
      <c r="B44" s="65" t="inlineStr">
        <is>
          <t>Insurance Diagnostic</t>
        </is>
      </c>
      <c r="C44" s="65" t="inlineStr">
        <is>
          <t>Diagnostics</t>
        </is>
      </c>
      <c r="D44" s="65" t="inlineStr">
        <is>
          <t>Diagnostic</t>
        </is>
      </c>
      <c r="E44" s="57" t="b">
        <v>1</v>
      </c>
      <c r="F44" s="57" t="b">
        <v>1</v>
      </c>
      <c r="G44" s="57" t="n"/>
      <c r="H44" s="57" t="b">
        <v>0</v>
      </c>
      <c r="J44" s="57" t="b">
        <v>1</v>
      </c>
      <c r="K44" s="57" t="n"/>
    </row>
    <row r="45">
      <c r="A45" s="65" t="inlineStr">
        <is>
          <t>SVC000044</t>
        </is>
      </c>
      <c r="B45" s="65" t="inlineStr">
        <is>
          <t>Internal Cleaning</t>
        </is>
      </c>
      <c r="C45" s="65" t="inlineStr">
        <is>
          <t>Cleaning</t>
        </is>
      </c>
      <c r="D45" s="65" t="inlineStr">
        <is>
          <t>Hardware</t>
        </is>
      </c>
      <c r="E45" s="57" t="b">
        <v>1</v>
      </c>
      <c r="F45" s="57" t="b">
        <v>1</v>
      </c>
      <c r="G45" s="57" t="n"/>
      <c r="H45" s="57" t="b">
        <v>1</v>
      </c>
      <c r="J45" s="57" t="b">
        <v>1</v>
      </c>
      <c r="K45" s="57" t="n"/>
    </row>
    <row r="46">
      <c r="A46" s="65" t="inlineStr">
        <is>
          <t>SVC000045</t>
        </is>
      </c>
      <c r="B46" s="65" t="inlineStr">
        <is>
          <t>Liquid Damage Cleaning</t>
        </is>
      </c>
      <c r="C46" s="65" t="inlineStr">
        <is>
          <t>Cleaning</t>
        </is>
      </c>
      <c r="D46" s="65" t="inlineStr">
        <is>
          <t>Hardware</t>
        </is>
      </c>
      <c r="E46" s="57" t="b">
        <v>1</v>
      </c>
      <c r="F46" s="57" t="b">
        <v>1</v>
      </c>
      <c r="G46" s="57" t="n"/>
      <c r="H46" s="57" t="b">
        <v>0</v>
      </c>
      <c r="J46" s="57" t="b">
        <v>1</v>
      </c>
      <c r="K46" s="57" t="n"/>
    </row>
    <row r="47">
      <c r="A47" s="65" t="inlineStr">
        <is>
          <t>SVC000046</t>
        </is>
      </c>
      <c r="B47" s="65" t="inlineStr">
        <is>
          <t>Corrosion Removal</t>
        </is>
      </c>
      <c r="C47" s="65" t="inlineStr">
        <is>
          <t>Cleaning</t>
        </is>
      </c>
      <c r="D47" s="65" t="inlineStr">
        <is>
          <t>Hardware</t>
        </is>
      </c>
      <c r="E47" s="57" t="b">
        <v>1</v>
      </c>
      <c r="F47" s="57" t="b">
        <v>1</v>
      </c>
      <c r="G47" s="57" t="n"/>
      <c r="H47" s="57" t="b">
        <v>1</v>
      </c>
      <c r="J47" s="57" t="b">
        <v>1</v>
      </c>
      <c r="K47" s="57" t="n"/>
    </row>
    <row r="48">
      <c r="A48" s="65" t="inlineStr">
        <is>
          <t>SVC000047</t>
        </is>
      </c>
      <c r="B48" s="65" t="inlineStr">
        <is>
          <t>Data Recovery</t>
        </is>
      </c>
      <c r="C48" s="65" t="inlineStr">
        <is>
          <t>Data Recovery</t>
        </is>
      </c>
      <c r="D48" s="65" t="inlineStr">
        <is>
          <t>Software</t>
        </is>
      </c>
      <c r="E48" s="57" t="b">
        <v>1</v>
      </c>
      <c r="F48" s="57" t="b">
        <v>1</v>
      </c>
      <c r="G48" s="57" t="n"/>
      <c r="H48" s="57" t="b">
        <v>1</v>
      </c>
      <c r="J48" s="57" t="b">
        <v>1</v>
      </c>
      <c r="K48" s="57" t="n"/>
    </row>
    <row r="49">
      <c r="A49" s="65" t="inlineStr">
        <is>
          <t>SVC000048</t>
        </is>
      </c>
      <c r="B49" s="65" t="inlineStr">
        <is>
          <t>SSD Recovery</t>
        </is>
      </c>
      <c r="C49" s="65" t="inlineStr">
        <is>
          <t>Data Recovery</t>
        </is>
      </c>
      <c r="D49" s="65" t="inlineStr">
        <is>
          <t>Software</t>
        </is>
      </c>
      <c r="E49" s="57" t="b">
        <v>1</v>
      </c>
      <c r="F49" s="57" t="b">
        <v>1</v>
      </c>
      <c r="G49" s="57" t="n"/>
      <c r="H49" s="57" t="b">
        <v>1</v>
      </c>
      <c r="J49" s="57" t="b">
        <v>1</v>
      </c>
      <c r="K49" s="57" t="n"/>
    </row>
    <row r="50">
      <c r="A50" s="65" t="inlineStr">
        <is>
          <t>SVC000049</t>
        </is>
      </c>
      <c r="B50" s="65" t="inlineStr">
        <is>
          <t>Flash Storage Recovery</t>
        </is>
      </c>
      <c r="C50" s="65" t="inlineStr">
        <is>
          <t>Data Recovery</t>
        </is>
      </c>
      <c r="D50" s="65" t="inlineStr">
        <is>
          <t>Software</t>
        </is>
      </c>
      <c r="E50" s="57" t="b">
        <v>1</v>
      </c>
      <c r="F50" s="57" t="b">
        <v>1</v>
      </c>
      <c r="G50" s="57" t="n"/>
      <c r="H50" s="57" t="b">
        <v>1</v>
      </c>
      <c r="J50" s="57" t="b">
        <v>1</v>
      </c>
      <c r="K50" s="57" t="n"/>
    </row>
    <row r="51">
      <c r="A51" s="65" t="inlineStr">
        <is>
          <t>SVC000050</t>
        </is>
      </c>
      <c r="B51" s="65" t="inlineStr">
        <is>
          <t>SSD Upgrade</t>
        </is>
      </c>
      <c r="C51" s="65" t="inlineStr">
        <is>
          <t>Storage</t>
        </is>
      </c>
      <c r="D51" s="65" t="inlineStr">
        <is>
          <t>Hardware</t>
        </is>
      </c>
      <c r="E51" s="57" t="b">
        <v>1</v>
      </c>
      <c r="F51" s="57" t="b">
        <v>1</v>
      </c>
      <c r="G51" s="57" t="n"/>
      <c r="H51" s="57" t="b">
        <v>1</v>
      </c>
      <c r="J51" s="57" t="b">
        <v>1</v>
      </c>
      <c r="K51" s="57" t="n"/>
    </row>
    <row r="52">
      <c r="A52" s="65" t="inlineStr">
        <is>
          <t>SVC000051</t>
        </is>
      </c>
      <c r="B52" s="65" t="inlineStr">
        <is>
          <t>HDD Replacement</t>
        </is>
      </c>
      <c r="C52" s="65" t="inlineStr">
        <is>
          <t>Storage</t>
        </is>
      </c>
      <c r="D52" s="65" t="inlineStr">
        <is>
          <t>Hardware</t>
        </is>
      </c>
      <c r="E52" s="57" t="b">
        <v>1</v>
      </c>
      <c r="F52" s="57" t="b">
        <v>1</v>
      </c>
      <c r="G52" s="57" t="n"/>
      <c r="H52" s="57" t="b">
        <v>1</v>
      </c>
      <c r="J52" s="57" t="b">
        <v>1</v>
      </c>
      <c r="K52" s="57" t="n"/>
    </row>
    <row r="53">
      <c r="A53" s="65" t="inlineStr">
        <is>
          <t>SVC000052</t>
        </is>
      </c>
      <c r="B53" s="65" t="inlineStr">
        <is>
          <t>RAM Upgrade</t>
        </is>
      </c>
      <c r="C53" s="65" t="inlineStr">
        <is>
          <t>Memory</t>
        </is>
      </c>
      <c r="D53" s="65" t="inlineStr">
        <is>
          <t>Hardware</t>
        </is>
      </c>
      <c r="E53" s="57" t="b">
        <v>1</v>
      </c>
      <c r="F53" s="57" t="b">
        <v>1</v>
      </c>
      <c r="G53" s="57" t="n"/>
      <c r="H53" s="57" t="b">
        <v>1</v>
      </c>
      <c r="J53" s="57" t="b">
        <v>1</v>
      </c>
      <c r="K53" s="57" t="n"/>
    </row>
    <row r="54">
      <c r="A54" s="65" t="inlineStr">
        <is>
          <t>SVC000053</t>
        </is>
      </c>
      <c r="B54" s="65" t="inlineStr">
        <is>
          <t>Keyboard Replacement</t>
        </is>
      </c>
      <c r="C54" s="65" t="inlineStr">
        <is>
          <t>Input</t>
        </is>
      </c>
      <c r="D54" s="65" t="inlineStr">
        <is>
          <t>Hardware</t>
        </is>
      </c>
      <c r="E54" s="57" t="b">
        <v>1</v>
      </c>
      <c r="F54" s="57" t="b">
        <v>1</v>
      </c>
      <c r="G54" s="57" t="n"/>
      <c r="H54" s="57" t="b">
        <v>1</v>
      </c>
      <c r="J54" s="57" t="b">
        <v>1</v>
      </c>
      <c r="K54" s="57" t="n"/>
    </row>
    <row r="55">
      <c r="A55" s="65" t="inlineStr">
        <is>
          <t>SVC000054</t>
        </is>
      </c>
      <c r="B55" s="65" t="inlineStr">
        <is>
          <t>Trackpad Replacement</t>
        </is>
      </c>
      <c r="C55" s="65" t="inlineStr">
        <is>
          <t>Input</t>
        </is>
      </c>
      <c r="D55" s="65" t="inlineStr">
        <is>
          <t>Hardware</t>
        </is>
      </c>
      <c r="E55" s="57" t="b">
        <v>1</v>
      </c>
      <c r="F55" s="57" t="b">
        <v>1</v>
      </c>
      <c r="G55" s="57" t="n"/>
      <c r="H55" s="57" t="b">
        <v>1</v>
      </c>
      <c r="J55" s="57" t="b">
        <v>1</v>
      </c>
      <c r="K55" s="57" t="n"/>
    </row>
    <row r="56">
      <c r="A56" s="65" t="inlineStr">
        <is>
          <t>SVC000055</t>
        </is>
      </c>
      <c r="B56" s="65" t="inlineStr">
        <is>
          <t>Fan Replacement</t>
        </is>
      </c>
      <c r="C56" s="65" t="inlineStr">
        <is>
          <t>Cooling</t>
        </is>
      </c>
      <c r="D56" s="65" t="inlineStr">
        <is>
          <t>Hardware</t>
        </is>
      </c>
      <c r="E56" s="57" t="b">
        <v>1</v>
      </c>
      <c r="F56" s="57" t="b">
        <v>1</v>
      </c>
      <c r="G56" s="57" t="n"/>
      <c r="H56" s="57" t="b">
        <v>1</v>
      </c>
      <c r="J56" s="57" t="b">
        <v>1</v>
      </c>
      <c r="K56" s="57" t="n"/>
    </row>
    <row r="57">
      <c r="A57" s="65" t="inlineStr">
        <is>
          <t>SVC000056</t>
        </is>
      </c>
      <c r="B57" s="65" t="inlineStr">
        <is>
          <t>Thermal Paste Replacement</t>
        </is>
      </c>
      <c r="C57" s="65" t="inlineStr">
        <is>
          <t>Cooling</t>
        </is>
      </c>
      <c r="D57" s="65" t="inlineStr">
        <is>
          <t>Hardware</t>
        </is>
      </c>
      <c r="E57" s="57" t="b">
        <v>1</v>
      </c>
      <c r="F57" s="57" t="b">
        <v>1</v>
      </c>
      <c r="G57" s="57" t="n"/>
      <c r="H57" s="57" t="b">
        <v>1</v>
      </c>
      <c r="J57" s="57" t="b">
        <v>1</v>
      </c>
      <c r="K57" s="57" t="n"/>
    </row>
    <row r="58">
      <c r="A58" s="65" t="inlineStr">
        <is>
          <t>SVC000057</t>
        </is>
      </c>
      <c r="B58" s="65" t="inlineStr">
        <is>
          <t>CMOS Battery Replacement</t>
        </is>
      </c>
      <c r="C58" s="65" t="inlineStr">
        <is>
          <t>Power</t>
        </is>
      </c>
      <c r="D58" s="65" t="inlineStr">
        <is>
          <t>Hardware</t>
        </is>
      </c>
      <c r="E58" s="57" t="b">
        <v>1</v>
      </c>
      <c r="F58" s="57" t="b">
        <v>1</v>
      </c>
      <c r="G58" s="57" t="n"/>
      <c r="H58" s="57" t="b">
        <v>1</v>
      </c>
      <c r="J58" s="57" t="b">
        <v>1</v>
      </c>
      <c r="K58" s="57" t="n"/>
    </row>
    <row r="59">
      <c r="A59" s="65" t="inlineStr">
        <is>
          <t>SVC000058</t>
        </is>
      </c>
      <c r="B59" s="65" t="inlineStr">
        <is>
          <t>Wi-Fi Card Replacement</t>
        </is>
      </c>
      <c r="C59" s="65" t="inlineStr">
        <is>
          <t>Connectivity</t>
        </is>
      </c>
      <c r="D59" s="65" t="inlineStr">
        <is>
          <t>Hardware</t>
        </is>
      </c>
      <c r="E59" s="57" t="b">
        <v>1</v>
      </c>
      <c r="F59" s="57" t="b">
        <v>1</v>
      </c>
      <c r="G59" s="57" t="n"/>
      <c r="H59" s="57" t="b">
        <v>1</v>
      </c>
      <c r="J59" s="57" t="b">
        <v>1</v>
      </c>
      <c r="K59" s="57" t="n"/>
    </row>
    <row r="60">
      <c r="A60" s="65" t="inlineStr">
        <is>
          <t>SVC000059</t>
        </is>
      </c>
      <c r="B60" s="65" t="inlineStr">
        <is>
          <t>Bluetooth Repair</t>
        </is>
      </c>
      <c r="C60" s="65" t="inlineStr">
        <is>
          <t>Connectivity</t>
        </is>
      </c>
      <c r="D60" s="65" t="inlineStr">
        <is>
          <t>Hardware</t>
        </is>
      </c>
      <c r="E60" s="57" t="b">
        <v>1</v>
      </c>
      <c r="F60" s="57" t="b">
        <v>1</v>
      </c>
      <c r="G60" s="57" t="n"/>
      <c r="H60" s="57" t="b">
        <v>1</v>
      </c>
      <c r="J60" s="57" t="b">
        <v>1</v>
      </c>
      <c r="K60" s="57" t="n"/>
    </row>
    <row r="61">
      <c r="A61" s="65" t="inlineStr">
        <is>
          <t>SVC000060</t>
        </is>
      </c>
      <c r="B61" s="65" t="inlineStr">
        <is>
          <t>Antenna Repair</t>
        </is>
      </c>
      <c r="C61" s="65" t="inlineStr">
        <is>
          <t>Connectivity</t>
        </is>
      </c>
      <c r="D61" s="65" t="inlineStr">
        <is>
          <t>Hardware</t>
        </is>
      </c>
      <c r="E61" s="57" t="b">
        <v>1</v>
      </c>
      <c r="F61" s="57" t="b">
        <v>1</v>
      </c>
      <c r="G61" s="57" t="n"/>
      <c r="H61" s="57" t="b">
        <v>1</v>
      </c>
      <c r="J61" s="57" t="b">
        <v>1</v>
      </c>
      <c r="K61" s="57" t="n"/>
    </row>
    <row r="62">
      <c r="A62" s="65" t="inlineStr">
        <is>
          <t>SVC000061</t>
        </is>
      </c>
      <c r="B62" s="65" t="inlineStr">
        <is>
          <t>SIM Reader Repair</t>
        </is>
      </c>
      <c r="C62" s="65" t="inlineStr">
        <is>
          <t>Connectivity</t>
        </is>
      </c>
      <c r="D62" s="65" t="inlineStr">
        <is>
          <t>Hardware</t>
        </is>
      </c>
      <c r="E62" s="57" t="b">
        <v>1</v>
      </c>
      <c r="F62" s="57" t="b">
        <v>1</v>
      </c>
      <c r="G62" s="57" t="n"/>
      <c r="H62" s="57" t="b">
        <v>1</v>
      </c>
      <c r="J62" s="57" t="b">
        <v>1</v>
      </c>
      <c r="K62" s="57" t="n"/>
    </row>
    <row r="63">
      <c r="A63" s="65" t="inlineStr">
        <is>
          <t>SVC000062</t>
        </is>
      </c>
      <c r="B63" s="65" t="inlineStr">
        <is>
          <t>SD Card Reader Repair</t>
        </is>
      </c>
      <c r="C63" s="65" t="inlineStr">
        <is>
          <t>Connectivity</t>
        </is>
      </c>
      <c r="D63" s="65" t="inlineStr">
        <is>
          <t>Hardware</t>
        </is>
      </c>
      <c r="E63" s="57" t="b">
        <v>1</v>
      </c>
      <c r="F63" s="57" t="b">
        <v>1</v>
      </c>
      <c r="G63" s="57" t="n"/>
      <c r="H63" s="57" t="b">
        <v>1</v>
      </c>
      <c r="J63" s="57" t="b">
        <v>1</v>
      </c>
      <c r="K63" s="57" t="n"/>
    </row>
    <row r="64">
      <c r="A64" s="65" t="inlineStr">
        <is>
          <t>SVC000063</t>
        </is>
      </c>
      <c r="B64" s="65" t="inlineStr">
        <is>
          <t>HDMI Port Repair</t>
        </is>
      </c>
      <c r="C64" s="65" t="inlineStr">
        <is>
          <t>Ports</t>
        </is>
      </c>
      <c r="D64" s="65" t="inlineStr">
        <is>
          <t>Hardware</t>
        </is>
      </c>
      <c r="E64" s="57" t="b">
        <v>1</v>
      </c>
      <c r="F64" s="57" t="b">
        <v>1</v>
      </c>
      <c r="G64" s="57" t="n"/>
      <c r="H64" s="57" t="b">
        <v>1</v>
      </c>
      <c r="J64" s="57" t="b">
        <v>1</v>
      </c>
      <c r="K64" s="57" t="n"/>
    </row>
    <row r="65">
      <c r="A65" s="65" t="inlineStr">
        <is>
          <t>SVC000064</t>
        </is>
      </c>
      <c r="B65" s="65" t="inlineStr">
        <is>
          <t>USB Port Repair</t>
        </is>
      </c>
      <c r="C65" s="65" t="inlineStr">
        <is>
          <t>Ports</t>
        </is>
      </c>
      <c r="D65" s="65" t="inlineStr">
        <is>
          <t>Hardware</t>
        </is>
      </c>
      <c r="E65" s="57" t="b">
        <v>1</v>
      </c>
      <c r="F65" s="57" t="b">
        <v>1</v>
      </c>
      <c r="G65" s="57" t="n"/>
      <c r="H65" s="57" t="b">
        <v>1</v>
      </c>
      <c r="J65" s="57" t="b">
        <v>1</v>
      </c>
      <c r="K65" s="57" t="n"/>
    </row>
    <row r="66">
      <c r="A66" s="65" t="inlineStr">
        <is>
          <t>SVC000065</t>
        </is>
      </c>
      <c r="B66" s="65" t="inlineStr">
        <is>
          <t>USB-C Port Repair</t>
        </is>
      </c>
      <c r="C66" s="65" t="inlineStr">
        <is>
          <t>Ports</t>
        </is>
      </c>
      <c r="D66" s="65" t="inlineStr">
        <is>
          <t>Hardware</t>
        </is>
      </c>
      <c r="E66" s="57" t="b">
        <v>1</v>
      </c>
      <c r="F66" s="57" t="b">
        <v>1</v>
      </c>
      <c r="G66" s="57" t="n"/>
      <c r="H66" s="57" t="b">
        <v>1</v>
      </c>
      <c r="J66" s="57" t="b">
        <v>1</v>
      </c>
      <c r="K66" s="57" t="n"/>
    </row>
    <row r="67">
      <c r="A67" s="65" t="inlineStr">
        <is>
          <t>SVC000066</t>
        </is>
      </c>
      <c r="B67" s="65" t="inlineStr">
        <is>
          <t>Ethernet Port Repair</t>
        </is>
      </c>
      <c r="C67" s="65" t="inlineStr">
        <is>
          <t>Ports</t>
        </is>
      </c>
      <c r="D67" s="65" t="inlineStr">
        <is>
          <t>Hardware</t>
        </is>
      </c>
      <c r="E67" s="57" t="b">
        <v>1</v>
      </c>
      <c r="F67" s="57" t="b">
        <v>1</v>
      </c>
      <c r="G67" s="57" t="n"/>
      <c r="H67" s="57" t="b">
        <v>1</v>
      </c>
      <c r="J67" s="57" t="b">
        <v>1</v>
      </c>
      <c r="K67" s="57" t="n"/>
    </row>
    <row r="68">
      <c r="A68" s="65" t="inlineStr">
        <is>
          <t>SVC000067</t>
        </is>
      </c>
      <c r="B68" s="65" t="inlineStr">
        <is>
          <t>Joy-Con Repair</t>
        </is>
      </c>
      <c r="C68" s="65" t="inlineStr">
        <is>
          <t>Gaming</t>
        </is>
      </c>
      <c r="D68" s="65" t="inlineStr">
        <is>
          <t>Hardware</t>
        </is>
      </c>
      <c r="E68" s="57" t="b">
        <v>1</v>
      </c>
      <c r="F68" s="57" t="b">
        <v>1</v>
      </c>
      <c r="G68" s="57" t="n"/>
      <c r="H68" s="57" t="b">
        <v>1</v>
      </c>
      <c r="J68" s="57" t="b">
        <v>1</v>
      </c>
      <c r="K68" s="57" t="n"/>
    </row>
    <row r="69">
      <c r="A69" s="65" t="inlineStr">
        <is>
          <t>SVC000068</t>
        </is>
      </c>
      <c r="B69" s="65" t="inlineStr">
        <is>
          <t>Controller Repair</t>
        </is>
      </c>
      <c r="C69" s="65" t="inlineStr">
        <is>
          <t>Gaming</t>
        </is>
      </c>
      <c r="D69" s="65" t="inlineStr">
        <is>
          <t>Hardware</t>
        </is>
      </c>
      <c r="E69" s="57" t="b">
        <v>1</v>
      </c>
      <c r="F69" s="57" t="b">
        <v>1</v>
      </c>
      <c r="G69" s="57" t="n"/>
      <c r="H69" s="57" t="b">
        <v>1</v>
      </c>
      <c r="J69" s="57" t="b">
        <v>1</v>
      </c>
      <c r="K69" s="57" t="n"/>
    </row>
    <row r="70">
      <c r="A70" s="65" t="inlineStr">
        <is>
          <t>SVC000069</t>
        </is>
      </c>
      <c r="B70" s="65" t="inlineStr">
        <is>
          <t>HDMI IC Repair</t>
        </is>
      </c>
      <c r="C70" s="65" t="inlineStr">
        <is>
          <t>Gaming</t>
        </is>
      </c>
      <c r="D70" s="65" t="inlineStr">
        <is>
          <t>Hardware</t>
        </is>
      </c>
      <c r="E70" s="57" t="b">
        <v>1</v>
      </c>
      <c r="F70" s="57" t="b">
        <v>1</v>
      </c>
      <c r="G70" s="57" t="n"/>
      <c r="H70" s="57" t="b">
        <v>1</v>
      </c>
      <c r="J70" s="57" t="b">
        <v>1</v>
      </c>
      <c r="K70" s="57" t="n"/>
    </row>
    <row r="71">
      <c r="A71" s="65" t="inlineStr">
        <is>
          <t>SVC000070</t>
        </is>
      </c>
      <c r="B71" s="65" t="inlineStr">
        <is>
          <t>Disc Drive Repair</t>
        </is>
      </c>
      <c r="C71" s="65" t="inlineStr">
        <is>
          <t>Gaming</t>
        </is>
      </c>
      <c r="D71" s="65" t="inlineStr">
        <is>
          <t>Hardware</t>
        </is>
      </c>
      <c r="E71" s="57" t="b">
        <v>1</v>
      </c>
      <c r="F71" s="57" t="b">
        <v>1</v>
      </c>
      <c r="G71" s="57" t="n"/>
      <c r="H71" s="57" t="b">
        <v>1</v>
      </c>
      <c r="J71" s="57" t="b">
        <v>1</v>
      </c>
      <c r="K71" s="57" t="n"/>
    </row>
    <row r="72">
      <c r="A72" s="65" t="inlineStr">
        <is>
          <t>SVC000071</t>
        </is>
      </c>
      <c r="B72" s="65" t="inlineStr">
        <is>
          <t>Fan Cleaning</t>
        </is>
      </c>
      <c r="C72" s="65" t="inlineStr">
        <is>
          <t>Maintenance</t>
        </is>
      </c>
      <c r="D72" s="65" t="inlineStr">
        <is>
          <t>Hardware</t>
        </is>
      </c>
      <c r="E72" s="57" t="b">
        <v>1</v>
      </c>
      <c r="F72" s="57" t="b">
        <v>1</v>
      </c>
      <c r="G72" s="57" t="n"/>
      <c r="H72" s="57" t="b">
        <v>0</v>
      </c>
      <c r="J72" s="57" t="b">
        <v>1</v>
      </c>
      <c r="K72" s="57" t="n"/>
    </row>
    <row r="73">
      <c r="A73" s="65" t="inlineStr">
        <is>
          <t>SVC000072</t>
        </is>
      </c>
      <c r="B73" s="65" t="inlineStr">
        <is>
          <t>Preventive Maintenance</t>
        </is>
      </c>
      <c r="C73" s="65" t="inlineStr">
        <is>
          <t>Maintenance</t>
        </is>
      </c>
      <c r="D73" s="65" t="inlineStr">
        <is>
          <t>Hardware</t>
        </is>
      </c>
      <c r="E73" s="57" t="b">
        <v>1</v>
      </c>
      <c r="F73" s="57" t="b">
        <v>1</v>
      </c>
      <c r="G73" s="57" t="n"/>
      <c r="H73" s="57" t="b">
        <v>0</v>
      </c>
      <c r="J73" s="57" t="b">
        <v>1</v>
      </c>
      <c r="K73" s="57" t="n"/>
    </row>
    <row r="74" ht="29" customHeight="1" s="125">
      <c r="A74" s="65" t="inlineStr">
        <is>
          <t>SVC000073</t>
        </is>
      </c>
      <c r="B74" s="65" t="inlineStr">
        <is>
          <t>Screen Protector Installation</t>
        </is>
      </c>
      <c r="C74" s="65" t="inlineStr">
        <is>
          <t>Accessories</t>
        </is>
      </c>
      <c r="D74" s="65" t="inlineStr">
        <is>
          <t>Hardware</t>
        </is>
      </c>
      <c r="E74" s="57" t="b">
        <v>1</v>
      </c>
      <c r="F74" s="57" t="b">
        <v>1</v>
      </c>
      <c r="G74" s="57" t="n"/>
      <c r="H74" s="57" t="b">
        <v>0</v>
      </c>
      <c r="J74" s="57" t="b">
        <v>1</v>
      </c>
      <c r="K74" s="57" t="n"/>
    </row>
    <row r="75">
      <c r="A75" s="65" t="inlineStr">
        <is>
          <t>SVC000074</t>
        </is>
      </c>
      <c r="B75" s="65" t="inlineStr">
        <is>
          <t>Case Installation</t>
        </is>
      </c>
      <c r="C75" s="65" t="inlineStr">
        <is>
          <t>Accessories</t>
        </is>
      </c>
      <c r="D75" s="65" t="inlineStr">
        <is>
          <t>Hardware</t>
        </is>
      </c>
      <c r="E75" s="57" t="b">
        <v>1</v>
      </c>
      <c r="F75" s="57" t="b">
        <v>1</v>
      </c>
      <c r="G75" s="57" t="n"/>
      <c r="H75" s="57" t="b">
        <v>0</v>
      </c>
      <c r="J75" s="57" t="b">
        <v>1</v>
      </c>
      <c r="K75" s="57" t="n"/>
    </row>
    <row r="76">
      <c r="A76" s="65" t="inlineStr">
        <is>
          <t>SVC000075</t>
        </is>
      </c>
      <c r="B76" s="65" t="inlineStr">
        <is>
          <t>Custom Repair</t>
        </is>
      </c>
      <c r="C76" s="65" t="inlineStr">
        <is>
          <t>Custom</t>
        </is>
      </c>
      <c r="D76" s="65" t="inlineStr">
        <is>
          <t>Hardware</t>
        </is>
      </c>
      <c r="E76" s="57" t="b">
        <v>1</v>
      </c>
      <c r="F76" s="57" t="b">
        <v>1</v>
      </c>
      <c r="G76" s="57" t="n"/>
      <c r="H76" s="57" t="b">
        <v>0</v>
      </c>
      <c r="J76" s="57" t="b">
        <v>1</v>
      </c>
      <c r="K76" s="57" t="n"/>
    </row>
  </sheetData>
  <dataValidations count="1">
    <dataValidation sqref="E2:F76 H2:H76 J2:J76" showDropDown="0" showInputMessage="1" showErrorMessage="1" allowBlank="1" type="list">
      <formula1>IstBoolean</formula1>
    </dataValidation>
  </dataValidations>
  <pageMargins left="0.7" right="0.7" top="0.75" bottom="0.75" header="0.3" footer="0.3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5.xml><?xml version="1.0" encoding="utf-8"?>
<worksheet xmlns="http://schemas.openxmlformats.org/spreadsheetml/2006/main">
  <sheetPr>
    <tabColor rgb="FFFFFF00"/>
    <outlinePr summaryBelow="1" summaryRight="1"/>
    <pageSetUpPr/>
  </sheetPr>
  <dimension ref="A2:G144"/>
  <sheetViews>
    <sheetView topLeftCell="A69" workbookViewId="0">
      <selection activeCell="B14" sqref="B14"/>
    </sheetView>
  </sheetViews>
  <sheetFormatPr baseColWidth="8" defaultRowHeight="14.5"/>
  <cols>
    <col width="16.453125" customWidth="1" style="125" min="1" max="1"/>
    <col width="14.54296875" customWidth="1" style="125" min="2" max="3"/>
    <col width="24.08984375" customWidth="1" style="125" min="4" max="4"/>
    <col width="22" bestFit="1" customWidth="1" style="125" min="5" max="5"/>
    <col width="19.26953125" customWidth="1" style="125" min="6" max="6"/>
  </cols>
  <sheetData>
    <row r="2">
      <c r="A2" s="67" t="inlineStr">
        <is>
          <t>Compatibility ID</t>
        </is>
      </c>
      <c r="B2" s="68" t="inlineStr">
        <is>
          <t>Device Family</t>
        </is>
      </c>
      <c r="C2" s="68" t="inlineStr">
        <is>
          <t>Service Name</t>
        </is>
      </c>
      <c r="D2" s="69" t="inlineStr">
        <is>
          <t>Supported</t>
        </is>
      </c>
      <c r="E2" s="70" t="inlineStr">
        <is>
          <t>Requires Capability</t>
        </is>
      </c>
      <c r="F2" s="71" t="inlineStr">
        <is>
          <t>Notes</t>
        </is>
      </c>
    </row>
    <row r="3">
      <c r="A3" t="inlineStr">
        <is>
          <t>CMP000001</t>
        </is>
      </c>
      <c r="B3" t="inlineStr">
        <is>
          <t>PHN</t>
        </is>
      </c>
      <c r="C3" t="inlineStr">
        <is>
          <t>SVC000038</t>
        </is>
      </c>
      <c r="D3" s="122" t="b">
        <v>1</v>
      </c>
      <c r="E3" s="123" t="n"/>
      <c r="G3" s="57">
        <f>_xlfn.XLOOKUP(
F3,
[1]!tblMasterServicesV2[Service Name],
[1]!tblMasterServicesV2[Service ID],
""
)</f>
        <v/>
      </c>
    </row>
    <row r="4">
      <c r="A4" t="inlineStr">
        <is>
          <t>CMP000002</t>
        </is>
      </c>
      <c r="B4" t="inlineStr">
        <is>
          <t>PHN</t>
        </is>
      </c>
      <c r="C4" t="inlineStr">
        <is>
          <t>SVC000042</t>
        </is>
      </c>
      <c r="D4" s="122" t="b">
        <v>1</v>
      </c>
      <c r="E4" s="123" t="n"/>
      <c r="G4" s="57">
        <f>_xlfn.XLOOKUP(
F4,
[1]!tblMasterServicesV2[Service Name],
[1]!tblMasterServicesV2[Service ID],
""
)</f>
        <v/>
      </c>
    </row>
    <row r="5">
      <c r="A5" t="inlineStr">
        <is>
          <t>CMP000003</t>
        </is>
      </c>
      <c r="B5" t="inlineStr">
        <is>
          <t>PHN</t>
        </is>
      </c>
      <c r="C5" t="inlineStr">
        <is>
          <t>SVC000005</t>
        </is>
      </c>
      <c r="D5" s="122" t="b">
        <v>1</v>
      </c>
      <c r="E5" s="123" t="n"/>
      <c r="G5" s="57">
        <f>_xlfn.XLOOKUP(
F5,
[1]!tblMasterServicesV2[Service Name],
[1]!tblMasterServicesV2[Service ID],
""
)</f>
        <v/>
      </c>
    </row>
    <row r="6">
      <c r="A6" t="inlineStr">
        <is>
          <t>CMP000004</t>
        </is>
      </c>
      <c r="B6" t="inlineStr">
        <is>
          <t>PHN</t>
        </is>
      </c>
      <c r="C6" t="inlineStr">
        <is>
          <t>SVC000041</t>
        </is>
      </c>
      <c r="D6" s="122" t="b">
        <v>1</v>
      </c>
      <c r="E6" s="123" t="n"/>
      <c r="G6" s="57">
        <f>_xlfn.XLOOKUP(
F6,
[1]!tblMasterServicesV2[Service Name],
[1]!tblMasterServicesV2[Service ID],
""
)</f>
        <v/>
      </c>
    </row>
    <row r="7">
      <c r="A7" t="inlineStr">
        <is>
          <t>CMP000005</t>
        </is>
      </c>
      <c r="B7" t="inlineStr">
        <is>
          <t>PHN</t>
        </is>
      </c>
      <c r="C7" t="inlineStr">
        <is>
          <t>SVC000007</t>
        </is>
      </c>
      <c r="D7" s="122" t="b">
        <v>1</v>
      </c>
      <c r="E7" s="123" t="n"/>
      <c r="G7" s="57">
        <f>_xlfn.XLOOKUP(
F7,
[1]!tblMasterServicesV2[Service Name],
[1]!tblMasterServicesV2[Service ID],
""
)</f>
        <v/>
      </c>
    </row>
    <row r="8">
      <c r="A8" t="inlineStr">
        <is>
          <t>CMP000006</t>
        </is>
      </c>
      <c r="B8" t="inlineStr">
        <is>
          <t>PHN</t>
        </is>
      </c>
      <c r="C8" t="inlineStr">
        <is>
          <t>SVC000010</t>
        </is>
      </c>
      <c r="D8" s="122" t="b">
        <v>1</v>
      </c>
      <c r="E8" s="123" t="n"/>
      <c r="G8" s="57">
        <f>_xlfn.XLOOKUP(
F8,
[1]!tblMasterServicesV2[Service Name],
[1]!tblMasterServicesV2[Service ID],
""
)</f>
        <v/>
      </c>
    </row>
    <row r="9">
      <c r="A9" t="inlineStr">
        <is>
          <t>CMP000007</t>
        </is>
      </c>
      <c r="B9" t="inlineStr">
        <is>
          <t>PHN</t>
        </is>
      </c>
      <c r="C9" t="inlineStr">
        <is>
          <t>SVC000037</t>
        </is>
      </c>
      <c r="D9" s="122" t="b">
        <v>1</v>
      </c>
      <c r="E9" s="123" t="n"/>
      <c r="G9" s="57">
        <f>_xlfn.XLOOKUP(
F9,
[1]!tblMasterServicesV2[Service Name],
[1]!tblMasterServicesV2[Service ID],
""
)</f>
        <v/>
      </c>
    </row>
    <row r="10">
      <c r="A10" t="inlineStr">
        <is>
          <t>CMP000008</t>
        </is>
      </c>
      <c r="B10" t="inlineStr">
        <is>
          <t>PHN</t>
        </is>
      </c>
      <c r="C10" t="inlineStr">
        <is>
          <t>SVC000004</t>
        </is>
      </c>
      <c r="D10" s="122" t="b">
        <v>1</v>
      </c>
      <c r="E10" s="123" t="n"/>
      <c r="G10" s="57">
        <f>_xlfn.XLOOKUP(
F10,
[1]!tblMasterServicesV2[Service Name],
[1]!tblMasterServicesV2[Service ID],
""
)</f>
        <v/>
      </c>
    </row>
    <row r="11">
      <c r="A11" t="inlineStr">
        <is>
          <t>CMP000009</t>
        </is>
      </c>
      <c r="B11" t="inlineStr">
        <is>
          <t>PHN</t>
        </is>
      </c>
      <c r="C11" t="inlineStr">
        <is>
          <t>SVC000014</t>
        </is>
      </c>
      <c r="D11" s="122" t="b">
        <v>1</v>
      </c>
      <c r="E11" s="123" t="n"/>
      <c r="G11" s="57">
        <f>_xlfn.XLOOKUP(
F11,
[1]!tblMasterServicesV2[Service Name],
[1]!tblMasterServicesV2[Service ID],
""
)</f>
        <v/>
      </c>
    </row>
    <row r="12">
      <c r="A12" t="inlineStr">
        <is>
          <t>CMP000010</t>
        </is>
      </c>
      <c r="B12" t="inlineStr">
        <is>
          <t>PHN</t>
        </is>
      </c>
      <c r="C12" t="inlineStr">
        <is>
          <t>SVC000006</t>
        </is>
      </c>
      <c r="D12" s="122" t="b">
        <v>1</v>
      </c>
      <c r="E12" s="123" t="n"/>
      <c r="G12" s="57">
        <f>_xlfn.XLOOKUP(
F12,
[1]!tblMasterServicesV2[Service Name],
[1]!tblMasterServicesV2[Service ID],
""
)</f>
        <v/>
      </c>
    </row>
    <row r="13">
      <c r="A13" t="inlineStr">
        <is>
          <t>CMP000011</t>
        </is>
      </c>
      <c r="B13" t="inlineStr">
        <is>
          <t>PHN</t>
        </is>
      </c>
      <c r="C13" t="inlineStr">
        <is>
          <t>SVC000043</t>
        </is>
      </c>
      <c r="D13" s="122" t="b">
        <v>1</v>
      </c>
      <c r="E13" s="123" t="n"/>
      <c r="G13" s="57">
        <f>_xlfn.XLOOKUP(
F13,
[1]!tblMasterServicesV2[Service Name],
[1]!tblMasterServicesV2[Service ID],
""
)</f>
        <v/>
      </c>
    </row>
    <row r="14">
      <c r="A14" t="inlineStr">
        <is>
          <t>CMP000012</t>
        </is>
      </c>
      <c r="B14" t="inlineStr">
        <is>
          <t>PHN</t>
        </is>
      </c>
      <c r="C14" t="inlineStr">
        <is>
          <t>SVC000044</t>
        </is>
      </c>
      <c r="D14" s="122" t="b">
        <v>1</v>
      </c>
      <c r="E14" s="123" t="n"/>
      <c r="G14" s="57">
        <f>_xlfn.XLOOKUP(
F14,
[1]!tblMasterServicesV2[Service Name],
[1]!tblMasterServicesV2[Service ID],
""
)</f>
        <v/>
      </c>
    </row>
    <row r="15">
      <c r="A15" t="inlineStr">
        <is>
          <t>CMP000013</t>
        </is>
      </c>
      <c r="B15" t="inlineStr">
        <is>
          <t>PHN</t>
        </is>
      </c>
      <c r="C15" t="inlineStr">
        <is>
          <t>SVC000003</t>
        </is>
      </c>
      <c r="D15" s="122" t="b">
        <v>1</v>
      </c>
      <c r="E15" s="123" t="n"/>
      <c r="G15" s="57">
        <f>_xlfn.XLOOKUP(
F15,
[1]!tblMasterServicesV2[Service Name],
[1]!tblMasterServicesV2[Service ID],
""
)</f>
        <v/>
      </c>
    </row>
    <row r="16">
      <c r="A16" t="inlineStr">
        <is>
          <t>CMP000014</t>
        </is>
      </c>
      <c r="B16" t="inlineStr">
        <is>
          <t>PHN</t>
        </is>
      </c>
      <c r="C16" t="inlineStr">
        <is>
          <t>SVC000045</t>
        </is>
      </c>
      <c r="D16" s="122" t="b">
        <v>1</v>
      </c>
      <c r="E16" s="123" t="n"/>
      <c r="G16" s="57">
        <f>_xlfn.XLOOKUP(
F16,
[1]!tblMasterServicesV2[Service Name],
[1]!tblMasterServicesV2[Service ID],
""
)</f>
        <v/>
      </c>
    </row>
    <row r="17">
      <c r="A17" t="inlineStr">
        <is>
          <t>CMP000015</t>
        </is>
      </c>
      <c r="B17" t="inlineStr">
        <is>
          <t>PHN</t>
        </is>
      </c>
      <c r="C17" t="inlineStr">
        <is>
          <t>SVC000018</t>
        </is>
      </c>
      <c r="D17" s="122" t="b">
        <v>1</v>
      </c>
      <c r="E17" s="123" t="n"/>
      <c r="G17" s="57">
        <f>_xlfn.XLOOKUP(
F17,
[1]!tblMasterServicesV2[Service Name],
[1]!tblMasterServicesV2[Service ID],
""
)</f>
        <v/>
      </c>
    </row>
    <row r="18">
      <c r="A18" t="inlineStr">
        <is>
          <t>CMP000016</t>
        </is>
      </c>
      <c r="B18" t="inlineStr">
        <is>
          <t>PHN</t>
        </is>
      </c>
      <c r="C18" t="inlineStr">
        <is>
          <t>SVC000002</t>
        </is>
      </c>
      <c r="D18" s="122" t="b">
        <v>1</v>
      </c>
      <c r="E18" s="123" t="n"/>
      <c r="G18" s="57" t="n"/>
    </row>
    <row r="19">
      <c r="A19" t="inlineStr">
        <is>
          <t>CMP000017</t>
        </is>
      </c>
      <c r="B19" t="inlineStr">
        <is>
          <t>PHN</t>
        </is>
      </c>
      <c r="C19" t="inlineStr">
        <is>
          <t>SVC000040</t>
        </is>
      </c>
      <c r="D19" s="122" t="b">
        <v>1</v>
      </c>
      <c r="E19" s="123" t="n"/>
      <c r="G19" s="57" t="n"/>
    </row>
    <row r="20">
      <c r="A20" t="inlineStr">
        <is>
          <t>CMP000018</t>
        </is>
      </c>
      <c r="B20" t="inlineStr">
        <is>
          <t>PHN</t>
        </is>
      </c>
      <c r="C20" t="inlineStr">
        <is>
          <t>SVC000013</t>
        </is>
      </c>
      <c r="D20" s="122" t="b">
        <v>1</v>
      </c>
      <c r="E20" s="123" t="n"/>
      <c r="G20" s="57" t="n"/>
    </row>
    <row r="21">
      <c r="A21" t="inlineStr">
        <is>
          <t>CMP000019</t>
        </is>
      </c>
      <c r="B21" t="inlineStr">
        <is>
          <t>PHN</t>
        </is>
      </c>
      <c r="C21" t="inlineStr">
        <is>
          <t>SVC000001</t>
        </is>
      </c>
      <c r="D21" s="122" t="b">
        <v>1</v>
      </c>
      <c r="E21" s="123" t="n"/>
      <c r="G21" s="57" t="n"/>
    </row>
    <row r="22">
      <c r="A22" t="inlineStr">
        <is>
          <t>CMP000020</t>
        </is>
      </c>
      <c r="B22" t="inlineStr">
        <is>
          <t>PHN</t>
        </is>
      </c>
      <c r="C22" t="inlineStr">
        <is>
          <t>SVC000034</t>
        </is>
      </c>
      <c r="D22" s="122" t="b">
        <v>1</v>
      </c>
      <c r="E22" s="123" t="n"/>
      <c r="G22" s="57">
        <f>_xlfn.XLOOKUP(
F22,
[1]!tblMasterServicesV2[Service Name],
[1]!tblMasterServicesV2[Service ID],
""
)</f>
        <v/>
      </c>
    </row>
    <row r="23">
      <c r="A23" t="inlineStr">
        <is>
          <t>CMP000021</t>
        </is>
      </c>
      <c r="B23" t="inlineStr">
        <is>
          <t>PHN</t>
        </is>
      </c>
      <c r="C23" t="inlineStr">
        <is>
          <t>SVC000017</t>
        </is>
      </c>
      <c r="D23" s="122" t="b">
        <v>1</v>
      </c>
      <c r="E23" s="123" t="n"/>
      <c r="G23" s="57">
        <f>_xlfn.XLOOKUP(
F23,
[1]!tblMasterServicesV2[Service Name],
[1]!tblMasterServicesV2[Service ID],
""
)</f>
        <v/>
      </c>
    </row>
    <row r="24">
      <c r="A24" t="inlineStr">
        <is>
          <t>CMP000022</t>
        </is>
      </c>
      <c r="B24" t="inlineStr">
        <is>
          <t>PHN</t>
        </is>
      </c>
      <c r="C24" t="inlineStr">
        <is>
          <t>SVC000039</t>
        </is>
      </c>
      <c r="D24" s="122" t="b">
        <v>1</v>
      </c>
      <c r="E24" s="123" t="n"/>
      <c r="G24" s="57">
        <f>_xlfn.XLOOKUP(
F24,
[1]!tblMasterServicesV2[Service Name],
[1]!tblMasterServicesV2[Service ID],
""
)</f>
        <v/>
      </c>
    </row>
    <row r="25">
      <c r="A25" t="inlineStr">
        <is>
          <t>CMP000023</t>
        </is>
      </c>
      <c r="B25" t="inlineStr">
        <is>
          <t>PHN</t>
        </is>
      </c>
      <c r="C25" t="inlineStr">
        <is>
          <t>SVC000052</t>
        </is>
      </c>
      <c r="D25" s="122" t="b">
        <v>0</v>
      </c>
      <c r="E25" s="123" t="n"/>
      <c r="G25" s="57">
        <f>_xlfn.XLOOKUP(
F25,
[1]!tblMasterServicesV2[Service Name],
[1]!tblMasterServicesV2[Service ID],
""
)</f>
        <v/>
      </c>
    </row>
    <row r="26">
      <c r="A26" t="inlineStr">
        <is>
          <t>CMP000024</t>
        </is>
      </c>
      <c r="B26" t="inlineStr">
        <is>
          <t>PHN</t>
        </is>
      </c>
      <c r="C26" t="inlineStr">
        <is>
          <t>SVC000050</t>
        </is>
      </c>
      <c r="D26" s="122" t="b">
        <v>0</v>
      </c>
      <c r="E26" s="123" t="n"/>
      <c r="G26" s="57">
        <f>_xlfn.XLOOKUP(
F26,
[1]!tblMasterServicesV2[Service Name],
[1]!tblMasterServicesV2[Service ID],
""
)</f>
        <v/>
      </c>
    </row>
    <row r="27">
      <c r="A27" t="inlineStr">
        <is>
          <t>CMP000025</t>
        </is>
      </c>
      <c r="B27" t="inlineStr">
        <is>
          <t>PHN</t>
        </is>
      </c>
      <c r="C27" t="inlineStr">
        <is>
          <t>SVC000053</t>
        </is>
      </c>
      <c r="D27" s="122" t="b">
        <v>0</v>
      </c>
      <c r="E27" s="123" t="n"/>
      <c r="G27" s="57">
        <f>_xlfn.XLOOKUP(
F27,
[1]!tblMasterServicesV2[Service Name],
[1]!tblMasterServicesV2[Service ID],
""
)</f>
        <v/>
      </c>
    </row>
    <row r="28">
      <c r="A28" t="inlineStr">
        <is>
          <t>CMP000026</t>
        </is>
      </c>
      <c r="B28" t="inlineStr">
        <is>
          <t>PHN</t>
        </is>
      </c>
      <c r="C28" t="inlineStr">
        <is>
          <t>SVC000054</t>
        </is>
      </c>
      <c r="D28" s="122" t="b">
        <v>0</v>
      </c>
      <c r="E28" s="123" t="n"/>
      <c r="G28" s="57">
        <f>_xlfn.XLOOKUP(
F28,
[1]!tblMasterServicesV2[Service Name],
[1]!tblMasterServicesV2[Service ID],
""
)</f>
        <v/>
      </c>
    </row>
    <row r="29">
      <c r="A29" t="inlineStr">
        <is>
          <t>CMP000027</t>
        </is>
      </c>
      <c r="B29" t="inlineStr">
        <is>
          <t>PHN</t>
        </is>
      </c>
      <c r="C29" t="inlineStr">
        <is>
          <t>SVC000063</t>
        </is>
      </c>
      <c r="D29" s="122" t="b">
        <v>0</v>
      </c>
      <c r="E29" s="123" t="n"/>
      <c r="G29" s="57">
        <f>_xlfn.XLOOKUP(
F29,
[1]!tblMasterServicesV2[Service Name],
[1]!tblMasterServicesV2[Service ID],
""
)</f>
        <v/>
      </c>
    </row>
    <row r="30">
      <c r="A30" t="inlineStr">
        <is>
          <t>CMP000028</t>
        </is>
      </c>
      <c r="B30" t="inlineStr">
        <is>
          <t>PHN</t>
        </is>
      </c>
      <c r="C30" t="inlineStr">
        <is>
          <t>SVC000066</t>
        </is>
      </c>
      <c r="D30" s="122" t="b">
        <v>0</v>
      </c>
      <c r="E30" s="123" t="n"/>
      <c r="G30" s="57">
        <f>_xlfn.XLOOKUP(
F30,
[1]!tblMasterServicesV2[Service Name],
[1]!tblMasterServicesV2[Service ID],
""
)</f>
        <v/>
      </c>
    </row>
    <row r="31">
      <c r="A31" t="inlineStr">
        <is>
          <t>CMP000029</t>
        </is>
      </c>
      <c r="B31" t="inlineStr">
        <is>
          <t>TAB</t>
        </is>
      </c>
      <c r="C31" t="inlineStr">
        <is>
          <t>SVC000038</t>
        </is>
      </c>
      <c r="D31" s="122" t="b">
        <v>1</v>
      </c>
      <c r="E31" s="123" t="n"/>
      <c r="G31" s="57">
        <f>_xlfn.XLOOKUP(
F31,
[1]!tblMasterServicesV2[Service Name],
[1]!tblMasterServicesV2[Service ID],
""
)</f>
        <v/>
      </c>
    </row>
    <row r="32">
      <c r="A32" t="inlineStr">
        <is>
          <t>CMP000030</t>
        </is>
      </c>
      <c r="B32" t="inlineStr">
        <is>
          <t>TAB</t>
        </is>
      </c>
      <c r="C32" t="inlineStr">
        <is>
          <t>SVC000042</t>
        </is>
      </c>
      <c r="D32" s="122" t="b">
        <v>1</v>
      </c>
      <c r="E32" s="123" t="n"/>
      <c r="G32" s="57">
        <f>_xlfn.XLOOKUP(
F32,
[1]!tblMasterServicesV2[Service Name],
[1]!tblMasterServicesV2[Service ID],
""
)</f>
        <v/>
      </c>
    </row>
    <row r="33">
      <c r="A33" t="inlineStr">
        <is>
          <t>CMP000031</t>
        </is>
      </c>
      <c r="B33" t="inlineStr">
        <is>
          <t>TAB</t>
        </is>
      </c>
      <c r="C33" t="inlineStr">
        <is>
          <t>SVC000005</t>
        </is>
      </c>
      <c r="D33" s="122" t="b">
        <v>1</v>
      </c>
      <c r="E33" s="123" t="n"/>
      <c r="G33" s="57">
        <f>_xlfn.XLOOKUP(
F33,
[1]!tblMasterServicesV2[Service Name],
[1]!tblMasterServicesV2[Service ID],
""
)</f>
        <v/>
      </c>
    </row>
    <row r="34">
      <c r="A34" t="inlineStr">
        <is>
          <t>CMP000032</t>
        </is>
      </c>
      <c r="B34" t="inlineStr">
        <is>
          <t>TAB</t>
        </is>
      </c>
      <c r="C34" t="inlineStr">
        <is>
          <t>SVC000041</t>
        </is>
      </c>
      <c r="D34" s="122" t="b">
        <v>1</v>
      </c>
      <c r="E34" s="123" t="n"/>
      <c r="G34" s="57">
        <f>_xlfn.XLOOKUP(
F34,
[1]!tblMasterServicesV2[Service Name],
[1]!tblMasterServicesV2[Service ID],
""
)</f>
        <v/>
      </c>
    </row>
    <row r="35">
      <c r="A35" t="inlineStr">
        <is>
          <t>CMP000033</t>
        </is>
      </c>
      <c r="B35" t="inlineStr">
        <is>
          <t>TAB</t>
        </is>
      </c>
      <c r="C35" t="inlineStr">
        <is>
          <t>SVC000007</t>
        </is>
      </c>
      <c r="D35" s="122" t="b">
        <v>1</v>
      </c>
      <c r="E35" s="123" t="n"/>
      <c r="G35" s="57">
        <f>_xlfn.XLOOKUP(
F35,
[1]!tblMasterServicesV2[Service Name],
[1]!tblMasterServicesV2[Service ID],
""
)</f>
        <v/>
      </c>
    </row>
    <row r="36">
      <c r="A36" t="inlineStr">
        <is>
          <t>CMP000034</t>
        </is>
      </c>
      <c r="B36" t="inlineStr">
        <is>
          <t>TAB</t>
        </is>
      </c>
      <c r="C36" t="inlineStr">
        <is>
          <t>SVC000010</t>
        </is>
      </c>
      <c r="D36" s="122" t="b">
        <v>1</v>
      </c>
      <c r="E36" s="123" t="n"/>
      <c r="G36" s="57">
        <f>_xlfn.XLOOKUP(
F36,
[1]!tblMasterServicesV2[Service Name],
[1]!tblMasterServicesV2[Service ID],
""
)</f>
        <v/>
      </c>
    </row>
    <row r="37">
      <c r="A37" t="inlineStr">
        <is>
          <t>CMP000035</t>
        </is>
      </c>
      <c r="B37" t="inlineStr">
        <is>
          <t>TAB</t>
        </is>
      </c>
      <c r="C37" t="inlineStr">
        <is>
          <t>SVC000037</t>
        </is>
      </c>
      <c r="D37" s="122" t="b">
        <v>1</v>
      </c>
      <c r="E37" s="123" t="n"/>
      <c r="G37" s="57">
        <f>_xlfn.XLOOKUP(
F37,
[1]!tblMasterServicesV2[Service Name],
[1]!tblMasterServicesV2[Service ID],
""
)</f>
        <v/>
      </c>
    </row>
    <row r="38">
      <c r="A38" t="inlineStr">
        <is>
          <t>CMP000036</t>
        </is>
      </c>
      <c r="B38" t="inlineStr">
        <is>
          <t>TAB</t>
        </is>
      </c>
      <c r="C38" t="inlineStr">
        <is>
          <t>SVC000004</t>
        </is>
      </c>
      <c r="D38" s="122" t="b">
        <v>1</v>
      </c>
      <c r="E38" s="123" t="n"/>
      <c r="G38" s="57">
        <f>_xlfn.XLOOKUP(
F38,
[1]!tblMasterServicesV2[Service Name],
[1]!tblMasterServicesV2[Service ID],
""
)</f>
        <v/>
      </c>
    </row>
    <row r="39">
      <c r="A39" t="inlineStr">
        <is>
          <t>CMP000037</t>
        </is>
      </c>
      <c r="B39" t="inlineStr">
        <is>
          <t>TAB</t>
        </is>
      </c>
      <c r="C39" t="inlineStr">
        <is>
          <t>SVC000014</t>
        </is>
      </c>
      <c r="D39" s="122" t="b">
        <v>1</v>
      </c>
      <c r="E39" s="123" t="n"/>
      <c r="G39" s="57">
        <f>_xlfn.XLOOKUP(
F39,
[1]!tblMasterServicesV2[Service Name],
[1]!tblMasterServicesV2[Service ID],
""
)</f>
        <v/>
      </c>
    </row>
    <row r="40">
      <c r="A40" t="inlineStr">
        <is>
          <t>CMP000038</t>
        </is>
      </c>
      <c r="B40" t="inlineStr">
        <is>
          <t>TAB</t>
        </is>
      </c>
      <c r="C40" t="inlineStr">
        <is>
          <t>SVC000006</t>
        </is>
      </c>
      <c r="D40" s="122" t="b">
        <v>1</v>
      </c>
      <c r="E40" s="123" t="n"/>
      <c r="G40" s="57">
        <f>_xlfn.XLOOKUP(
F40,
[1]!tblMasterServicesV2[Service Name],
[1]!tblMasterServicesV2[Service ID],
""
)</f>
        <v/>
      </c>
    </row>
    <row r="41">
      <c r="A41" t="inlineStr">
        <is>
          <t>CMP000039</t>
        </is>
      </c>
      <c r="B41" t="inlineStr">
        <is>
          <t>TAB</t>
        </is>
      </c>
      <c r="C41" t="inlineStr">
        <is>
          <t>SVC000043</t>
        </is>
      </c>
      <c r="D41" s="122" t="b">
        <v>1</v>
      </c>
      <c r="E41" s="123" t="n"/>
      <c r="G41" s="57">
        <f>_xlfn.XLOOKUP(
F41,
[1]!tblMasterServicesV2[Service Name],
[1]!tblMasterServicesV2[Service ID],
""
)</f>
        <v/>
      </c>
    </row>
    <row r="42">
      <c r="A42" t="inlineStr">
        <is>
          <t>CMP000040</t>
        </is>
      </c>
      <c r="B42" t="inlineStr">
        <is>
          <t>TAB</t>
        </is>
      </c>
      <c r="C42" t="inlineStr">
        <is>
          <t>SVC000044</t>
        </is>
      </c>
      <c r="D42" s="122" t="b">
        <v>1</v>
      </c>
      <c r="E42" s="123" t="n"/>
      <c r="G42" s="57">
        <f>_xlfn.XLOOKUP(
F42,
[1]!tblMasterServicesV2[Service Name],
[1]!tblMasterServicesV2[Service ID],
""
)</f>
        <v/>
      </c>
    </row>
    <row r="43">
      <c r="A43" t="inlineStr">
        <is>
          <t>CMP000041</t>
        </is>
      </c>
      <c r="B43" t="inlineStr">
        <is>
          <t>TAB</t>
        </is>
      </c>
      <c r="C43" t="inlineStr">
        <is>
          <t>SVC000003</t>
        </is>
      </c>
      <c r="D43" s="122" t="b">
        <v>1</v>
      </c>
      <c r="E43" s="123" t="n"/>
      <c r="G43" s="57">
        <f>_xlfn.XLOOKUP(
F43,
[1]!tblMasterServicesV2[Service Name],
[1]!tblMasterServicesV2[Service ID],
""
)</f>
        <v/>
      </c>
    </row>
    <row r="44">
      <c r="A44" t="inlineStr">
        <is>
          <t>CMP000042</t>
        </is>
      </c>
      <c r="B44" t="inlineStr">
        <is>
          <t>TAB</t>
        </is>
      </c>
      <c r="C44" t="inlineStr">
        <is>
          <t>SVC000045</t>
        </is>
      </c>
      <c r="D44" s="122" t="b">
        <v>1</v>
      </c>
      <c r="E44" s="123" t="n"/>
      <c r="G44" s="57">
        <f>_xlfn.XLOOKUP(
F44,
[1]!tblMasterServicesV2[Service Name],
[1]!tblMasterServicesV2[Service ID],
""
)</f>
        <v/>
      </c>
    </row>
    <row r="45">
      <c r="A45" t="inlineStr">
        <is>
          <t>CMP000043</t>
        </is>
      </c>
      <c r="B45" t="inlineStr">
        <is>
          <t>TAB</t>
        </is>
      </c>
      <c r="C45" t="inlineStr">
        <is>
          <t>SVC000018</t>
        </is>
      </c>
      <c r="D45" s="122" t="b">
        <v>1</v>
      </c>
      <c r="E45" s="123" t="n"/>
      <c r="G45" s="57">
        <f>_xlfn.XLOOKUP(
F45,
[1]!tblMasterServicesV2[Service Name],
[1]!tblMasterServicesV2[Service ID],
""
)</f>
        <v/>
      </c>
    </row>
    <row r="46">
      <c r="A46" t="inlineStr">
        <is>
          <t>CMP000044</t>
        </is>
      </c>
      <c r="B46" t="inlineStr">
        <is>
          <t>TAB</t>
        </is>
      </c>
      <c r="C46" t="inlineStr">
        <is>
          <t>SVC000002</t>
        </is>
      </c>
      <c r="D46" s="122" t="b">
        <v>1</v>
      </c>
      <c r="E46" s="123" t="n"/>
      <c r="G46" s="57" t="n"/>
    </row>
    <row r="47">
      <c r="A47" t="inlineStr">
        <is>
          <t>CMP000045</t>
        </is>
      </c>
      <c r="B47" t="inlineStr">
        <is>
          <t>TAB</t>
        </is>
      </c>
      <c r="C47" t="inlineStr">
        <is>
          <t>SVC000040</t>
        </is>
      </c>
      <c r="D47" s="122" t="b">
        <v>1</v>
      </c>
      <c r="E47" s="123" t="n"/>
      <c r="G47" s="57" t="n"/>
    </row>
    <row r="48">
      <c r="A48" t="inlineStr">
        <is>
          <t>CMP000046</t>
        </is>
      </c>
      <c r="B48" t="inlineStr">
        <is>
          <t>TAB</t>
        </is>
      </c>
      <c r="C48" t="inlineStr">
        <is>
          <t>SVC000013</t>
        </is>
      </c>
      <c r="D48" s="122" t="b">
        <v>1</v>
      </c>
      <c r="E48" s="123" t="n"/>
      <c r="G48" s="57" t="n"/>
    </row>
    <row r="49">
      <c r="A49" t="inlineStr">
        <is>
          <t>CMP000047</t>
        </is>
      </c>
      <c r="B49" t="inlineStr">
        <is>
          <t>TAB</t>
        </is>
      </c>
      <c r="C49" t="inlineStr">
        <is>
          <t>SVC000001</t>
        </is>
      </c>
      <c r="D49" s="122" t="b">
        <v>1</v>
      </c>
      <c r="E49" s="123" t="n"/>
      <c r="G49" s="57" t="n"/>
    </row>
    <row r="50">
      <c r="A50" t="inlineStr">
        <is>
          <t>CMP000048</t>
        </is>
      </c>
      <c r="B50" t="inlineStr">
        <is>
          <t>TAB</t>
        </is>
      </c>
      <c r="C50" t="inlineStr">
        <is>
          <t>SVC000034</t>
        </is>
      </c>
      <c r="D50" s="122" t="b">
        <v>1</v>
      </c>
      <c r="E50" s="123" t="n"/>
      <c r="G50" s="57">
        <f>_xlfn.XLOOKUP(
F50,
[1]!tblMasterServicesV2[Service Name],
[1]!tblMasterServicesV2[Service ID],
""
)</f>
        <v/>
      </c>
    </row>
    <row r="51">
      <c r="A51" t="inlineStr">
        <is>
          <t>CMP000049</t>
        </is>
      </c>
      <c r="B51" t="inlineStr">
        <is>
          <t>TAB</t>
        </is>
      </c>
      <c r="C51" t="inlineStr">
        <is>
          <t>SVC000017</t>
        </is>
      </c>
      <c r="D51" s="122" t="b">
        <v>1</v>
      </c>
      <c r="E51" s="123" t="n"/>
      <c r="G51" s="57">
        <f>_xlfn.XLOOKUP(
F51,
[1]!tblMasterServicesV2[Service Name],
[1]!tblMasterServicesV2[Service ID],
""
)</f>
        <v/>
      </c>
    </row>
    <row r="52">
      <c r="A52" t="inlineStr">
        <is>
          <t>CMP000050</t>
        </is>
      </c>
      <c r="B52" t="inlineStr">
        <is>
          <t>TAB</t>
        </is>
      </c>
      <c r="C52" t="inlineStr">
        <is>
          <t>SVC000039</t>
        </is>
      </c>
      <c r="D52" s="122" t="b">
        <v>1</v>
      </c>
      <c r="E52" s="123" t="n"/>
      <c r="G52" s="57">
        <f>_xlfn.XLOOKUP(
F52,
[1]!tblMasterServicesV2[Service Name],
[1]!tblMasterServicesV2[Service ID],
""
)</f>
        <v/>
      </c>
    </row>
    <row r="53">
      <c r="A53" t="inlineStr">
        <is>
          <t>CMP000051</t>
        </is>
      </c>
      <c r="B53" t="inlineStr">
        <is>
          <t>TAB</t>
        </is>
      </c>
      <c r="C53" t="inlineStr">
        <is>
          <t>SVC000052</t>
        </is>
      </c>
      <c r="D53" s="122" t="b">
        <v>0</v>
      </c>
      <c r="E53" s="123" t="n"/>
      <c r="G53" s="57">
        <f>_xlfn.XLOOKUP(
F53,
[1]!tblMasterServicesV2[Service Name],
[1]!tblMasterServicesV2[Service ID],
""
)</f>
        <v/>
      </c>
    </row>
    <row r="54">
      <c r="A54" t="inlineStr">
        <is>
          <t>CMP000052</t>
        </is>
      </c>
      <c r="B54" t="inlineStr">
        <is>
          <t>TAB</t>
        </is>
      </c>
      <c r="C54" t="inlineStr">
        <is>
          <t>SVC000050</t>
        </is>
      </c>
      <c r="D54" s="122" t="b">
        <v>0</v>
      </c>
      <c r="E54" s="123" t="n"/>
      <c r="G54" s="57">
        <f>_xlfn.XLOOKUP(
F54,
[1]!tblMasterServicesV2[Service Name],
[1]!tblMasterServicesV2[Service ID],
""
)</f>
        <v/>
      </c>
    </row>
    <row r="55">
      <c r="A55" t="inlineStr">
        <is>
          <t>CMP000053</t>
        </is>
      </c>
      <c r="B55" t="inlineStr">
        <is>
          <t>TAB</t>
        </is>
      </c>
      <c r="C55" t="inlineStr">
        <is>
          <t>SVC000053</t>
        </is>
      </c>
      <c r="D55" s="122" t="b">
        <v>0</v>
      </c>
      <c r="E55" s="123" t="n"/>
      <c r="G55" s="57">
        <f>_xlfn.XLOOKUP(
F55,
[1]!tblMasterServicesV2[Service Name],
[1]!tblMasterServicesV2[Service ID],
""
)</f>
        <v/>
      </c>
    </row>
    <row r="56">
      <c r="A56" t="inlineStr">
        <is>
          <t>CMP000054</t>
        </is>
      </c>
      <c r="B56" t="inlineStr">
        <is>
          <t>TAB</t>
        </is>
      </c>
      <c r="C56" t="inlineStr">
        <is>
          <t>SVC000054</t>
        </is>
      </c>
      <c r="D56" s="122" t="b">
        <v>0</v>
      </c>
      <c r="E56" s="123" t="n"/>
      <c r="G56" s="57">
        <f>_xlfn.XLOOKUP(
F56,
[1]!tblMasterServicesV2[Service Name],
[1]!tblMasterServicesV2[Service ID],
""
)</f>
        <v/>
      </c>
    </row>
    <row r="57">
      <c r="A57" t="inlineStr">
        <is>
          <t>CMP000055</t>
        </is>
      </c>
      <c r="B57" t="inlineStr">
        <is>
          <t>TAB</t>
        </is>
      </c>
      <c r="C57" t="inlineStr">
        <is>
          <t>SVC000063</t>
        </is>
      </c>
      <c r="D57" s="122" t="b">
        <v>0</v>
      </c>
      <c r="E57" s="123" t="n"/>
      <c r="G57" s="57">
        <f>_xlfn.XLOOKUP(
F57,
[1]!tblMasterServicesV2[Service Name],
[1]!tblMasterServicesV2[Service ID],
""
)</f>
        <v/>
      </c>
    </row>
    <row r="58">
      <c r="A58" t="inlineStr">
        <is>
          <t>CMP000056</t>
        </is>
      </c>
      <c r="B58" t="inlineStr">
        <is>
          <t>TAB</t>
        </is>
      </c>
      <c r="C58" t="inlineStr">
        <is>
          <t>SVC000066</t>
        </is>
      </c>
      <c r="D58" s="122" t="b">
        <v>0</v>
      </c>
      <c r="E58" s="123" t="n"/>
      <c r="G58" s="57">
        <f>_xlfn.XLOOKUP(
F58,
[1]!tblMasterServicesV2[Service Name],
[1]!tblMasterServicesV2[Service ID],
""
)</f>
        <v/>
      </c>
    </row>
    <row r="59">
      <c r="A59" t="inlineStr">
        <is>
          <t>CMP000057</t>
        </is>
      </c>
      <c r="B59" t="inlineStr">
        <is>
          <t>CMP</t>
        </is>
      </c>
      <c r="C59" t="inlineStr">
        <is>
          <t>SVC000050</t>
        </is>
      </c>
      <c r="D59" s="122" t="b">
        <v>1</v>
      </c>
      <c r="E59" s="123" t="n"/>
      <c r="G59" s="128">
        <f>_xlfn.XLOOKUP(
F59,
[1]!tblMasterServicesV2[Service Name],
[1]!tblMasterServicesV2[Service ID],
""
)</f>
        <v/>
      </c>
    </row>
    <row r="60">
      <c r="A60" t="inlineStr">
        <is>
          <t>CMP000058</t>
        </is>
      </c>
      <c r="B60" t="inlineStr">
        <is>
          <t>CMP</t>
        </is>
      </c>
      <c r="C60" t="inlineStr">
        <is>
          <t>SVC000051</t>
        </is>
      </c>
      <c r="D60" s="122" t="b">
        <v>1</v>
      </c>
      <c r="E60" s="123" t="n"/>
      <c r="G60" s="128">
        <f>_xlfn.XLOOKUP(
F60,
[1]!tblMasterServicesV2[Service Name],
[1]!tblMasterServicesV2[Service ID],
""
)</f>
        <v/>
      </c>
    </row>
    <row r="61">
      <c r="A61" t="inlineStr">
        <is>
          <t>CMP000059</t>
        </is>
      </c>
      <c r="B61" t="inlineStr">
        <is>
          <t>CMP</t>
        </is>
      </c>
      <c r="C61" t="inlineStr">
        <is>
          <t>SVC000052</t>
        </is>
      </c>
      <c r="D61" s="122" t="b">
        <v>1</v>
      </c>
      <c r="E61" s="123" t="n"/>
      <c r="G61" s="128">
        <f>_xlfn.XLOOKUP(
F61,
[1]!tblMasterServicesV2[Service Name],
[1]!tblMasterServicesV2[Service ID],
""
)</f>
        <v/>
      </c>
    </row>
    <row r="62">
      <c r="A62" t="inlineStr">
        <is>
          <t>CMP000060</t>
        </is>
      </c>
      <c r="B62" t="inlineStr">
        <is>
          <t>CMP</t>
        </is>
      </c>
      <c r="C62" t="inlineStr">
        <is>
          <t>SVC000053</t>
        </is>
      </c>
      <c r="D62" s="122" t="b">
        <v>1</v>
      </c>
      <c r="E62" s="123" t="n"/>
      <c r="G62" s="128">
        <f>_xlfn.XLOOKUP(
F62,
[1]!tblMasterServicesV2[Service Name],
[1]!tblMasterServicesV2[Service ID],
""
)</f>
        <v/>
      </c>
    </row>
    <row r="63">
      <c r="A63" t="inlineStr">
        <is>
          <t>CMP000061</t>
        </is>
      </c>
      <c r="B63" t="inlineStr">
        <is>
          <t>CMP</t>
        </is>
      </c>
      <c r="C63" t="inlineStr">
        <is>
          <t>SVC000054</t>
        </is>
      </c>
      <c r="D63" s="122" t="b">
        <v>1</v>
      </c>
      <c r="E63" s="123" t="n"/>
      <c r="G63" s="128">
        <f>_xlfn.XLOOKUP(
F63,
[1]!tblMasterServicesV2[Service Name],
[1]!tblMasterServicesV2[Service ID],
""
)</f>
        <v/>
      </c>
    </row>
    <row r="64">
      <c r="A64" t="inlineStr">
        <is>
          <t>CMP000062</t>
        </is>
      </c>
      <c r="B64" t="inlineStr">
        <is>
          <t>CMP</t>
        </is>
      </c>
      <c r="C64" t="inlineStr">
        <is>
          <t>SVC000055</t>
        </is>
      </c>
      <c r="D64" s="122" t="b">
        <v>1</v>
      </c>
      <c r="E64" s="123" t="n"/>
      <c r="G64" s="128">
        <f>_xlfn.XLOOKUP(
F64,
[1]!tblMasterServicesV2[Service Name],
[1]!tblMasterServicesV2[Service ID],
""
)</f>
        <v/>
      </c>
    </row>
    <row r="65">
      <c r="A65" t="inlineStr">
        <is>
          <t>CMP000063</t>
        </is>
      </c>
      <c r="B65" t="inlineStr">
        <is>
          <t>CMP</t>
        </is>
      </c>
      <c r="C65" t="inlineStr">
        <is>
          <t>SVC000056</t>
        </is>
      </c>
      <c r="D65" s="122" t="b">
        <v>1</v>
      </c>
      <c r="E65" s="123" t="n"/>
      <c r="G65" s="128">
        <f>_xlfn.XLOOKUP(
F65,
[1]!tblMasterServicesV2[Service Name],
[1]!tblMasterServicesV2[Service ID],
""
)</f>
        <v/>
      </c>
    </row>
    <row r="66">
      <c r="A66" t="inlineStr">
        <is>
          <t>CMP000064</t>
        </is>
      </c>
      <c r="B66" t="inlineStr">
        <is>
          <t>CMP</t>
        </is>
      </c>
      <c r="C66" t="inlineStr">
        <is>
          <t>SVC000057</t>
        </is>
      </c>
      <c r="D66" s="122" t="b">
        <v>1</v>
      </c>
      <c r="E66" s="123" t="n"/>
      <c r="G66" s="128">
        <f>_xlfn.XLOOKUP(
F66,
[1]!tblMasterServicesV2[Service Name],
[1]!tblMasterServicesV2[Service ID],
""
)</f>
        <v/>
      </c>
    </row>
    <row r="67">
      <c r="A67" t="inlineStr">
        <is>
          <t>CMP000065</t>
        </is>
      </c>
      <c r="B67" t="inlineStr">
        <is>
          <t>CMP</t>
        </is>
      </c>
      <c r="C67" t="inlineStr">
        <is>
          <t>SVC000058</t>
        </is>
      </c>
      <c r="D67" s="122" t="b">
        <v>1</v>
      </c>
      <c r="E67" s="123" t="n"/>
      <c r="G67" s="128">
        <f>_xlfn.XLOOKUP(
F67,
[1]!tblMasterServicesV2[Service Name],
[1]!tblMasterServicesV2[Service ID],
""
)</f>
        <v/>
      </c>
    </row>
    <row r="68">
      <c r="A68" t="inlineStr">
        <is>
          <t>CMP000066</t>
        </is>
      </c>
      <c r="B68" t="inlineStr">
        <is>
          <t>CMP</t>
        </is>
      </c>
      <c r="C68" t="inlineStr">
        <is>
          <t>SVC000065</t>
        </is>
      </c>
      <c r="D68" s="122" t="b">
        <v>1</v>
      </c>
      <c r="E68" s="123" t="n"/>
      <c r="G68" s="57">
        <f>_xlfn.XLOOKUP(
F68,
[1]!tblMasterServicesV2[Service Name],
[1]!tblMasterServicesV2[Service ID],
""
)</f>
        <v/>
      </c>
    </row>
    <row r="69">
      <c r="A69" t="inlineStr">
        <is>
          <t>CMP000067</t>
        </is>
      </c>
      <c r="B69" t="inlineStr">
        <is>
          <t>CMP</t>
        </is>
      </c>
      <c r="C69" t="inlineStr">
        <is>
          <t>SVC000063</t>
        </is>
      </c>
      <c r="D69" s="122" t="b">
        <v>1</v>
      </c>
      <c r="E69" s="123" t="n"/>
      <c r="G69" s="57">
        <f>_xlfn.XLOOKUP(
F69,
[1]!tblMasterServicesV2[Service Name],
[1]!tblMasterServicesV2[Service ID],
""
)</f>
        <v/>
      </c>
    </row>
    <row r="70">
      <c r="A70" t="inlineStr">
        <is>
          <t>CMP000068</t>
        </is>
      </c>
      <c r="B70" t="inlineStr">
        <is>
          <t>CMP</t>
        </is>
      </c>
      <c r="C70" t="inlineStr">
        <is>
          <t>SVC000066</t>
        </is>
      </c>
      <c r="D70" s="122" t="b">
        <v>1</v>
      </c>
      <c r="E70" s="123" t="n"/>
      <c r="G70" s="57">
        <f>_xlfn.XLOOKUP(
F70,
[1]!tblMasterServicesV2[Service Name],
[1]!tblMasterServicesV2[Service ID],
""
)</f>
        <v/>
      </c>
    </row>
    <row r="71">
      <c r="A71" t="inlineStr">
        <is>
          <t>CMP000069</t>
        </is>
      </c>
      <c r="B71" t="inlineStr">
        <is>
          <t>CMP</t>
        </is>
      </c>
      <c r="C71" t="inlineStr">
        <is>
          <t>SVC000033</t>
        </is>
      </c>
      <c r="D71" s="122" t="b">
        <v>1</v>
      </c>
      <c r="E71" s="123" t="n"/>
      <c r="G71" s="57">
        <f>_xlfn.XLOOKUP(
F71,
[1]!tblMasterServicesV2[Service Name],
[1]!tblMasterServicesV2[Service ID],
""
)</f>
        <v/>
      </c>
    </row>
    <row r="72">
      <c r="A72" t="inlineStr">
        <is>
          <t>CMP000070</t>
        </is>
      </c>
      <c r="B72" t="inlineStr">
        <is>
          <t>CMP</t>
        </is>
      </c>
      <c r="C72" t="inlineStr">
        <is>
          <t>SVC000047</t>
        </is>
      </c>
      <c r="D72" s="122" t="b">
        <v>1</v>
      </c>
      <c r="E72" s="123" t="n"/>
      <c r="G72" s="57">
        <f>_xlfn.XLOOKUP(
F72,
[1]!tblMasterServicesV2[Service Name],
[1]!tblMasterServicesV2[Service ID],
""
)</f>
        <v/>
      </c>
    </row>
    <row r="73">
      <c r="A73" t="inlineStr">
        <is>
          <t>CMP000071</t>
        </is>
      </c>
      <c r="B73" t="inlineStr">
        <is>
          <t>GAM</t>
        </is>
      </c>
      <c r="C73" t="inlineStr">
        <is>
          <t>SVC000063</t>
        </is>
      </c>
      <c r="D73" s="122" t="b">
        <v>1</v>
      </c>
      <c r="E73" s="123" t="n"/>
      <c r="G73" s="57">
        <f>_xlfn.XLOOKUP(
F73,
[1]!tblMasterServicesV2[Service Name],
[1]!tblMasterServicesV2[Service ID],
""
)</f>
        <v/>
      </c>
    </row>
    <row r="74">
      <c r="A74" t="inlineStr">
        <is>
          <t>CMP000072</t>
        </is>
      </c>
      <c r="B74" t="inlineStr">
        <is>
          <t>GAM</t>
        </is>
      </c>
      <c r="C74" t="inlineStr">
        <is>
          <t>SVC000070</t>
        </is>
      </c>
      <c r="D74" s="122" t="b">
        <v>1</v>
      </c>
      <c r="E74" s="123" t="n"/>
      <c r="G74" s="57">
        <f>_xlfn.XLOOKUP(
F74,
[1]!tblMasterServicesV2[Service Name],
[1]!tblMasterServicesV2[Service ID],
""
)</f>
        <v/>
      </c>
    </row>
    <row r="75">
      <c r="A75" t="inlineStr">
        <is>
          <t>CMP000073</t>
        </is>
      </c>
      <c r="B75" t="inlineStr">
        <is>
          <t>GAM</t>
        </is>
      </c>
      <c r="C75" t="inlineStr">
        <is>
          <t>SVC000055</t>
        </is>
      </c>
      <c r="D75" s="122" t="b">
        <v>1</v>
      </c>
      <c r="E75" s="123" t="n"/>
      <c r="G75" s="57">
        <f>_xlfn.XLOOKUP(
F75,
[1]!tblMasterServicesV2[Service Name],
[1]!tblMasterServicesV2[Service ID],
""
)</f>
        <v/>
      </c>
    </row>
    <row r="76">
      <c r="A76" t="inlineStr">
        <is>
          <t>CMP000074</t>
        </is>
      </c>
      <c r="B76" t="inlineStr">
        <is>
          <t>GAM</t>
        </is>
      </c>
      <c r="C76" t="inlineStr">
        <is>
          <t>SVC000071</t>
        </is>
      </c>
      <c r="D76" s="122" t="b">
        <v>1</v>
      </c>
      <c r="E76" s="123" t="n"/>
      <c r="G76" s="57">
        <f>_xlfn.XLOOKUP(
F76,
[1]!tblMasterServicesV2[Service Name],
[1]!tblMasterServicesV2[Service ID],
""
)</f>
        <v/>
      </c>
    </row>
    <row r="77">
      <c r="A77" t="inlineStr">
        <is>
          <t>CMP000075</t>
        </is>
      </c>
      <c r="B77" t="inlineStr">
        <is>
          <t>GAM</t>
        </is>
      </c>
      <c r="C77" t="inlineStr">
        <is>
          <t>SVC000068</t>
        </is>
      </c>
      <c r="D77" s="122" t="b">
        <v>1</v>
      </c>
      <c r="E77" s="123" t="n"/>
      <c r="G77" s="57">
        <f>_xlfn.XLOOKUP(
F77,
[1]!tblMasterServicesV2[Service Name],
[1]!tblMasterServicesV2[Service ID],
""
)</f>
        <v/>
      </c>
    </row>
    <row r="78">
      <c r="A78" t="inlineStr">
        <is>
          <t>CMP000076</t>
        </is>
      </c>
      <c r="B78" t="inlineStr">
        <is>
          <t>GAM</t>
        </is>
      </c>
      <c r="C78" t="inlineStr">
        <is>
          <t>SVC000067</t>
        </is>
      </c>
      <c r="D78" s="122" t="b">
        <v>1</v>
      </c>
      <c r="E78" s="123" t="n"/>
      <c r="G78" s="57">
        <f>_xlfn.XLOOKUP(
F78,
[1]!tblMasterServicesV2[Service Name],
[1]!tblMasterServicesV2[Service ID],
""
)</f>
        <v/>
      </c>
    </row>
    <row r="79">
      <c r="A79" t="inlineStr">
        <is>
          <t>CMP000077</t>
        </is>
      </c>
      <c r="B79" t="inlineStr">
        <is>
          <t>GAM</t>
        </is>
      </c>
      <c r="C79" t="inlineStr">
        <is>
          <t>SVC000050</t>
        </is>
      </c>
      <c r="D79" s="122" t="b">
        <v>1</v>
      </c>
      <c r="E79" s="75" t="n"/>
      <c r="G79" s="76">
        <f>_xlfn.XLOOKUP(
F79,
[1]!tblMasterServicesV2[Service Name],
[1]!tblMasterServicesV2[Service ID],
""
)</f>
        <v/>
      </c>
    </row>
    <row r="80">
      <c r="A80" t="inlineStr">
        <is>
          <t>CMP000078</t>
        </is>
      </c>
      <c r="B80" t="inlineStr">
        <is>
          <t>GAM</t>
        </is>
      </c>
      <c r="C80" t="inlineStr">
        <is>
          <t>SVC000008</t>
        </is>
      </c>
      <c r="D80" s="122" t="b">
        <v>1</v>
      </c>
      <c r="E80" s="123" t="n"/>
      <c r="G80" s="57">
        <f>_xlfn.XLOOKUP(
F80,
[1]!tblMasterServicesV2[Service Name],
[1]!tblMasterServicesV2[Service ID],
""
)</f>
        <v/>
      </c>
    </row>
    <row r="81">
      <c r="A81" t="inlineStr">
        <is>
          <t>CMP000079</t>
        </is>
      </c>
      <c r="B81" t="inlineStr">
        <is>
          <t>GAM</t>
        </is>
      </c>
      <c r="C81" t="inlineStr">
        <is>
          <t>SVC000030</t>
        </is>
      </c>
      <c r="D81" s="122" t="b">
        <v>1</v>
      </c>
      <c r="E81" s="75" t="n"/>
      <c r="G81" s="57">
        <f>_xlfn.XLOOKUP(
F81,
[1]!tblMasterServicesV2[Service Name],
[1]!tblMasterServicesV2[Service ID],
""
)</f>
        <v/>
      </c>
    </row>
    <row r="82">
      <c r="A82" t="inlineStr">
        <is>
          <t>CMP000080</t>
        </is>
      </c>
      <c r="B82" t="inlineStr">
        <is>
          <t>GAM</t>
        </is>
      </c>
      <c r="C82" t="inlineStr">
        <is>
          <t>SVC000041</t>
        </is>
      </c>
      <c r="D82" s="122" t="b">
        <v>1</v>
      </c>
      <c r="E82" s="123" t="n"/>
      <c r="G82" s="57">
        <f>_xlfn.XLOOKUP(
F82,
[1]!tblMasterServicesV2[Service Name],
[1]!tblMasterServicesV2[Service ID],
""
)</f>
        <v/>
      </c>
    </row>
    <row r="83">
      <c r="A83" t="inlineStr">
        <is>
          <t>CMP000081</t>
        </is>
      </c>
      <c r="B83" t="inlineStr">
        <is>
          <t>GAM</t>
        </is>
      </c>
      <c r="C83" t="inlineStr">
        <is>
          <t>SVC000042</t>
        </is>
      </c>
      <c r="D83" s="122" t="b">
        <v>1</v>
      </c>
      <c r="E83" s="75" t="n"/>
      <c r="G83" s="57">
        <f>_xlfn.XLOOKUP(
F83,
[1]!tblMasterServicesV2[Service Name],
[1]!tblMasterServicesV2[Service ID],
""
)</f>
        <v/>
      </c>
    </row>
    <row r="84">
      <c r="A84" t="inlineStr">
        <is>
          <t>CMP000082</t>
        </is>
      </c>
      <c r="B84" t="inlineStr">
        <is>
          <t>GAM</t>
        </is>
      </c>
      <c r="C84" t="inlineStr">
        <is>
          <t>SVC000034</t>
        </is>
      </c>
      <c r="D84" s="122" t="b">
        <v>1</v>
      </c>
      <c r="E84" s="123" t="n"/>
      <c r="G84" s="57">
        <f>_xlfn.XLOOKUP(
F84,
[1]!tblMasterServicesV2[Service Name],
[1]!tblMasterServicesV2[Service ID],
""
)</f>
        <v/>
      </c>
    </row>
    <row r="85">
      <c r="C85" s="57" t="n"/>
      <c r="D85" s="56" t="n"/>
      <c r="E85" s="75" t="n"/>
    </row>
    <row r="86">
      <c r="C86" s="57" t="n"/>
      <c r="D86" s="122" t="n"/>
      <c r="E86" s="123" t="n"/>
    </row>
    <row r="87">
      <c r="C87" s="57" t="n"/>
      <c r="D87" s="56" t="n"/>
      <c r="E87" s="75" t="n"/>
    </row>
    <row r="88">
      <c r="C88" s="57" t="n"/>
      <c r="D88" s="122" t="n"/>
      <c r="E88" s="123" t="n"/>
    </row>
    <row r="89">
      <c r="C89" s="57" t="n"/>
      <c r="D89" s="56" t="n"/>
      <c r="E89" s="75" t="n"/>
    </row>
    <row r="90">
      <c r="C90" s="57" t="n"/>
      <c r="D90" s="122" t="n"/>
      <c r="E90" s="123" t="n"/>
    </row>
    <row r="91">
      <c r="C91" s="57" t="n"/>
      <c r="D91" s="56" t="n"/>
      <c r="E91" s="75" t="n"/>
    </row>
    <row r="92">
      <c r="C92" s="57" t="n"/>
      <c r="D92" s="122" t="n"/>
      <c r="E92" s="123" t="n"/>
    </row>
    <row r="93">
      <c r="C93" s="57" t="n"/>
      <c r="D93" s="56" t="n"/>
      <c r="E93" s="75" t="n"/>
    </row>
    <row r="94">
      <c r="C94" s="57" t="n"/>
      <c r="D94" s="122" t="n"/>
      <c r="E94" s="123" t="n"/>
    </row>
    <row r="95">
      <c r="C95" s="57" t="n"/>
      <c r="D95" s="56" t="n"/>
      <c r="E95" s="75" t="n"/>
    </row>
    <row r="96">
      <c r="C96" s="57" t="n"/>
      <c r="D96" s="122" t="n"/>
      <c r="E96" s="123" t="n"/>
    </row>
    <row r="97">
      <c r="C97" s="57" t="n"/>
      <c r="D97" s="56" t="n"/>
      <c r="E97" s="75" t="n"/>
    </row>
    <row r="98">
      <c r="C98" s="57" t="n"/>
      <c r="D98" s="122" t="n"/>
      <c r="E98" s="123" t="n"/>
    </row>
    <row r="99">
      <c r="C99" s="57" t="n"/>
      <c r="D99" s="56" t="n"/>
      <c r="E99" s="75" t="n"/>
    </row>
    <row r="100">
      <c r="C100" s="57" t="n"/>
      <c r="D100" s="122" t="n"/>
      <c r="E100" s="123" t="n"/>
    </row>
    <row r="101">
      <c r="C101" s="57" t="n"/>
      <c r="D101" s="56" t="n"/>
      <c r="E101" s="75" t="n"/>
    </row>
    <row r="102">
      <c r="C102" s="57" t="n"/>
      <c r="D102" s="122" t="n"/>
      <c r="E102" s="123" t="n"/>
    </row>
    <row r="103">
      <c r="C103" s="57" t="n"/>
      <c r="D103" s="56" t="n"/>
      <c r="E103" s="75" t="n"/>
    </row>
    <row r="104">
      <c r="C104" s="57" t="n"/>
      <c r="D104" s="122" t="n"/>
      <c r="E104" s="123" t="n"/>
    </row>
    <row r="105">
      <c r="C105" s="57" t="n"/>
      <c r="D105" s="56" t="n"/>
      <c r="E105" s="75" t="n"/>
    </row>
    <row r="106">
      <c r="C106" s="57" t="n"/>
      <c r="D106" s="122" t="n"/>
      <c r="E106" s="123" t="n"/>
    </row>
    <row r="107">
      <c r="C107" s="57" t="n"/>
      <c r="D107" s="56" t="n"/>
      <c r="E107" s="75" t="n"/>
    </row>
    <row r="108">
      <c r="C108" s="57" t="n"/>
      <c r="D108" s="122" t="n"/>
      <c r="E108" s="123" t="n"/>
    </row>
    <row r="109">
      <c r="C109" s="57" t="n"/>
      <c r="D109" s="56" t="n"/>
      <c r="E109" s="75" t="n"/>
    </row>
    <row r="110">
      <c r="C110" s="57" t="n"/>
      <c r="D110" s="122" t="n"/>
      <c r="E110" s="123" t="n"/>
    </row>
    <row r="111">
      <c r="C111" s="57" t="n"/>
      <c r="D111" s="56" t="n"/>
      <c r="E111" s="75" t="n"/>
    </row>
    <row r="112">
      <c r="C112" s="57" t="n"/>
      <c r="D112" s="122" t="n"/>
      <c r="E112" s="123" t="n"/>
    </row>
    <row r="113">
      <c r="C113" s="57" t="n"/>
      <c r="D113" s="56" t="n"/>
      <c r="E113" s="75" t="n"/>
    </row>
    <row r="114">
      <c r="C114" s="57" t="n"/>
      <c r="D114" s="122" t="n"/>
      <c r="E114" s="123" t="n"/>
    </row>
    <row r="115">
      <c r="C115" s="57" t="n"/>
      <c r="D115" s="56" t="n"/>
      <c r="E115" s="75" t="n"/>
    </row>
    <row r="116">
      <c r="C116" s="57" t="n"/>
      <c r="D116" s="122" t="n"/>
      <c r="E116" s="123" t="n"/>
    </row>
    <row r="117">
      <c r="C117" s="57" t="n"/>
      <c r="D117" s="56" t="n"/>
      <c r="E117" s="75" t="n"/>
    </row>
    <row r="118">
      <c r="C118" s="57" t="n"/>
      <c r="D118" s="122" t="n"/>
      <c r="E118" s="123" t="n"/>
    </row>
    <row r="119">
      <c r="C119" s="57" t="n"/>
      <c r="D119" s="56" t="n"/>
      <c r="E119" s="75" t="n"/>
    </row>
    <row r="120">
      <c r="C120" s="57" t="n"/>
      <c r="D120" s="122" t="n"/>
      <c r="E120" s="123" t="n"/>
    </row>
    <row r="121">
      <c r="C121" s="57" t="n"/>
      <c r="D121" s="56" t="n"/>
      <c r="E121" s="75" t="n"/>
    </row>
    <row r="122">
      <c r="C122" s="57" t="n"/>
      <c r="D122" s="122" t="n"/>
      <c r="E122" s="123" t="n"/>
    </row>
    <row r="123">
      <c r="C123" s="57" t="n"/>
      <c r="D123" s="56" t="n"/>
      <c r="E123" s="75" t="n"/>
    </row>
    <row r="124">
      <c r="C124" s="57" t="n"/>
      <c r="D124" s="122" t="n"/>
      <c r="E124" s="123" t="n"/>
    </row>
    <row r="125">
      <c r="C125" s="57" t="n"/>
      <c r="D125" s="56" t="n"/>
      <c r="E125" s="75" t="n"/>
    </row>
    <row r="126">
      <c r="C126" s="57" t="n"/>
      <c r="D126" s="122" t="n"/>
      <c r="E126" s="123" t="n"/>
    </row>
    <row r="127">
      <c r="C127" s="57" t="n"/>
      <c r="D127" s="56" t="n"/>
      <c r="E127" s="75" t="n"/>
    </row>
    <row r="128">
      <c r="C128" s="57" t="n"/>
      <c r="D128" s="122" t="n"/>
      <c r="E128" s="123" t="n"/>
    </row>
    <row r="129">
      <c r="C129" s="57" t="n"/>
      <c r="D129" s="56" t="n"/>
      <c r="E129" s="75" t="n"/>
    </row>
    <row r="130">
      <c r="C130" s="57" t="n"/>
      <c r="D130" s="122" t="n"/>
      <c r="E130" s="123" t="n"/>
    </row>
    <row r="131">
      <c r="C131" s="57" t="n"/>
      <c r="D131" s="56" t="n"/>
      <c r="E131" s="75" t="n"/>
    </row>
    <row r="132">
      <c r="C132" s="57" t="n"/>
      <c r="D132" s="122" t="n"/>
      <c r="E132" s="123" t="n"/>
    </row>
    <row r="133">
      <c r="C133" s="57" t="n"/>
      <c r="D133" s="56" t="n"/>
      <c r="E133" s="75" t="n"/>
    </row>
    <row r="134">
      <c r="C134" s="57" t="n"/>
      <c r="D134" s="122" t="n"/>
      <c r="E134" s="123" t="n"/>
    </row>
    <row r="135">
      <c r="C135" s="57" t="n"/>
      <c r="D135" s="56" t="n"/>
      <c r="E135" s="75" t="n"/>
    </row>
    <row r="136">
      <c r="C136" s="57" t="n"/>
      <c r="D136" s="122" t="n"/>
      <c r="E136" s="123" t="n"/>
    </row>
    <row r="137">
      <c r="C137" s="57" t="n"/>
      <c r="D137" s="56" t="n"/>
      <c r="E137" s="75" t="n"/>
    </row>
    <row r="138">
      <c r="C138" s="57" t="n"/>
      <c r="D138" s="122" t="n"/>
      <c r="E138" s="123" t="n"/>
    </row>
    <row r="139">
      <c r="C139" s="57" t="n"/>
      <c r="D139" s="56" t="n"/>
      <c r="E139" s="75" t="n"/>
    </row>
    <row r="140">
      <c r="C140" s="57" t="n"/>
      <c r="D140" s="122" t="n"/>
      <c r="E140" s="123" t="n"/>
    </row>
    <row r="141">
      <c r="C141" s="57" t="n"/>
      <c r="D141" s="56" t="n"/>
      <c r="E141" s="75" t="n"/>
    </row>
    <row r="142">
      <c r="C142" s="57" t="n"/>
      <c r="D142" s="122" t="n"/>
      <c r="E142" s="123" t="n"/>
    </row>
    <row r="143">
      <c r="C143" s="57" t="n"/>
      <c r="D143" s="56" t="n"/>
      <c r="E143" s="75" t="n"/>
    </row>
    <row r="144">
      <c r="C144" s="57" t="n"/>
      <c r="D144" s="122" t="n"/>
      <c r="E144" s="123" t="n"/>
    </row>
  </sheetData>
  <dataValidations count="3">
    <dataValidation sqref="D3:D84" showDropDown="0" showInputMessage="1" showErrorMessage="1" allowBlank="1" type="list">
      <formula1>IstBoolean</formula1>
    </dataValidation>
    <dataValidation sqref="B3:B84" showDropDown="0" showInputMessage="1" showErrorMessage="1" allowBlank="1" type="list">
      <formula1>IstDeviceFamilies</formula1>
    </dataValidation>
    <dataValidation sqref="C85:C144 G3:G58 G68:G78 G80:G84" showDropDown="0" showInputMessage="1" showErrorMessage="1" allowBlank="1" type="list">
      <formula1>Service_ID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6.xml><?xml version="1.0" encoding="utf-8"?>
<worksheet xmlns="http://schemas.openxmlformats.org/spreadsheetml/2006/main">
  <sheetPr>
    <tabColor rgb="FFFF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>
  <sheetPr>
    <tabColor theme="5" tint="-0.249977111117893"/>
    <outlinePr summaryBelow="1" summaryRight="1"/>
    <pageSetUpPr/>
  </sheetPr>
  <dimension ref="A2:H18"/>
  <sheetViews>
    <sheetView workbookViewId="0">
      <selection activeCell="C29" sqref="C29"/>
    </sheetView>
  </sheetViews>
  <sheetFormatPr baseColWidth="8" defaultRowHeight="14.5"/>
  <cols>
    <col width="12.36328125" customWidth="1" style="125" min="1" max="1"/>
    <col width="15.453125" customWidth="1" style="125" min="2" max="2"/>
    <col width="20.26953125" customWidth="1" style="125" min="3" max="3"/>
    <col width="14.08984375" customWidth="1" style="125" min="4" max="4"/>
    <col width="13.7265625" customWidth="1" style="125" min="6" max="6"/>
    <col width="14.453125" customWidth="1" style="125" min="7" max="7"/>
  </cols>
  <sheetData>
    <row r="2">
      <c r="A2" t="inlineStr">
        <is>
          <t>Category ID</t>
        </is>
      </c>
      <c r="B2" t="inlineStr">
        <is>
          <t>Category Name</t>
        </is>
      </c>
      <c r="C2" t="inlineStr">
        <is>
          <t>Category Description</t>
        </is>
      </c>
      <c r="D2" t="inlineStr">
        <is>
          <t>Display Order</t>
        </is>
      </c>
      <c r="E2" t="inlineStr">
        <is>
          <t>Active</t>
        </is>
      </c>
      <c r="F2" t="inlineStr">
        <is>
          <t>Created Date</t>
        </is>
      </c>
      <c r="G2" t="inlineStr">
        <is>
          <t>Modified Date</t>
        </is>
      </c>
      <c r="H2" t="inlineStr">
        <is>
          <t>Notes</t>
        </is>
      </c>
    </row>
    <row r="3">
      <c r="A3" s="52" t="inlineStr">
        <is>
          <t>Category ID</t>
        </is>
      </c>
      <c r="B3" s="52" t="inlineStr">
        <is>
          <t>Category Name</t>
        </is>
      </c>
      <c r="C3" s="52" t="inlineStr">
        <is>
          <t>Description</t>
        </is>
      </c>
    </row>
    <row r="4" ht="29" customHeight="1" s="125">
      <c r="A4" s="65" t="inlineStr">
        <is>
          <t>CAT000001</t>
        </is>
      </c>
      <c r="B4" s="65" t="inlineStr">
        <is>
          <t>Display</t>
        </is>
      </c>
      <c r="C4" s="65" t="inlineStr">
        <is>
          <t>Screens, LCD, OLED, Glass</t>
        </is>
      </c>
    </row>
    <row r="5">
      <c r="A5" s="65" t="inlineStr">
        <is>
          <t>CAT000002</t>
        </is>
      </c>
      <c r="B5" s="65" t="inlineStr">
        <is>
          <t>Battery</t>
        </is>
      </c>
      <c r="C5" s="65" t="inlineStr">
        <is>
          <t>Battery related repairs</t>
        </is>
      </c>
    </row>
    <row r="6" ht="29" customHeight="1" s="125">
      <c r="A6" s="65" t="inlineStr">
        <is>
          <t>CAT000003</t>
        </is>
      </c>
      <c r="B6" s="65" t="inlineStr">
        <is>
          <t>Charging</t>
        </is>
      </c>
      <c r="C6" s="65" t="inlineStr">
        <is>
          <t>Charging ports and charging systems</t>
        </is>
      </c>
    </row>
    <row r="7" ht="29" customHeight="1" s="125">
      <c r="A7" s="65" t="inlineStr">
        <is>
          <t>CAT000004</t>
        </is>
      </c>
      <c r="B7" s="65" t="inlineStr">
        <is>
          <t>Camera</t>
        </is>
      </c>
      <c r="C7" s="65" t="inlineStr">
        <is>
          <t>Front and Rear Cameras</t>
        </is>
      </c>
    </row>
    <row r="8">
      <c r="A8" s="65" t="inlineStr">
        <is>
          <t>CAT000005</t>
        </is>
      </c>
      <c r="B8" s="65" t="inlineStr">
        <is>
          <t>Audio</t>
        </is>
      </c>
      <c r="C8" s="65" t="inlineStr">
        <is>
          <t>Speakers, Microphones</t>
        </is>
      </c>
    </row>
    <row r="9">
      <c r="A9" s="65" t="inlineStr">
        <is>
          <t>CAT000006</t>
        </is>
      </c>
      <c r="B9" s="65" t="inlineStr">
        <is>
          <t>Buttons</t>
        </is>
      </c>
      <c r="C9" s="65" t="inlineStr">
        <is>
          <t>Power, Volume, Home</t>
        </is>
      </c>
    </row>
    <row r="10" ht="29" customHeight="1" s="125">
      <c r="A10" s="65" t="inlineStr">
        <is>
          <t>CAT000007</t>
        </is>
      </c>
      <c r="B10" s="65" t="inlineStr">
        <is>
          <t>Housing</t>
        </is>
      </c>
      <c r="C10" s="65" t="inlineStr">
        <is>
          <t>Frames and Rear Housing</t>
        </is>
      </c>
    </row>
    <row r="11">
      <c r="A11" s="65" t="inlineStr">
        <is>
          <t>CAT000008</t>
        </is>
      </c>
      <c r="B11" s="65" t="inlineStr">
        <is>
          <t>Logic Board</t>
        </is>
      </c>
      <c r="C11" s="65" t="inlineStr">
        <is>
          <t>Motherboard repairs</t>
        </is>
      </c>
    </row>
    <row r="12">
      <c r="A12" s="65" t="inlineStr">
        <is>
          <t>CAT000009</t>
        </is>
      </c>
      <c r="B12" s="65" t="inlineStr">
        <is>
          <t>Software</t>
        </is>
      </c>
      <c r="C12" s="65" t="inlineStr">
        <is>
          <t>Software Services</t>
        </is>
      </c>
    </row>
    <row r="13" ht="29" customHeight="1" s="125">
      <c r="A13" s="65" t="inlineStr">
        <is>
          <t>CAT000010</t>
        </is>
      </c>
      <c r="B13" s="65" t="inlineStr">
        <is>
          <t>Connectivity</t>
        </is>
      </c>
      <c r="C13" s="65" t="inlineStr">
        <is>
          <t>WiFi, Bluetooth, Cellular</t>
        </is>
      </c>
    </row>
    <row r="14" ht="29" customHeight="1" s="125">
      <c r="A14" s="65" t="inlineStr">
        <is>
          <t>CAT000011</t>
        </is>
      </c>
      <c r="B14" s="65" t="inlineStr">
        <is>
          <t>Accessories</t>
        </is>
      </c>
      <c r="C14" s="65" t="inlineStr">
        <is>
          <t>Cases, Screen Protectors</t>
        </is>
      </c>
    </row>
    <row r="15">
      <c r="A15" s="65" t="inlineStr">
        <is>
          <t>CAT000012</t>
        </is>
      </c>
      <c r="B15" s="65" t="inlineStr">
        <is>
          <t>Diagnostics</t>
        </is>
      </c>
      <c r="C15" s="65" t="inlineStr">
        <is>
          <t>Diagnostics</t>
        </is>
      </c>
    </row>
    <row r="16" ht="29" customHeight="1" s="125">
      <c r="A16" s="65" t="inlineStr">
        <is>
          <t>CAT000013</t>
        </is>
      </c>
      <c r="B16" s="65" t="inlineStr">
        <is>
          <t>Sensors</t>
        </is>
      </c>
      <c r="C16" s="65" t="inlineStr">
        <is>
          <t>Proximity, Ambient Light</t>
        </is>
      </c>
    </row>
    <row r="17">
      <c r="A17" s="65" t="inlineStr">
        <is>
          <t>CAT000014</t>
        </is>
      </c>
      <c r="B17" s="65" t="inlineStr">
        <is>
          <t>Biometrics</t>
        </is>
      </c>
      <c r="C17" s="65" t="inlineStr">
        <is>
          <t>Face ID / Touch ID</t>
        </is>
      </c>
    </row>
    <row r="18">
      <c r="A18" s="65" t="inlineStr">
        <is>
          <t>CAT000015</t>
        </is>
      </c>
      <c r="B18" s="65" t="inlineStr">
        <is>
          <t>Water Damage</t>
        </is>
      </c>
      <c r="C18" s="65" t="inlineStr">
        <is>
          <t>Liquid Damage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8.xml><?xml version="1.0" encoding="utf-8"?>
<worksheet xmlns="http://schemas.openxmlformats.org/spreadsheetml/2006/main">
  <sheetPr>
    <tabColor theme="5" tint="-0.249977111117893"/>
    <outlinePr summaryBelow="1" summaryRight="1"/>
    <pageSetUpPr/>
  </sheetPr>
  <dimension ref="A2:J10"/>
  <sheetViews>
    <sheetView workbookViewId="0">
      <selection activeCell="A4" sqref="A4"/>
    </sheetView>
  </sheetViews>
  <sheetFormatPr baseColWidth="8" defaultRowHeight="14.5"/>
  <cols>
    <col width="10.81640625" customWidth="1" style="125" min="1" max="1"/>
    <col width="13.90625" customWidth="1" style="125" min="2" max="2"/>
    <col width="12.90625" customWidth="1" style="125" min="3" max="3"/>
    <col width="9.6328125" customWidth="1" style="125" min="4" max="4"/>
    <col width="13.54296875" customWidth="1" style="125" min="5" max="5"/>
    <col width="17.26953125" customWidth="1" style="125" min="6" max="6"/>
    <col width="13.7265625" customWidth="1" style="125" min="8" max="8"/>
    <col width="14.453125" customWidth="1" style="125" min="9" max="9"/>
  </cols>
  <sheetData>
    <row r="2">
      <c r="A2" t="inlineStr">
        <is>
          <t>Source ID</t>
        </is>
      </c>
      <c r="B2" t="inlineStr">
        <is>
          <t>Source Name</t>
        </is>
      </c>
      <c r="C2" t="inlineStr">
        <is>
          <t>Source Type</t>
        </is>
      </c>
      <c r="D2" t="inlineStr">
        <is>
          <t>Website</t>
        </is>
      </c>
      <c r="E2" t="inlineStr">
        <is>
          <t>License Type</t>
        </is>
      </c>
      <c r="F2" t="inlineStr">
        <is>
          <t>Requires Internet</t>
        </is>
      </c>
      <c r="G2" t="inlineStr">
        <is>
          <t>Active</t>
        </is>
      </c>
      <c r="H2" t="inlineStr">
        <is>
          <t>Created Date</t>
        </is>
      </c>
      <c r="I2" t="inlineStr">
        <is>
          <t>Modified Date</t>
        </is>
      </c>
      <c r="J2" t="inlineStr">
        <is>
          <t>Notes</t>
        </is>
      </c>
    </row>
    <row r="3">
      <c r="A3" s="65" t="inlineStr">
        <is>
          <t>SRC000001</t>
        </is>
      </c>
      <c r="B3" s="65" t="inlineStr">
        <is>
          <t>iFixit</t>
        </is>
      </c>
      <c r="C3" s="65" t="inlineStr">
        <is>
          <t>Website</t>
        </is>
      </c>
    </row>
    <row r="4" ht="43.5" customHeight="1" s="125">
      <c r="A4" s="65" t="inlineStr">
        <is>
          <t>SRC000002</t>
        </is>
      </c>
      <c r="B4" s="65" t="inlineStr">
        <is>
          <t>Apple</t>
        </is>
      </c>
      <c r="C4" s="65" t="inlineStr">
        <is>
          <t>Official Documentation</t>
        </is>
      </c>
    </row>
    <row r="5" ht="43.5" customHeight="1" s="125">
      <c r="A5" s="65" t="inlineStr">
        <is>
          <t>SRC000003</t>
        </is>
      </c>
      <c r="B5" s="65" t="inlineStr">
        <is>
          <t>Samsung</t>
        </is>
      </c>
      <c r="C5" s="65" t="inlineStr">
        <is>
          <t>Official Documentation</t>
        </is>
      </c>
    </row>
    <row r="6">
      <c r="A6" s="65" t="inlineStr">
        <is>
          <t>SRC000004</t>
        </is>
      </c>
      <c r="B6" s="65" t="inlineStr">
        <is>
          <t>Nocturnix</t>
        </is>
      </c>
      <c r="C6" s="65" t="inlineStr">
        <is>
          <t>Internal</t>
        </is>
      </c>
    </row>
    <row r="7">
      <c r="A7" s="65" t="inlineStr">
        <is>
          <t>SRC000005</t>
        </is>
      </c>
      <c r="B7" s="65" t="inlineStr">
        <is>
          <t>OEM</t>
        </is>
      </c>
      <c r="C7" s="65" t="inlineStr">
        <is>
          <t>Manufacturer</t>
        </is>
      </c>
    </row>
    <row r="8">
      <c r="A8" s="65" t="inlineStr">
        <is>
          <t>SRC000006</t>
        </is>
      </c>
      <c r="B8" s="65" t="inlineStr">
        <is>
          <t>YouTube</t>
        </is>
      </c>
      <c r="C8" s="65" t="inlineStr">
        <is>
          <t>Video</t>
        </is>
      </c>
    </row>
    <row r="9" ht="29" customHeight="1" s="125">
      <c r="A9" s="65" t="inlineStr">
        <is>
          <t>SRC000007</t>
        </is>
      </c>
      <c r="B9" s="65" t="inlineStr">
        <is>
          <t>Vendor Documentation</t>
        </is>
      </c>
      <c r="C9" s="65" t="inlineStr">
        <is>
          <t>PDF</t>
        </is>
      </c>
    </row>
    <row r="10" ht="29" customHeight="1" s="125">
      <c r="A10" s="65" t="inlineStr">
        <is>
          <t>SRC000008</t>
        </is>
      </c>
      <c r="B10" s="65" t="inlineStr">
        <is>
          <t>Training Material</t>
        </is>
      </c>
      <c r="C10" s="65" t="inlineStr">
        <is>
          <t>Internal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9.xml><?xml version="1.0" encoding="utf-8"?>
<worksheet xmlns="http://schemas.openxmlformats.org/spreadsheetml/2006/main">
  <sheetPr>
    <tabColor theme="5" tint="-0.249977111117893"/>
    <outlinePr summaryBelow="1" summaryRight="1"/>
    <pageSetUpPr/>
  </sheetPr>
  <dimension ref="A1:U2381"/>
  <sheetViews>
    <sheetView workbookViewId="0">
      <selection activeCell="A2" sqref="A2"/>
    </sheetView>
  </sheetViews>
  <sheetFormatPr baseColWidth="8" defaultRowHeight="21.5"/>
  <cols>
    <col width="14.54296875" bestFit="1" customWidth="1" style="101" min="1" max="1"/>
    <col width="12.7265625" bestFit="1" customWidth="1" style="101" min="2" max="2"/>
    <col width="17.6328125" bestFit="1" customWidth="1" style="101" min="3" max="3"/>
    <col width="17.7265625" bestFit="1" customWidth="1" style="101" min="4" max="4"/>
    <col width="28.7265625" bestFit="1" customWidth="1" style="101" min="5" max="5"/>
    <col width="13.36328125" bestFit="1" customWidth="1" style="101" min="6" max="6"/>
    <col width="29.26953125" bestFit="1" customWidth="1" style="101" min="7" max="7"/>
    <col width="19.7265625" bestFit="1" customWidth="1" style="101" min="8" max="8"/>
    <col width="19.81640625" bestFit="1" customWidth="1" style="101" min="9" max="9"/>
    <col width="14.1796875" bestFit="1" customWidth="1" style="101" min="10" max="10"/>
    <col width="14.90625" bestFit="1" customWidth="1" style="101" min="11" max="11"/>
    <col width="10.453125" bestFit="1" customWidth="1" style="101" min="12" max="12"/>
    <col width="14.54296875" bestFit="1" customWidth="1" style="101" min="13" max="13"/>
    <col width="12.453125" bestFit="1" customWidth="1" style="101" min="14" max="15"/>
    <col width="19.26953125" bestFit="1" customWidth="1" style="101" min="16" max="16"/>
    <col width="13.1796875" bestFit="1" customWidth="1" style="101" min="17" max="17"/>
    <col width="9.81640625" bestFit="1" customWidth="1" style="101" min="18" max="18"/>
    <col width="16" bestFit="1" customWidth="1" style="101" min="19" max="19"/>
    <col width="16" customWidth="1" style="101" min="20" max="20"/>
    <col width="9.26953125" bestFit="1" customWidth="1" style="101" min="21" max="21"/>
    <col width="8.7265625" customWidth="1" style="101" min="22" max="16384"/>
  </cols>
  <sheetData>
    <row r="1">
      <c r="A1" s="99" t="inlineStr">
        <is>
          <t>Guide ID</t>
        </is>
      </c>
      <c r="B1" s="99" t="inlineStr">
        <is>
          <t>Device ID</t>
        </is>
      </c>
      <c r="C1" s="99" t="inlineStr">
        <is>
          <t>Manufacturer</t>
        </is>
      </c>
      <c r="D1" s="99" t="inlineStr">
        <is>
          <t>Device Family</t>
        </is>
      </c>
      <c r="E1" s="99" t="inlineStr">
        <is>
          <t>Device Name</t>
        </is>
      </c>
      <c r="F1" s="100" t="inlineStr">
        <is>
          <t>Service ID</t>
        </is>
      </c>
      <c r="G1" s="100" t="inlineStr">
        <is>
          <t>Service Name</t>
        </is>
      </c>
      <c r="H1" s="100" t="inlineStr">
        <is>
          <t>Guide Category</t>
        </is>
      </c>
      <c r="I1" s="99" t="inlineStr">
        <is>
          <t>Document Type</t>
        </is>
      </c>
      <c r="J1" s="99" t="inlineStr">
        <is>
          <t>Guide Title</t>
        </is>
      </c>
      <c r="K1" s="99" t="inlineStr">
        <is>
          <t>Guide Format</t>
        </is>
      </c>
      <c r="L1" s="99" t="inlineStr">
        <is>
          <t>Source</t>
        </is>
      </c>
      <c r="M1" s="99" t="inlineStr">
        <is>
          <t>Embed URL</t>
        </is>
      </c>
      <c r="N1" s="99" t="inlineStr">
        <is>
          <t>Local File</t>
        </is>
      </c>
      <c r="O1" s="99" t="inlineStr">
        <is>
          <t>Difficulty</t>
        </is>
      </c>
      <c r="P1" s="99" t="inlineStr">
        <is>
          <t>Standard Labor</t>
        </is>
      </c>
      <c r="Q1" s="99" t="inlineStr">
        <is>
          <t>Skill Level</t>
        </is>
      </c>
      <c r="R1" s="99" t="inlineStr">
        <is>
          <t>Active</t>
        </is>
      </c>
      <c r="S1" s="99" t="inlineStr">
        <is>
          <t>Last Verified</t>
        </is>
      </c>
      <c r="T1" s="99" t="inlineStr">
        <is>
          <t>Guide Status</t>
        </is>
      </c>
      <c r="U1" s="99" t="inlineStr">
        <is>
          <t>Notes</t>
        </is>
      </c>
    </row>
    <row r="2">
      <c r="A2" s="102" t="inlineStr">
        <is>
          <t>GUIDE000001</t>
        </is>
      </c>
      <c r="B2" s="101" t="inlineStr">
        <is>
          <t>DEV000001</t>
        </is>
      </c>
      <c r="C2" s="103" t="inlineStr">
        <is>
          <t>APL</t>
        </is>
      </c>
      <c r="D2" s="103" t="inlineStr">
        <is>
          <t>PHN</t>
        </is>
      </c>
      <c r="E2" s="60" t="inlineStr">
        <is>
          <t>iPhone (2G)</t>
        </is>
      </c>
      <c r="F2" s="104" t="inlineStr">
        <is>
          <t>SVC000001</t>
        </is>
      </c>
      <c r="G2" s="104" t="inlineStr">
        <is>
          <t>Screen Replacement</t>
        </is>
      </c>
      <c r="H2" s="104" t="inlineStr">
        <is>
          <t>Display</t>
        </is>
      </c>
      <c r="I2" s="102" t="n"/>
      <c r="J2" s="102" t="n"/>
      <c r="K2" s="102" t="n"/>
      <c r="L2" s="102" t="n"/>
      <c r="M2" s="102" t="n"/>
      <c r="N2" s="102" t="n"/>
      <c r="O2" s="102" t="n"/>
      <c r="P2" s="102" t="n"/>
      <c r="Q2" s="102" t="n"/>
      <c r="R2" s="102" t="n"/>
      <c r="S2" s="109" t="n"/>
      <c r="T2" s="109" t="n"/>
      <c r="U2" s="102" t="n"/>
    </row>
    <row r="3">
      <c r="A3" s="104" t="inlineStr">
        <is>
          <t>GUIDE000002</t>
        </is>
      </c>
      <c r="B3" s="101" t="inlineStr">
        <is>
          <t>DEV000002</t>
        </is>
      </c>
      <c r="C3" s="103" t="inlineStr">
        <is>
          <t>APL</t>
        </is>
      </c>
      <c r="D3" s="103" t="inlineStr">
        <is>
          <t>PHN</t>
        </is>
      </c>
      <c r="E3" s="60" t="inlineStr">
        <is>
          <t>iPhone 3G</t>
        </is>
      </c>
      <c r="F3" s="104" t="inlineStr">
        <is>
          <t>SVC000001</t>
        </is>
      </c>
      <c r="G3" s="104" t="inlineStr">
        <is>
          <t>Screen Replacement</t>
        </is>
      </c>
      <c r="H3" s="104" t="inlineStr">
        <is>
          <t>Display</t>
        </is>
      </c>
      <c r="I3" s="104" t="n"/>
      <c r="J3" s="104" t="n"/>
      <c r="K3" s="104" t="n"/>
      <c r="L3" s="104" t="n"/>
      <c r="M3" s="104" t="n"/>
      <c r="N3" s="104" t="n"/>
      <c r="O3" s="104" t="n"/>
      <c r="P3" s="104" t="n"/>
      <c r="Q3" s="104" t="n"/>
      <c r="R3" s="104" t="n"/>
      <c r="S3" s="110" t="n"/>
      <c r="T3" s="110" t="n"/>
      <c r="U3" s="104" t="n"/>
    </row>
    <row r="4">
      <c r="A4" s="102" t="inlineStr">
        <is>
          <t>GUIDE000003</t>
        </is>
      </c>
      <c r="B4" s="101" t="inlineStr">
        <is>
          <t>DEV000003</t>
        </is>
      </c>
      <c r="C4" s="103" t="inlineStr">
        <is>
          <t>APL</t>
        </is>
      </c>
      <c r="D4" s="103" t="inlineStr">
        <is>
          <t>PHN</t>
        </is>
      </c>
      <c r="E4" s="60" t="inlineStr">
        <is>
          <t>iPhone 3GS</t>
        </is>
      </c>
      <c r="F4" s="104" t="inlineStr">
        <is>
          <t>SVC000001</t>
        </is>
      </c>
      <c r="G4" s="104" t="inlineStr">
        <is>
          <t>Screen Replacement</t>
        </is>
      </c>
      <c r="H4" s="104" t="inlineStr">
        <is>
          <t>Display</t>
        </is>
      </c>
      <c r="I4" s="102" t="n"/>
      <c r="J4" s="102" t="n"/>
      <c r="K4" s="102" t="n"/>
      <c r="L4" s="102" t="n"/>
      <c r="M4" s="102" t="n"/>
      <c r="N4" s="102" t="n"/>
      <c r="O4" s="102" t="n"/>
      <c r="P4" s="102" t="n"/>
      <c r="Q4" s="102" t="n"/>
      <c r="R4" s="102" t="n"/>
      <c r="S4" s="109" t="n"/>
      <c r="T4" s="109" t="n"/>
      <c r="U4" s="102" t="n"/>
    </row>
    <row r="5">
      <c r="A5" s="104" t="inlineStr">
        <is>
          <t>GUIDE000004</t>
        </is>
      </c>
      <c r="B5" s="101" t="inlineStr">
        <is>
          <t>DEV000004</t>
        </is>
      </c>
      <c r="C5" s="103" t="inlineStr">
        <is>
          <t>APL</t>
        </is>
      </c>
      <c r="D5" s="103" t="inlineStr">
        <is>
          <t>PHN</t>
        </is>
      </c>
      <c r="E5" s="60" t="inlineStr">
        <is>
          <t>iPhone 4</t>
        </is>
      </c>
      <c r="F5" s="104" t="inlineStr">
        <is>
          <t>SVC000001</t>
        </is>
      </c>
      <c r="G5" s="104" t="inlineStr">
        <is>
          <t>Screen Replacement</t>
        </is>
      </c>
      <c r="H5" s="104" t="inlineStr">
        <is>
          <t>Display</t>
        </is>
      </c>
      <c r="I5" s="104" t="n"/>
      <c r="J5" s="104" t="n"/>
      <c r="K5" s="104" t="n"/>
      <c r="L5" s="104" t="n"/>
      <c r="M5" s="104" t="n"/>
      <c r="N5" s="104" t="n"/>
      <c r="O5" s="104" t="n"/>
      <c r="P5" s="104" t="n"/>
      <c r="Q5" s="104" t="n"/>
      <c r="R5" s="104" t="n"/>
      <c r="S5" s="110" t="n"/>
      <c r="T5" s="110" t="n"/>
      <c r="U5" s="104" t="n"/>
    </row>
    <row r="6">
      <c r="A6" s="102" t="inlineStr">
        <is>
          <t>GUIDE000005</t>
        </is>
      </c>
      <c r="B6" s="101" t="inlineStr">
        <is>
          <t>DEV000005</t>
        </is>
      </c>
      <c r="C6" s="103" t="inlineStr">
        <is>
          <t>APL</t>
        </is>
      </c>
      <c r="D6" s="103" t="inlineStr">
        <is>
          <t>PHN</t>
        </is>
      </c>
      <c r="E6" s="60" t="inlineStr">
        <is>
          <t>iPhone 4s</t>
        </is>
      </c>
      <c r="F6" s="104" t="inlineStr">
        <is>
          <t>SVC000001</t>
        </is>
      </c>
      <c r="G6" s="104" t="inlineStr">
        <is>
          <t>Screen Replacement</t>
        </is>
      </c>
      <c r="H6" s="104" t="inlineStr">
        <is>
          <t>Display</t>
        </is>
      </c>
      <c r="I6" s="102" t="n"/>
      <c r="J6" s="102" t="n"/>
      <c r="K6" s="102" t="n"/>
      <c r="L6" s="102" t="n"/>
      <c r="M6" s="102" t="n"/>
      <c r="N6" s="102" t="n"/>
      <c r="O6" s="102" t="n"/>
      <c r="P6" s="102" t="n"/>
      <c r="Q6" s="102" t="n"/>
      <c r="R6" s="102" t="n"/>
      <c r="S6" s="109" t="n"/>
      <c r="T6" s="109" t="n"/>
      <c r="U6" s="102" t="n"/>
    </row>
    <row r="7">
      <c r="A7" s="104" t="inlineStr">
        <is>
          <t>GUIDE000006</t>
        </is>
      </c>
      <c r="B7" s="101" t="inlineStr">
        <is>
          <t>DEV000006</t>
        </is>
      </c>
      <c r="C7" s="103" t="inlineStr">
        <is>
          <t>APL</t>
        </is>
      </c>
      <c r="D7" s="103" t="inlineStr">
        <is>
          <t>PHN</t>
        </is>
      </c>
      <c r="E7" s="60" t="inlineStr">
        <is>
          <t>iPhone 5</t>
        </is>
      </c>
      <c r="F7" s="104" t="inlineStr">
        <is>
          <t>SVC000001</t>
        </is>
      </c>
      <c r="G7" s="104" t="inlineStr">
        <is>
          <t>Screen Replacement</t>
        </is>
      </c>
      <c r="H7" s="104" t="inlineStr">
        <is>
          <t>Display</t>
        </is>
      </c>
      <c r="I7" s="104" t="n"/>
      <c r="J7" s="104" t="n"/>
      <c r="K7" s="104" t="n"/>
      <c r="L7" s="104" t="n"/>
      <c r="M7" s="104" t="n"/>
      <c r="N7" s="104" t="n"/>
      <c r="O7" s="104" t="n"/>
      <c r="P7" s="104" t="n"/>
      <c r="Q7" s="104" t="n"/>
      <c r="R7" s="104" t="n"/>
      <c r="S7" s="110" t="n"/>
      <c r="T7" s="110" t="n"/>
      <c r="U7" s="104" t="n"/>
    </row>
    <row r="8">
      <c r="A8" s="102" t="inlineStr">
        <is>
          <t>GUIDE000007</t>
        </is>
      </c>
      <c r="B8" s="101" t="inlineStr">
        <is>
          <t>DEV000007</t>
        </is>
      </c>
      <c r="C8" s="103" t="inlineStr">
        <is>
          <t>APL</t>
        </is>
      </c>
      <c r="D8" s="103" t="inlineStr">
        <is>
          <t>PHN</t>
        </is>
      </c>
      <c r="E8" s="60" t="inlineStr">
        <is>
          <t>iPhone 5c</t>
        </is>
      </c>
      <c r="F8" s="104" t="inlineStr">
        <is>
          <t>SVC000001</t>
        </is>
      </c>
      <c r="G8" s="104" t="inlineStr">
        <is>
          <t>Screen Replacement</t>
        </is>
      </c>
      <c r="H8" s="104" t="inlineStr">
        <is>
          <t>Display</t>
        </is>
      </c>
      <c r="I8" s="102" t="n"/>
      <c r="J8" s="102" t="n"/>
      <c r="K8" s="102" t="n"/>
      <c r="L8" s="102" t="n"/>
      <c r="M8" s="102" t="n"/>
      <c r="N8" s="102" t="n"/>
      <c r="O8" s="102" t="n"/>
      <c r="P8" s="102" t="n"/>
      <c r="Q8" s="102" t="n"/>
      <c r="R8" s="102" t="n"/>
      <c r="S8" s="109" t="n"/>
      <c r="T8" s="109" t="n"/>
      <c r="U8" s="102" t="n"/>
    </row>
    <row r="9">
      <c r="A9" s="104" t="inlineStr">
        <is>
          <t>GUIDE000008</t>
        </is>
      </c>
      <c r="B9" s="101" t="inlineStr">
        <is>
          <t>DEV000008</t>
        </is>
      </c>
      <c r="C9" s="103" t="inlineStr">
        <is>
          <t>APL</t>
        </is>
      </c>
      <c r="D9" s="103" t="inlineStr">
        <is>
          <t>PHN</t>
        </is>
      </c>
      <c r="E9" s="60" t="inlineStr">
        <is>
          <t>iPhone 5s</t>
        </is>
      </c>
      <c r="F9" s="104" t="inlineStr">
        <is>
          <t>SVC000001</t>
        </is>
      </c>
      <c r="G9" s="104" t="inlineStr">
        <is>
          <t>Screen Replacement</t>
        </is>
      </c>
      <c r="H9" s="104" t="inlineStr">
        <is>
          <t>Display</t>
        </is>
      </c>
      <c r="I9" s="104" t="n"/>
      <c r="J9" s="104" t="n"/>
      <c r="K9" s="104" t="n"/>
      <c r="L9" s="104" t="n"/>
      <c r="M9" s="104" t="n"/>
      <c r="N9" s="104" t="n"/>
      <c r="O9" s="104" t="n"/>
      <c r="P9" s="104" t="n"/>
      <c r="Q9" s="104" t="n"/>
      <c r="R9" s="104" t="n"/>
      <c r="S9" s="110" t="n"/>
      <c r="T9" s="110" t="n"/>
      <c r="U9" s="104" t="n"/>
    </row>
    <row r="10">
      <c r="A10" s="102" t="inlineStr">
        <is>
          <t>GUIDE000009</t>
        </is>
      </c>
      <c r="B10" s="101" t="inlineStr">
        <is>
          <t>DEV000009</t>
        </is>
      </c>
      <c r="C10" s="103" t="inlineStr">
        <is>
          <t>APL</t>
        </is>
      </c>
      <c r="D10" s="103" t="inlineStr">
        <is>
          <t>PHN</t>
        </is>
      </c>
      <c r="E10" s="60" t="inlineStr">
        <is>
          <t>iPhone 6</t>
        </is>
      </c>
      <c r="F10" s="104" t="inlineStr">
        <is>
          <t>SVC000001</t>
        </is>
      </c>
      <c r="G10" s="104" t="inlineStr">
        <is>
          <t>Screen Replacement</t>
        </is>
      </c>
      <c r="H10" s="104" t="inlineStr">
        <is>
          <t>Display</t>
        </is>
      </c>
      <c r="I10" s="102" t="n"/>
      <c r="J10" s="102" t="n"/>
      <c r="K10" s="102" t="n"/>
      <c r="L10" s="102" t="n"/>
      <c r="M10" s="102" t="n"/>
      <c r="N10" s="102" t="n"/>
      <c r="O10" s="102" t="n"/>
      <c r="P10" s="102" t="n"/>
      <c r="Q10" s="102" t="n"/>
      <c r="R10" s="102" t="n"/>
      <c r="S10" s="109" t="n"/>
      <c r="T10" s="109" t="n"/>
      <c r="U10" s="102" t="n"/>
    </row>
    <row r="11">
      <c r="A11" s="104" t="inlineStr">
        <is>
          <t>GUIDE000010</t>
        </is>
      </c>
      <c r="B11" s="101" t="inlineStr">
        <is>
          <t>DEV000010</t>
        </is>
      </c>
      <c r="C11" s="103" t="inlineStr">
        <is>
          <t>APL</t>
        </is>
      </c>
      <c r="D11" s="103" t="inlineStr">
        <is>
          <t>PHN</t>
        </is>
      </c>
      <c r="E11" s="60" t="inlineStr">
        <is>
          <t>iPhone 6 Plus</t>
        </is>
      </c>
      <c r="F11" s="104" t="inlineStr">
        <is>
          <t>SVC000001</t>
        </is>
      </c>
      <c r="G11" s="104" t="inlineStr">
        <is>
          <t>Screen Replacement</t>
        </is>
      </c>
      <c r="H11" s="104" t="inlineStr">
        <is>
          <t>Display</t>
        </is>
      </c>
      <c r="I11" s="104" t="n"/>
      <c r="J11" s="104" t="n"/>
      <c r="K11" s="104" t="n"/>
      <c r="L11" s="104" t="n"/>
      <c r="M11" s="104" t="n"/>
      <c r="N11" s="104" t="n"/>
      <c r="O11" s="104" t="n"/>
      <c r="P11" s="104" t="n"/>
      <c r="Q11" s="104" t="n"/>
      <c r="R11" s="104" t="n"/>
      <c r="S11" s="110" t="n"/>
      <c r="T11" s="110" t="n"/>
      <c r="U11" s="104" t="n"/>
    </row>
    <row r="12">
      <c r="A12" s="102" t="inlineStr">
        <is>
          <t>GUIDE000011</t>
        </is>
      </c>
      <c r="B12" s="101" t="inlineStr">
        <is>
          <t>DEV000011</t>
        </is>
      </c>
      <c r="C12" s="103" t="inlineStr">
        <is>
          <t>APL</t>
        </is>
      </c>
      <c r="D12" s="103" t="inlineStr">
        <is>
          <t>PHN</t>
        </is>
      </c>
      <c r="E12" s="60" t="inlineStr">
        <is>
          <t>iPhone 6s</t>
        </is>
      </c>
      <c r="F12" s="104" t="inlineStr">
        <is>
          <t>SVC000001</t>
        </is>
      </c>
      <c r="G12" s="104" t="inlineStr">
        <is>
          <t>Screen Replacement</t>
        </is>
      </c>
      <c r="H12" s="104" t="inlineStr">
        <is>
          <t>Display</t>
        </is>
      </c>
      <c r="I12" s="102" t="n"/>
      <c r="J12" s="102" t="n"/>
      <c r="K12" s="102" t="n"/>
      <c r="L12" s="102" t="n"/>
      <c r="M12" s="102" t="n"/>
      <c r="N12" s="102" t="n"/>
      <c r="O12" s="102" t="n"/>
      <c r="P12" s="102" t="n"/>
      <c r="Q12" s="102" t="n"/>
      <c r="R12" s="102" t="n"/>
      <c r="S12" s="109" t="n"/>
      <c r="T12" s="109" t="n"/>
      <c r="U12" s="102" t="n"/>
    </row>
    <row r="13">
      <c r="A13" s="104" t="inlineStr">
        <is>
          <t>GUIDE000012</t>
        </is>
      </c>
      <c r="B13" s="101" t="inlineStr">
        <is>
          <t>DEV000012</t>
        </is>
      </c>
      <c r="C13" s="103" t="inlineStr">
        <is>
          <t>APL</t>
        </is>
      </c>
      <c r="D13" s="103" t="inlineStr">
        <is>
          <t>PHN</t>
        </is>
      </c>
      <c r="E13" s="60" t="inlineStr">
        <is>
          <t>iPhone 6s Plus</t>
        </is>
      </c>
      <c r="F13" s="104" t="inlineStr">
        <is>
          <t>SVC000001</t>
        </is>
      </c>
      <c r="G13" s="104" t="inlineStr">
        <is>
          <t>Screen Replacement</t>
        </is>
      </c>
      <c r="H13" s="104" t="inlineStr">
        <is>
          <t>Display</t>
        </is>
      </c>
      <c r="I13" s="104" t="n"/>
      <c r="J13" s="104" t="n"/>
      <c r="K13" s="104" t="n"/>
      <c r="L13" s="104" t="n"/>
      <c r="M13" s="104" t="n"/>
      <c r="N13" s="104" t="n"/>
      <c r="O13" s="104" t="n"/>
      <c r="P13" s="104" t="n"/>
      <c r="Q13" s="104" t="n"/>
      <c r="R13" s="104" t="n"/>
      <c r="S13" s="110" t="n"/>
      <c r="T13" s="110" t="n"/>
      <c r="U13" s="104" t="n"/>
    </row>
    <row r="14">
      <c r="A14" s="102" t="inlineStr">
        <is>
          <t>GUIDE000013</t>
        </is>
      </c>
      <c r="B14" s="101" t="inlineStr">
        <is>
          <t>DEV000013</t>
        </is>
      </c>
      <c r="C14" s="103" t="inlineStr">
        <is>
          <t>APL</t>
        </is>
      </c>
      <c r="D14" s="103" t="inlineStr">
        <is>
          <t>PHN</t>
        </is>
      </c>
      <c r="E14" s="60" t="inlineStr">
        <is>
          <t>iPhone SE (1st Gen)</t>
        </is>
      </c>
      <c r="F14" s="104" t="inlineStr">
        <is>
          <t>SVC000001</t>
        </is>
      </c>
      <c r="G14" s="104" t="inlineStr">
        <is>
          <t>Screen Replacement</t>
        </is>
      </c>
      <c r="H14" s="104" t="inlineStr">
        <is>
          <t>Display</t>
        </is>
      </c>
      <c r="I14" s="102" t="n"/>
      <c r="J14" s="102" t="n"/>
      <c r="K14" s="102" t="n"/>
      <c r="L14" s="102" t="n"/>
      <c r="M14" s="102" t="n"/>
      <c r="N14" s="102" t="n"/>
      <c r="O14" s="102" t="n"/>
      <c r="P14" s="102" t="n"/>
      <c r="Q14" s="102" t="n"/>
      <c r="R14" s="102" t="n"/>
      <c r="S14" s="109" t="n"/>
      <c r="T14" s="109" t="n"/>
      <c r="U14" s="102" t="n"/>
    </row>
    <row r="15">
      <c r="A15" s="104" t="inlineStr">
        <is>
          <t>GUIDE000014</t>
        </is>
      </c>
      <c r="B15" s="101" t="inlineStr">
        <is>
          <t>DEV000014</t>
        </is>
      </c>
      <c r="C15" s="103" t="inlineStr">
        <is>
          <t>APL</t>
        </is>
      </c>
      <c r="D15" s="103" t="inlineStr">
        <is>
          <t>PHN</t>
        </is>
      </c>
      <c r="E15" s="60" t="inlineStr">
        <is>
          <t>iPhone 7</t>
        </is>
      </c>
      <c r="F15" s="104" t="inlineStr">
        <is>
          <t>SVC000001</t>
        </is>
      </c>
      <c r="G15" s="104" t="inlineStr">
        <is>
          <t>Screen Replacement</t>
        </is>
      </c>
      <c r="H15" s="104" t="inlineStr">
        <is>
          <t>Display</t>
        </is>
      </c>
      <c r="I15" s="104" t="n"/>
      <c r="J15" s="104" t="n"/>
      <c r="K15" s="104" t="n"/>
      <c r="L15" s="104" t="n"/>
      <c r="M15" s="104" t="n"/>
      <c r="N15" s="104" t="n"/>
      <c r="O15" s="104" t="n"/>
      <c r="P15" s="104" t="n"/>
      <c r="Q15" s="104" t="n"/>
      <c r="R15" s="104" t="n"/>
      <c r="S15" s="110" t="n"/>
      <c r="T15" s="110" t="n"/>
      <c r="U15" s="104" t="n"/>
    </row>
    <row r="16">
      <c r="A16" s="102" t="inlineStr">
        <is>
          <t>GUIDE000015</t>
        </is>
      </c>
      <c r="B16" s="101" t="inlineStr">
        <is>
          <t>DEV000015</t>
        </is>
      </c>
      <c r="C16" s="103" t="inlineStr">
        <is>
          <t>APL</t>
        </is>
      </c>
      <c r="D16" s="103" t="inlineStr">
        <is>
          <t>PHN</t>
        </is>
      </c>
      <c r="E16" s="60" t="inlineStr">
        <is>
          <t>iPhone 7 Plus</t>
        </is>
      </c>
      <c r="F16" s="104" t="inlineStr">
        <is>
          <t>SVC000001</t>
        </is>
      </c>
      <c r="G16" s="104" t="inlineStr">
        <is>
          <t>Screen Replacement</t>
        </is>
      </c>
      <c r="H16" s="104" t="inlineStr">
        <is>
          <t>Display</t>
        </is>
      </c>
      <c r="I16" s="102" t="n"/>
      <c r="J16" s="102" t="n"/>
      <c r="K16" s="102" t="n"/>
      <c r="L16" s="102" t="n"/>
      <c r="M16" s="102" t="n"/>
      <c r="N16" s="102" t="n"/>
      <c r="O16" s="102" t="n"/>
      <c r="P16" s="102" t="n"/>
      <c r="Q16" s="102" t="n"/>
      <c r="R16" s="102" t="n"/>
      <c r="S16" s="109" t="n"/>
      <c r="T16" s="109" t="n"/>
      <c r="U16" s="102" t="n"/>
    </row>
    <row r="17">
      <c r="A17" s="104" t="inlineStr">
        <is>
          <t>GUIDE000016</t>
        </is>
      </c>
      <c r="B17" s="101" t="inlineStr">
        <is>
          <t>DEV000016</t>
        </is>
      </c>
      <c r="C17" s="103" t="inlineStr">
        <is>
          <t>APL</t>
        </is>
      </c>
      <c r="D17" s="103" t="inlineStr">
        <is>
          <t>PHN</t>
        </is>
      </c>
      <c r="E17" s="60" t="inlineStr">
        <is>
          <t>iPhone 8</t>
        </is>
      </c>
      <c r="F17" s="104" t="inlineStr">
        <is>
          <t>SVC000001</t>
        </is>
      </c>
      <c r="G17" s="104" t="inlineStr">
        <is>
          <t>Screen Replacement</t>
        </is>
      </c>
      <c r="H17" s="104" t="inlineStr">
        <is>
          <t>Display</t>
        </is>
      </c>
      <c r="I17" s="104" t="n"/>
      <c r="J17" s="104" t="n"/>
      <c r="K17" s="104" t="n"/>
      <c r="L17" s="104" t="n"/>
      <c r="M17" s="104" t="n"/>
      <c r="N17" s="104" t="n"/>
      <c r="O17" s="104" t="n"/>
      <c r="P17" s="104" t="n"/>
      <c r="Q17" s="104" t="n"/>
      <c r="R17" s="104" t="n"/>
      <c r="S17" s="110" t="n"/>
      <c r="T17" s="110" t="n"/>
      <c r="U17" s="104" t="n"/>
    </row>
    <row r="18">
      <c r="A18" s="102" t="inlineStr">
        <is>
          <t>GUIDE000017</t>
        </is>
      </c>
      <c r="B18" s="101" t="inlineStr">
        <is>
          <t>DEV000017</t>
        </is>
      </c>
      <c r="C18" s="103" t="inlineStr">
        <is>
          <t>APL</t>
        </is>
      </c>
      <c r="D18" s="103" t="inlineStr">
        <is>
          <t>PHN</t>
        </is>
      </c>
      <c r="E18" s="60" t="inlineStr">
        <is>
          <t>iPhone 8 Plus</t>
        </is>
      </c>
      <c r="F18" s="104" t="inlineStr">
        <is>
          <t>SVC000001</t>
        </is>
      </c>
      <c r="G18" s="104" t="inlineStr">
        <is>
          <t>Screen Replacement</t>
        </is>
      </c>
      <c r="H18" s="104" t="inlineStr">
        <is>
          <t>Display</t>
        </is>
      </c>
      <c r="I18" s="102" t="n"/>
      <c r="J18" s="102" t="n"/>
      <c r="K18" s="102" t="n"/>
      <c r="L18" s="102" t="n"/>
      <c r="M18" s="102" t="n"/>
      <c r="N18" s="102" t="n"/>
      <c r="O18" s="102" t="n"/>
      <c r="P18" s="102" t="n"/>
      <c r="Q18" s="102" t="n"/>
      <c r="R18" s="102" t="n"/>
      <c r="S18" s="109" t="n"/>
      <c r="T18" s="109" t="n"/>
      <c r="U18" s="102" t="n"/>
    </row>
    <row r="19">
      <c r="A19" s="104" t="inlineStr">
        <is>
          <t>GUIDE000018</t>
        </is>
      </c>
      <c r="B19" s="101" t="inlineStr">
        <is>
          <t>DEV000018</t>
        </is>
      </c>
      <c r="C19" s="103" t="inlineStr">
        <is>
          <t>APL</t>
        </is>
      </c>
      <c r="D19" s="103" t="inlineStr">
        <is>
          <t>PHN</t>
        </is>
      </c>
      <c r="E19" s="60" t="inlineStr">
        <is>
          <t>iPhone X</t>
        </is>
      </c>
      <c r="F19" s="104" t="inlineStr">
        <is>
          <t>SVC000001</t>
        </is>
      </c>
      <c r="G19" s="104" t="inlineStr">
        <is>
          <t>Screen Replacement</t>
        </is>
      </c>
      <c r="H19" s="104" t="inlineStr">
        <is>
          <t>Display</t>
        </is>
      </c>
      <c r="I19" s="104" t="n"/>
      <c r="J19" s="104" t="n"/>
      <c r="K19" s="104" t="n"/>
      <c r="L19" s="104" t="n"/>
      <c r="M19" s="104" t="n"/>
      <c r="N19" s="104" t="n"/>
      <c r="O19" s="104" t="n"/>
      <c r="P19" s="104" t="n"/>
      <c r="Q19" s="104" t="n"/>
      <c r="R19" s="104" t="n"/>
      <c r="S19" s="110" t="n"/>
      <c r="T19" s="110" t="n"/>
      <c r="U19" s="104" t="n"/>
    </row>
    <row r="20">
      <c r="A20" s="102" t="inlineStr">
        <is>
          <t>GUIDE000019</t>
        </is>
      </c>
      <c r="B20" s="101" t="inlineStr">
        <is>
          <t>DEV000019</t>
        </is>
      </c>
      <c r="C20" s="103" t="inlineStr">
        <is>
          <t>APL</t>
        </is>
      </c>
      <c r="D20" s="103" t="inlineStr">
        <is>
          <t>PHN</t>
        </is>
      </c>
      <c r="E20" s="60" t="inlineStr">
        <is>
          <t>iPhone XR</t>
        </is>
      </c>
      <c r="F20" s="104" t="inlineStr">
        <is>
          <t>SVC000001</t>
        </is>
      </c>
      <c r="G20" s="104" t="inlineStr">
        <is>
          <t>Screen Replacement</t>
        </is>
      </c>
      <c r="H20" s="104" t="inlineStr">
        <is>
          <t>Display</t>
        </is>
      </c>
      <c r="I20" s="102" t="n"/>
      <c r="J20" s="102" t="n"/>
      <c r="K20" s="102" t="n"/>
      <c r="L20" s="102" t="n"/>
      <c r="M20" s="102" t="n"/>
      <c r="N20" s="102" t="n"/>
      <c r="O20" s="102" t="n"/>
      <c r="P20" s="102" t="n"/>
      <c r="Q20" s="102" t="n"/>
      <c r="R20" s="102" t="n"/>
      <c r="S20" s="109" t="n"/>
      <c r="T20" s="109" t="n"/>
      <c r="U20" s="102" t="n"/>
    </row>
    <row r="21">
      <c r="A21" s="104" t="inlineStr">
        <is>
          <t>GUIDE000020</t>
        </is>
      </c>
      <c r="B21" s="101" t="inlineStr">
        <is>
          <t>DEV000020</t>
        </is>
      </c>
      <c r="C21" s="103" t="inlineStr">
        <is>
          <t>APL</t>
        </is>
      </c>
      <c r="D21" s="103" t="inlineStr">
        <is>
          <t>PHN</t>
        </is>
      </c>
      <c r="E21" s="60" t="inlineStr">
        <is>
          <t>iPhone XS</t>
        </is>
      </c>
      <c r="F21" s="104" t="inlineStr">
        <is>
          <t>SVC000001</t>
        </is>
      </c>
      <c r="G21" s="104" t="inlineStr">
        <is>
          <t>Screen Replacement</t>
        </is>
      </c>
      <c r="H21" s="104" t="inlineStr">
        <is>
          <t>Display</t>
        </is>
      </c>
      <c r="I21" s="104" t="n"/>
      <c r="J21" s="104" t="n"/>
      <c r="K21" s="104" t="n"/>
      <c r="L21" s="104" t="n"/>
      <c r="M21" s="104" t="n"/>
      <c r="N21" s="104" t="n"/>
      <c r="O21" s="104" t="n"/>
      <c r="P21" s="104" t="n"/>
      <c r="Q21" s="104" t="n"/>
      <c r="R21" s="104" t="n"/>
      <c r="S21" s="110" t="n"/>
      <c r="T21" s="110" t="n"/>
      <c r="U21" s="104" t="n"/>
    </row>
    <row r="22">
      <c r="A22" s="102" t="inlineStr">
        <is>
          <t>GUIDE000021</t>
        </is>
      </c>
      <c r="B22" s="101" t="inlineStr">
        <is>
          <t>DEV000021</t>
        </is>
      </c>
      <c r="C22" s="103" t="inlineStr">
        <is>
          <t>APL</t>
        </is>
      </c>
      <c r="D22" s="103" t="inlineStr">
        <is>
          <t>PHN</t>
        </is>
      </c>
      <c r="E22" s="60" t="inlineStr">
        <is>
          <t>iPhone XS Max</t>
        </is>
      </c>
      <c r="F22" s="104" t="inlineStr">
        <is>
          <t>SVC000001</t>
        </is>
      </c>
      <c r="G22" s="104" t="inlineStr">
        <is>
          <t>Screen Replacement</t>
        </is>
      </c>
      <c r="H22" s="104" t="inlineStr">
        <is>
          <t>Display</t>
        </is>
      </c>
      <c r="I22" s="102" t="n"/>
      <c r="J22" s="102" t="n"/>
      <c r="K22" s="102" t="n"/>
      <c r="L22" s="102" t="n"/>
      <c r="M22" s="102" t="n"/>
      <c r="N22" s="102" t="n"/>
      <c r="O22" s="102" t="n"/>
      <c r="P22" s="102" t="n"/>
      <c r="Q22" s="102" t="n"/>
      <c r="R22" s="102" t="n"/>
      <c r="S22" s="109" t="n"/>
      <c r="T22" s="109" t="n"/>
      <c r="U22" s="102" t="n"/>
    </row>
    <row r="23">
      <c r="A23" s="104" t="inlineStr">
        <is>
          <t>GUIDE000022</t>
        </is>
      </c>
      <c r="B23" s="101" t="inlineStr">
        <is>
          <t>DEV000022</t>
        </is>
      </c>
      <c r="C23" s="103" t="inlineStr">
        <is>
          <t>APL</t>
        </is>
      </c>
      <c r="D23" s="103" t="inlineStr">
        <is>
          <t>PHN</t>
        </is>
      </c>
      <c r="E23" s="60" t="inlineStr">
        <is>
          <t>iPhone 11</t>
        </is>
      </c>
      <c r="F23" s="104" t="inlineStr">
        <is>
          <t>SVC000001</t>
        </is>
      </c>
      <c r="G23" s="104" t="inlineStr">
        <is>
          <t>Screen Replacement</t>
        </is>
      </c>
      <c r="H23" s="104" t="inlineStr">
        <is>
          <t>Display</t>
        </is>
      </c>
      <c r="I23" s="104" t="n"/>
      <c r="J23" s="104" t="n"/>
      <c r="K23" s="104" t="n"/>
      <c r="L23" s="104" t="n"/>
      <c r="M23" s="104" t="n"/>
      <c r="N23" s="104" t="n"/>
      <c r="O23" s="104" t="n"/>
      <c r="P23" s="104" t="n"/>
      <c r="Q23" s="104" t="n"/>
      <c r="R23" s="104" t="n"/>
      <c r="S23" s="110" t="n"/>
      <c r="T23" s="110" t="n"/>
      <c r="U23" s="104" t="n"/>
    </row>
    <row r="24">
      <c r="A24" s="102" t="inlineStr">
        <is>
          <t>GUIDE000023</t>
        </is>
      </c>
      <c r="B24" s="101" t="inlineStr">
        <is>
          <t>DEV000023</t>
        </is>
      </c>
      <c r="C24" s="103" t="inlineStr">
        <is>
          <t>APL</t>
        </is>
      </c>
      <c r="D24" s="103" t="inlineStr">
        <is>
          <t>PHN</t>
        </is>
      </c>
      <c r="E24" s="60" t="inlineStr">
        <is>
          <t>iPhone 11 Pro</t>
        </is>
      </c>
      <c r="F24" s="104" t="inlineStr">
        <is>
          <t>SVC000001</t>
        </is>
      </c>
      <c r="G24" s="104" t="inlineStr">
        <is>
          <t>Screen Replacement</t>
        </is>
      </c>
      <c r="H24" s="104" t="inlineStr">
        <is>
          <t>Display</t>
        </is>
      </c>
      <c r="I24" s="102" t="n"/>
      <c r="J24" s="102" t="n"/>
      <c r="K24" s="102" t="n"/>
      <c r="L24" s="102" t="n"/>
      <c r="M24" s="102" t="n"/>
      <c r="N24" s="102" t="n"/>
      <c r="O24" s="102" t="n"/>
      <c r="P24" s="102" t="n"/>
      <c r="Q24" s="102" t="n"/>
      <c r="R24" s="102" t="n"/>
      <c r="S24" s="109" t="n"/>
      <c r="T24" s="109" t="n"/>
      <c r="U24" s="102" t="n"/>
    </row>
    <row r="25">
      <c r="A25" s="104" t="inlineStr">
        <is>
          <t>GUIDE000024</t>
        </is>
      </c>
      <c r="B25" s="101" t="inlineStr">
        <is>
          <t>DEV000024</t>
        </is>
      </c>
      <c r="C25" s="103" t="inlineStr">
        <is>
          <t>APL</t>
        </is>
      </c>
      <c r="D25" s="103" t="inlineStr">
        <is>
          <t>PHN</t>
        </is>
      </c>
      <c r="E25" s="60" t="inlineStr">
        <is>
          <t>iPhone 11 Pro Max</t>
        </is>
      </c>
      <c r="F25" s="104" t="inlineStr">
        <is>
          <t>SVC000001</t>
        </is>
      </c>
      <c r="G25" s="104" t="inlineStr">
        <is>
          <t>Screen Replacement</t>
        </is>
      </c>
      <c r="H25" s="104" t="inlineStr">
        <is>
          <t>Display</t>
        </is>
      </c>
      <c r="I25" s="104" t="n"/>
      <c r="J25" s="104" t="n"/>
      <c r="K25" s="104" t="n"/>
      <c r="L25" s="104" t="n"/>
      <c r="M25" s="104" t="n"/>
      <c r="N25" s="104" t="n"/>
      <c r="O25" s="104" t="n"/>
      <c r="P25" s="104" t="n"/>
      <c r="Q25" s="104" t="n"/>
      <c r="R25" s="104" t="n"/>
      <c r="S25" s="110" t="n"/>
      <c r="T25" s="110" t="n"/>
      <c r="U25" s="104" t="n"/>
    </row>
    <row r="26">
      <c r="A26" s="102" t="inlineStr">
        <is>
          <t>GUIDE000025</t>
        </is>
      </c>
      <c r="B26" s="101" t="inlineStr">
        <is>
          <t>DEV000025</t>
        </is>
      </c>
      <c r="C26" s="103" t="inlineStr">
        <is>
          <t>APL</t>
        </is>
      </c>
      <c r="D26" s="103" t="inlineStr">
        <is>
          <t>PHN</t>
        </is>
      </c>
      <c r="E26" s="60" t="inlineStr">
        <is>
          <t>iPhone SE (2nd Generation)</t>
        </is>
      </c>
      <c r="F26" s="104" t="inlineStr">
        <is>
          <t>SVC000001</t>
        </is>
      </c>
      <c r="G26" s="104" t="inlineStr">
        <is>
          <t>Screen Replacement</t>
        </is>
      </c>
      <c r="H26" s="104" t="inlineStr">
        <is>
          <t>Display</t>
        </is>
      </c>
      <c r="I26" s="102" t="n"/>
      <c r="J26" s="102" t="n"/>
      <c r="K26" s="102" t="n"/>
      <c r="L26" s="102" t="n"/>
      <c r="M26" s="102" t="n"/>
      <c r="N26" s="102" t="n"/>
      <c r="O26" s="102" t="n"/>
      <c r="P26" s="102" t="n"/>
      <c r="Q26" s="102" t="n"/>
      <c r="R26" s="102" t="n"/>
      <c r="S26" s="109" t="n"/>
      <c r="T26" s="109" t="n"/>
      <c r="U26" s="102" t="n"/>
    </row>
    <row r="27">
      <c r="A27" s="104" t="inlineStr">
        <is>
          <t>GUIDE000026</t>
        </is>
      </c>
      <c r="B27" s="101" t="inlineStr">
        <is>
          <t>DEV000026</t>
        </is>
      </c>
      <c r="C27" s="103" t="inlineStr">
        <is>
          <t>APL</t>
        </is>
      </c>
      <c r="D27" s="103" t="inlineStr">
        <is>
          <t>PHN</t>
        </is>
      </c>
      <c r="E27" s="60" t="inlineStr">
        <is>
          <t>iPhone 12 mini</t>
        </is>
      </c>
      <c r="F27" s="104" t="inlineStr">
        <is>
          <t>SVC000001</t>
        </is>
      </c>
      <c r="G27" s="104" t="inlineStr">
        <is>
          <t>Screen Replacement</t>
        </is>
      </c>
      <c r="H27" s="104" t="inlineStr">
        <is>
          <t>Display</t>
        </is>
      </c>
      <c r="I27" s="104" t="n"/>
      <c r="J27" s="104" t="n"/>
      <c r="K27" s="104" t="n"/>
      <c r="L27" s="104" t="n"/>
      <c r="M27" s="104" t="n"/>
      <c r="N27" s="104" t="n"/>
      <c r="O27" s="104" t="n"/>
      <c r="P27" s="104" t="n"/>
      <c r="Q27" s="104" t="n"/>
      <c r="R27" s="104" t="n"/>
      <c r="S27" s="110" t="n"/>
      <c r="T27" s="110" t="n"/>
      <c r="U27" s="104" t="n"/>
    </row>
    <row r="28">
      <c r="A28" s="102" t="inlineStr">
        <is>
          <t>GUIDE000027</t>
        </is>
      </c>
      <c r="B28" s="101" t="inlineStr">
        <is>
          <t>DEV000027</t>
        </is>
      </c>
      <c r="C28" s="103" t="inlineStr">
        <is>
          <t>APL</t>
        </is>
      </c>
      <c r="D28" s="103" t="inlineStr">
        <is>
          <t>PHN</t>
        </is>
      </c>
      <c r="E28" s="60" t="inlineStr">
        <is>
          <t>iPhone 12</t>
        </is>
      </c>
      <c r="F28" s="104" t="inlineStr">
        <is>
          <t>SVC000001</t>
        </is>
      </c>
      <c r="G28" s="104" t="inlineStr">
        <is>
          <t>Screen Replacement</t>
        </is>
      </c>
      <c r="H28" s="104" t="inlineStr">
        <is>
          <t>Display</t>
        </is>
      </c>
      <c r="I28" s="102" t="n"/>
      <c r="J28" s="102" t="n"/>
      <c r="K28" s="102" t="n"/>
      <c r="L28" s="102" t="n"/>
      <c r="M28" s="102" t="n"/>
      <c r="N28" s="102" t="n"/>
      <c r="O28" s="102" t="n"/>
      <c r="P28" s="102" t="n"/>
      <c r="Q28" s="102" t="n"/>
      <c r="R28" s="102" t="n"/>
      <c r="S28" s="109" t="n"/>
      <c r="T28" s="109" t="n"/>
      <c r="U28" s="102" t="n"/>
    </row>
    <row r="29">
      <c r="A29" s="104" t="inlineStr">
        <is>
          <t>GUIDE000028</t>
        </is>
      </c>
      <c r="B29" s="101" t="inlineStr">
        <is>
          <t>DEV000028</t>
        </is>
      </c>
      <c r="C29" s="103" t="inlineStr">
        <is>
          <t>APL</t>
        </is>
      </c>
      <c r="D29" s="103" t="inlineStr">
        <is>
          <t>PHN</t>
        </is>
      </c>
      <c r="E29" s="60" t="inlineStr">
        <is>
          <t>iPhone 12 Pro</t>
        </is>
      </c>
      <c r="F29" s="104" t="inlineStr">
        <is>
          <t>SVC000001</t>
        </is>
      </c>
      <c r="G29" s="104" t="inlineStr">
        <is>
          <t>Screen Replacement</t>
        </is>
      </c>
      <c r="H29" s="104" t="inlineStr">
        <is>
          <t>Display</t>
        </is>
      </c>
      <c r="I29" s="104" t="n"/>
      <c r="J29" s="104" t="n"/>
      <c r="K29" s="104" t="n"/>
      <c r="L29" s="104" t="n"/>
      <c r="M29" s="104" t="n"/>
      <c r="N29" s="104" t="n"/>
      <c r="O29" s="104" t="n"/>
      <c r="P29" s="104" t="n"/>
      <c r="Q29" s="104" t="n"/>
      <c r="R29" s="104" t="n"/>
      <c r="S29" s="110" t="n"/>
      <c r="T29" s="110" t="n"/>
      <c r="U29" s="104" t="n"/>
    </row>
    <row r="30">
      <c r="A30" s="102" t="inlineStr">
        <is>
          <t>GUIDE000029</t>
        </is>
      </c>
      <c r="B30" s="101" t="inlineStr">
        <is>
          <t>DEV000029</t>
        </is>
      </c>
      <c r="C30" s="103" t="inlineStr">
        <is>
          <t>APL</t>
        </is>
      </c>
      <c r="D30" s="103" t="inlineStr">
        <is>
          <t>PHN</t>
        </is>
      </c>
      <c r="E30" s="60" t="inlineStr">
        <is>
          <t>iPhone 12 Pro Max</t>
        </is>
      </c>
      <c r="F30" s="104" t="inlineStr">
        <is>
          <t>SVC000001</t>
        </is>
      </c>
      <c r="G30" s="104" t="inlineStr">
        <is>
          <t>Screen Replacement</t>
        </is>
      </c>
      <c r="H30" s="104" t="inlineStr">
        <is>
          <t>Display</t>
        </is>
      </c>
      <c r="I30" s="102" t="n"/>
      <c r="J30" s="102" t="n"/>
      <c r="K30" s="102" t="n"/>
      <c r="L30" s="102" t="n"/>
      <c r="M30" s="102" t="n"/>
      <c r="N30" s="102" t="n"/>
      <c r="O30" s="102" t="n"/>
      <c r="P30" s="102" t="n"/>
      <c r="Q30" s="102" t="n"/>
      <c r="R30" s="102" t="n"/>
      <c r="S30" s="109" t="n"/>
      <c r="T30" s="109" t="n"/>
      <c r="U30" s="102" t="n"/>
    </row>
    <row r="31">
      <c r="A31" s="104" t="inlineStr">
        <is>
          <t>GUIDE000030</t>
        </is>
      </c>
      <c r="B31" s="101" t="inlineStr">
        <is>
          <t>DEV000030</t>
        </is>
      </c>
      <c r="C31" s="103" t="inlineStr">
        <is>
          <t>APL</t>
        </is>
      </c>
      <c r="D31" s="103" t="inlineStr">
        <is>
          <t>PHN</t>
        </is>
      </c>
      <c r="E31" s="60" t="inlineStr">
        <is>
          <t>iPhone 13 mini</t>
        </is>
      </c>
      <c r="F31" s="104" t="inlineStr">
        <is>
          <t>SVC000001</t>
        </is>
      </c>
      <c r="G31" s="104" t="inlineStr">
        <is>
          <t>Screen Replacement</t>
        </is>
      </c>
      <c r="H31" s="104" t="inlineStr">
        <is>
          <t>Display</t>
        </is>
      </c>
      <c r="I31" s="104" t="n"/>
      <c r="J31" s="104" t="n"/>
      <c r="K31" s="104" t="n"/>
      <c r="L31" s="104" t="n"/>
      <c r="M31" s="104" t="n"/>
      <c r="N31" s="104" t="n"/>
      <c r="O31" s="104" t="n"/>
      <c r="P31" s="104" t="n"/>
      <c r="Q31" s="104" t="n"/>
      <c r="R31" s="104" t="n"/>
      <c r="S31" s="110" t="n"/>
      <c r="T31" s="110" t="n"/>
      <c r="U31" s="104" t="n"/>
    </row>
    <row r="32">
      <c r="A32" s="102" t="inlineStr">
        <is>
          <t>GUIDE000031</t>
        </is>
      </c>
      <c r="B32" s="101" t="inlineStr">
        <is>
          <t>DEV000031</t>
        </is>
      </c>
      <c r="C32" s="103" t="inlineStr">
        <is>
          <t>APL</t>
        </is>
      </c>
      <c r="D32" s="103" t="inlineStr">
        <is>
          <t>PHN</t>
        </is>
      </c>
      <c r="E32" s="60" t="inlineStr">
        <is>
          <t>iPhone 13</t>
        </is>
      </c>
      <c r="F32" s="104" t="inlineStr">
        <is>
          <t>SVC000001</t>
        </is>
      </c>
      <c r="G32" s="104" t="inlineStr">
        <is>
          <t>Screen Replacement</t>
        </is>
      </c>
      <c r="H32" s="104" t="inlineStr">
        <is>
          <t>Display</t>
        </is>
      </c>
      <c r="I32" s="102" t="n"/>
      <c r="J32" s="102" t="n"/>
      <c r="K32" s="102" t="n"/>
      <c r="L32" s="102" t="n"/>
      <c r="M32" s="102" t="n"/>
      <c r="N32" s="102" t="n"/>
      <c r="O32" s="102" t="n"/>
      <c r="P32" s="102" t="n"/>
      <c r="Q32" s="102" t="n"/>
      <c r="R32" s="102" t="n"/>
      <c r="S32" s="109" t="n"/>
      <c r="T32" s="109" t="n"/>
      <c r="U32" s="102" t="n"/>
    </row>
    <row r="33">
      <c r="A33" s="104" t="inlineStr">
        <is>
          <t>GUIDE000032</t>
        </is>
      </c>
      <c r="B33" s="101" t="inlineStr">
        <is>
          <t>DEV000032</t>
        </is>
      </c>
      <c r="C33" s="103" t="inlineStr">
        <is>
          <t>APL</t>
        </is>
      </c>
      <c r="D33" s="103" t="inlineStr">
        <is>
          <t>PHN</t>
        </is>
      </c>
      <c r="E33" s="60" t="inlineStr">
        <is>
          <t>iPhone 13 Pro</t>
        </is>
      </c>
      <c r="F33" s="104" t="inlineStr">
        <is>
          <t>SVC000001</t>
        </is>
      </c>
      <c r="G33" s="104" t="inlineStr">
        <is>
          <t>Screen Replacement</t>
        </is>
      </c>
      <c r="H33" s="104" t="inlineStr">
        <is>
          <t>Display</t>
        </is>
      </c>
      <c r="I33" s="104" t="n"/>
      <c r="J33" s="104" t="n"/>
      <c r="K33" s="104" t="n"/>
      <c r="L33" s="104" t="n"/>
      <c r="M33" s="104" t="n"/>
      <c r="N33" s="104" t="n"/>
      <c r="O33" s="104" t="n"/>
      <c r="P33" s="104" t="n"/>
      <c r="Q33" s="104" t="n"/>
      <c r="R33" s="104" t="n"/>
      <c r="S33" s="110" t="n"/>
      <c r="T33" s="110" t="n"/>
      <c r="U33" s="104" t="n"/>
    </row>
    <row r="34">
      <c r="A34" s="102" t="inlineStr">
        <is>
          <t>GUIDE000033</t>
        </is>
      </c>
      <c r="B34" s="101" t="inlineStr">
        <is>
          <t>DEV000033</t>
        </is>
      </c>
      <c r="C34" s="103" t="inlineStr">
        <is>
          <t>APL</t>
        </is>
      </c>
      <c r="D34" s="103" t="inlineStr">
        <is>
          <t>PHN</t>
        </is>
      </c>
      <c r="E34" s="60" t="inlineStr">
        <is>
          <t>iPhone 13 Pro Max</t>
        </is>
      </c>
      <c r="F34" s="104" t="inlineStr">
        <is>
          <t>SVC000001</t>
        </is>
      </c>
      <c r="G34" s="104" t="inlineStr">
        <is>
          <t>Screen Replacement</t>
        </is>
      </c>
      <c r="H34" s="104" t="inlineStr">
        <is>
          <t>Display</t>
        </is>
      </c>
      <c r="I34" s="102" t="n"/>
      <c r="J34" s="102" t="n"/>
      <c r="K34" s="102" t="n"/>
      <c r="L34" s="102" t="n"/>
      <c r="M34" s="102" t="n"/>
      <c r="N34" s="102" t="n"/>
      <c r="O34" s="102" t="n"/>
      <c r="P34" s="102" t="n"/>
      <c r="Q34" s="102" t="n"/>
      <c r="R34" s="102" t="n"/>
      <c r="S34" s="109" t="n"/>
      <c r="T34" s="109" t="n"/>
      <c r="U34" s="102" t="n"/>
    </row>
    <row r="35">
      <c r="A35" s="104" t="inlineStr">
        <is>
          <t>GUIDE000034</t>
        </is>
      </c>
      <c r="B35" s="101" t="inlineStr">
        <is>
          <t>DEV000034</t>
        </is>
      </c>
      <c r="C35" s="103" t="inlineStr">
        <is>
          <t>APL</t>
        </is>
      </c>
      <c r="D35" s="103" t="inlineStr">
        <is>
          <t>PHN</t>
        </is>
      </c>
      <c r="E35" s="60" t="inlineStr">
        <is>
          <t>iPhone SE (3rd Generation)</t>
        </is>
      </c>
      <c r="F35" s="104" t="inlineStr">
        <is>
          <t>SVC000001</t>
        </is>
      </c>
      <c r="G35" s="104" t="inlineStr">
        <is>
          <t>Screen Replacement</t>
        </is>
      </c>
      <c r="H35" s="104" t="inlineStr">
        <is>
          <t>Display</t>
        </is>
      </c>
      <c r="I35" s="104" t="n"/>
      <c r="J35" s="104" t="n"/>
      <c r="K35" s="104" t="n"/>
      <c r="L35" s="104" t="n"/>
      <c r="M35" s="104" t="n"/>
      <c r="N35" s="104" t="n"/>
      <c r="O35" s="104" t="n"/>
      <c r="P35" s="104" t="n"/>
      <c r="Q35" s="104" t="n"/>
      <c r="R35" s="104" t="n"/>
      <c r="S35" s="110" t="n"/>
      <c r="T35" s="110" t="n"/>
      <c r="U35" s="104" t="n"/>
    </row>
    <row r="36">
      <c r="A36" s="102" t="inlineStr">
        <is>
          <t>GUIDE000035</t>
        </is>
      </c>
      <c r="B36" s="101" t="inlineStr">
        <is>
          <t>DEV000035</t>
        </is>
      </c>
      <c r="C36" s="103" t="inlineStr">
        <is>
          <t>APL</t>
        </is>
      </c>
      <c r="D36" s="103" t="inlineStr">
        <is>
          <t>PHN</t>
        </is>
      </c>
      <c r="E36" s="60" t="inlineStr">
        <is>
          <t>iPhone 14</t>
        </is>
      </c>
      <c r="F36" s="104" t="inlineStr">
        <is>
          <t>SVC000001</t>
        </is>
      </c>
      <c r="G36" s="104" t="inlineStr">
        <is>
          <t>Screen Replacement</t>
        </is>
      </c>
      <c r="H36" s="104" t="inlineStr">
        <is>
          <t>Display</t>
        </is>
      </c>
      <c r="I36" s="102" t="n"/>
      <c r="J36" s="102" t="n"/>
      <c r="K36" s="102" t="n"/>
      <c r="L36" s="102" t="n"/>
      <c r="M36" s="102" t="n"/>
      <c r="N36" s="102" t="n"/>
      <c r="O36" s="102" t="n"/>
      <c r="P36" s="102" t="n"/>
      <c r="Q36" s="102" t="n"/>
      <c r="R36" s="102" t="n"/>
      <c r="S36" s="109" t="n"/>
      <c r="T36" s="109" t="n"/>
      <c r="U36" s="102" t="n"/>
    </row>
    <row r="37">
      <c r="A37" s="104" t="inlineStr">
        <is>
          <t>GUIDE000036</t>
        </is>
      </c>
      <c r="B37" s="101" t="inlineStr">
        <is>
          <t>DEV000036</t>
        </is>
      </c>
      <c r="C37" s="103" t="inlineStr">
        <is>
          <t>APL</t>
        </is>
      </c>
      <c r="D37" s="103" t="inlineStr">
        <is>
          <t>PHN</t>
        </is>
      </c>
      <c r="E37" s="60" t="inlineStr">
        <is>
          <t>iPhone 14 Plus</t>
        </is>
      </c>
      <c r="F37" s="104" t="inlineStr">
        <is>
          <t>SVC000001</t>
        </is>
      </c>
      <c r="G37" s="104" t="inlineStr">
        <is>
          <t>Screen Replacement</t>
        </is>
      </c>
      <c r="H37" s="104" t="inlineStr">
        <is>
          <t>Display</t>
        </is>
      </c>
      <c r="I37" s="104" t="n"/>
      <c r="J37" s="104" t="n"/>
      <c r="K37" s="104" t="n"/>
      <c r="L37" s="104" t="n"/>
      <c r="M37" s="104" t="n"/>
      <c r="N37" s="104" t="n"/>
      <c r="O37" s="104" t="n"/>
      <c r="P37" s="104" t="n"/>
      <c r="Q37" s="104" t="n"/>
      <c r="R37" s="104" t="n"/>
      <c r="S37" s="110" t="n"/>
      <c r="T37" s="110" t="n"/>
      <c r="U37" s="104" t="n"/>
    </row>
    <row r="38">
      <c r="A38" s="102" t="inlineStr">
        <is>
          <t>GUIDE000037</t>
        </is>
      </c>
      <c r="B38" s="101" t="inlineStr">
        <is>
          <t>DEV000037</t>
        </is>
      </c>
      <c r="C38" s="103" t="inlineStr">
        <is>
          <t>APL</t>
        </is>
      </c>
      <c r="D38" s="103" t="inlineStr">
        <is>
          <t>PHN</t>
        </is>
      </c>
      <c r="E38" s="60" t="inlineStr">
        <is>
          <t>iPhone 14 Pro</t>
        </is>
      </c>
      <c r="F38" s="104" t="inlineStr">
        <is>
          <t>SVC000001</t>
        </is>
      </c>
      <c r="G38" s="104" t="inlineStr">
        <is>
          <t>Screen Replacement</t>
        </is>
      </c>
      <c r="H38" s="104" t="inlineStr">
        <is>
          <t>Display</t>
        </is>
      </c>
      <c r="I38" s="102" t="n"/>
      <c r="J38" s="102" t="n"/>
      <c r="K38" s="102" t="n"/>
      <c r="L38" s="102" t="n"/>
      <c r="M38" s="102" t="n"/>
      <c r="N38" s="102" t="n"/>
      <c r="O38" s="102" t="n"/>
      <c r="P38" s="102" t="n"/>
      <c r="Q38" s="102" t="n"/>
      <c r="R38" s="102" t="n"/>
      <c r="S38" s="109" t="n"/>
      <c r="T38" s="109" t="n"/>
      <c r="U38" s="102" t="n"/>
    </row>
    <row r="39">
      <c r="A39" s="104" t="inlineStr">
        <is>
          <t>GUIDE000038</t>
        </is>
      </c>
      <c r="B39" s="101" t="inlineStr">
        <is>
          <t>DEV000038</t>
        </is>
      </c>
      <c r="C39" s="103" t="inlineStr">
        <is>
          <t>APL</t>
        </is>
      </c>
      <c r="D39" s="103" t="inlineStr">
        <is>
          <t>PHN</t>
        </is>
      </c>
      <c r="E39" s="60" t="inlineStr">
        <is>
          <t>iPhone 14 Pro Max</t>
        </is>
      </c>
      <c r="F39" s="104" t="inlineStr">
        <is>
          <t>SVC000001</t>
        </is>
      </c>
      <c r="G39" s="104" t="inlineStr">
        <is>
          <t>Screen Replacement</t>
        </is>
      </c>
      <c r="H39" s="104" t="inlineStr">
        <is>
          <t>Display</t>
        </is>
      </c>
      <c r="I39" s="104" t="n"/>
      <c r="J39" s="104" t="n"/>
      <c r="K39" s="104" t="n"/>
      <c r="L39" s="104" t="n"/>
      <c r="M39" s="104" t="n"/>
      <c r="N39" s="104" t="n"/>
      <c r="O39" s="104" t="n"/>
      <c r="P39" s="104" t="n"/>
      <c r="Q39" s="104" t="n"/>
      <c r="R39" s="104" t="n"/>
      <c r="S39" s="110" t="n"/>
      <c r="T39" s="110" t="n"/>
      <c r="U39" s="104" t="n"/>
    </row>
    <row r="40">
      <c r="A40" s="102" t="inlineStr">
        <is>
          <t>GUIDE000039</t>
        </is>
      </c>
      <c r="B40" s="101" t="inlineStr">
        <is>
          <t>DEV000039</t>
        </is>
      </c>
      <c r="C40" s="103" t="inlineStr">
        <is>
          <t>APL</t>
        </is>
      </c>
      <c r="D40" s="103" t="inlineStr">
        <is>
          <t>PHN</t>
        </is>
      </c>
      <c r="E40" s="60" t="inlineStr">
        <is>
          <t>iPhone 15</t>
        </is>
      </c>
      <c r="F40" s="104" t="inlineStr">
        <is>
          <t>SVC000001</t>
        </is>
      </c>
      <c r="G40" s="104" t="inlineStr">
        <is>
          <t>Screen Replacement</t>
        </is>
      </c>
      <c r="H40" s="104" t="inlineStr">
        <is>
          <t>Display</t>
        </is>
      </c>
      <c r="I40" s="102" t="n"/>
      <c r="J40" s="102" t="n"/>
      <c r="K40" s="102" t="n"/>
      <c r="L40" s="102" t="n"/>
      <c r="M40" s="102" t="n"/>
      <c r="N40" s="102" t="n"/>
      <c r="O40" s="102" t="n"/>
      <c r="P40" s="102" t="n"/>
      <c r="Q40" s="102" t="n"/>
      <c r="R40" s="102" t="n"/>
      <c r="S40" s="109" t="n"/>
      <c r="T40" s="109" t="n"/>
      <c r="U40" s="102" t="n"/>
    </row>
    <row r="41">
      <c r="A41" s="104" t="inlineStr">
        <is>
          <t>GUIDE000040</t>
        </is>
      </c>
      <c r="B41" s="101" t="inlineStr">
        <is>
          <t>DEV000040</t>
        </is>
      </c>
      <c r="C41" s="103" t="inlineStr">
        <is>
          <t>APL</t>
        </is>
      </c>
      <c r="D41" s="103" t="inlineStr">
        <is>
          <t>PHN</t>
        </is>
      </c>
      <c r="E41" s="60" t="inlineStr">
        <is>
          <t>iPhone 15 Plus</t>
        </is>
      </c>
      <c r="F41" s="104" t="inlineStr">
        <is>
          <t>SVC000001</t>
        </is>
      </c>
      <c r="G41" s="104" t="inlineStr">
        <is>
          <t>Screen Replacement</t>
        </is>
      </c>
      <c r="H41" s="104" t="inlineStr">
        <is>
          <t>Display</t>
        </is>
      </c>
      <c r="I41" s="104" t="n"/>
      <c r="J41" s="104" t="n"/>
      <c r="K41" s="104" t="n"/>
      <c r="L41" s="104" t="n"/>
      <c r="M41" s="104" t="n"/>
      <c r="N41" s="104" t="n"/>
      <c r="O41" s="104" t="n"/>
      <c r="P41" s="104" t="n"/>
      <c r="Q41" s="104" t="n"/>
      <c r="R41" s="104" t="n"/>
      <c r="S41" s="110" t="n"/>
      <c r="T41" s="110" t="n"/>
      <c r="U41" s="104" t="n"/>
    </row>
    <row r="42">
      <c r="A42" s="102" t="inlineStr">
        <is>
          <t>GUIDE000041</t>
        </is>
      </c>
      <c r="B42" s="101" t="inlineStr">
        <is>
          <t>DEV000041</t>
        </is>
      </c>
      <c r="C42" s="103" t="inlineStr">
        <is>
          <t>APL</t>
        </is>
      </c>
      <c r="D42" s="103" t="inlineStr">
        <is>
          <t>PHN</t>
        </is>
      </c>
      <c r="E42" s="60" t="inlineStr">
        <is>
          <t>iPhone 15 Pro</t>
        </is>
      </c>
      <c r="F42" s="104" t="inlineStr">
        <is>
          <t>SVC000001</t>
        </is>
      </c>
      <c r="G42" s="104" t="inlineStr">
        <is>
          <t>Screen Replacement</t>
        </is>
      </c>
      <c r="H42" s="104" t="inlineStr">
        <is>
          <t>Display</t>
        </is>
      </c>
      <c r="I42" s="102" t="n"/>
      <c r="J42" s="102" t="n"/>
      <c r="K42" s="102" t="n"/>
      <c r="L42" s="102" t="n"/>
      <c r="M42" s="102" t="n"/>
      <c r="N42" s="102" t="n"/>
      <c r="O42" s="102" t="n"/>
      <c r="P42" s="102" t="n"/>
      <c r="Q42" s="102" t="n"/>
      <c r="R42" s="102" t="n"/>
      <c r="S42" s="109" t="n"/>
      <c r="T42" s="109" t="n"/>
      <c r="U42" s="102" t="n"/>
    </row>
    <row r="43">
      <c r="A43" s="104" t="inlineStr">
        <is>
          <t>GUIDE000042</t>
        </is>
      </c>
      <c r="B43" s="101" t="inlineStr">
        <is>
          <t>DEV000042</t>
        </is>
      </c>
      <c r="C43" s="103" t="inlineStr">
        <is>
          <t>APL</t>
        </is>
      </c>
      <c r="D43" s="103" t="inlineStr">
        <is>
          <t>PHN</t>
        </is>
      </c>
      <c r="E43" s="60" t="inlineStr">
        <is>
          <t>iPhone 15 Pro Max</t>
        </is>
      </c>
      <c r="F43" s="104" t="inlineStr">
        <is>
          <t>SVC000001</t>
        </is>
      </c>
      <c r="G43" s="104" t="inlineStr">
        <is>
          <t>Screen Replacement</t>
        </is>
      </c>
      <c r="H43" s="104" t="inlineStr">
        <is>
          <t>Display</t>
        </is>
      </c>
      <c r="I43" s="104" t="n"/>
      <c r="J43" s="104" t="n"/>
      <c r="K43" s="104" t="n"/>
      <c r="L43" s="104" t="n"/>
      <c r="M43" s="104" t="n"/>
      <c r="N43" s="104" t="n"/>
      <c r="O43" s="104" t="n"/>
      <c r="P43" s="104" t="n"/>
      <c r="Q43" s="104" t="n"/>
      <c r="R43" s="104" t="n"/>
      <c r="S43" s="110" t="n"/>
      <c r="T43" s="110" t="n"/>
      <c r="U43" s="104" t="n"/>
    </row>
    <row r="44">
      <c r="A44" s="102" t="inlineStr">
        <is>
          <t>GUIDE000043</t>
        </is>
      </c>
      <c r="B44" s="101" t="inlineStr">
        <is>
          <t>DEV000043</t>
        </is>
      </c>
      <c r="C44" s="103" t="inlineStr">
        <is>
          <t>APL</t>
        </is>
      </c>
      <c r="D44" s="103" t="inlineStr">
        <is>
          <t>PHN</t>
        </is>
      </c>
      <c r="E44" s="60" t="inlineStr">
        <is>
          <t>iPhone 16</t>
        </is>
      </c>
      <c r="F44" s="104" t="inlineStr">
        <is>
          <t>SVC000001</t>
        </is>
      </c>
      <c r="G44" s="104" t="inlineStr">
        <is>
          <t>Screen Replacement</t>
        </is>
      </c>
      <c r="H44" s="104" t="inlineStr">
        <is>
          <t>Display</t>
        </is>
      </c>
      <c r="I44" s="102" t="n"/>
      <c r="J44" s="102" t="n"/>
      <c r="K44" s="102" t="n"/>
      <c r="L44" s="102" t="n"/>
      <c r="M44" s="102" t="n"/>
      <c r="N44" s="102" t="n"/>
      <c r="O44" s="102" t="n"/>
      <c r="P44" s="102" t="n"/>
      <c r="Q44" s="102" t="n"/>
      <c r="R44" s="102" t="n"/>
      <c r="S44" s="109" t="n"/>
      <c r="T44" s="109" t="n"/>
      <c r="U44" s="102" t="n"/>
    </row>
    <row r="45">
      <c r="A45" s="104" t="inlineStr">
        <is>
          <t>GUIDE000044</t>
        </is>
      </c>
      <c r="B45" s="101" t="inlineStr">
        <is>
          <t>DEV000044</t>
        </is>
      </c>
      <c r="C45" s="103" t="inlineStr">
        <is>
          <t>APL</t>
        </is>
      </c>
      <c r="D45" s="103" t="inlineStr">
        <is>
          <t>PHN</t>
        </is>
      </c>
      <c r="E45" s="60" t="inlineStr">
        <is>
          <t>iPhone 16 Plus</t>
        </is>
      </c>
      <c r="F45" s="104" t="inlineStr">
        <is>
          <t>SVC000001</t>
        </is>
      </c>
      <c r="G45" s="104" t="inlineStr">
        <is>
          <t>Screen Replacement</t>
        </is>
      </c>
      <c r="H45" s="104" t="inlineStr">
        <is>
          <t>Display</t>
        </is>
      </c>
      <c r="I45" s="104" t="n"/>
      <c r="J45" s="104" t="n"/>
      <c r="K45" s="104" t="n"/>
      <c r="L45" s="104" t="n"/>
      <c r="M45" s="104" t="n"/>
      <c r="N45" s="104" t="n"/>
      <c r="O45" s="104" t="n"/>
      <c r="P45" s="104" t="n"/>
      <c r="Q45" s="104" t="n"/>
      <c r="R45" s="104" t="n"/>
      <c r="S45" s="110" t="n"/>
      <c r="T45" s="110" t="n"/>
      <c r="U45" s="104" t="n"/>
    </row>
    <row r="46">
      <c r="A46" s="104" t="inlineStr">
        <is>
          <t>GUIDE000045</t>
        </is>
      </c>
      <c r="B46" s="101" t="inlineStr">
        <is>
          <t>DEV000045</t>
        </is>
      </c>
      <c r="C46" s="103" t="inlineStr">
        <is>
          <t>APL</t>
        </is>
      </c>
      <c r="D46" s="103" t="inlineStr">
        <is>
          <t>PHN</t>
        </is>
      </c>
      <c r="E46" s="60" t="inlineStr">
        <is>
          <t>iPhone 16 Pro</t>
        </is>
      </c>
      <c r="F46" s="104" t="inlineStr">
        <is>
          <t>SVC000001</t>
        </is>
      </c>
      <c r="G46" s="104" t="inlineStr">
        <is>
          <t>Screen Replacement</t>
        </is>
      </c>
      <c r="H46" s="104" t="inlineStr">
        <is>
          <t>Display</t>
        </is>
      </c>
      <c r="I46" s="102" t="n"/>
      <c r="J46" s="102" t="n"/>
      <c r="K46" s="102" t="n"/>
      <c r="L46" s="102" t="n"/>
      <c r="M46" s="102" t="n"/>
      <c r="N46" s="102" t="n"/>
      <c r="O46" s="102" t="n"/>
      <c r="P46" s="102" t="n"/>
      <c r="Q46" s="102" t="n"/>
      <c r="R46" s="102" t="n"/>
      <c r="S46" s="109" t="n"/>
      <c r="T46" s="109" t="n"/>
      <c r="U46" s="102" t="n"/>
    </row>
    <row r="47">
      <c r="A47" s="104" t="inlineStr">
        <is>
          <t>GUIDE000046</t>
        </is>
      </c>
      <c r="B47" s="101" t="inlineStr">
        <is>
          <t>DEV000046</t>
        </is>
      </c>
      <c r="C47" s="103" t="inlineStr">
        <is>
          <t>APL</t>
        </is>
      </c>
      <c r="D47" s="103" t="inlineStr">
        <is>
          <t>PHN</t>
        </is>
      </c>
      <c r="E47" s="60" t="inlineStr">
        <is>
          <t>iPhone 16 Pro Max</t>
        </is>
      </c>
      <c r="F47" s="104" t="inlineStr">
        <is>
          <t>SVC000001</t>
        </is>
      </c>
      <c r="G47" s="104" t="inlineStr">
        <is>
          <t>Screen Replacement</t>
        </is>
      </c>
      <c r="H47" s="104" t="inlineStr">
        <is>
          <t>Display</t>
        </is>
      </c>
      <c r="I47" s="104" t="n"/>
      <c r="J47" s="104" t="n"/>
      <c r="K47" s="104" t="n"/>
      <c r="L47" s="104" t="n"/>
      <c r="M47" s="104" t="n"/>
      <c r="N47" s="104" t="n"/>
      <c r="O47" s="104" t="n"/>
      <c r="P47" s="104" t="n"/>
      <c r="Q47" s="104" t="n"/>
      <c r="R47" s="104" t="n"/>
      <c r="S47" s="110" t="n"/>
      <c r="T47" s="110" t="n"/>
      <c r="U47" s="104" t="n"/>
    </row>
    <row r="48">
      <c r="A48" s="105" t="inlineStr">
        <is>
          <t>GUIDE000047</t>
        </is>
      </c>
      <c r="B48" s="101" t="inlineStr">
        <is>
          <t>DEV000047</t>
        </is>
      </c>
      <c r="C48" s="103" t="inlineStr">
        <is>
          <t>APL</t>
        </is>
      </c>
      <c r="D48" s="103" t="inlineStr">
        <is>
          <t>PHN</t>
        </is>
      </c>
      <c r="E48" s="60" t="inlineStr">
        <is>
          <t>iPhone 16e</t>
        </is>
      </c>
      <c r="F48" s="104" t="inlineStr">
        <is>
          <t>SVC000001</t>
        </is>
      </c>
      <c r="G48" s="104" t="inlineStr">
        <is>
          <t>Screen Replacement</t>
        </is>
      </c>
      <c r="H48" s="104" t="inlineStr">
        <is>
          <t>Display</t>
        </is>
      </c>
      <c r="I48" s="106" t="n"/>
      <c r="J48" s="106" t="n"/>
      <c r="K48" s="106" t="n"/>
      <c r="L48" s="106" t="n"/>
      <c r="M48" s="106" t="n"/>
      <c r="N48" s="106" t="n"/>
      <c r="O48" s="106" t="n"/>
      <c r="P48" s="106" t="n"/>
      <c r="Q48" s="106" t="n"/>
      <c r="R48" s="106" t="n"/>
      <c r="S48" s="111" t="n"/>
      <c r="T48" s="111" t="n"/>
      <c r="U48" s="106" t="n"/>
    </row>
    <row r="49">
      <c r="A49" s="104" t="inlineStr">
        <is>
          <t>GUIDE000048</t>
        </is>
      </c>
      <c r="B49" s="101" t="inlineStr">
        <is>
          <t>DEV000048</t>
        </is>
      </c>
      <c r="C49" s="103" t="inlineStr">
        <is>
          <t>APL</t>
        </is>
      </c>
      <c r="D49" s="103" t="inlineStr">
        <is>
          <t>PHN</t>
        </is>
      </c>
      <c r="E49" s="60" t="inlineStr">
        <is>
          <t>iPhone 17</t>
        </is>
      </c>
      <c r="F49" s="104" t="inlineStr">
        <is>
          <t>SVC000001</t>
        </is>
      </c>
      <c r="G49" s="104" t="inlineStr">
        <is>
          <t>Screen Replacement</t>
        </is>
      </c>
      <c r="H49" s="104" t="inlineStr">
        <is>
          <t>Display</t>
        </is>
      </c>
      <c r="I49" s="104" t="n"/>
      <c r="J49" s="104" t="n"/>
      <c r="K49" s="104" t="n"/>
      <c r="L49" s="104" t="n"/>
      <c r="M49" s="104" t="n"/>
      <c r="N49" s="104" t="n"/>
      <c r="O49" s="104" t="n"/>
      <c r="P49" s="104" t="n"/>
      <c r="Q49" s="104" t="n"/>
      <c r="R49" s="104" t="n"/>
      <c r="S49" s="110" t="n"/>
      <c r="T49" s="110" t="n"/>
      <c r="U49" s="104" t="n"/>
    </row>
    <row r="50">
      <c r="A50" s="104" t="inlineStr">
        <is>
          <t>GUIDE000049</t>
        </is>
      </c>
      <c r="B50" s="101" t="inlineStr">
        <is>
          <t>DEV000049</t>
        </is>
      </c>
      <c r="C50" s="103" t="inlineStr">
        <is>
          <t>APL</t>
        </is>
      </c>
      <c r="D50" s="103" t="inlineStr">
        <is>
          <t>PHN</t>
        </is>
      </c>
      <c r="E50" s="60" t="inlineStr">
        <is>
          <t>iPhone 17 Pro</t>
        </is>
      </c>
      <c r="F50" s="104" t="inlineStr">
        <is>
          <t>SVC000001</t>
        </is>
      </c>
      <c r="G50" s="104" t="inlineStr">
        <is>
          <t>Screen Replacement</t>
        </is>
      </c>
      <c r="H50" s="104" t="inlineStr">
        <is>
          <t>Display</t>
        </is>
      </c>
      <c r="I50" s="104" t="n"/>
      <c r="J50" s="104" t="n"/>
      <c r="K50" s="104" t="n"/>
      <c r="L50" s="104" t="n"/>
      <c r="M50" s="104" t="n"/>
      <c r="N50" s="104" t="n"/>
      <c r="O50" s="104" t="n"/>
      <c r="P50" s="104" t="n"/>
      <c r="Q50" s="104" t="n"/>
      <c r="R50" s="104" t="n"/>
      <c r="S50" s="110" t="n"/>
      <c r="T50" s="110" t="n"/>
      <c r="U50" s="104" t="n"/>
    </row>
    <row r="51">
      <c r="A51" s="104" t="inlineStr">
        <is>
          <t>GUIDE000050</t>
        </is>
      </c>
      <c r="B51" s="101" t="inlineStr">
        <is>
          <t>DEV000050</t>
        </is>
      </c>
      <c r="C51" s="103" t="inlineStr">
        <is>
          <t>APL</t>
        </is>
      </c>
      <c r="D51" s="103" t="inlineStr">
        <is>
          <t>PHN</t>
        </is>
      </c>
      <c r="E51" s="60" t="inlineStr">
        <is>
          <t>iPhone 17 Pro Max</t>
        </is>
      </c>
      <c r="F51" s="104" t="inlineStr">
        <is>
          <t>SVC000001</t>
        </is>
      </c>
      <c r="G51" s="104" t="inlineStr">
        <is>
          <t>Screen Replacement</t>
        </is>
      </c>
      <c r="H51" s="104" t="inlineStr">
        <is>
          <t>Display</t>
        </is>
      </c>
      <c r="I51" s="104" t="n"/>
      <c r="J51" s="104" t="n"/>
      <c r="K51" s="104" t="n"/>
      <c r="L51" s="104" t="n"/>
      <c r="M51" s="104" t="n"/>
      <c r="N51" s="104" t="n"/>
      <c r="O51" s="104" t="n"/>
      <c r="P51" s="104" t="n"/>
      <c r="Q51" s="104" t="n"/>
      <c r="R51" s="104" t="n"/>
      <c r="S51" s="110" t="n"/>
      <c r="T51" s="110" t="n"/>
      <c r="U51" s="104" t="n"/>
    </row>
    <row r="52">
      <c r="A52" s="105" t="inlineStr">
        <is>
          <t>GUIDE000051</t>
        </is>
      </c>
      <c r="B52" s="101" t="inlineStr">
        <is>
          <t>DEV000051</t>
        </is>
      </c>
      <c r="C52" s="103" t="inlineStr">
        <is>
          <t>APL</t>
        </is>
      </c>
      <c r="D52" s="103" t="inlineStr">
        <is>
          <t>PHN</t>
        </is>
      </c>
      <c r="E52" s="60" t="inlineStr">
        <is>
          <t>iPhone Air</t>
        </is>
      </c>
      <c r="F52" s="104" t="inlineStr">
        <is>
          <t>SVC000001</t>
        </is>
      </c>
      <c r="G52" s="104" t="inlineStr">
        <is>
          <t>Screen Replacement</t>
        </is>
      </c>
      <c r="H52" s="104" t="inlineStr">
        <is>
          <t>Display</t>
        </is>
      </c>
      <c r="I52" s="104" t="n"/>
      <c r="J52" s="104" t="n"/>
      <c r="K52" s="104" t="n"/>
      <c r="L52" s="104" t="n"/>
      <c r="M52" s="104" t="n"/>
      <c r="N52" s="104" t="n"/>
      <c r="O52" s="104" t="n"/>
      <c r="P52" s="104" t="n"/>
      <c r="Q52" s="104" t="n"/>
      <c r="R52" s="104" t="n"/>
      <c r="S52" s="110" t="n"/>
      <c r="T52" s="110" t="n"/>
      <c r="U52" s="104" t="n"/>
    </row>
    <row r="53">
      <c r="A53" s="104" t="inlineStr">
        <is>
          <t>GUIDE000052</t>
        </is>
      </c>
      <c r="B53" s="101" t="inlineStr">
        <is>
          <t>DEV000052</t>
        </is>
      </c>
      <c r="C53" s="103" t="inlineStr">
        <is>
          <t>APL</t>
        </is>
      </c>
      <c r="D53" s="103" t="inlineStr">
        <is>
          <t>PHN</t>
        </is>
      </c>
      <c r="E53" s="60" t="inlineStr">
        <is>
          <t>iPhone 17e</t>
        </is>
      </c>
      <c r="F53" s="104" t="inlineStr">
        <is>
          <t>SVC000001</t>
        </is>
      </c>
      <c r="G53" s="104" t="inlineStr">
        <is>
          <t>Screen Replacement</t>
        </is>
      </c>
      <c r="H53" s="104" t="inlineStr">
        <is>
          <t>Display</t>
        </is>
      </c>
      <c r="I53" s="104" t="n"/>
      <c r="J53" s="104" t="n"/>
      <c r="K53" s="104" t="n"/>
      <c r="L53" s="104" t="n"/>
      <c r="M53" s="104" t="n"/>
      <c r="N53" s="104" t="n"/>
      <c r="O53" s="104" t="n"/>
      <c r="P53" s="104" t="n"/>
      <c r="Q53" s="104" t="n"/>
      <c r="R53" s="104" t="n"/>
      <c r="S53" s="110" t="n"/>
      <c r="T53" s="110" t="n"/>
      <c r="U53" s="104" t="n"/>
    </row>
    <row r="54">
      <c r="A54" s="104" t="inlineStr">
        <is>
          <t>GUIDE000053</t>
        </is>
      </c>
      <c r="B54" s="101" t="inlineStr">
        <is>
          <t>DEV000001</t>
        </is>
      </c>
      <c r="C54" s="103" t="inlineStr">
        <is>
          <t>APL</t>
        </is>
      </c>
      <c r="D54" s="103" t="inlineStr">
        <is>
          <t>PHN</t>
        </is>
      </c>
      <c r="E54" s="60" t="inlineStr">
        <is>
          <t>iPhone (2G)</t>
        </is>
      </c>
      <c r="F54" s="104" t="inlineStr">
        <is>
          <t>SVC000003</t>
        </is>
      </c>
      <c r="G54" s="104" t="inlineStr">
        <is>
          <t>LCD Replacement</t>
        </is>
      </c>
      <c r="H54" s="104" t="inlineStr">
        <is>
          <t>Display</t>
        </is>
      </c>
      <c r="I54" s="104" t="n"/>
      <c r="J54" s="104" t="n"/>
      <c r="K54" s="104" t="n"/>
      <c r="L54" s="104" t="n"/>
      <c r="M54" s="104" t="n"/>
      <c r="N54" s="104" t="n"/>
      <c r="O54" s="104" t="n"/>
      <c r="P54" s="104" t="n"/>
      <c r="Q54" s="104" t="n"/>
      <c r="R54" s="104" t="n"/>
      <c r="S54" s="110" t="n"/>
      <c r="T54" s="110" t="n"/>
      <c r="U54" s="104" t="n"/>
    </row>
    <row r="55">
      <c r="A55" s="104" t="inlineStr">
        <is>
          <t>GUIDE000054</t>
        </is>
      </c>
      <c r="B55" s="101" t="inlineStr">
        <is>
          <t>DEV000002</t>
        </is>
      </c>
      <c r="C55" s="103" t="inlineStr">
        <is>
          <t>APL</t>
        </is>
      </c>
      <c r="D55" s="103" t="inlineStr">
        <is>
          <t>PHN</t>
        </is>
      </c>
      <c r="E55" s="60" t="inlineStr">
        <is>
          <t>iPhone 3G</t>
        </is>
      </c>
      <c r="F55" s="104" t="inlineStr">
        <is>
          <t>SVC000003</t>
        </is>
      </c>
      <c r="G55" s="104" t="inlineStr">
        <is>
          <t>LCD Replacement</t>
        </is>
      </c>
      <c r="H55" s="104" t="inlineStr">
        <is>
          <t>Display</t>
        </is>
      </c>
      <c r="I55" s="104" t="n"/>
      <c r="J55" s="104" t="n"/>
      <c r="K55" s="104" t="n"/>
      <c r="L55" s="104" t="n"/>
      <c r="M55" s="104" t="n"/>
      <c r="N55" s="104" t="n"/>
      <c r="O55" s="104" t="n"/>
      <c r="P55" s="104" t="n"/>
      <c r="Q55" s="104" t="n"/>
      <c r="R55" s="104" t="n"/>
      <c r="S55" s="110" t="n"/>
      <c r="T55" s="110" t="n"/>
      <c r="U55" s="104" t="n"/>
    </row>
    <row r="56">
      <c r="A56" s="104" t="inlineStr">
        <is>
          <t>GUIDE000055</t>
        </is>
      </c>
      <c r="B56" s="101" t="inlineStr">
        <is>
          <t>DEV000003</t>
        </is>
      </c>
      <c r="C56" s="103" t="inlineStr">
        <is>
          <t>APL</t>
        </is>
      </c>
      <c r="D56" s="103" t="inlineStr">
        <is>
          <t>PHN</t>
        </is>
      </c>
      <c r="E56" s="60" t="inlineStr">
        <is>
          <t>iPhone 3GS</t>
        </is>
      </c>
      <c r="F56" s="104" t="inlineStr">
        <is>
          <t>SVC000003</t>
        </is>
      </c>
      <c r="G56" s="104" t="inlineStr">
        <is>
          <t>LCD Replacement</t>
        </is>
      </c>
      <c r="H56" s="104" t="inlineStr">
        <is>
          <t>Display</t>
        </is>
      </c>
      <c r="I56" s="104" t="n"/>
      <c r="J56" s="104" t="n"/>
      <c r="K56" s="104" t="n"/>
      <c r="L56" s="104" t="n"/>
      <c r="M56" s="104" t="n"/>
      <c r="N56" s="104" t="n"/>
      <c r="O56" s="104" t="n"/>
      <c r="P56" s="104" t="n"/>
      <c r="Q56" s="104" t="n"/>
      <c r="R56" s="104" t="n"/>
      <c r="S56" s="110" t="n"/>
      <c r="T56" s="110" t="n"/>
      <c r="U56" s="104" t="n"/>
    </row>
    <row r="57">
      <c r="A57" s="105" t="inlineStr">
        <is>
          <t>GUIDE000056</t>
        </is>
      </c>
      <c r="B57" s="101" t="inlineStr">
        <is>
          <t>DEV000004</t>
        </is>
      </c>
      <c r="C57" s="103" t="inlineStr">
        <is>
          <t>APL</t>
        </is>
      </c>
      <c r="D57" s="103" t="inlineStr">
        <is>
          <t>PHN</t>
        </is>
      </c>
      <c r="E57" s="60" t="inlineStr">
        <is>
          <t>iPhone 4</t>
        </is>
      </c>
      <c r="F57" s="104" t="inlineStr">
        <is>
          <t>SVC000003</t>
        </is>
      </c>
      <c r="G57" s="104" t="inlineStr">
        <is>
          <t>LCD Replacement</t>
        </is>
      </c>
      <c r="H57" s="104" t="inlineStr">
        <is>
          <t>Display</t>
        </is>
      </c>
      <c r="I57" s="104" t="n"/>
      <c r="J57" s="104" t="n"/>
      <c r="K57" s="104" t="n"/>
      <c r="L57" s="104" t="n"/>
      <c r="M57" s="104" t="n"/>
      <c r="N57" s="104" t="n"/>
      <c r="O57" s="104" t="n"/>
      <c r="P57" s="104" t="n"/>
      <c r="Q57" s="104" t="n"/>
      <c r="R57" s="104" t="n"/>
      <c r="S57" s="110" t="n"/>
      <c r="T57" s="110" t="n"/>
      <c r="U57" s="104" t="n"/>
    </row>
    <row r="58">
      <c r="A58" s="104" t="inlineStr">
        <is>
          <t>GUIDE000057</t>
        </is>
      </c>
      <c r="B58" s="101" t="inlineStr">
        <is>
          <t>DEV000005</t>
        </is>
      </c>
      <c r="C58" s="103" t="inlineStr">
        <is>
          <t>APL</t>
        </is>
      </c>
      <c r="D58" s="103" t="inlineStr">
        <is>
          <t>PHN</t>
        </is>
      </c>
      <c r="E58" s="60" t="inlineStr">
        <is>
          <t>iPhone 4s</t>
        </is>
      </c>
      <c r="F58" s="104" t="inlineStr">
        <is>
          <t>SVC000003</t>
        </is>
      </c>
      <c r="G58" s="104" t="inlineStr">
        <is>
          <t>LCD Replacement</t>
        </is>
      </c>
      <c r="H58" s="104" t="inlineStr">
        <is>
          <t>Display</t>
        </is>
      </c>
      <c r="I58" s="104" t="n"/>
      <c r="J58" s="104" t="n"/>
      <c r="K58" s="104" t="n"/>
      <c r="L58" s="104" t="n"/>
      <c r="M58" s="104" t="n"/>
      <c r="N58" s="104" t="n"/>
      <c r="O58" s="104" t="n"/>
      <c r="P58" s="104" t="n"/>
      <c r="Q58" s="104" t="n"/>
      <c r="R58" s="104" t="n"/>
      <c r="S58" s="110" t="n"/>
      <c r="T58" s="110" t="n"/>
      <c r="U58" s="104" t="n"/>
    </row>
    <row r="59">
      <c r="A59" s="104" t="inlineStr">
        <is>
          <t>GUIDE000058</t>
        </is>
      </c>
      <c r="B59" s="101" t="inlineStr">
        <is>
          <t>DEV000006</t>
        </is>
      </c>
      <c r="C59" s="103" t="inlineStr">
        <is>
          <t>APL</t>
        </is>
      </c>
      <c r="D59" s="103" t="inlineStr">
        <is>
          <t>PHN</t>
        </is>
      </c>
      <c r="E59" s="60" t="inlineStr">
        <is>
          <t>iPhone 5</t>
        </is>
      </c>
      <c r="F59" s="104" t="inlineStr">
        <is>
          <t>SVC000003</t>
        </is>
      </c>
      <c r="G59" s="104" t="inlineStr">
        <is>
          <t>LCD Replacement</t>
        </is>
      </c>
      <c r="H59" s="104" t="inlineStr">
        <is>
          <t>Display</t>
        </is>
      </c>
      <c r="I59" s="104" t="n"/>
      <c r="J59" s="104" t="n"/>
      <c r="K59" s="104" t="n"/>
      <c r="L59" s="104" t="n"/>
      <c r="M59" s="104" t="n"/>
      <c r="N59" s="104" t="n"/>
      <c r="O59" s="104" t="n"/>
      <c r="P59" s="104" t="n"/>
      <c r="Q59" s="104" t="n"/>
      <c r="R59" s="104" t="n"/>
      <c r="S59" s="110" t="n"/>
      <c r="T59" s="110" t="n"/>
      <c r="U59" s="104" t="n"/>
    </row>
    <row r="60">
      <c r="A60" s="104" t="inlineStr">
        <is>
          <t>GUIDE000059</t>
        </is>
      </c>
      <c r="B60" s="101" t="inlineStr">
        <is>
          <t>DEV000007</t>
        </is>
      </c>
      <c r="C60" s="103" t="inlineStr">
        <is>
          <t>APL</t>
        </is>
      </c>
      <c r="D60" s="103" t="inlineStr">
        <is>
          <t>PHN</t>
        </is>
      </c>
      <c r="E60" s="60" t="inlineStr">
        <is>
          <t>iPhone 5c</t>
        </is>
      </c>
      <c r="F60" s="104" t="inlineStr">
        <is>
          <t>SVC000003</t>
        </is>
      </c>
      <c r="G60" s="104" t="inlineStr">
        <is>
          <t>LCD Replacement</t>
        </is>
      </c>
      <c r="H60" s="104" t="inlineStr">
        <is>
          <t>Display</t>
        </is>
      </c>
      <c r="I60" s="104" t="n"/>
      <c r="J60" s="104" t="n"/>
      <c r="K60" s="104" t="n"/>
      <c r="L60" s="104" t="n"/>
      <c r="M60" s="104" t="n"/>
      <c r="N60" s="104" t="n"/>
      <c r="O60" s="104" t="n"/>
      <c r="P60" s="104" t="n"/>
      <c r="Q60" s="104" t="n"/>
      <c r="R60" s="104" t="n"/>
      <c r="S60" s="110" t="n"/>
      <c r="T60" s="110" t="n"/>
      <c r="U60" s="104" t="n"/>
    </row>
    <row r="61">
      <c r="A61" s="105" t="inlineStr">
        <is>
          <t>GUIDE000060</t>
        </is>
      </c>
      <c r="B61" s="101" t="inlineStr">
        <is>
          <t>DEV000008</t>
        </is>
      </c>
      <c r="C61" s="103" t="inlineStr">
        <is>
          <t>APL</t>
        </is>
      </c>
      <c r="D61" s="103" t="inlineStr">
        <is>
          <t>PHN</t>
        </is>
      </c>
      <c r="E61" s="60" t="inlineStr">
        <is>
          <t>iPhone 5s</t>
        </is>
      </c>
      <c r="F61" s="104" t="inlineStr">
        <is>
          <t>SVC000003</t>
        </is>
      </c>
      <c r="G61" s="104" t="inlineStr">
        <is>
          <t>LCD Replacement</t>
        </is>
      </c>
      <c r="H61" s="104" t="inlineStr">
        <is>
          <t>Display</t>
        </is>
      </c>
      <c r="I61" s="104" t="n"/>
      <c r="J61" s="104" t="n"/>
      <c r="K61" s="104" t="n"/>
      <c r="L61" s="104" t="n"/>
      <c r="M61" s="104" t="n"/>
      <c r="N61" s="104" t="n"/>
      <c r="O61" s="104" t="n"/>
      <c r="P61" s="104" t="n"/>
      <c r="Q61" s="104" t="n"/>
      <c r="R61" s="104" t="n"/>
      <c r="S61" s="110" t="n"/>
      <c r="T61" s="110" t="n"/>
      <c r="U61" s="104" t="n"/>
    </row>
    <row r="62">
      <c r="A62" s="104" t="inlineStr">
        <is>
          <t>GUIDE000061</t>
        </is>
      </c>
      <c r="B62" s="101" t="inlineStr">
        <is>
          <t>DEV000009</t>
        </is>
      </c>
      <c r="C62" s="103" t="inlineStr">
        <is>
          <t>APL</t>
        </is>
      </c>
      <c r="D62" s="103" t="inlineStr">
        <is>
          <t>PHN</t>
        </is>
      </c>
      <c r="E62" s="60" t="inlineStr">
        <is>
          <t>iPhone 6</t>
        </is>
      </c>
      <c r="F62" s="104" t="inlineStr">
        <is>
          <t>SVC000003</t>
        </is>
      </c>
      <c r="G62" s="104" t="inlineStr">
        <is>
          <t>LCD Replacement</t>
        </is>
      </c>
      <c r="H62" s="104" t="inlineStr">
        <is>
          <t>Display</t>
        </is>
      </c>
      <c r="I62" s="104" t="n"/>
      <c r="J62" s="104" t="n"/>
      <c r="K62" s="104" t="n"/>
      <c r="L62" s="104" t="n"/>
      <c r="M62" s="104" t="n"/>
      <c r="N62" s="104" t="n"/>
      <c r="O62" s="104" t="n"/>
      <c r="P62" s="104" t="n"/>
      <c r="Q62" s="104" t="n"/>
      <c r="R62" s="104" t="n"/>
      <c r="S62" s="110" t="n"/>
      <c r="T62" s="110" t="n"/>
      <c r="U62" s="104" t="n"/>
    </row>
    <row r="63">
      <c r="A63" s="104" t="inlineStr">
        <is>
          <t>GUIDE000062</t>
        </is>
      </c>
      <c r="B63" s="101" t="inlineStr">
        <is>
          <t>DEV000010</t>
        </is>
      </c>
      <c r="C63" s="103" t="inlineStr">
        <is>
          <t>APL</t>
        </is>
      </c>
      <c r="D63" s="103" t="inlineStr">
        <is>
          <t>PHN</t>
        </is>
      </c>
      <c r="E63" s="60" t="inlineStr">
        <is>
          <t>iPhone 6 Plus</t>
        </is>
      </c>
      <c r="F63" s="104" t="inlineStr">
        <is>
          <t>SVC000003</t>
        </is>
      </c>
      <c r="G63" s="104" t="inlineStr">
        <is>
          <t>LCD Replacement</t>
        </is>
      </c>
      <c r="H63" s="104" t="inlineStr">
        <is>
          <t>Display</t>
        </is>
      </c>
      <c r="I63" s="104" t="n"/>
      <c r="J63" s="104" t="n"/>
      <c r="K63" s="104" t="n"/>
      <c r="L63" s="104" t="n"/>
      <c r="M63" s="104" t="n"/>
      <c r="N63" s="104" t="n"/>
      <c r="O63" s="104" t="n"/>
      <c r="P63" s="104" t="n"/>
      <c r="Q63" s="104" t="n"/>
      <c r="R63" s="104" t="n"/>
      <c r="S63" s="110" t="n"/>
      <c r="T63" s="110" t="n"/>
      <c r="U63" s="104" t="n"/>
    </row>
    <row r="64">
      <c r="A64" s="104" t="inlineStr">
        <is>
          <t>GUIDE000063</t>
        </is>
      </c>
      <c r="B64" s="101" t="inlineStr">
        <is>
          <t>DEV000011</t>
        </is>
      </c>
      <c r="C64" s="103" t="inlineStr">
        <is>
          <t>APL</t>
        </is>
      </c>
      <c r="D64" s="103" t="inlineStr">
        <is>
          <t>PHN</t>
        </is>
      </c>
      <c r="E64" s="60" t="inlineStr">
        <is>
          <t>iPhone 6s</t>
        </is>
      </c>
      <c r="F64" s="104" t="inlineStr">
        <is>
          <t>SVC000003</t>
        </is>
      </c>
      <c r="G64" s="104" t="inlineStr">
        <is>
          <t>LCD Replacement</t>
        </is>
      </c>
      <c r="H64" s="104" t="inlineStr">
        <is>
          <t>Display</t>
        </is>
      </c>
      <c r="I64" s="104" t="n"/>
      <c r="J64" s="104" t="n"/>
      <c r="K64" s="104" t="n"/>
      <c r="L64" s="104" t="n"/>
      <c r="M64" s="104" t="n"/>
      <c r="N64" s="104" t="n"/>
      <c r="O64" s="104" t="n"/>
      <c r="P64" s="104" t="n"/>
      <c r="Q64" s="104" t="n"/>
      <c r="R64" s="104" t="n"/>
      <c r="S64" s="110" t="n"/>
      <c r="T64" s="110" t="n"/>
      <c r="U64" s="104" t="n"/>
    </row>
    <row r="65">
      <c r="A65" s="104" t="inlineStr">
        <is>
          <t>GUIDE000064</t>
        </is>
      </c>
      <c r="B65" s="101" t="inlineStr">
        <is>
          <t>DEV000012</t>
        </is>
      </c>
      <c r="C65" s="103" t="inlineStr">
        <is>
          <t>APL</t>
        </is>
      </c>
      <c r="D65" s="103" t="inlineStr">
        <is>
          <t>PHN</t>
        </is>
      </c>
      <c r="E65" s="60" t="inlineStr">
        <is>
          <t>iPhone 6s Plus</t>
        </is>
      </c>
      <c r="F65" s="104" t="inlineStr">
        <is>
          <t>SVC000003</t>
        </is>
      </c>
      <c r="G65" s="104" t="inlineStr">
        <is>
          <t>LCD Replacement</t>
        </is>
      </c>
      <c r="H65" s="104" t="inlineStr">
        <is>
          <t>Display</t>
        </is>
      </c>
      <c r="I65" s="104" t="n"/>
      <c r="J65" s="104" t="n"/>
      <c r="K65" s="104" t="n"/>
      <c r="L65" s="104" t="n"/>
      <c r="M65" s="104" t="n"/>
      <c r="N65" s="104" t="n"/>
      <c r="O65" s="104" t="n"/>
      <c r="P65" s="104" t="n"/>
      <c r="Q65" s="104" t="n"/>
      <c r="R65" s="104" t="n"/>
      <c r="S65" s="110" t="n"/>
      <c r="T65" s="110" t="n"/>
      <c r="U65" s="104" t="n"/>
    </row>
    <row r="66">
      <c r="A66" s="105" t="inlineStr">
        <is>
          <t>GUIDE000065</t>
        </is>
      </c>
      <c r="B66" s="101" t="inlineStr">
        <is>
          <t>DEV000013</t>
        </is>
      </c>
      <c r="C66" s="103" t="inlineStr">
        <is>
          <t>APL</t>
        </is>
      </c>
      <c r="D66" s="103" t="inlineStr">
        <is>
          <t>PHN</t>
        </is>
      </c>
      <c r="E66" s="60" t="inlineStr">
        <is>
          <t>iPhone SE (1st Gen)</t>
        </is>
      </c>
      <c r="F66" s="104" t="inlineStr">
        <is>
          <t>SVC000003</t>
        </is>
      </c>
      <c r="G66" s="104" t="inlineStr">
        <is>
          <t>LCD Replacement</t>
        </is>
      </c>
      <c r="H66" s="104" t="inlineStr">
        <is>
          <t>Display</t>
        </is>
      </c>
      <c r="I66" s="104" t="n"/>
      <c r="J66" s="104" t="n"/>
      <c r="K66" s="104" t="n"/>
      <c r="L66" s="104" t="n"/>
      <c r="M66" s="104" t="n"/>
      <c r="N66" s="104" t="n"/>
      <c r="O66" s="104" t="n"/>
      <c r="P66" s="104" t="n"/>
      <c r="Q66" s="104" t="n"/>
      <c r="R66" s="104" t="n"/>
      <c r="S66" s="110" t="n"/>
      <c r="T66" s="110" t="n"/>
      <c r="U66" s="104" t="n"/>
    </row>
    <row r="67">
      <c r="A67" s="104" t="inlineStr">
        <is>
          <t>GUIDE000066</t>
        </is>
      </c>
      <c r="B67" s="101" t="inlineStr">
        <is>
          <t>DEV000014</t>
        </is>
      </c>
      <c r="C67" s="103" t="inlineStr">
        <is>
          <t>APL</t>
        </is>
      </c>
      <c r="D67" s="103" t="inlineStr">
        <is>
          <t>PHN</t>
        </is>
      </c>
      <c r="E67" s="60" t="inlineStr">
        <is>
          <t>iPhone 7</t>
        </is>
      </c>
      <c r="F67" s="104" t="inlineStr">
        <is>
          <t>SVC000003</t>
        </is>
      </c>
      <c r="G67" s="104" t="inlineStr">
        <is>
          <t>LCD Replacement</t>
        </is>
      </c>
      <c r="H67" s="104" t="inlineStr">
        <is>
          <t>Display</t>
        </is>
      </c>
      <c r="I67" s="104" t="n"/>
      <c r="J67" s="104" t="n"/>
      <c r="K67" s="104" t="n"/>
      <c r="L67" s="104" t="n"/>
      <c r="M67" s="104" t="n"/>
      <c r="N67" s="104" t="n"/>
      <c r="O67" s="104" t="n"/>
      <c r="P67" s="104" t="n"/>
      <c r="Q67" s="104" t="n"/>
      <c r="R67" s="104" t="n"/>
      <c r="S67" s="110" t="n"/>
      <c r="T67" s="110" t="n"/>
      <c r="U67" s="104" t="n"/>
    </row>
    <row r="68">
      <c r="A68" s="104" t="inlineStr">
        <is>
          <t>GUIDE000067</t>
        </is>
      </c>
      <c r="B68" s="101" t="inlineStr">
        <is>
          <t>DEV000015</t>
        </is>
      </c>
      <c r="C68" s="103" t="inlineStr">
        <is>
          <t>APL</t>
        </is>
      </c>
      <c r="D68" s="103" t="inlineStr">
        <is>
          <t>PHN</t>
        </is>
      </c>
      <c r="E68" s="60" t="inlineStr">
        <is>
          <t>iPhone 7 Plus</t>
        </is>
      </c>
      <c r="F68" s="104" t="inlineStr">
        <is>
          <t>SVC000003</t>
        </is>
      </c>
      <c r="G68" s="104" t="inlineStr">
        <is>
          <t>LCD Replacement</t>
        </is>
      </c>
      <c r="H68" s="104" t="inlineStr">
        <is>
          <t>Display</t>
        </is>
      </c>
      <c r="I68" s="104" t="n"/>
      <c r="J68" s="104" t="n"/>
      <c r="K68" s="104" t="n"/>
      <c r="L68" s="104" t="n"/>
      <c r="M68" s="104" t="n"/>
      <c r="N68" s="104" t="n"/>
      <c r="O68" s="104" t="n"/>
      <c r="P68" s="104" t="n"/>
      <c r="Q68" s="104" t="n"/>
      <c r="R68" s="104" t="n"/>
      <c r="S68" s="110" t="n"/>
      <c r="T68" s="110" t="n"/>
      <c r="U68" s="104" t="n"/>
    </row>
    <row r="69">
      <c r="A69" s="104" t="inlineStr">
        <is>
          <t>GUIDE000068</t>
        </is>
      </c>
      <c r="B69" s="101" t="inlineStr">
        <is>
          <t>DEV000016</t>
        </is>
      </c>
      <c r="C69" s="103" t="inlineStr">
        <is>
          <t>APL</t>
        </is>
      </c>
      <c r="D69" s="103" t="inlineStr">
        <is>
          <t>PHN</t>
        </is>
      </c>
      <c r="E69" s="60" t="inlineStr">
        <is>
          <t>iPhone 8</t>
        </is>
      </c>
      <c r="F69" s="104" t="inlineStr">
        <is>
          <t>SVC000003</t>
        </is>
      </c>
      <c r="G69" s="104" t="inlineStr">
        <is>
          <t>LCD Replacement</t>
        </is>
      </c>
      <c r="H69" s="104" t="inlineStr">
        <is>
          <t>Display</t>
        </is>
      </c>
      <c r="I69" s="104" t="n"/>
      <c r="J69" s="104" t="n"/>
      <c r="K69" s="104" t="n"/>
      <c r="L69" s="104" t="n"/>
      <c r="M69" s="104" t="n"/>
      <c r="N69" s="104" t="n"/>
      <c r="O69" s="104" t="n"/>
      <c r="P69" s="104" t="n"/>
      <c r="Q69" s="104" t="n"/>
      <c r="R69" s="104" t="n"/>
      <c r="S69" s="110" t="n"/>
      <c r="T69" s="110" t="n"/>
      <c r="U69" s="104" t="n"/>
    </row>
    <row r="70">
      <c r="A70" s="105" t="inlineStr">
        <is>
          <t>GUIDE000069</t>
        </is>
      </c>
      <c r="B70" s="101" t="inlineStr">
        <is>
          <t>DEV000017</t>
        </is>
      </c>
      <c r="C70" s="103" t="inlineStr">
        <is>
          <t>APL</t>
        </is>
      </c>
      <c r="D70" s="103" t="inlineStr">
        <is>
          <t>PHN</t>
        </is>
      </c>
      <c r="E70" s="60" t="inlineStr">
        <is>
          <t>iPhone 8 Plus</t>
        </is>
      </c>
      <c r="F70" s="104" t="inlineStr">
        <is>
          <t>SVC000003</t>
        </is>
      </c>
      <c r="G70" s="104" t="inlineStr">
        <is>
          <t>LCD Replacement</t>
        </is>
      </c>
      <c r="H70" s="104" t="inlineStr">
        <is>
          <t>Display</t>
        </is>
      </c>
      <c r="I70" s="104" t="n"/>
      <c r="J70" s="104" t="n"/>
      <c r="K70" s="104" t="n"/>
      <c r="L70" s="104" t="n"/>
      <c r="M70" s="104" t="n"/>
      <c r="N70" s="104" t="n"/>
      <c r="O70" s="104" t="n"/>
      <c r="P70" s="104" t="n"/>
      <c r="Q70" s="104" t="n"/>
      <c r="R70" s="104" t="n"/>
      <c r="S70" s="110" t="n"/>
      <c r="T70" s="110" t="n"/>
      <c r="U70" s="104" t="n"/>
    </row>
    <row r="71">
      <c r="A71" s="104" t="inlineStr">
        <is>
          <t>GUIDE000070</t>
        </is>
      </c>
      <c r="B71" s="101" t="inlineStr">
        <is>
          <t>DEV000018</t>
        </is>
      </c>
      <c r="C71" s="103" t="inlineStr">
        <is>
          <t>APL</t>
        </is>
      </c>
      <c r="D71" s="103" t="inlineStr">
        <is>
          <t>PHN</t>
        </is>
      </c>
      <c r="E71" s="60" t="inlineStr">
        <is>
          <t>iPhone X</t>
        </is>
      </c>
      <c r="F71" s="104" t="inlineStr">
        <is>
          <t>SVC000003</t>
        </is>
      </c>
      <c r="G71" s="104" t="inlineStr">
        <is>
          <t>LCD Replacement</t>
        </is>
      </c>
      <c r="H71" s="104" t="inlineStr">
        <is>
          <t>Display</t>
        </is>
      </c>
      <c r="I71" s="104" t="n"/>
      <c r="J71" s="104" t="n"/>
      <c r="K71" s="104" t="n"/>
      <c r="L71" s="104" t="n"/>
      <c r="M71" s="104" t="n"/>
      <c r="N71" s="104" t="n"/>
      <c r="O71" s="104" t="n"/>
      <c r="P71" s="104" t="n"/>
      <c r="Q71" s="104" t="n"/>
      <c r="R71" s="104" t="n"/>
      <c r="S71" s="110" t="n"/>
      <c r="T71" s="110" t="n"/>
      <c r="U71" s="104" t="n"/>
    </row>
    <row r="72">
      <c r="A72" s="104" t="inlineStr">
        <is>
          <t>GUIDE000071</t>
        </is>
      </c>
      <c r="B72" s="101" t="inlineStr">
        <is>
          <t>DEV000019</t>
        </is>
      </c>
      <c r="C72" s="103" t="inlineStr">
        <is>
          <t>APL</t>
        </is>
      </c>
      <c r="D72" s="103" t="inlineStr">
        <is>
          <t>PHN</t>
        </is>
      </c>
      <c r="E72" s="60" t="inlineStr">
        <is>
          <t>iPhone XR</t>
        </is>
      </c>
      <c r="F72" s="104" t="inlineStr">
        <is>
          <t>SVC000003</t>
        </is>
      </c>
      <c r="G72" s="104" t="inlineStr">
        <is>
          <t>LCD Replacement</t>
        </is>
      </c>
      <c r="H72" s="104" t="inlineStr">
        <is>
          <t>Display</t>
        </is>
      </c>
      <c r="I72" s="104" t="n"/>
      <c r="J72" s="104" t="n"/>
      <c r="K72" s="104" t="n"/>
      <c r="L72" s="104" t="n"/>
      <c r="M72" s="104" t="n"/>
      <c r="N72" s="104" t="n"/>
      <c r="O72" s="104" t="n"/>
      <c r="P72" s="104" t="n"/>
      <c r="Q72" s="104" t="n"/>
      <c r="R72" s="104" t="n"/>
      <c r="S72" s="110" t="n"/>
      <c r="T72" s="110" t="n"/>
      <c r="U72" s="104" t="n"/>
    </row>
    <row r="73">
      <c r="A73" s="104" t="inlineStr">
        <is>
          <t>GUIDE000072</t>
        </is>
      </c>
      <c r="B73" s="101" t="inlineStr">
        <is>
          <t>DEV000020</t>
        </is>
      </c>
      <c r="C73" s="103" t="inlineStr">
        <is>
          <t>APL</t>
        </is>
      </c>
      <c r="D73" s="103" t="inlineStr">
        <is>
          <t>PHN</t>
        </is>
      </c>
      <c r="E73" s="60" t="inlineStr">
        <is>
          <t>iPhone XS</t>
        </is>
      </c>
      <c r="F73" s="104" t="inlineStr">
        <is>
          <t>SVC000003</t>
        </is>
      </c>
      <c r="G73" s="104" t="inlineStr">
        <is>
          <t>LCD Replacement</t>
        </is>
      </c>
      <c r="H73" s="104" t="inlineStr">
        <is>
          <t>Display</t>
        </is>
      </c>
      <c r="I73" s="104" t="n"/>
      <c r="J73" s="104" t="n"/>
      <c r="K73" s="104" t="n"/>
      <c r="L73" s="104" t="n"/>
      <c r="M73" s="104" t="n"/>
      <c r="N73" s="104" t="n"/>
      <c r="O73" s="104" t="n"/>
      <c r="P73" s="104" t="n"/>
      <c r="Q73" s="104" t="n"/>
      <c r="R73" s="104" t="n"/>
      <c r="S73" s="110" t="n"/>
      <c r="T73" s="110" t="n"/>
      <c r="U73" s="104" t="n"/>
    </row>
    <row r="74">
      <c r="A74" s="104" t="inlineStr">
        <is>
          <t>GUIDE000073</t>
        </is>
      </c>
      <c r="B74" s="101" t="inlineStr">
        <is>
          <t>DEV000021</t>
        </is>
      </c>
      <c r="C74" s="103" t="inlineStr">
        <is>
          <t>APL</t>
        </is>
      </c>
      <c r="D74" s="103" t="inlineStr">
        <is>
          <t>PHN</t>
        </is>
      </c>
      <c r="E74" s="60" t="inlineStr">
        <is>
          <t>iPhone XS Max</t>
        </is>
      </c>
      <c r="F74" s="104" t="inlineStr">
        <is>
          <t>SVC000003</t>
        </is>
      </c>
      <c r="G74" s="104" t="inlineStr">
        <is>
          <t>LCD Replacement</t>
        </is>
      </c>
      <c r="H74" s="104" t="inlineStr">
        <is>
          <t>Display</t>
        </is>
      </c>
      <c r="I74" s="104" t="n"/>
      <c r="J74" s="104" t="n"/>
      <c r="K74" s="104" t="n"/>
      <c r="L74" s="104" t="n"/>
      <c r="M74" s="104" t="n"/>
      <c r="N74" s="104" t="n"/>
      <c r="O74" s="104" t="n"/>
      <c r="P74" s="104" t="n"/>
      <c r="Q74" s="104" t="n"/>
      <c r="R74" s="104" t="n"/>
      <c r="S74" s="110" t="n"/>
      <c r="T74" s="110" t="n"/>
      <c r="U74" s="104" t="n"/>
    </row>
    <row r="75">
      <c r="A75" s="105" t="inlineStr">
        <is>
          <t>GUIDE000074</t>
        </is>
      </c>
      <c r="B75" s="101" t="inlineStr">
        <is>
          <t>DEV000022</t>
        </is>
      </c>
      <c r="C75" s="103" t="inlineStr">
        <is>
          <t>APL</t>
        </is>
      </c>
      <c r="D75" s="103" t="inlineStr">
        <is>
          <t>PHN</t>
        </is>
      </c>
      <c r="E75" s="60" t="inlineStr">
        <is>
          <t>iPhone 11</t>
        </is>
      </c>
      <c r="F75" s="104" t="inlineStr">
        <is>
          <t>SVC000003</t>
        </is>
      </c>
      <c r="G75" s="104" t="inlineStr">
        <is>
          <t>LCD Replacement</t>
        </is>
      </c>
      <c r="H75" s="104" t="inlineStr">
        <is>
          <t>Display</t>
        </is>
      </c>
      <c r="I75" s="104" t="n"/>
      <c r="J75" s="104" t="n"/>
      <c r="K75" s="104" t="n"/>
      <c r="L75" s="104" t="n"/>
      <c r="M75" s="104" t="n"/>
      <c r="N75" s="104" t="n"/>
      <c r="O75" s="104" t="n"/>
      <c r="P75" s="104" t="n"/>
      <c r="Q75" s="104" t="n"/>
      <c r="R75" s="104" t="n"/>
      <c r="S75" s="110" t="n"/>
      <c r="T75" s="110" t="n"/>
      <c r="U75" s="104" t="n"/>
    </row>
    <row r="76">
      <c r="A76" s="104" t="inlineStr">
        <is>
          <t>GUIDE000075</t>
        </is>
      </c>
      <c r="B76" s="101" t="inlineStr">
        <is>
          <t>DEV000023</t>
        </is>
      </c>
      <c r="C76" s="103" t="inlineStr">
        <is>
          <t>APL</t>
        </is>
      </c>
      <c r="D76" s="103" t="inlineStr">
        <is>
          <t>PHN</t>
        </is>
      </c>
      <c r="E76" s="60" t="inlineStr">
        <is>
          <t>iPhone 11 Pro</t>
        </is>
      </c>
      <c r="F76" s="104" t="inlineStr">
        <is>
          <t>SVC000003</t>
        </is>
      </c>
      <c r="G76" s="104" t="inlineStr">
        <is>
          <t>LCD Replacement</t>
        </is>
      </c>
      <c r="H76" s="104" t="inlineStr">
        <is>
          <t>Display</t>
        </is>
      </c>
      <c r="I76" s="104" t="n"/>
      <c r="J76" s="104" t="n"/>
      <c r="K76" s="104" t="n"/>
      <c r="L76" s="104" t="n"/>
      <c r="M76" s="104" t="n"/>
      <c r="N76" s="104" t="n"/>
      <c r="O76" s="104" t="n"/>
      <c r="P76" s="104" t="n"/>
      <c r="Q76" s="104" t="n"/>
      <c r="R76" s="104" t="n"/>
      <c r="S76" s="110" t="n"/>
      <c r="T76" s="110" t="n"/>
      <c r="U76" s="104" t="n"/>
    </row>
    <row r="77">
      <c r="A77" s="104" t="inlineStr">
        <is>
          <t>GUIDE000076</t>
        </is>
      </c>
      <c r="B77" s="101" t="inlineStr">
        <is>
          <t>DEV000024</t>
        </is>
      </c>
      <c r="C77" s="103" t="inlineStr">
        <is>
          <t>APL</t>
        </is>
      </c>
      <c r="D77" s="103" t="inlineStr">
        <is>
          <t>PHN</t>
        </is>
      </c>
      <c r="E77" s="60" t="inlineStr">
        <is>
          <t>iPhone 11 Pro Max</t>
        </is>
      </c>
      <c r="F77" s="104" t="inlineStr">
        <is>
          <t>SVC000003</t>
        </is>
      </c>
      <c r="G77" s="104" t="inlineStr">
        <is>
          <t>LCD Replacement</t>
        </is>
      </c>
      <c r="H77" s="104" t="inlineStr">
        <is>
          <t>Display</t>
        </is>
      </c>
      <c r="I77" s="104" t="n"/>
      <c r="J77" s="104" t="n"/>
      <c r="K77" s="104" t="n"/>
      <c r="L77" s="104" t="n"/>
      <c r="M77" s="104" t="n"/>
      <c r="N77" s="104" t="n"/>
      <c r="O77" s="104" t="n"/>
      <c r="P77" s="104" t="n"/>
      <c r="Q77" s="104" t="n"/>
      <c r="R77" s="104" t="n"/>
      <c r="S77" s="110" t="n"/>
      <c r="T77" s="110" t="n"/>
      <c r="U77" s="104" t="n"/>
    </row>
    <row r="78">
      <c r="A78" s="104" t="inlineStr">
        <is>
          <t>GUIDE000077</t>
        </is>
      </c>
      <c r="B78" s="101" t="inlineStr">
        <is>
          <t>DEV000025</t>
        </is>
      </c>
      <c r="C78" s="103" t="inlineStr">
        <is>
          <t>APL</t>
        </is>
      </c>
      <c r="D78" s="103" t="inlineStr">
        <is>
          <t>PHN</t>
        </is>
      </c>
      <c r="E78" s="60" t="inlineStr">
        <is>
          <t>iPhone SE (2nd Generation)</t>
        </is>
      </c>
      <c r="F78" s="104" t="inlineStr">
        <is>
          <t>SVC000003</t>
        </is>
      </c>
      <c r="G78" s="104" t="inlineStr">
        <is>
          <t>LCD Replacement</t>
        </is>
      </c>
      <c r="H78" s="104" t="inlineStr">
        <is>
          <t>Display</t>
        </is>
      </c>
      <c r="I78" s="104" t="n"/>
      <c r="J78" s="104" t="n"/>
      <c r="K78" s="104" t="n"/>
      <c r="L78" s="104" t="n"/>
      <c r="M78" s="104" t="n"/>
      <c r="N78" s="104" t="n"/>
      <c r="O78" s="104" t="n"/>
      <c r="P78" s="104" t="n"/>
      <c r="Q78" s="104" t="n"/>
      <c r="R78" s="104" t="n"/>
      <c r="S78" s="110" t="n"/>
      <c r="T78" s="110" t="n"/>
      <c r="U78" s="104" t="n"/>
    </row>
    <row r="79">
      <c r="A79" s="105" t="inlineStr">
        <is>
          <t>GUIDE000078</t>
        </is>
      </c>
      <c r="B79" s="101" t="inlineStr">
        <is>
          <t>DEV000026</t>
        </is>
      </c>
      <c r="C79" s="103" t="inlineStr">
        <is>
          <t>APL</t>
        </is>
      </c>
      <c r="D79" s="103" t="inlineStr">
        <is>
          <t>PHN</t>
        </is>
      </c>
      <c r="E79" s="60" t="inlineStr">
        <is>
          <t>iPhone 12 mini</t>
        </is>
      </c>
      <c r="F79" s="104" t="inlineStr">
        <is>
          <t>SVC000003</t>
        </is>
      </c>
      <c r="G79" s="104" t="inlineStr">
        <is>
          <t>LCD Replacement</t>
        </is>
      </c>
      <c r="H79" s="104" t="inlineStr">
        <is>
          <t>Display</t>
        </is>
      </c>
      <c r="I79" s="104" t="n"/>
      <c r="J79" s="104" t="n"/>
      <c r="K79" s="104" t="n"/>
      <c r="L79" s="104" t="n"/>
      <c r="M79" s="104" t="n"/>
      <c r="N79" s="104" t="n"/>
      <c r="O79" s="104" t="n"/>
      <c r="P79" s="104" t="n"/>
      <c r="Q79" s="104" t="n"/>
      <c r="R79" s="104" t="n"/>
      <c r="S79" s="110" t="n"/>
      <c r="T79" s="110" t="n"/>
      <c r="U79" s="104" t="n"/>
    </row>
    <row r="80">
      <c r="A80" s="104" t="inlineStr">
        <is>
          <t>GUIDE000079</t>
        </is>
      </c>
      <c r="B80" s="101" t="inlineStr">
        <is>
          <t>DEV000027</t>
        </is>
      </c>
      <c r="C80" s="103" t="inlineStr">
        <is>
          <t>APL</t>
        </is>
      </c>
      <c r="D80" s="103" t="inlineStr">
        <is>
          <t>PHN</t>
        </is>
      </c>
      <c r="E80" s="60" t="inlineStr">
        <is>
          <t>iPhone 12</t>
        </is>
      </c>
      <c r="F80" s="104" t="inlineStr">
        <is>
          <t>SVC000003</t>
        </is>
      </c>
      <c r="G80" s="104" t="inlineStr">
        <is>
          <t>LCD Replacement</t>
        </is>
      </c>
      <c r="H80" s="104" t="inlineStr">
        <is>
          <t>Display</t>
        </is>
      </c>
      <c r="I80" s="104" t="n"/>
      <c r="J80" s="104" t="n"/>
      <c r="K80" s="104" t="n"/>
      <c r="L80" s="104" t="n"/>
      <c r="M80" s="104" t="n"/>
      <c r="N80" s="104" t="n"/>
      <c r="O80" s="104" t="n"/>
      <c r="P80" s="104" t="n"/>
      <c r="Q80" s="104" t="n"/>
      <c r="R80" s="104" t="n"/>
      <c r="S80" s="110" t="n"/>
      <c r="T80" s="110" t="n"/>
      <c r="U80" s="104" t="n"/>
    </row>
    <row r="81">
      <c r="A81" s="104" t="inlineStr">
        <is>
          <t>GUIDE000080</t>
        </is>
      </c>
      <c r="B81" s="101" t="inlineStr">
        <is>
          <t>DEV000028</t>
        </is>
      </c>
      <c r="C81" s="103" t="inlineStr">
        <is>
          <t>APL</t>
        </is>
      </c>
      <c r="D81" s="103" t="inlineStr">
        <is>
          <t>PHN</t>
        </is>
      </c>
      <c r="E81" s="60" t="inlineStr">
        <is>
          <t>iPhone 12 Pro</t>
        </is>
      </c>
      <c r="F81" s="104" t="inlineStr">
        <is>
          <t>SVC000003</t>
        </is>
      </c>
      <c r="G81" s="104" t="inlineStr">
        <is>
          <t>LCD Replacement</t>
        </is>
      </c>
      <c r="H81" s="104" t="inlineStr">
        <is>
          <t>Display</t>
        </is>
      </c>
      <c r="I81" s="104" t="n"/>
      <c r="J81" s="104" t="n"/>
      <c r="K81" s="104" t="n"/>
      <c r="L81" s="104" t="n"/>
      <c r="M81" s="104" t="n"/>
      <c r="N81" s="104" t="n"/>
      <c r="O81" s="104" t="n"/>
      <c r="P81" s="104" t="n"/>
      <c r="Q81" s="104" t="n"/>
      <c r="R81" s="104" t="n"/>
      <c r="S81" s="110" t="n"/>
      <c r="T81" s="110" t="n"/>
      <c r="U81" s="104" t="n"/>
    </row>
    <row r="82">
      <c r="A82" s="104" t="inlineStr">
        <is>
          <t>GUIDE000081</t>
        </is>
      </c>
      <c r="B82" s="101" t="inlineStr">
        <is>
          <t>DEV000029</t>
        </is>
      </c>
      <c r="C82" s="103" t="inlineStr">
        <is>
          <t>APL</t>
        </is>
      </c>
      <c r="D82" s="103" t="inlineStr">
        <is>
          <t>PHN</t>
        </is>
      </c>
      <c r="E82" s="60" t="inlineStr">
        <is>
          <t>iPhone 12 Pro Max</t>
        </is>
      </c>
      <c r="F82" s="104" t="inlineStr">
        <is>
          <t>SVC000003</t>
        </is>
      </c>
      <c r="G82" s="104" t="inlineStr">
        <is>
          <t>LCD Replacement</t>
        </is>
      </c>
      <c r="H82" s="104" t="inlineStr">
        <is>
          <t>Display</t>
        </is>
      </c>
      <c r="I82" s="104" t="n"/>
      <c r="J82" s="104" t="n"/>
      <c r="K82" s="104" t="n"/>
      <c r="L82" s="104" t="n"/>
      <c r="M82" s="104" t="n"/>
      <c r="N82" s="104" t="n"/>
      <c r="O82" s="104" t="n"/>
      <c r="P82" s="104" t="n"/>
      <c r="Q82" s="104" t="n"/>
      <c r="R82" s="104" t="n"/>
      <c r="S82" s="110" t="n"/>
      <c r="T82" s="110" t="n"/>
      <c r="U82" s="104" t="n"/>
    </row>
    <row r="83">
      <c r="A83" s="104" t="inlineStr">
        <is>
          <t>GUIDE000082</t>
        </is>
      </c>
      <c r="B83" s="101" t="inlineStr">
        <is>
          <t>DEV000030</t>
        </is>
      </c>
      <c r="C83" s="103" t="inlineStr">
        <is>
          <t>APL</t>
        </is>
      </c>
      <c r="D83" s="103" t="inlineStr">
        <is>
          <t>PHN</t>
        </is>
      </c>
      <c r="E83" s="60" t="inlineStr">
        <is>
          <t>iPhone 13 mini</t>
        </is>
      </c>
      <c r="F83" s="104" t="inlineStr">
        <is>
          <t>SVC000003</t>
        </is>
      </c>
      <c r="G83" s="104" t="inlineStr">
        <is>
          <t>LCD Replacement</t>
        </is>
      </c>
      <c r="H83" s="104" t="inlineStr">
        <is>
          <t>Display</t>
        </is>
      </c>
      <c r="I83" s="104" t="n"/>
      <c r="J83" s="104" t="n"/>
      <c r="K83" s="104" t="n"/>
      <c r="L83" s="104" t="n"/>
      <c r="M83" s="104" t="n"/>
      <c r="N83" s="104" t="n"/>
      <c r="O83" s="104" t="n"/>
      <c r="P83" s="104" t="n"/>
      <c r="Q83" s="104" t="n"/>
      <c r="R83" s="104" t="n"/>
      <c r="S83" s="110" t="n"/>
      <c r="T83" s="110" t="n"/>
      <c r="U83" s="104" t="n"/>
    </row>
    <row r="84">
      <c r="A84" s="105" t="inlineStr">
        <is>
          <t>GUIDE000083</t>
        </is>
      </c>
      <c r="B84" s="101" t="inlineStr">
        <is>
          <t>DEV000031</t>
        </is>
      </c>
      <c r="C84" s="103" t="inlineStr">
        <is>
          <t>APL</t>
        </is>
      </c>
      <c r="D84" s="103" t="inlineStr">
        <is>
          <t>PHN</t>
        </is>
      </c>
      <c r="E84" s="60" t="inlineStr">
        <is>
          <t>iPhone 13</t>
        </is>
      </c>
      <c r="F84" s="104" t="inlineStr">
        <is>
          <t>SVC000003</t>
        </is>
      </c>
      <c r="G84" s="104" t="inlineStr">
        <is>
          <t>LCD Replacement</t>
        </is>
      </c>
      <c r="H84" s="104" t="inlineStr">
        <is>
          <t>Display</t>
        </is>
      </c>
      <c r="I84" s="104" t="n"/>
      <c r="J84" s="104" t="n"/>
      <c r="K84" s="104" t="n"/>
      <c r="L84" s="104" t="n"/>
      <c r="M84" s="104" t="n"/>
      <c r="N84" s="104" t="n"/>
      <c r="O84" s="104" t="n"/>
      <c r="P84" s="104" t="n"/>
      <c r="Q84" s="104" t="n"/>
      <c r="R84" s="104" t="n"/>
      <c r="S84" s="110" t="n"/>
      <c r="T84" s="110" t="n"/>
      <c r="U84" s="104" t="n"/>
    </row>
    <row r="85">
      <c r="A85" s="104" t="inlineStr">
        <is>
          <t>GUIDE000084</t>
        </is>
      </c>
      <c r="B85" s="101" t="inlineStr">
        <is>
          <t>DEV000032</t>
        </is>
      </c>
      <c r="C85" s="103" t="inlineStr">
        <is>
          <t>APL</t>
        </is>
      </c>
      <c r="D85" s="103" t="inlineStr">
        <is>
          <t>PHN</t>
        </is>
      </c>
      <c r="E85" s="60" t="inlineStr">
        <is>
          <t>iPhone 13 Pro</t>
        </is>
      </c>
      <c r="F85" s="104" t="inlineStr">
        <is>
          <t>SVC000003</t>
        </is>
      </c>
      <c r="G85" s="104" t="inlineStr">
        <is>
          <t>LCD Replacement</t>
        </is>
      </c>
      <c r="H85" s="104" t="inlineStr">
        <is>
          <t>Display</t>
        </is>
      </c>
      <c r="I85" s="104" t="n"/>
      <c r="J85" s="104" t="n"/>
      <c r="K85" s="104" t="n"/>
      <c r="L85" s="104" t="n"/>
      <c r="M85" s="104" t="n"/>
      <c r="N85" s="104" t="n"/>
      <c r="O85" s="104" t="n"/>
      <c r="P85" s="104" t="n"/>
      <c r="Q85" s="104" t="n"/>
      <c r="R85" s="104" t="n"/>
      <c r="S85" s="110" t="n"/>
      <c r="T85" s="110" t="n"/>
      <c r="U85" s="104" t="n"/>
    </row>
    <row r="86">
      <c r="A86" s="104" t="inlineStr">
        <is>
          <t>GUIDE000085</t>
        </is>
      </c>
      <c r="B86" s="101" t="inlineStr">
        <is>
          <t>DEV000033</t>
        </is>
      </c>
      <c r="C86" s="103" t="inlineStr">
        <is>
          <t>APL</t>
        </is>
      </c>
      <c r="D86" s="103" t="inlineStr">
        <is>
          <t>PHN</t>
        </is>
      </c>
      <c r="E86" s="60" t="inlineStr">
        <is>
          <t>iPhone 13 Pro Max</t>
        </is>
      </c>
      <c r="F86" s="104" t="inlineStr">
        <is>
          <t>SVC000003</t>
        </is>
      </c>
      <c r="G86" s="104" t="inlineStr">
        <is>
          <t>LCD Replacement</t>
        </is>
      </c>
      <c r="H86" s="104" t="inlineStr">
        <is>
          <t>Display</t>
        </is>
      </c>
      <c r="I86" s="104" t="n"/>
      <c r="J86" s="104" t="n"/>
      <c r="K86" s="104" t="n"/>
      <c r="L86" s="104" t="n"/>
      <c r="M86" s="104" t="n"/>
      <c r="N86" s="104" t="n"/>
      <c r="O86" s="104" t="n"/>
      <c r="P86" s="104" t="n"/>
      <c r="Q86" s="104" t="n"/>
      <c r="R86" s="104" t="n"/>
      <c r="S86" s="110" t="n"/>
      <c r="T86" s="110" t="n"/>
      <c r="U86" s="104" t="n"/>
    </row>
    <row r="87">
      <c r="A87" s="104" t="inlineStr">
        <is>
          <t>GUIDE000086</t>
        </is>
      </c>
      <c r="B87" s="101" t="inlineStr">
        <is>
          <t>DEV000034</t>
        </is>
      </c>
      <c r="C87" s="103" t="inlineStr">
        <is>
          <t>APL</t>
        </is>
      </c>
      <c r="D87" s="103" t="inlineStr">
        <is>
          <t>PHN</t>
        </is>
      </c>
      <c r="E87" s="60" t="inlineStr">
        <is>
          <t>iPhone SE (3rd Generation)</t>
        </is>
      </c>
      <c r="F87" s="104" t="inlineStr">
        <is>
          <t>SVC000003</t>
        </is>
      </c>
      <c r="G87" s="104" t="inlineStr">
        <is>
          <t>LCD Replacement</t>
        </is>
      </c>
      <c r="H87" s="104" t="inlineStr">
        <is>
          <t>Display</t>
        </is>
      </c>
      <c r="I87" s="104" t="n"/>
      <c r="J87" s="104" t="n"/>
      <c r="K87" s="104" t="n"/>
      <c r="L87" s="104" t="n"/>
      <c r="M87" s="104" t="n"/>
      <c r="N87" s="104" t="n"/>
      <c r="O87" s="104" t="n"/>
      <c r="P87" s="104" t="n"/>
      <c r="Q87" s="104" t="n"/>
      <c r="R87" s="104" t="n"/>
      <c r="S87" s="110" t="n"/>
      <c r="T87" s="110" t="n"/>
      <c r="U87" s="104" t="n"/>
    </row>
    <row r="88">
      <c r="A88" s="105" t="inlineStr">
        <is>
          <t>GUIDE000087</t>
        </is>
      </c>
      <c r="B88" s="101" t="inlineStr">
        <is>
          <t>DEV000035</t>
        </is>
      </c>
      <c r="C88" s="103" t="inlineStr">
        <is>
          <t>APL</t>
        </is>
      </c>
      <c r="D88" s="103" t="inlineStr">
        <is>
          <t>PHN</t>
        </is>
      </c>
      <c r="E88" s="60" t="inlineStr">
        <is>
          <t>iPhone 14</t>
        </is>
      </c>
      <c r="F88" s="104" t="inlineStr">
        <is>
          <t>SVC000003</t>
        </is>
      </c>
      <c r="G88" s="104" t="inlineStr">
        <is>
          <t>LCD Replacement</t>
        </is>
      </c>
      <c r="H88" s="104" t="inlineStr">
        <is>
          <t>Display</t>
        </is>
      </c>
      <c r="I88" s="104" t="n"/>
      <c r="J88" s="104" t="n"/>
      <c r="K88" s="104" t="n"/>
      <c r="L88" s="104" t="n"/>
      <c r="M88" s="104" t="n"/>
      <c r="N88" s="104" t="n"/>
      <c r="O88" s="104" t="n"/>
      <c r="P88" s="104" t="n"/>
      <c r="Q88" s="104" t="n"/>
      <c r="R88" s="104" t="n"/>
      <c r="S88" s="110" t="n"/>
      <c r="T88" s="110" t="n"/>
      <c r="U88" s="104" t="n"/>
    </row>
    <row r="89">
      <c r="A89" s="104" t="inlineStr">
        <is>
          <t>GUIDE000088</t>
        </is>
      </c>
      <c r="B89" s="101" t="inlineStr">
        <is>
          <t>DEV000036</t>
        </is>
      </c>
      <c r="C89" s="103" t="inlineStr">
        <is>
          <t>APL</t>
        </is>
      </c>
      <c r="D89" s="103" t="inlineStr">
        <is>
          <t>PHN</t>
        </is>
      </c>
      <c r="E89" s="60" t="inlineStr">
        <is>
          <t>iPhone 14 Plus</t>
        </is>
      </c>
      <c r="F89" s="104" t="inlineStr">
        <is>
          <t>SVC000003</t>
        </is>
      </c>
      <c r="G89" s="104" t="inlineStr">
        <is>
          <t>LCD Replacement</t>
        </is>
      </c>
      <c r="H89" s="104" t="inlineStr">
        <is>
          <t>Display</t>
        </is>
      </c>
      <c r="I89" s="104" t="n"/>
      <c r="J89" s="104" t="n"/>
      <c r="K89" s="104" t="n"/>
      <c r="L89" s="104" t="n"/>
      <c r="M89" s="104" t="n"/>
      <c r="N89" s="104" t="n"/>
      <c r="O89" s="104" t="n"/>
      <c r="P89" s="104" t="n"/>
      <c r="Q89" s="104" t="n"/>
      <c r="R89" s="104" t="n"/>
      <c r="S89" s="110" t="n"/>
      <c r="T89" s="110" t="n"/>
      <c r="U89" s="104" t="n"/>
    </row>
    <row r="90">
      <c r="A90" s="104" t="inlineStr">
        <is>
          <t>GUIDE000089</t>
        </is>
      </c>
      <c r="B90" s="101" t="inlineStr">
        <is>
          <t>DEV000037</t>
        </is>
      </c>
      <c r="C90" s="103" t="inlineStr">
        <is>
          <t>APL</t>
        </is>
      </c>
      <c r="D90" s="103" t="inlineStr">
        <is>
          <t>PHN</t>
        </is>
      </c>
      <c r="E90" s="60" t="inlineStr">
        <is>
          <t>iPhone 14 Pro</t>
        </is>
      </c>
      <c r="F90" s="104" t="inlineStr">
        <is>
          <t>SVC000003</t>
        </is>
      </c>
      <c r="G90" s="104" t="inlineStr">
        <is>
          <t>LCD Replacement</t>
        </is>
      </c>
      <c r="H90" s="104" t="inlineStr">
        <is>
          <t>Display</t>
        </is>
      </c>
      <c r="I90" s="104" t="n"/>
      <c r="J90" s="104" t="n"/>
      <c r="K90" s="104" t="n"/>
      <c r="L90" s="104" t="n"/>
      <c r="M90" s="104" t="n"/>
      <c r="N90" s="104" t="n"/>
      <c r="O90" s="104" t="n"/>
      <c r="P90" s="104" t="n"/>
      <c r="Q90" s="104" t="n"/>
      <c r="R90" s="104" t="n"/>
      <c r="S90" s="110" t="n"/>
      <c r="T90" s="110" t="n"/>
      <c r="U90" s="104" t="n"/>
    </row>
    <row r="91">
      <c r="A91" s="104" t="inlineStr">
        <is>
          <t>GUIDE000090</t>
        </is>
      </c>
      <c r="B91" s="101" t="inlineStr">
        <is>
          <t>DEV000038</t>
        </is>
      </c>
      <c r="C91" s="103" t="inlineStr">
        <is>
          <t>APL</t>
        </is>
      </c>
      <c r="D91" s="103" t="inlineStr">
        <is>
          <t>PHN</t>
        </is>
      </c>
      <c r="E91" s="60" t="inlineStr">
        <is>
          <t>iPhone 14 Pro Max</t>
        </is>
      </c>
      <c r="F91" s="104" t="inlineStr">
        <is>
          <t>SVC000003</t>
        </is>
      </c>
      <c r="G91" s="104" t="inlineStr">
        <is>
          <t>LCD Replacement</t>
        </is>
      </c>
      <c r="H91" s="104" t="inlineStr">
        <is>
          <t>Display</t>
        </is>
      </c>
      <c r="I91" s="104" t="n"/>
      <c r="J91" s="104" t="n"/>
      <c r="K91" s="104" t="n"/>
      <c r="L91" s="104" t="n"/>
      <c r="M91" s="104" t="n"/>
      <c r="N91" s="104" t="n"/>
      <c r="O91" s="104" t="n"/>
      <c r="P91" s="104" t="n"/>
      <c r="Q91" s="104" t="n"/>
      <c r="R91" s="104" t="n"/>
      <c r="S91" s="110" t="n"/>
      <c r="T91" s="110" t="n"/>
      <c r="U91" s="104" t="n"/>
    </row>
    <row r="92">
      <c r="A92" s="104" t="inlineStr">
        <is>
          <t>GUIDE000091</t>
        </is>
      </c>
      <c r="B92" s="101" t="inlineStr">
        <is>
          <t>DEV000039</t>
        </is>
      </c>
      <c r="C92" s="103" t="inlineStr">
        <is>
          <t>APL</t>
        </is>
      </c>
      <c r="D92" s="103" t="inlineStr">
        <is>
          <t>PHN</t>
        </is>
      </c>
      <c r="E92" s="60" t="inlineStr">
        <is>
          <t>iPhone 15</t>
        </is>
      </c>
      <c r="F92" s="104" t="inlineStr">
        <is>
          <t>SVC000003</t>
        </is>
      </c>
      <c r="G92" s="104" t="inlineStr">
        <is>
          <t>LCD Replacement</t>
        </is>
      </c>
      <c r="H92" s="104" t="inlineStr">
        <is>
          <t>Display</t>
        </is>
      </c>
      <c r="I92" s="104" t="n"/>
      <c r="J92" s="104" t="n"/>
      <c r="K92" s="104" t="n"/>
      <c r="L92" s="104" t="n"/>
      <c r="M92" s="104" t="n"/>
      <c r="N92" s="104" t="n"/>
      <c r="O92" s="104" t="n"/>
      <c r="P92" s="104" t="n"/>
      <c r="Q92" s="104" t="n"/>
      <c r="R92" s="104" t="n"/>
      <c r="S92" s="110" t="n"/>
      <c r="T92" s="110" t="n"/>
      <c r="U92" s="104" t="n"/>
    </row>
    <row r="93">
      <c r="A93" s="105" t="inlineStr">
        <is>
          <t>GUIDE000092</t>
        </is>
      </c>
      <c r="B93" s="101" t="inlineStr">
        <is>
          <t>DEV000040</t>
        </is>
      </c>
      <c r="C93" s="103" t="inlineStr">
        <is>
          <t>APL</t>
        </is>
      </c>
      <c r="D93" s="103" t="inlineStr">
        <is>
          <t>PHN</t>
        </is>
      </c>
      <c r="E93" s="60" t="inlineStr">
        <is>
          <t>iPhone 15 Plus</t>
        </is>
      </c>
      <c r="F93" s="104" t="inlineStr">
        <is>
          <t>SVC000003</t>
        </is>
      </c>
      <c r="G93" s="104" t="inlineStr">
        <is>
          <t>LCD Replacement</t>
        </is>
      </c>
      <c r="H93" s="104" t="inlineStr">
        <is>
          <t>Display</t>
        </is>
      </c>
      <c r="I93" s="104" t="n"/>
      <c r="J93" s="104" t="n"/>
      <c r="K93" s="104" t="n"/>
      <c r="L93" s="104" t="n"/>
      <c r="M93" s="104" t="n"/>
      <c r="N93" s="104" t="n"/>
      <c r="O93" s="104" t="n"/>
      <c r="P93" s="104" t="n"/>
      <c r="Q93" s="104" t="n"/>
      <c r="R93" s="104" t="n"/>
      <c r="S93" s="110" t="n"/>
      <c r="T93" s="110" t="n"/>
      <c r="U93" s="104" t="n"/>
    </row>
    <row r="94">
      <c r="A94" s="104" t="inlineStr">
        <is>
          <t>GUIDE000093</t>
        </is>
      </c>
      <c r="B94" s="101" t="inlineStr">
        <is>
          <t>DEV000041</t>
        </is>
      </c>
      <c r="C94" s="103" t="inlineStr">
        <is>
          <t>APL</t>
        </is>
      </c>
      <c r="D94" s="103" t="inlineStr">
        <is>
          <t>PHN</t>
        </is>
      </c>
      <c r="E94" s="60" t="inlineStr">
        <is>
          <t>iPhone 15 Pro</t>
        </is>
      </c>
      <c r="F94" s="104" t="inlineStr">
        <is>
          <t>SVC000003</t>
        </is>
      </c>
      <c r="G94" s="104" t="inlineStr">
        <is>
          <t>LCD Replacement</t>
        </is>
      </c>
      <c r="H94" s="104" t="inlineStr">
        <is>
          <t>Display</t>
        </is>
      </c>
      <c r="I94" s="104" t="n"/>
      <c r="J94" s="104" t="n"/>
      <c r="K94" s="104" t="n"/>
      <c r="L94" s="104" t="n"/>
      <c r="M94" s="104" t="n"/>
      <c r="N94" s="104" t="n"/>
      <c r="O94" s="104" t="n"/>
      <c r="P94" s="104" t="n"/>
      <c r="Q94" s="104" t="n"/>
      <c r="R94" s="104" t="n"/>
      <c r="S94" s="110" t="n"/>
      <c r="T94" s="110" t="n"/>
      <c r="U94" s="104" t="n"/>
    </row>
    <row r="95">
      <c r="A95" s="104" t="inlineStr">
        <is>
          <t>GUIDE000094</t>
        </is>
      </c>
      <c r="B95" s="101" t="inlineStr">
        <is>
          <t>DEV000042</t>
        </is>
      </c>
      <c r="C95" s="103" t="inlineStr">
        <is>
          <t>APL</t>
        </is>
      </c>
      <c r="D95" s="103" t="inlineStr">
        <is>
          <t>PHN</t>
        </is>
      </c>
      <c r="E95" s="60" t="inlineStr">
        <is>
          <t>iPhone 15 Pro Max</t>
        </is>
      </c>
      <c r="F95" s="104" t="inlineStr">
        <is>
          <t>SVC000003</t>
        </is>
      </c>
      <c r="G95" s="104" t="inlineStr">
        <is>
          <t>LCD Replacement</t>
        </is>
      </c>
      <c r="H95" s="104" t="inlineStr">
        <is>
          <t>Display</t>
        </is>
      </c>
      <c r="I95" s="104" t="n"/>
      <c r="J95" s="104" t="n"/>
      <c r="K95" s="104" t="n"/>
      <c r="L95" s="104" t="n"/>
      <c r="M95" s="104" t="n"/>
      <c r="N95" s="104" t="n"/>
      <c r="O95" s="104" t="n"/>
      <c r="P95" s="104" t="n"/>
      <c r="Q95" s="104" t="n"/>
      <c r="R95" s="104" t="n"/>
      <c r="S95" s="110" t="n"/>
      <c r="T95" s="110" t="n"/>
      <c r="U95" s="104" t="n"/>
    </row>
    <row r="96">
      <c r="A96" s="104" t="inlineStr">
        <is>
          <t>GUIDE000095</t>
        </is>
      </c>
      <c r="B96" s="101" t="inlineStr">
        <is>
          <t>DEV000043</t>
        </is>
      </c>
      <c r="C96" s="103" t="inlineStr">
        <is>
          <t>APL</t>
        </is>
      </c>
      <c r="D96" s="103" t="inlineStr">
        <is>
          <t>PHN</t>
        </is>
      </c>
      <c r="E96" s="60" t="inlineStr">
        <is>
          <t>iPhone 16</t>
        </is>
      </c>
      <c r="F96" s="104" t="inlineStr">
        <is>
          <t>SVC000003</t>
        </is>
      </c>
      <c r="G96" s="104" t="inlineStr">
        <is>
          <t>LCD Replacement</t>
        </is>
      </c>
      <c r="H96" s="104" t="inlineStr">
        <is>
          <t>Display</t>
        </is>
      </c>
      <c r="I96" s="104" t="n"/>
      <c r="J96" s="104" t="n"/>
      <c r="K96" s="104" t="n"/>
      <c r="L96" s="104" t="n"/>
      <c r="M96" s="104" t="n"/>
      <c r="N96" s="104" t="n"/>
      <c r="O96" s="104" t="n"/>
      <c r="P96" s="104" t="n"/>
      <c r="Q96" s="104" t="n"/>
      <c r="R96" s="104" t="n"/>
      <c r="S96" s="110" t="n"/>
      <c r="T96" s="110" t="n"/>
      <c r="U96" s="104" t="n"/>
    </row>
    <row r="97">
      <c r="A97" s="105" t="inlineStr">
        <is>
          <t>GUIDE000096</t>
        </is>
      </c>
      <c r="B97" s="101" t="inlineStr">
        <is>
          <t>DEV000044</t>
        </is>
      </c>
      <c r="C97" s="103" t="inlineStr">
        <is>
          <t>APL</t>
        </is>
      </c>
      <c r="D97" s="103" t="inlineStr">
        <is>
          <t>PHN</t>
        </is>
      </c>
      <c r="E97" s="60" t="inlineStr">
        <is>
          <t>iPhone 16 Plus</t>
        </is>
      </c>
      <c r="F97" s="104" t="inlineStr">
        <is>
          <t>SVC000003</t>
        </is>
      </c>
      <c r="G97" s="104" t="inlineStr">
        <is>
          <t>LCD Replacement</t>
        </is>
      </c>
      <c r="H97" s="104" t="inlineStr">
        <is>
          <t>Display</t>
        </is>
      </c>
      <c r="I97" s="104" t="n"/>
      <c r="J97" s="104" t="n"/>
      <c r="K97" s="104" t="n"/>
      <c r="L97" s="104" t="n"/>
      <c r="M97" s="104" t="n"/>
      <c r="N97" s="104" t="n"/>
      <c r="O97" s="104" t="n"/>
      <c r="P97" s="104" t="n"/>
      <c r="Q97" s="104" t="n"/>
      <c r="R97" s="104" t="n"/>
      <c r="S97" s="110" t="n"/>
      <c r="T97" s="110" t="n"/>
      <c r="U97" s="104" t="n"/>
    </row>
    <row r="98">
      <c r="A98" s="104" t="inlineStr">
        <is>
          <t>GUIDE000097</t>
        </is>
      </c>
      <c r="B98" s="101" t="inlineStr">
        <is>
          <t>DEV000045</t>
        </is>
      </c>
      <c r="C98" s="103" t="inlineStr">
        <is>
          <t>APL</t>
        </is>
      </c>
      <c r="D98" s="103" t="inlineStr">
        <is>
          <t>PHN</t>
        </is>
      </c>
      <c r="E98" s="60" t="inlineStr">
        <is>
          <t>iPhone 16 Pro</t>
        </is>
      </c>
      <c r="F98" s="104" t="inlineStr">
        <is>
          <t>SVC000003</t>
        </is>
      </c>
      <c r="G98" s="104" t="inlineStr">
        <is>
          <t>LCD Replacement</t>
        </is>
      </c>
      <c r="H98" s="104" t="inlineStr">
        <is>
          <t>Display</t>
        </is>
      </c>
      <c r="I98" s="104" t="n"/>
      <c r="J98" s="104" t="n"/>
      <c r="K98" s="104" t="n"/>
      <c r="L98" s="104" t="n"/>
      <c r="M98" s="104" t="n"/>
      <c r="N98" s="104" t="n"/>
      <c r="O98" s="104" t="n"/>
      <c r="P98" s="104" t="n"/>
      <c r="Q98" s="104" t="n"/>
      <c r="R98" s="104" t="n"/>
      <c r="S98" s="110" t="n"/>
      <c r="T98" s="110" t="n"/>
      <c r="U98" s="104" t="n"/>
    </row>
    <row r="99">
      <c r="A99" s="104" t="inlineStr">
        <is>
          <t>GUIDE000098</t>
        </is>
      </c>
      <c r="B99" s="101" t="inlineStr">
        <is>
          <t>DEV000046</t>
        </is>
      </c>
      <c r="C99" s="103" t="inlineStr">
        <is>
          <t>APL</t>
        </is>
      </c>
      <c r="D99" s="103" t="inlineStr">
        <is>
          <t>PHN</t>
        </is>
      </c>
      <c r="E99" s="60" t="inlineStr">
        <is>
          <t>iPhone 16 Pro Max</t>
        </is>
      </c>
      <c r="F99" s="104" t="inlineStr">
        <is>
          <t>SVC000003</t>
        </is>
      </c>
      <c r="G99" s="104" t="inlineStr">
        <is>
          <t>LCD Replacement</t>
        </is>
      </c>
      <c r="H99" s="104" t="inlineStr">
        <is>
          <t>Display</t>
        </is>
      </c>
      <c r="I99" s="104" t="n"/>
      <c r="J99" s="104" t="n"/>
      <c r="K99" s="104" t="n"/>
      <c r="L99" s="104" t="n"/>
      <c r="M99" s="104" t="n"/>
      <c r="N99" s="104" t="n"/>
      <c r="O99" s="104" t="n"/>
      <c r="P99" s="104" t="n"/>
      <c r="Q99" s="104" t="n"/>
      <c r="R99" s="104" t="n"/>
      <c r="S99" s="110" t="n"/>
      <c r="T99" s="110" t="n"/>
      <c r="U99" s="104" t="n"/>
    </row>
    <row r="100">
      <c r="A100" s="104" t="inlineStr">
        <is>
          <t>GUIDE000099</t>
        </is>
      </c>
      <c r="B100" s="101" t="inlineStr">
        <is>
          <t>DEV000047</t>
        </is>
      </c>
      <c r="C100" s="103" t="inlineStr">
        <is>
          <t>APL</t>
        </is>
      </c>
      <c r="D100" s="103" t="inlineStr">
        <is>
          <t>PHN</t>
        </is>
      </c>
      <c r="E100" s="60" t="inlineStr">
        <is>
          <t>iPhone 16e</t>
        </is>
      </c>
      <c r="F100" s="104" t="inlineStr">
        <is>
          <t>SVC000003</t>
        </is>
      </c>
      <c r="G100" s="104" t="inlineStr">
        <is>
          <t>LCD Replacement</t>
        </is>
      </c>
      <c r="H100" s="104" t="inlineStr">
        <is>
          <t>Display</t>
        </is>
      </c>
      <c r="I100" s="104" t="n"/>
      <c r="J100" s="104" t="n"/>
      <c r="K100" s="104" t="n"/>
      <c r="L100" s="104" t="n"/>
      <c r="M100" s="104" t="n"/>
      <c r="N100" s="104" t="n"/>
      <c r="O100" s="104" t="n"/>
      <c r="P100" s="104" t="n"/>
      <c r="Q100" s="104" t="n"/>
      <c r="R100" s="104" t="n"/>
      <c r="S100" s="110" t="n"/>
      <c r="T100" s="110" t="n"/>
      <c r="U100" s="104" t="n"/>
    </row>
    <row r="101">
      <c r="A101" s="104" t="inlineStr">
        <is>
          <t>GUIDE000100</t>
        </is>
      </c>
      <c r="B101" s="101" t="inlineStr">
        <is>
          <t>DEV000048</t>
        </is>
      </c>
      <c r="C101" s="103" t="inlineStr">
        <is>
          <t>APL</t>
        </is>
      </c>
      <c r="D101" s="103" t="inlineStr">
        <is>
          <t>PHN</t>
        </is>
      </c>
      <c r="E101" s="60" t="inlineStr">
        <is>
          <t>iPhone 17</t>
        </is>
      </c>
      <c r="F101" s="104" t="inlineStr">
        <is>
          <t>SVC000003</t>
        </is>
      </c>
      <c r="G101" s="104" t="inlineStr">
        <is>
          <t>LCD Replacement</t>
        </is>
      </c>
      <c r="H101" s="104" t="inlineStr">
        <is>
          <t>Display</t>
        </is>
      </c>
      <c r="I101" s="104" t="n"/>
      <c r="J101" s="104" t="n"/>
      <c r="K101" s="104" t="n"/>
      <c r="L101" s="104" t="n"/>
      <c r="M101" s="104" t="n"/>
      <c r="N101" s="104" t="n"/>
      <c r="O101" s="104" t="n"/>
      <c r="P101" s="104" t="n"/>
      <c r="Q101" s="104" t="n"/>
      <c r="R101" s="104" t="n"/>
      <c r="S101" s="110" t="n"/>
      <c r="T101" s="110" t="n"/>
      <c r="U101" s="104" t="n"/>
    </row>
    <row r="102">
      <c r="A102" s="105" t="inlineStr">
        <is>
          <t>GUIDE000101</t>
        </is>
      </c>
      <c r="B102" s="101" t="inlineStr">
        <is>
          <t>DEV000049</t>
        </is>
      </c>
      <c r="C102" s="103" t="inlineStr">
        <is>
          <t>APL</t>
        </is>
      </c>
      <c r="D102" s="103" t="inlineStr">
        <is>
          <t>PHN</t>
        </is>
      </c>
      <c r="E102" s="60" t="inlineStr">
        <is>
          <t>iPhone 17 Pro</t>
        </is>
      </c>
      <c r="F102" s="104" t="inlineStr">
        <is>
          <t>SVC000003</t>
        </is>
      </c>
      <c r="G102" s="104" t="inlineStr">
        <is>
          <t>LCD Replacement</t>
        </is>
      </c>
      <c r="H102" s="104" t="inlineStr">
        <is>
          <t>Display</t>
        </is>
      </c>
      <c r="I102" s="104" t="n"/>
      <c r="J102" s="104" t="n"/>
      <c r="K102" s="104" t="n"/>
      <c r="L102" s="104" t="n"/>
      <c r="M102" s="104" t="n"/>
      <c r="N102" s="104" t="n"/>
      <c r="O102" s="104" t="n"/>
      <c r="P102" s="104" t="n"/>
      <c r="Q102" s="104" t="n"/>
      <c r="R102" s="104" t="n"/>
      <c r="S102" s="110" t="n"/>
      <c r="T102" s="110" t="n"/>
      <c r="U102" s="104" t="n"/>
    </row>
    <row r="103">
      <c r="A103" s="104" t="inlineStr">
        <is>
          <t>GUIDE000102</t>
        </is>
      </c>
      <c r="B103" s="101" t="inlineStr">
        <is>
          <t>DEV000050</t>
        </is>
      </c>
      <c r="C103" s="103" t="inlineStr">
        <is>
          <t>APL</t>
        </is>
      </c>
      <c r="D103" s="103" t="inlineStr">
        <is>
          <t>PHN</t>
        </is>
      </c>
      <c r="E103" s="60" t="inlineStr">
        <is>
          <t>iPhone 17 Pro Max</t>
        </is>
      </c>
      <c r="F103" s="104" t="inlineStr">
        <is>
          <t>SVC000003</t>
        </is>
      </c>
      <c r="G103" s="104" t="inlineStr">
        <is>
          <t>LCD Replacement</t>
        </is>
      </c>
      <c r="H103" s="104" t="inlineStr">
        <is>
          <t>Display</t>
        </is>
      </c>
      <c r="I103" s="104" t="n"/>
      <c r="J103" s="104" t="n"/>
      <c r="K103" s="104" t="n"/>
      <c r="L103" s="104" t="n"/>
      <c r="M103" s="104" t="n"/>
      <c r="N103" s="104" t="n"/>
      <c r="O103" s="104" t="n"/>
      <c r="P103" s="104" t="n"/>
      <c r="Q103" s="104" t="n"/>
      <c r="R103" s="104" t="n"/>
      <c r="S103" s="110" t="n"/>
      <c r="T103" s="110" t="n"/>
      <c r="U103" s="104" t="n"/>
    </row>
    <row r="104">
      <c r="A104" s="104" t="inlineStr">
        <is>
          <t>GUIDE000103</t>
        </is>
      </c>
      <c r="B104" s="101" t="inlineStr">
        <is>
          <t>DEV000051</t>
        </is>
      </c>
      <c r="C104" s="103" t="inlineStr">
        <is>
          <t>APL</t>
        </is>
      </c>
      <c r="D104" s="103" t="inlineStr">
        <is>
          <t>PHN</t>
        </is>
      </c>
      <c r="E104" s="60" t="inlineStr">
        <is>
          <t>iPhone Air</t>
        </is>
      </c>
      <c r="F104" s="104" t="inlineStr">
        <is>
          <t>SVC000003</t>
        </is>
      </c>
      <c r="G104" s="104" t="inlineStr">
        <is>
          <t>LCD Replacement</t>
        </is>
      </c>
      <c r="H104" s="104" t="inlineStr">
        <is>
          <t>Display</t>
        </is>
      </c>
      <c r="I104" s="104" t="n"/>
      <c r="J104" s="104" t="n"/>
      <c r="K104" s="104" t="n"/>
      <c r="L104" s="104" t="n"/>
      <c r="M104" s="104" t="n"/>
      <c r="N104" s="104" t="n"/>
      <c r="O104" s="104" t="n"/>
      <c r="P104" s="104" t="n"/>
      <c r="Q104" s="104" t="n"/>
      <c r="R104" s="104" t="n"/>
      <c r="S104" s="110" t="n"/>
      <c r="T104" s="110" t="n"/>
      <c r="U104" s="104" t="n"/>
    </row>
    <row r="105">
      <c r="A105" s="104" t="inlineStr">
        <is>
          <t>GUIDE000104</t>
        </is>
      </c>
      <c r="B105" s="101" t="inlineStr">
        <is>
          <t>DEV000052</t>
        </is>
      </c>
      <c r="C105" s="103" t="inlineStr">
        <is>
          <t>APL</t>
        </is>
      </c>
      <c r="D105" s="103" t="inlineStr">
        <is>
          <t>PHN</t>
        </is>
      </c>
      <c r="E105" s="60" t="inlineStr">
        <is>
          <t>iPhone 17e</t>
        </is>
      </c>
      <c r="F105" s="104" t="inlineStr">
        <is>
          <t>SVC000003</t>
        </is>
      </c>
      <c r="G105" s="104" t="inlineStr">
        <is>
          <t>LCD Replacement</t>
        </is>
      </c>
      <c r="H105" s="104" t="inlineStr">
        <is>
          <t>Display</t>
        </is>
      </c>
      <c r="I105" s="104" t="n"/>
      <c r="J105" s="104" t="n"/>
      <c r="K105" s="104" t="n"/>
      <c r="L105" s="104" t="n"/>
      <c r="M105" s="104" t="n"/>
      <c r="N105" s="104" t="n"/>
      <c r="O105" s="104" t="n"/>
      <c r="P105" s="104" t="n"/>
      <c r="Q105" s="104" t="n"/>
      <c r="R105" s="104" t="n"/>
      <c r="S105" s="110" t="n"/>
      <c r="T105" s="110" t="n"/>
      <c r="U105" s="104" t="n"/>
    </row>
    <row r="106">
      <c r="A106" s="105" t="inlineStr">
        <is>
          <t>GUIDE000105</t>
        </is>
      </c>
      <c r="B106" s="101" t="inlineStr">
        <is>
          <t>DEV000001</t>
        </is>
      </c>
      <c r="C106" s="103" t="inlineStr">
        <is>
          <t>APL</t>
        </is>
      </c>
      <c r="D106" s="103" t="inlineStr">
        <is>
          <t>PHN</t>
        </is>
      </c>
      <c r="E106" s="60" t="inlineStr">
        <is>
          <t>iPhone (2G)</t>
        </is>
      </c>
      <c r="F106" s="104" t="inlineStr">
        <is>
          <t>SVC000005</t>
        </is>
      </c>
      <c r="G106" s="104" t="inlineStr">
        <is>
          <t>Back Glass Replacement</t>
        </is>
      </c>
      <c r="H106" s="104" t="inlineStr">
        <is>
          <t>Display</t>
        </is>
      </c>
      <c r="I106" s="104" t="n"/>
      <c r="J106" s="104" t="n"/>
      <c r="K106" s="104" t="n"/>
      <c r="L106" s="104" t="n"/>
      <c r="M106" s="104" t="n"/>
      <c r="N106" s="104" t="n"/>
      <c r="O106" s="104" t="n"/>
      <c r="P106" s="104" t="n"/>
      <c r="Q106" s="104" t="n"/>
      <c r="R106" s="104" t="n"/>
      <c r="S106" s="110" t="n"/>
      <c r="T106" s="110" t="n"/>
      <c r="U106" s="104" t="n"/>
    </row>
    <row r="107">
      <c r="A107" s="104" t="inlineStr">
        <is>
          <t>GUIDE000106</t>
        </is>
      </c>
      <c r="B107" s="101" t="inlineStr">
        <is>
          <t>DEV000002</t>
        </is>
      </c>
      <c r="C107" s="103" t="inlineStr">
        <is>
          <t>APL</t>
        </is>
      </c>
      <c r="D107" s="103" t="inlineStr">
        <is>
          <t>PHN</t>
        </is>
      </c>
      <c r="E107" s="60" t="inlineStr">
        <is>
          <t>iPhone 3G</t>
        </is>
      </c>
      <c r="F107" s="104" t="inlineStr">
        <is>
          <t>SVC000005</t>
        </is>
      </c>
      <c r="G107" s="104" t="inlineStr">
        <is>
          <t>Back Glass Replacement</t>
        </is>
      </c>
      <c r="H107" s="104" t="inlineStr">
        <is>
          <t>Display</t>
        </is>
      </c>
      <c r="I107" s="104" t="n"/>
      <c r="J107" s="104" t="n"/>
      <c r="K107" s="104" t="n"/>
      <c r="L107" s="104" t="n"/>
      <c r="M107" s="104" t="n"/>
      <c r="N107" s="104" t="n"/>
      <c r="O107" s="104" t="n"/>
      <c r="P107" s="104" t="n"/>
      <c r="Q107" s="104" t="n"/>
      <c r="R107" s="104" t="n"/>
      <c r="S107" s="110" t="n"/>
      <c r="T107" s="110" t="n"/>
      <c r="U107" s="104" t="n"/>
    </row>
    <row r="108">
      <c r="A108" s="104" t="inlineStr">
        <is>
          <t>GUIDE000107</t>
        </is>
      </c>
      <c r="B108" s="101" t="inlineStr">
        <is>
          <t>DEV000003</t>
        </is>
      </c>
      <c r="C108" s="103" t="inlineStr">
        <is>
          <t>APL</t>
        </is>
      </c>
      <c r="D108" s="103" t="inlineStr">
        <is>
          <t>PHN</t>
        </is>
      </c>
      <c r="E108" s="60" t="inlineStr">
        <is>
          <t>iPhone 3GS</t>
        </is>
      </c>
      <c r="F108" s="104" t="inlineStr">
        <is>
          <t>SVC000005</t>
        </is>
      </c>
      <c r="G108" s="104" t="inlineStr">
        <is>
          <t>Back Glass Replacement</t>
        </is>
      </c>
      <c r="H108" s="104" t="inlineStr">
        <is>
          <t>Display</t>
        </is>
      </c>
      <c r="I108" s="104" t="n"/>
      <c r="J108" s="104" t="n"/>
      <c r="K108" s="104" t="n"/>
      <c r="L108" s="104" t="n"/>
      <c r="M108" s="104" t="n"/>
      <c r="N108" s="104" t="n"/>
      <c r="O108" s="104" t="n"/>
      <c r="P108" s="104" t="n"/>
      <c r="Q108" s="104" t="n"/>
      <c r="R108" s="104" t="n"/>
      <c r="S108" s="110" t="n"/>
      <c r="T108" s="110" t="n"/>
      <c r="U108" s="104" t="n"/>
    </row>
    <row r="109">
      <c r="A109" s="104" t="inlineStr">
        <is>
          <t>GUIDE000108</t>
        </is>
      </c>
      <c r="B109" s="101" t="inlineStr">
        <is>
          <t>DEV000004</t>
        </is>
      </c>
      <c r="C109" s="103" t="inlineStr">
        <is>
          <t>APL</t>
        </is>
      </c>
      <c r="D109" s="103" t="inlineStr">
        <is>
          <t>PHN</t>
        </is>
      </c>
      <c r="E109" s="60" t="inlineStr">
        <is>
          <t>iPhone 4</t>
        </is>
      </c>
      <c r="F109" s="104" t="inlineStr">
        <is>
          <t>SVC000005</t>
        </is>
      </c>
      <c r="G109" s="104" t="inlineStr">
        <is>
          <t>Back Glass Replacement</t>
        </is>
      </c>
      <c r="H109" s="104" t="inlineStr">
        <is>
          <t>Display</t>
        </is>
      </c>
      <c r="I109" s="104" t="n"/>
      <c r="J109" s="104" t="n"/>
      <c r="K109" s="104" t="n"/>
      <c r="L109" s="104" t="n"/>
      <c r="M109" s="104" t="n"/>
      <c r="N109" s="104" t="n"/>
      <c r="O109" s="104" t="n"/>
      <c r="P109" s="104" t="n"/>
      <c r="Q109" s="104" t="n"/>
      <c r="R109" s="104" t="n"/>
      <c r="S109" s="110" t="n"/>
      <c r="T109" s="110" t="n"/>
      <c r="U109" s="104" t="n"/>
    </row>
    <row r="110">
      <c r="A110" s="104" t="inlineStr">
        <is>
          <t>GUIDE000109</t>
        </is>
      </c>
      <c r="B110" s="101" t="inlineStr">
        <is>
          <t>DEV000005</t>
        </is>
      </c>
      <c r="C110" s="103" t="inlineStr">
        <is>
          <t>APL</t>
        </is>
      </c>
      <c r="D110" s="103" t="inlineStr">
        <is>
          <t>PHN</t>
        </is>
      </c>
      <c r="E110" s="60" t="inlineStr">
        <is>
          <t>iPhone 4s</t>
        </is>
      </c>
      <c r="F110" s="104" t="inlineStr">
        <is>
          <t>SVC000005</t>
        </is>
      </c>
      <c r="G110" s="104" t="inlineStr">
        <is>
          <t>Back Glass Replacement</t>
        </is>
      </c>
      <c r="H110" s="104" t="inlineStr">
        <is>
          <t>Display</t>
        </is>
      </c>
      <c r="I110" s="104" t="n"/>
      <c r="J110" s="104" t="n"/>
      <c r="K110" s="104" t="n"/>
      <c r="L110" s="104" t="n"/>
      <c r="M110" s="104" t="n"/>
      <c r="N110" s="104" t="n"/>
      <c r="O110" s="104" t="n"/>
      <c r="P110" s="104" t="n"/>
      <c r="Q110" s="104" t="n"/>
      <c r="R110" s="104" t="n"/>
      <c r="S110" s="110" t="n"/>
      <c r="T110" s="110" t="n"/>
      <c r="U110" s="104" t="n"/>
    </row>
    <row r="111">
      <c r="A111" s="105" t="inlineStr">
        <is>
          <t>GUIDE000110</t>
        </is>
      </c>
      <c r="B111" s="101" t="inlineStr">
        <is>
          <t>DEV000006</t>
        </is>
      </c>
      <c r="C111" s="103" t="inlineStr">
        <is>
          <t>APL</t>
        </is>
      </c>
      <c r="D111" s="103" t="inlineStr">
        <is>
          <t>PHN</t>
        </is>
      </c>
      <c r="E111" s="60" t="inlineStr">
        <is>
          <t>iPhone 5</t>
        </is>
      </c>
      <c r="F111" s="104" t="inlineStr">
        <is>
          <t>SVC000005</t>
        </is>
      </c>
      <c r="G111" s="104" t="inlineStr">
        <is>
          <t>Back Glass Replacement</t>
        </is>
      </c>
      <c r="H111" s="104" t="inlineStr">
        <is>
          <t>Display</t>
        </is>
      </c>
      <c r="I111" s="104" t="n"/>
      <c r="J111" s="104" t="n"/>
      <c r="K111" s="104" t="n"/>
      <c r="L111" s="104" t="n"/>
      <c r="M111" s="104" t="n"/>
      <c r="N111" s="104" t="n"/>
      <c r="O111" s="104" t="n"/>
      <c r="P111" s="104" t="n"/>
      <c r="Q111" s="104" t="n"/>
      <c r="R111" s="104" t="n"/>
      <c r="S111" s="110" t="n"/>
      <c r="T111" s="110" t="n"/>
      <c r="U111" s="104" t="n"/>
    </row>
    <row r="112">
      <c r="A112" s="104" t="inlineStr">
        <is>
          <t>GUIDE000111</t>
        </is>
      </c>
      <c r="B112" s="101" t="inlineStr">
        <is>
          <t>DEV000007</t>
        </is>
      </c>
      <c r="C112" s="103" t="inlineStr">
        <is>
          <t>APL</t>
        </is>
      </c>
      <c r="D112" s="103" t="inlineStr">
        <is>
          <t>PHN</t>
        </is>
      </c>
      <c r="E112" s="60" t="inlineStr">
        <is>
          <t>iPhone 5c</t>
        </is>
      </c>
      <c r="F112" s="104" t="inlineStr">
        <is>
          <t>SVC000005</t>
        </is>
      </c>
      <c r="G112" s="104" t="inlineStr">
        <is>
          <t>Back Glass Replacement</t>
        </is>
      </c>
      <c r="H112" s="104" t="inlineStr">
        <is>
          <t>Display</t>
        </is>
      </c>
      <c r="I112" s="104" t="n"/>
      <c r="J112" s="104" t="n"/>
      <c r="K112" s="104" t="n"/>
      <c r="L112" s="104" t="n"/>
      <c r="M112" s="104" t="n"/>
      <c r="N112" s="104" t="n"/>
      <c r="O112" s="104" t="n"/>
      <c r="P112" s="104" t="n"/>
      <c r="Q112" s="104" t="n"/>
      <c r="R112" s="104" t="n"/>
      <c r="S112" s="110" t="n"/>
      <c r="T112" s="110" t="n"/>
      <c r="U112" s="104" t="n"/>
    </row>
    <row r="113">
      <c r="A113" s="104" t="inlineStr">
        <is>
          <t>GUIDE000112</t>
        </is>
      </c>
      <c r="B113" s="101" t="inlineStr">
        <is>
          <t>DEV000008</t>
        </is>
      </c>
      <c r="C113" s="103" t="inlineStr">
        <is>
          <t>APL</t>
        </is>
      </c>
      <c r="D113" s="103" t="inlineStr">
        <is>
          <t>PHN</t>
        </is>
      </c>
      <c r="E113" s="60" t="inlineStr">
        <is>
          <t>iPhone 5s</t>
        </is>
      </c>
      <c r="F113" s="104" t="inlineStr">
        <is>
          <t>SVC000005</t>
        </is>
      </c>
      <c r="G113" s="104" t="inlineStr">
        <is>
          <t>Back Glass Replacement</t>
        </is>
      </c>
      <c r="H113" s="104" t="inlineStr">
        <is>
          <t>Display</t>
        </is>
      </c>
      <c r="I113" s="104" t="n"/>
      <c r="J113" s="104" t="n"/>
      <c r="K113" s="104" t="n"/>
      <c r="L113" s="104" t="n"/>
      <c r="M113" s="104" t="n"/>
      <c r="N113" s="104" t="n"/>
      <c r="O113" s="104" t="n"/>
      <c r="P113" s="104" t="n"/>
      <c r="Q113" s="104" t="n"/>
      <c r="R113" s="104" t="n"/>
      <c r="S113" s="110" t="n"/>
      <c r="T113" s="110" t="n"/>
      <c r="U113" s="104" t="n"/>
    </row>
    <row r="114">
      <c r="A114" s="104" t="inlineStr">
        <is>
          <t>GUIDE000113</t>
        </is>
      </c>
      <c r="B114" s="101" t="inlineStr">
        <is>
          <t>DEV000009</t>
        </is>
      </c>
      <c r="C114" s="103" t="inlineStr">
        <is>
          <t>APL</t>
        </is>
      </c>
      <c r="D114" s="103" t="inlineStr">
        <is>
          <t>PHN</t>
        </is>
      </c>
      <c r="E114" s="60" t="inlineStr">
        <is>
          <t>iPhone 6</t>
        </is>
      </c>
      <c r="F114" s="104" t="inlineStr">
        <is>
          <t>SVC000005</t>
        </is>
      </c>
      <c r="G114" s="104" t="inlineStr">
        <is>
          <t>Back Glass Replacement</t>
        </is>
      </c>
      <c r="H114" s="104" t="inlineStr">
        <is>
          <t>Display</t>
        </is>
      </c>
      <c r="I114" s="104" t="n"/>
      <c r="J114" s="104" t="n"/>
      <c r="K114" s="104" t="n"/>
      <c r="L114" s="104" t="n"/>
      <c r="M114" s="104" t="n"/>
      <c r="N114" s="104" t="n"/>
      <c r="O114" s="104" t="n"/>
      <c r="P114" s="104" t="n"/>
      <c r="Q114" s="104" t="n"/>
      <c r="R114" s="104" t="n"/>
      <c r="S114" s="110" t="n"/>
      <c r="T114" s="110" t="n"/>
      <c r="U114" s="104" t="n"/>
    </row>
    <row r="115">
      <c r="A115" s="105" t="inlineStr">
        <is>
          <t>GUIDE000114</t>
        </is>
      </c>
      <c r="B115" s="101" t="inlineStr">
        <is>
          <t>DEV000010</t>
        </is>
      </c>
      <c r="C115" s="103" t="inlineStr">
        <is>
          <t>APL</t>
        </is>
      </c>
      <c r="D115" s="103" t="inlineStr">
        <is>
          <t>PHN</t>
        </is>
      </c>
      <c r="E115" s="60" t="inlineStr">
        <is>
          <t>iPhone 6 Plus</t>
        </is>
      </c>
      <c r="F115" s="104" t="inlineStr">
        <is>
          <t>SVC000005</t>
        </is>
      </c>
      <c r="G115" s="104" t="inlineStr">
        <is>
          <t>Back Glass Replacement</t>
        </is>
      </c>
      <c r="H115" s="104" t="inlineStr">
        <is>
          <t>Display</t>
        </is>
      </c>
      <c r="I115" s="104" t="n"/>
      <c r="J115" s="104" t="n"/>
      <c r="K115" s="104" t="n"/>
      <c r="L115" s="104" t="n"/>
      <c r="M115" s="104" t="n"/>
      <c r="N115" s="104" t="n"/>
      <c r="O115" s="104" t="n"/>
      <c r="P115" s="104" t="n"/>
      <c r="Q115" s="104" t="n"/>
      <c r="R115" s="104" t="n"/>
      <c r="S115" s="110" t="n"/>
      <c r="T115" s="110" t="n"/>
      <c r="U115" s="104" t="n"/>
    </row>
    <row r="116">
      <c r="A116" s="104" t="inlineStr">
        <is>
          <t>GUIDE000115</t>
        </is>
      </c>
      <c r="B116" s="101" t="inlineStr">
        <is>
          <t>DEV000011</t>
        </is>
      </c>
      <c r="C116" s="103" t="inlineStr">
        <is>
          <t>APL</t>
        </is>
      </c>
      <c r="D116" s="103" t="inlineStr">
        <is>
          <t>PHN</t>
        </is>
      </c>
      <c r="E116" s="60" t="inlineStr">
        <is>
          <t>iPhone 6s</t>
        </is>
      </c>
      <c r="F116" s="104" t="inlineStr">
        <is>
          <t>SVC000005</t>
        </is>
      </c>
      <c r="G116" s="104" t="inlineStr">
        <is>
          <t>Back Glass Replacement</t>
        </is>
      </c>
      <c r="H116" s="104" t="inlineStr">
        <is>
          <t>Display</t>
        </is>
      </c>
      <c r="I116" s="104" t="n"/>
      <c r="J116" s="104" t="n"/>
      <c r="K116" s="104" t="n"/>
      <c r="L116" s="104" t="n"/>
      <c r="M116" s="104" t="n"/>
      <c r="N116" s="104" t="n"/>
      <c r="O116" s="104" t="n"/>
      <c r="P116" s="104" t="n"/>
      <c r="Q116" s="104" t="n"/>
      <c r="R116" s="104" t="n"/>
      <c r="S116" s="110" t="n"/>
      <c r="T116" s="110" t="n"/>
      <c r="U116" s="104" t="n"/>
    </row>
    <row r="117">
      <c r="A117" s="104" t="inlineStr">
        <is>
          <t>GUIDE000116</t>
        </is>
      </c>
      <c r="B117" s="101" t="inlineStr">
        <is>
          <t>DEV000012</t>
        </is>
      </c>
      <c r="C117" s="103" t="inlineStr">
        <is>
          <t>APL</t>
        </is>
      </c>
      <c r="D117" s="103" t="inlineStr">
        <is>
          <t>PHN</t>
        </is>
      </c>
      <c r="E117" s="60" t="inlineStr">
        <is>
          <t>iPhone 6s Plus</t>
        </is>
      </c>
      <c r="F117" s="104" t="inlineStr">
        <is>
          <t>SVC000005</t>
        </is>
      </c>
      <c r="G117" s="104" t="inlineStr">
        <is>
          <t>Back Glass Replacement</t>
        </is>
      </c>
      <c r="H117" s="104" t="inlineStr">
        <is>
          <t>Display</t>
        </is>
      </c>
      <c r="I117" s="104" t="n"/>
      <c r="J117" s="104" t="n"/>
      <c r="K117" s="104" t="n"/>
      <c r="L117" s="104" t="n"/>
      <c r="M117" s="104" t="n"/>
      <c r="N117" s="104" t="n"/>
      <c r="O117" s="104" t="n"/>
      <c r="P117" s="104" t="n"/>
      <c r="Q117" s="104" t="n"/>
      <c r="R117" s="104" t="n"/>
      <c r="S117" s="110" t="n"/>
      <c r="T117" s="110" t="n"/>
      <c r="U117" s="104" t="n"/>
    </row>
    <row r="118">
      <c r="A118" s="104" t="inlineStr">
        <is>
          <t>GUIDE000117</t>
        </is>
      </c>
      <c r="B118" s="101" t="inlineStr">
        <is>
          <t>DEV000013</t>
        </is>
      </c>
      <c r="C118" s="103" t="inlineStr">
        <is>
          <t>APL</t>
        </is>
      </c>
      <c r="D118" s="103" t="inlineStr">
        <is>
          <t>PHN</t>
        </is>
      </c>
      <c r="E118" s="60" t="inlineStr">
        <is>
          <t>iPhone SE (1st Gen)</t>
        </is>
      </c>
      <c r="F118" s="104" t="inlineStr">
        <is>
          <t>SVC000005</t>
        </is>
      </c>
      <c r="G118" s="104" t="inlineStr">
        <is>
          <t>Back Glass Replacement</t>
        </is>
      </c>
      <c r="H118" s="104" t="inlineStr">
        <is>
          <t>Display</t>
        </is>
      </c>
      <c r="I118" s="104" t="n"/>
      <c r="J118" s="104" t="n"/>
      <c r="K118" s="104" t="n"/>
      <c r="L118" s="104" t="n"/>
      <c r="M118" s="104" t="n"/>
      <c r="N118" s="104" t="n"/>
      <c r="O118" s="104" t="n"/>
      <c r="P118" s="104" t="n"/>
      <c r="Q118" s="104" t="n"/>
      <c r="R118" s="104" t="n"/>
      <c r="S118" s="110" t="n"/>
      <c r="T118" s="110" t="n"/>
      <c r="U118" s="104" t="n"/>
    </row>
    <row r="119">
      <c r="A119" s="104" t="inlineStr">
        <is>
          <t>GUIDE000118</t>
        </is>
      </c>
      <c r="B119" s="101" t="inlineStr">
        <is>
          <t>DEV000014</t>
        </is>
      </c>
      <c r="C119" s="103" t="inlineStr">
        <is>
          <t>APL</t>
        </is>
      </c>
      <c r="D119" s="103" t="inlineStr">
        <is>
          <t>PHN</t>
        </is>
      </c>
      <c r="E119" s="60" t="inlineStr">
        <is>
          <t>iPhone 7</t>
        </is>
      </c>
      <c r="F119" s="104" t="inlineStr">
        <is>
          <t>SVC000005</t>
        </is>
      </c>
      <c r="G119" s="104" t="inlineStr">
        <is>
          <t>Back Glass Replacement</t>
        </is>
      </c>
      <c r="H119" s="104" t="inlineStr">
        <is>
          <t>Display</t>
        </is>
      </c>
      <c r="I119" s="104" t="n"/>
      <c r="J119" s="104" t="n"/>
      <c r="K119" s="104" t="n"/>
      <c r="L119" s="104" t="n"/>
      <c r="M119" s="104" t="n"/>
      <c r="N119" s="104" t="n"/>
      <c r="O119" s="104" t="n"/>
      <c r="P119" s="104" t="n"/>
      <c r="Q119" s="104" t="n"/>
      <c r="R119" s="104" t="n"/>
      <c r="S119" s="110" t="n"/>
      <c r="T119" s="110" t="n"/>
      <c r="U119" s="104" t="n"/>
    </row>
    <row r="120">
      <c r="A120" s="105" t="inlineStr">
        <is>
          <t>GUIDE000119</t>
        </is>
      </c>
      <c r="B120" s="101" t="inlineStr">
        <is>
          <t>DEV000015</t>
        </is>
      </c>
      <c r="C120" s="103" t="inlineStr">
        <is>
          <t>APL</t>
        </is>
      </c>
      <c r="D120" s="103" t="inlineStr">
        <is>
          <t>PHN</t>
        </is>
      </c>
      <c r="E120" s="60" t="inlineStr">
        <is>
          <t>iPhone 7 Plus</t>
        </is>
      </c>
      <c r="F120" s="104" t="inlineStr">
        <is>
          <t>SVC000005</t>
        </is>
      </c>
      <c r="G120" s="104" t="inlineStr">
        <is>
          <t>Back Glass Replacement</t>
        </is>
      </c>
      <c r="H120" s="104" t="inlineStr">
        <is>
          <t>Display</t>
        </is>
      </c>
      <c r="I120" s="104" t="n"/>
      <c r="J120" s="104" t="n"/>
      <c r="K120" s="104" t="n"/>
      <c r="L120" s="104" t="n"/>
      <c r="M120" s="104" t="n"/>
      <c r="N120" s="104" t="n"/>
      <c r="O120" s="104" t="n"/>
      <c r="P120" s="104" t="n"/>
      <c r="Q120" s="104" t="n"/>
      <c r="R120" s="104" t="n"/>
      <c r="S120" s="110" t="n"/>
      <c r="T120" s="110" t="n"/>
      <c r="U120" s="104" t="n"/>
    </row>
    <row r="121">
      <c r="A121" s="104" t="inlineStr">
        <is>
          <t>GUIDE000120</t>
        </is>
      </c>
      <c r="B121" s="101" t="inlineStr">
        <is>
          <t>DEV000016</t>
        </is>
      </c>
      <c r="C121" s="103" t="inlineStr">
        <is>
          <t>APL</t>
        </is>
      </c>
      <c r="D121" s="103" t="inlineStr">
        <is>
          <t>PHN</t>
        </is>
      </c>
      <c r="E121" s="60" t="inlineStr">
        <is>
          <t>iPhone 8</t>
        </is>
      </c>
      <c r="F121" s="104" t="inlineStr">
        <is>
          <t>SVC000005</t>
        </is>
      </c>
      <c r="G121" s="104" t="inlineStr">
        <is>
          <t>Back Glass Replacement</t>
        </is>
      </c>
      <c r="H121" s="104" t="inlineStr">
        <is>
          <t>Display</t>
        </is>
      </c>
      <c r="I121" s="104" t="n"/>
      <c r="J121" s="104" t="n"/>
      <c r="K121" s="104" t="n"/>
      <c r="L121" s="104" t="n"/>
      <c r="M121" s="104" t="n"/>
      <c r="N121" s="104" t="n"/>
      <c r="O121" s="104" t="n"/>
      <c r="P121" s="104" t="n"/>
      <c r="Q121" s="104" t="n"/>
      <c r="R121" s="104" t="n"/>
      <c r="S121" s="110" t="n"/>
      <c r="T121" s="110" t="n"/>
      <c r="U121" s="104" t="n"/>
    </row>
    <row r="122">
      <c r="A122" s="104" t="inlineStr">
        <is>
          <t>GUIDE000121</t>
        </is>
      </c>
      <c r="B122" s="101" t="inlineStr">
        <is>
          <t>DEV000017</t>
        </is>
      </c>
      <c r="C122" s="103" t="inlineStr">
        <is>
          <t>APL</t>
        </is>
      </c>
      <c r="D122" s="103" t="inlineStr">
        <is>
          <t>PHN</t>
        </is>
      </c>
      <c r="E122" s="60" t="inlineStr">
        <is>
          <t>iPhone 8 Plus</t>
        </is>
      </c>
      <c r="F122" s="104" t="inlineStr">
        <is>
          <t>SVC000005</t>
        </is>
      </c>
      <c r="G122" s="104" t="inlineStr">
        <is>
          <t>Back Glass Replacement</t>
        </is>
      </c>
      <c r="H122" s="104" t="inlineStr">
        <is>
          <t>Display</t>
        </is>
      </c>
      <c r="I122" s="104" t="n"/>
      <c r="J122" s="104" t="n"/>
      <c r="K122" s="104" t="n"/>
      <c r="L122" s="104" t="n"/>
      <c r="M122" s="104" t="n"/>
      <c r="N122" s="104" t="n"/>
      <c r="O122" s="104" t="n"/>
      <c r="P122" s="104" t="n"/>
      <c r="Q122" s="104" t="n"/>
      <c r="R122" s="104" t="n"/>
      <c r="S122" s="110" t="n"/>
      <c r="T122" s="110" t="n"/>
      <c r="U122" s="104" t="n"/>
    </row>
    <row r="123">
      <c r="A123" s="104" t="inlineStr">
        <is>
          <t>GUIDE000122</t>
        </is>
      </c>
      <c r="B123" s="101" t="inlineStr">
        <is>
          <t>DEV000018</t>
        </is>
      </c>
      <c r="C123" s="103" t="inlineStr">
        <is>
          <t>APL</t>
        </is>
      </c>
      <c r="D123" s="103" t="inlineStr">
        <is>
          <t>PHN</t>
        </is>
      </c>
      <c r="E123" s="60" t="inlineStr">
        <is>
          <t>iPhone X</t>
        </is>
      </c>
      <c r="F123" s="104" t="inlineStr">
        <is>
          <t>SVC000005</t>
        </is>
      </c>
      <c r="G123" s="104" t="inlineStr">
        <is>
          <t>Back Glass Replacement</t>
        </is>
      </c>
      <c r="H123" s="104" t="inlineStr">
        <is>
          <t>Display</t>
        </is>
      </c>
      <c r="I123" s="104" t="n"/>
      <c r="J123" s="104" t="n"/>
      <c r="K123" s="104" t="n"/>
      <c r="L123" s="104" t="n"/>
      <c r="M123" s="104" t="n"/>
      <c r="N123" s="104" t="n"/>
      <c r="O123" s="104" t="n"/>
      <c r="P123" s="104" t="n"/>
      <c r="Q123" s="104" t="n"/>
      <c r="R123" s="104" t="n"/>
      <c r="S123" s="110" t="n"/>
      <c r="T123" s="110" t="n"/>
      <c r="U123" s="104" t="n"/>
    </row>
    <row r="124">
      <c r="A124" s="105" t="inlineStr">
        <is>
          <t>GUIDE000123</t>
        </is>
      </c>
      <c r="B124" s="101" t="inlineStr">
        <is>
          <t>DEV000019</t>
        </is>
      </c>
      <c r="C124" s="103" t="inlineStr">
        <is>
          <t>APL</t>
        </is>
      </c>
      <c r="D124" s="103" t="inlineStr">
        <is>
          <t>PHN</t>
        </is>
      </c>
      <c r="E124" s="60" t="inlineStr">
        <is>
          <t>iPhone XR</t>
        </is>
      </c>
      <c r="F124" s="104" t="inlineStr">
        <is>
          <t>SVC000005</t>
        </is>
      </c>
      <c r="G124" s="104" t="inlineStr">
        <is>
          <t>Back Glass Replacement</t>
        </is>
      </c>
      <c r="H124" s="104" t="inlineStr">
        <is>
          <t>Display</t>
        </is>
      </c>
      <c r="I124" s="104" t="n"/>
      <c r="J124" s="104" t="n"/>
      <c r="K124" s="104" t="n"/>
      <c r="L124" s="104" t="n"/>
      <c r="M124" s="104" t="n"/>
      <c r="N124" s="104" t="n"/>
      <c r="O124" s="104" t="n"/>
      <c r="P124" s="104" t="n"/>
      <c r="Q124" s="104" t="n"/>
      <c r="R124" s="104" t="n"/>
      <c r="S124" s="110" t="n"/>
      <c r="T124" s="110" t="n"/>
      <c r="U124" s="104" t="n"/>
    </row>
    <row r="125">
      <c r="A125" s="104" t="inlineStr">
        <is>
          <t>GUIDE000124</t>
        </is>
      </c>
      <c r="B125" s="101" t="inlineStr">
        <is>
          <t>DEV000020</t>
        </is>
      </c>
      <c r="C125" s="103" t="inlineStr">
        <is>
          <t>APL</t>
        </is>
      </c>
      <c r="D125" s="103" t="inlineStr">
        <is>
          <t>PHN</t>
        </is>
      </c>
      <c r="E125" s="60" t="inlineStr">
        <is>
          <t>iPhone XS</t>
        </is>
      </c>
      <c r="F125" s="104" t="inlineStr">
        <is>
          <t>SVC000005</t>
        </is>
      </c>
      <c r="G125" s="104" t="inlineStr">
        <is>
          <t>Back Glass Replacement</t>
        </is>
      </c>
      <c r="H125" s="104" t="inlineStr">
        <is>
          <t>Display</t>
        </is>
      </c>
      <c r="I125" s="104" t="n"/>
      <c r="J125" s="104" t="n"/>
      <c r="K125" s="104" t="n"/>
      <c r="L125" s="104" t="n"/>
      <c r="M125" s="104" t="n"/>
      <c r="N125" s="104" t="n"/>
      <c r="O125" s="104" t="n"/>
      <c r="P125" s="104" t="n"/>
      <c r="Q125" s="104" t="n"/>
      <c r="R125" s="104" t="n"/>
      <c r="S125" s="110" t="n"/>
      <c r="T125" s="110" t="n"/>
      <c r="U125" s="104" t="n"/>
    </row>
    <row r="126">
      <c r="A126" s="104" t="inlineStr">
        <is>
          <t>GUIDE000125</t>
        </is>
      </c>
      <c r="B126" s="101" t="inlineStr">
        <is>
          <t>DEV000021</t>
        </is>
      </c>
      <c r="C126" s="103" t="inlineStr">
        <is>
          <t>APL</t>
        </is>
      </c>
      <c r="D126" s="103" t="inlineStr">
        <is>
          <t>PHN</t>
        </is>
      </c>
      <c r="E126" s="60" t="inlineStr">
        <is>
          <t>iPhone XS Max</t>
        </is>
      </c>
      <c r="F126" s="104" t="inlineStr">
        <is>
          <t>SVC000005</t>
        </is>
      </c>
      <c r="G126" s="104" t="inlineStr">
        <is>
          <t>Back Glass Replacement</t>
        </is>
      </c>
      <c r="H126" s="104" t="inlineStr">
        <is>
          <t>Display</t>
        </is>
      </c>
      <c r="I126" s="104" t="n"/>
      <c r="J126" s="104" t="n"/>
      <c r="K126" s="104" t="n"/>
      <c r="L126" s="104" t="n"/>
      <c r="M126" s="104" t="n"/>
      <c r="N126" s="104" t="n"/>
      <c r="O126" s="104" t="n"/>
      <c r="P126" s="104" t="n"/>
      <c r="Q126" s="104" t="n"/>
      <c r="R126" s="104" t="n"/>
      <c r="S126" s="110" t="n"/>
      <c r="T126" s="110" t="n"/>
      <c r="U126" s="104" t="n"/>
    </row>
    <row r="127">
      <c r="A127" s="104" t="inlineStr">
        <is>
          <t>GUIDE000126</t>
        </is>
      </c>
      <c r="B127" s="101" t="inlineStr">
        <is>
          <t>DEV000022</t>
        </is>
      </c>
      <c r="C127" s="103" t="inlineStr">
        <is>
          <t>APL</t>
        </is>
      </c>
      <c r="D127" s="103" t="inlineStr">
        <is>
          <t>PHN</t>
        </is>
      </c>
      <c r="E127" s="60" t="inlineStr">
        <is>
          <t>iPhone 11</t>
        </is>
      </c>
      <c r="F127" s="104" t="inlineStr">
        <is>
          <t>SVC000005</t>
        </is>
      </c>
      <c r="G127" s="104" t="inlineStr">
        <is>
          <t>Back Glass Replacement</t>
        </is>
      </c>
      <c r="H127" s="104" t="inlineStr">
        <is>
          <t>Display</t>
        </is>
      </c>
      <c r="I127" s="104" t="n"/>
      <c r="J127" s="104" t="n"/>
      <c r="K127" s="104" t="n"/>
      <c r="L127" s="104" t="n"/>
      <c r="M127" s="104" t="n"/>
      <c r="N127" s="104" t="n"/>
      <c r="O127" s="104" t="n"/>
      <c r="P127" s="104" t="n"/>
      <c r="Q127" s="104" t="n"/>
      <c r="R127" s="104" t="n"/>
      <c r="S127" s="110" t="n"/>
      <c r="T127" s="110" t="n"/>
      <c r="U127" s="104" t="n"/>
    </row>
    <row r="128">
      <c r="A128" s="104" t="inlineStr">
        <is>
          <t>GUIDE000127</t>
        </is>
      </c>
      <c r="B128" s="101" t="inlineStr">
        <is>
          <t>DEV000023</t>
        </is>
      </c>
      <c r="C128" s="103" t="inlineStr">
        <is>
          <t>APL</t>
        </is>
      </c>
      <c r="D128" s="103" t="inlineStr">
        <is>
          <t>PHN</t>
        </is>
      </c>
      <c r="E128" s="60" t="inlineStr">
        <is>
          <t>iPhone 11 Pro</t>
        </is>
      </c>
      <c r="F128" s="104" t="inlineStr">
        <is>
          <t>SVC000005</t>
        </is>
      </c>
      <c r="G128" s="104" t="inlineStr">
        <is>
          <t>Back Glass Replacement</t>
        </is>
      </c>
      <c r="H128" s="104" t="inlineStr">
        <is>
          <t>Display</t>
        </is>
      </c>
      <c r="I128" s="104" t="n"/>
      <c r="J128" s="104" t="n"/>
      <c r="K128" s="104" t="n"/>
      <c r="L128" s="104" t="n"/>
      <c r="M128" s="104" t="n"/>
      <c r="N128" s="104" t="n"/>
      <c r="O128" s="104" t="n"/>
      <c r="P128" s="104" t="n"/>
      <c r="Q128" s="104" t="n"/>
      <c r="R128" s="104" t="n"/>
      <c r="S128" s="110" t="n"/>
      <c r="T128" s="110" t="n"/>
      <c r="U128" s="104" t="n"/>
    </row>
    <row r="129">
      <c r="A129" s="105" t="inlineStr">
        <is>
          <t>GUIDE000128</t>
        </is>
      </c>
      <c r="B129" s="101" t="inlineStr">
        <is>
          <t>DEV000024</t>
        </is>
      </c>
      <c r="C129" s="103" t="inlineStr">
        <is>
          <t>APL</t>
        </is>
      </c>
      <c r="D129" s="103" t="inlineStr">
        <is>
          <t>PHN</t>
        </is>
      </c>
      <c r="E129" s="60" t="inlineStr">
        <is>
          <t>iPhone 11 Pro Max</t>
        </is>
      </c>
      <c r="F129" s="104" t="inlineStr">
        <is>
          <t>SVC000005</t>
        </is>
      </c>
      <c r="G129" s="104" t="inlineStr">
        <is>
          <t>Back Glass Replacement</t>
        </is>
      </c>
      <c r="H129" s="104" t="inlineStr">
        <is>
          <t>Display</t>
        </is>
      </c>
      <c r="I129" s="104" t="n"/>
      <c r="J129" s="104" t="n"/>
      <c r="K129" s="104" t="n"/>
      <c r="L129" s="104" t="n"/>
      <c r="M129" s="104" t="n"/>
      <c r="N129" s="104" t="n"/>
      <c r="O129" s="104" t="n"/>
      <c r="P129" s="104" t="n"/>
      <c r="Q129" s="104" t="n"/>
      <c r="R129" s="104" t="n"/>
      <c r="S129" s="110" t="n"/>
      <c r="T129" s="110" t="n"/>
      <c r="U129" s="104" t="n"/>
    </row>
    <row r="130">
      <c r="A130" s="104" t="inlineStr">
        <is>
          <t>GUIDE000129</t>
        </is>
      </c>
      <c r="B130" s="101" t="inlineStr">
        <is>
          <t>DEV000025</t>
        </is>
      </c>
      <c r="C130" s="103" t="inlineStr">
        <is>
          <t>APL</t>
        </is>
      </c>
      <c r="D130" s="103" t="inlineStr">
        <is>
          <t>PHN</t>
        </is>
      </c>
      <c r="E130" s="60" t="inlineStr">
        <is>
          <t>iPhone SE (2nd Generation)</t>
        </is>
      </c>
      <c r="F130" s="104" t="inlineStr">
        <is>
          <t>SVC000005</t>
        </is>
      </c>
      <c r="G130" s="104" t="inlineStr">
        <is>
          <t>Back Glass Replacement</t>
        </is>
      </c>
      <c r="H130" s="104" t="inlineStr">
        <is>
          <t>Display</t>
        </is>
      </c>
      <c r="I130" s="104" t="n"/>
      <c r="J130" s="104" t="n"/>
      <c r="K130" s="104" t="n"/>
      <c r="L130" s="104" t="n"/>
      <c r="M130" s="104" t="n"/>
      <c r="N130" s="104" t="n"/>
      <c r="O130" s="104" t="n"/>
      <c r="P130" s="104" t="n"/>
      <c r="Q130" s="104" t="n"/>
      <c r="R130" s="104" t="n"/>
      <c r="S130" s="110" t="n"/>
      <c r="T130" s="110" t="n"/>
      <c r="U130" s="104" t="n"/>
    </row>
    <row r="131">
      <c r="A131" s="104" t="inlineStr">
        <is>
          <t>GUIDE000130</t>
        </is>
      </c>
      <c r="B131" s="101" t="inlineStr">
        <is>
          <t>DEV000026</t>
        </is>
      </c>
      <c r="C131" s="103" t="inlineStr">
        <is>
          <t>APL</t>
        </is>
      </c>
      <c r="D131" s="103" t="inlineStr">
        <is>
          <t>PHN</t>
        </is>
      </c>
      <c r="E131" s="60" t="inlineStr">
        <is>
          <t>iPhone 12 mini</t>
        </is>
      </c>
      <c r="F131" s="104" t="inlineStr">
        <is>
          <t>SVC000005</t>
        </is>
      </c>
      <c r="G131" s="104" t="inlineStr">
        <is>
          <t>Back Glass Replacement</t>
        </is>
      </c>
      <c r="H131" s="104" t="inlineStr">
        <is>
          <t>Display</t>
        </is>
      </c>
      <c r="I131" s="104" t="n"/>
      <c r="J131" s="104" t="n"/>
      <c r="K131" s="104" t="n"/>
      <c r="L131" s="104" t="n"/>
      <c r="M131" s="104" t="n"/>
      <c r="N131" s="104" t="n"/>
      <c r="O131" s="104" t="n"/>
      <c r="P131" s="104" t="n"/>
      <c r="Q131" s="104" t="n"/>
      <c r="R131" s="104" t="n"/>
      <c r="S131" s="110" t="n"/>
      <c r="T131" s="110" t="n"/>
      <c r="U131" s="104" t="n"/>
    </row>
    <row r="132">
      <c r="A132" s="104" t="inlineStr">
        <is>
          <t>GUIDE000131</t>
        </is>
      </c>
      <c r="B132" s="101" t="inlineStr">
        <is>
          <t>DEV000027</t>
        </is>
      </c>
      <c r="C132" s="103" t="inlineStr">
        <is>
          <t>APL</t>
        </is>
      </c>
      <c r="D132" s="103" t="inlineStr">
        <is>
          <t>PHN</t>
        </is>
      </c>
      <c r="E132" s="60" t="inlineStr">
        <is>
          <t>iPhone 12</t>
        </is>
      </c>
      <c r="F132" s="104" t="inlineStr">
        <is>
          <t>SVC000005</t>
        </is>
      </c>
      <c r="G132" s="104" t="inlineStr">
        <is>
          <t>Back Glass Replacement</t>
        </is>
      </c>
      <c r="H132" s="104" t="inlineStr">
        <is>
          <t>Display</t>
        </is>
      </c>
      <c r="I132" s="104" t="n"/>
      <c r="J132" s="104" t="n"/>
      <c r="K132" s="104" t="n"/>
      <c r="L132" s="104" t="n"/>
      <c r="M132" s="104" t="n"/>
      <c r="N132" s="104" t="n"/>
      <c r="O132" s="104" t="n"/>
      <c r="P132" s="104" t="n"/>
      <c r="Q132" s="104" t="n"/>
      <c r="R132" s="104" t="n"/>
      <c r="S132" s="110" t="n"/>
      <c r="T132" s="110" t="n"/>
      <c r="U132" s="104" t="n"/>
    </row>
    <row r="133">
      <c r="A133" s="105" t="inlineStr">
        <is>
          <t>GUIDE000132</t>
        </is>
      </c>
      <c r="B133" s="101" t="inlineStr">
        <is>
          <t>DEV000028</t>
        </is>
      </c>
      <c r="C133" s="103" t="inlineStr">
        <is>
          <t>APL</t>
        </is>
      </c>
      <c r="D133" s="103" t="inlineStr">
        <is>
          <t>PHN</t>
        </is>
      </c>
      <c r="E133" s="60" t="inlineStr">
        <is>
          <t>iPhone 12 Pro</t>
        </is>
      </c>
      <c r="F133" s="104" t="inlineStr">
        <is>
          <t>SVC000005</t>
        </is>
      </c>
      <c r="G133" s="104" t="inlineStr">
        <is>
          <t>Back Glass Replacement</t>
        </is>
      </c>
      <c r="H133" s="104" t="inlineStr">
        <is>
          <t>Display</t>
        </is>
      </c>
      <c r="I133" s="104" t="n"/>
      <c r="J133" s="104" t="n"/>
      <c r="K133" s="104" t="n"/>
      <c r="L133" s="104" t="n"/>
      <c r="M133" s="104" t="n"/>
      <c r="N133" s="104" t="n"/>
      <c r="O133" s="104" t="n"/>
      <c r="P133" s="104" t="n"/>
      <c r="Q133" s="104" t="n"/>
      <c r="R133" s="104" t="n"/>
      <c r="S133" s="110" t="n"/>
      <c r="T133" s="110" t="n"/>
      <c r="U133" s="104" t="n"/>
    </row>
    <row r="134">
      <c r="A134" s="104" t="inlineStr">
        <is>
          <t>GUIDE000133</t>
        </is>
      </c>
      <c r="B134" s="101" t="inlineStr">
        <is>
          <t>DEV000029</t>
        </is>
      </c>
      <c r="C134" s="103" t="inlineStr">
        <is>
          <t>APL</t>
        </is>
      </c>
      <c r="D134" s="103" t="inlineStr">
        <is>
          <t>PHN</t>
        </is>
      </c>
      <c r="E134" s="60" t="inlineStr">
        <is>
          <t>iPhone 12 Pro Max</t>
        </is>
      </c>
      <c r="F134" s="104" t="inlineStr">
        <is>
          <t>SVC000005</t>
        </is>
      </c>
      <c r="G134" s="104" t="inlineStr">
        <is>
          <t>Back Glass Replacement</t>
        </is>
      </c>
      <c r="H134" s="104" t="inlineStr">
        <is>
          <t>Display</t>
        </is>
      </c>
      <c r="I134" s="104" t="n"/>
      <c r="J134" s="104" t="n"/>
      <c r="K134" s="104" t="n"/>
      <c r="L134" s="104" t="n"/>
      <c r="M134" s="104" t="n"/>
      <c r="N134" s="104" t="n"/>
      <c r="O134" s="104" t="n"/>
      <c r="P134" s="104" t="n"/>
      <c r="Q134" s="104" t="n"/>
      <c r="R134" s="104" t="n"/>
      <c r="S134" s="110" t="n"/>
      <c r="T134" s="110" t="n"/>
      <c r="U134" s="104" t="n"/>
    </row>
    <row r="135">
      <c r="A135" s="104" t="inlineStr">
        <is>
          <t>GUIDE000134</t>
        </is>
      </c>
      <c r="B135" s="101" t="inlineStr">
        <is>
          <t>DEV000030</t>
        </is>
      </c>
      <c r="C135" s="103" t="inlineStr">
        <is>
          <t>APL</t>
        </is>
      </c>
      <c r="D135" s="103" t="inlineStr">
        <is>
          <t>PHN</t>
        </is>
      </c>
      <c r="E135" s="60" t="inlineStr">
        <is>
          <t>iPhone 13 mini</t>
        </is>
      </c>
      <c r="F135" s="104" t="inlineStr">
        <is>
          <t>SVC000005</t>
        </is>
      </c>
      <c r="G135" s="104" t="inlineStr">
        <is>
          <t>Back Glass Replacement</t>
        </is>
      </c>
      <c r="H135" s="104" t="inlineStr">
        <is>
          <t>Display</t>
        </is>
      </c>
      <c r="I135" s="104" t="n"/>
      <c r="J135" s="104" t="n"/>
      <c r="K135" s="104" t="n"/>
      <c r="L135" s="104" t="n"/>
      <c r="M135" s="104" t="n"/>
      <c r="N135" s="104" t="n"/>
      <c r="O135" s="104" t="n"/>
      <c r="P135" s="104" t="n"/>
      <c r="Q135" s="104" t="n"/>
      <c r="R135" s="104" t="n"/>
      <c r="S135" s="110" t="n"/>
      <c r="T135" s="110" t="n"/>
      <c r="U135" s="104" t="n"/>
    </row>
    <row r="136">
      <c r="A136" s="104" t="inlineStr">
        <is>
          <t>GUIDE000135</t>
        </is>
      </c>
      <c r="B136" s="101" t="inlineStr">
        <is>
          <t>DEV000031</t>
        </is>
      </c>
      <c r="C136" s="103" t="inlineStr">
        <is>
          <t>APL</t>
        </is>
      </c>
      <c r="D136" s="103" t="inlineStr">
        <is>
          <t>PHN</t>
        </is>
      </c>
      <c r="E136" s="60" t="inlineStr">
        <is>
          <t>iPhone 13</t>
        </is>
      </c>
      <c r="F136" s="104" t="inlineStr">
        <is>
          <t>SVC000005</t>
        </is>
      </c>
      <c r="G136" s="104" t="inlineStr">
        <is>
          <t>Back Glass Replacement</t>
        </is>
      </c>
      <c r="H136" s="104" t="inlineStr">
        <is>
          <t>Display</t>
        </is>
      </c>
      <c r="I136" s="104" t="n"/>
      <c r="J136" s="104" t="n"/>
      <c r="K136" s="104" t="n"/>
      <c r="L136" s="104" t="n"/>
      <c r="M136" s="104" t="n"/>
      <c r="N136" s="104" t="n"/>
      <c r="O136" s="104" t="n"/>
      <c r="P136" s="104" t="n"/>
      <c r="Q136" s="104" t="n"/>
      <c r="R136" s="104" t="n"/>
      <c r="S136" s="110" t="n"/>
      <c r="T136" s="110" t="n"/>
      <c r="U136" s="104" t="n"/>
    </row>
    <row r="137">
      <c r="A137" s="104" t="inlineStr">
        <is>
          <t>GUIDE000136</t>
        </is>
      </c>
      <c r="B137" s="101" t="inlineStr">
        <is>
          <t>DEV000032</t>
        </is>
      </c>
      <c r="C137" s="103" t="inlineStr">
        <is>
          <t>APL</t>
        </is>
      </c>
      <c r="D137" s="103" t="inlineStr">
        <is>
          <t>PHN</t>
        </is>
      </c>
      <c r="E137" s="60" t="inlineStr">
        <is>
          <t>iPhone 13 Pro</t>
        </is>
      </c>
      <c r="F137" s="104" t="inlineStr">
        <is>
          <t>SVC000005</t>
        </is>
      </c>
      <c r="G137" s="104" t="inlineStr">
        <is>
          <t>Back Glass Replacement</t>
        </is>
      </c>
      <c r="H137" s="104" t="inlineStr">
        <is>
          <t>Display</t>
        </is>
      </c>
      <c r="I137" s="104" t="n"/>
      <c r="J137" s="104" t="n"/>
      <c r="K137" s="104" t="n"/>
      <c r="L137" s="104" t="n"/>
      <c r="M137" s="104" t="n"/>
      <c r="N137" s="104" t="n"/>
      <c r="O137" s="104" t="n"/>
      <c r="P137" s="104" t="n"/>
      <c r="Q137" s="104" t="n"/>
      <c r="R137" s="104" t="n"/>
      <c r="S137" s="110" t="n"/>
      <c r="T137" s="110" t="n"/>
      <c r="U137" s="104" t="n"/>
    </row>
    <row r="138">
      <c r="A138" s="105" t="inlineStr">
        <is>
          <t>GUIDE000137</t>
        </is>
      </c>
      <c r="B138" s="101" t="inlineStr">
        <is>
          <t>DEV000033</t>
        </is>
      </c>
      <c r="C138" s="103" t="inlineStr">
        <is>
          <t>APL</t>
        </is>
      </c>
      <c r="D138" s="103" t="inlineStr">
        <is>
          <t>PHN</t>
        </is>
      </c>
      <c r="E138" s="60" t="inlineStr">
        <is>
          <t>iPhone 13 Pro Max</t>
        </is>
      </c>
      <c r="F138" s="104" t="inlineStr">
        <is>
          <t>SVC000005</t>
        </is>
      </c>
      <c r="G138" s="104" t="inlineStr">
        <is>
          <t>Back Glass Replacement</t>
        </is>
      </c>
      <c r="H138" s="104" t="inlineStr">
        <is>
          <t>Display</t>
        </is>
      </c>
      <c r="I138" s="104" t="n"/>
      <c r="J138" s="104" t="n"/>
      <c r="K138" s="104" t="n"/>
      <c r="L138" s="104" t="n"/>
      <c r="M138" s="104" t="n"/>
      <c r="N138" s="104" t="n"/>
      <c r="O138" s="104" t="n"/>
      <c r="P138" s="104" t="n"/>
      <c r="Q138" s="104" t="n"/>
      <c r="R138" s="104" t="n"/>
      <c r="S138" s="110" t="n"/>
      <c r="T138" s="110" t="n"/>
      <c r="U138" s="104" t="n"/>
    </row>
    <row r="139">
      <c r="A139" s="104" t="inlineStr">
        <is>
          <t>GUIDE000138</t>
        </is>
      </c>
      <c r="B139" s="101" t="inlineStr">
        <is>
          <t>DEV000034</t>
        </is>
      </c>
      <c r="C139" s="103" t="inlineStr">
        <is>
          <t>APL</t>
        </is>
      </c>
      <c r="D139" s="103" t="inlineStr">
        <is>
          <t>PHN</t>
        </is>
      </c>
      <c r="E139" s="60" t="inlineStr">
        <is>
          <t>iPhone SE (3rd Generation)</t>
        </is>
      </c>
      <c r="F139" s="104" t="inlineStr">
        <is>
          <t>SVC000005</t>
        </is>
      </c>
      <c r="G139" s="104" t="inlineStr">
        <is>
          <t>Back Glass Replacement</t>
        </is>
      </c>
      <c r="H139" s="104" t="inlineStr">
        <is>
          <t>Display</t>
        </is>
      </c>
      <c r="I139" s="104" t="n"/>
      <c r="J139" s="104" t="n"/>
      <c r="K139" s="104" t="n"/>
      <c r="L139" s="104" t="n"/>
      <c r="M139" s="104" t="n"/>
      <c r="N139" s="104" t="n"/>
      <c r="O139" s="104" t="n"/>
      <c r="P139" s="104" t="n"/>
      <c r="Q139" s="104" t="n"/>
      <c r="R139" s="104" t="n"/>
      <c r="S139" s="110" t="n"/>
      <c r="T139" s="110" t="n"/>
      <c r="U139" s="104" t="n"/>
    </row>
    <row r="140">
      <c r="A140" s="104" t="inlineStr">
        <is>
          <t>GUIDE000139</t>
        </is>
      </c>
      <c r="B140" s="101" t="inlineStr">
        <is>
          <t>DEV000035</t>
        </is>
      </c>
      <c r="C140" s="103" t="inlineStr">
        <is>
          <t>APL</t>
        </is>
      </c>
      <c r="D140" s="103" t="inlineStr">
        <is>
          <t>PHN</t>
        </is>
      </c>
      <c r="E140" s="60" t="inlineStr">
        <is>
          <t>iPhone 14</t>
        </is>
      </c>
      <c r="F140" s="104" t="inlineStr">
        <is>
          <t>SVC000005</t>
        </is>
      </c>
      <c r="G140" s="104" t="inlineStr">
        <is>
          <t>Back Glass Replacement</t>
        </is>
      </c>
      <c r="H140" s="104" t="inlineStr">
        <is>
          <t>Display</t>
        </is>
      </c>
      <c r="I140" s="104" t="n"/>
      <c r="J140" s="104" t="n"/>
      <c r="K140" s="104" t="n"/>
      <c r="L140" s="104" t="n"/>
      <c r="M140" s="104" t="n"/>
      <c r="N140" s="104" t="n"/>
      <c r="O140" s="104" t="n"/>
      <c r="P140" s="104" t="n"/>
      <c r="Q140" s="104" t="n"/>
      <c r="R140" s="104" t="n"/>
      <c r="S140" s="110" t="n"/>
      <c r="T140" s="110" t="n"/>
      <c r="U140" s="104" t="n"/>
    </row>
    <row r="141">
      <c r="A141" s="104" t="inlineStr">
        <is>
          <t>GUIDE000140</t>
        </is>
      </c>
      <c r="B141" s="101" t="inlineStr">
        <is>
          <t>DEV000036</t>
        </is>
      </c>
      <c r="C141" s="103" t="inlineStr">
        <is>
          <t>APL</t>
        </is>
      </c>
      <c r="D141" s="103" t="inlineStr">
        <is>
          <t>PHN</t>
        </is>
      </c>
      <c r="E141" s="60" t="inlineStr">
        <is>
          <t>iPhone 14 Plus</t>
        </is>
      </c>
      <c r="F141" s="104" t="inlineStr">
        <is>
          <t>SVC000005</t>
        </is>
      </c>
      <c r="G141" s="104" t="inlineStr">
        <is>
          <t>Back Glass Replacement</t>
        </is>
      </c>
      <c r="H141" s="104" t="inlineStr">
        <is>
          <t>Display</t>
        </is>
      </c>
      <c r="I141" s="104" t="n"/>
      <c r="J141" s="104" t="n"/>
      <c r="K141" s="104" t="n"/>
      <c r="L141" s="104" t="n"/>
      <c r="M141" s="104" t="n"/>
      <c r="N141" s="104" t="n"/>
      <c r="O141" s="104" t="n"/>
      <c r="P141" s="104" t="n"/>
      <c r="Q141" s="104" t="n"/>
      <c r="R141" s="104" t="n"/>
      <c r="S141" s="110" t="n"/>
      <c r="T141" s="110" t="n"/>
      <c r="U141" s="104" t="n"/>
    </row>
    <row r="142">
      <c r="A142" s="105" t="inlineStr">
        <is>
          <t>GUIDE000141</t>
        </is>
      </c>
      <c r="B142" s="101" t="inlineStr">
        <is>
          <t>DEV000037</t>
        </is>
      </c>
      <c r="C142" s="103" t="inlineStr">
        <is>
          <t>APL</t>
        </is>
      </c>
      <c r="D142" s="103" t="inlineStr">
        <is>
          <t>PHN</t>
        </is>
      </c>
      <c r="E142" s="60" t="inlineStr">
        <is>
          <t>iPhone 14 Pro</t>
        </is>
      </c>
      <c r="F142" s="104" t="inlineStr">
        <is>
          <t>SVC000005</t>
        </is>
      </c>
      <c r="G142" s="104" t="inlineStr">
        <is>
          <t>Back Glass Replacement</t>
        </is>
      </c>
      <c r="H142" s="104" t="inlineStr">
        <is>
          <t>Display</t>
        </is>
      </c>
      <c r="I142" s="104" t="n"/>
      <c r="J142" s="104" t="n"/>
      <c r="K142" s="104" t="n"/>
      <c r="L142" s="104" t="n"/>
      <c r="M142" s="104" t="n"/>
      <c r="N142" s="104" t="n"/>
      <c r="O142" s="104" t="n"/>
      <c r="P142" s="104" t="n"/>
      <c r="Q142" s="104" t="n"/>
      <c r="R142" s="104" t="n"/>
      <c r="S142" s="110" t="n"/>
      <c r="T142" s="110" t="n"/>
      <c r="U142" s="104" t="n"/>
    </row>
    <row r="143">
      <c r="A143" s="104" t="inlineStr">
        <is>
          <t>GUIDE000142</t>
        </is>
      </c>
      <c r="B143" s="101" t="inlineStr">
        <is>
          <t>DEV000038</t>
        </is>
      </c>
      <c r="C143" s="103" t="inlineStr">
        <is>
          <t>APL</t>
        </is>
      </c>
      <c r="D143" s="103" t="inlineStr">
        <is>
          <t>PHN</t>
        </is>
      </c>
      <c r="E143" s="60" t="inlineStr">
        <is>
          <t>iPhone 14 Pro Max</t>
        </is>
      </c>
      <c r="F143" s="104" t="inlineStr">
        <is>
          <t>SVC000005</t>
        </is>
      </c>
      <c r="G143" s="104" t="inlineStr">
        <is>
          <t>Back Glass Replacement</t>
        </is>
      </c>
      <c r="H143" s="104" t="inlineStr">
        <is>
          <t>Display</t>
        </is>
      </c>
      <c r="I143" s="104" t="n"/>
      <c r="J143" s="104" t="n"/>
      <c r="K143" s="104" t="n"/>
      <c r="L143" s="104" t="n"/>
      <c r="M143" s="104" t="n"/>
      <c r="N143" s="104" t="n"/>
      <c r="O143" s="104" t="n"/>
      <c r="P143" s="104" t="n"/>
      <c r="Q143" s="104" t="n"/>
      <c r="R143" s="104" t="n"/>
      <c r="S143" s="110" t="n"/>
      <c r="T143" s="110" t="n"/>
      <c r="U143" s="104" t="n"/>
    </row>
    <row r="144">
      <c r="A144" s="104" t="inlineStr">
        <is>
          <t>GUIDE000143</t>
        </is>
      </c>
      <c r="B144" s="101" t="inlineStr">
        <is>
          <t>DEV000039</t>
        </is>
      </c>
      <c r="C144" s="103" t="inlineStr">
        <is>
          <t>APL</t>
        </is>
      </c>
      <c r="D144" s="103" t="inlineStr">
        <is>
          <t>PHN</t>
        </is>
      </c>
      <c r="E144" s="60" t="inlineStr">
        <is>
          <t>iPhone 15</t>
        </is>
      </c>
      <c r="F144" s="104" t="inlineStr">
        <is>
          <t>SVC000005</t>
        </is>
      </c>
      <c r="G144" s="104" t="inlineStr">
        <is>
          <t>Back Glass Replacement</t>
        </is>
      </c>
      <c r="H144" s="104" t="inlineStr">
        <is>
          <t>Display</t>
        </is>
      </c>
      <c r="I144" s="104" t="n"/>
      <c r="J144" s="104" t="n"/>
      <c r="K144" s="104" t="n"/>
      <c r="L144" s="104" t="n"/>
      <c r="M144" s="104" t="n"/>
      <c r="N144" s="104" t="n"/>
      <c r="O144" s="104" t="n"/>
      <c r="P144" s="104" t="n"/>
      <c r="Q144" s="104" t="n"/>
      <c r="R144" s="104" t="n"/>
      <c r="S144" s="110" t="n"/>
      <c r="T144" s="110" t="n"/>
      <c r="U144" s="104" t="n"/>
    </row>
    <row r="145">
      <c r="A145" s="104" t="inlineStr">
        <is>
          <t>GUIDE000144</t>
        </is>
      </c>
      <c r="B145" s="101" t="inlineStr">
        <is>
          <t>DEV000040</t>
        </is>
      </c>
      <c r="C145" s="103" t="inlineStr">
        <is>
          <t>APL</t>
        </is>
      </c>
      <c r="D145" s="103" t="inlineStr">
        <is>
          <t>PHN</t>
        </is>
      </c>
      <c r="E145" s="60" t="inlineStr">
        <is>
          <t>iPhone 15 Plus</t>
        </is>
      </c>
      <c r="F145" s="104" t="inlineStr">
        <is>
          <t>SVC000005</t>
        </is>
      </c>
      <c r="G145" s="104" t="inlineStr">
        <is>
          <t>Back Glass Replacement</t>
        </is>
      </c>
      <c r="H145" s="104" t="inlineStr">
        <is>
          <t>Display</t>
        </is>
      </c>
      <c r="I145" s="104" t="n"/>
      <c r="J145" s="104" t="n"/>
      <c r="K145" s="104" t="n"/>
      <c r="L145" s="104" t="n"/>
      <c r="M145" s="104" t="n"/>
      <c r="N145" s="104" t="n"/>
      <c r="O145" s="104" t="n"/>
      <c r="P145" s="104" t="n"/>
      <c r="Q145" s="104" t="n"/>
      <c r="R145" s="104" t="n"/>
      <c r="S145" s="110" t="n"/>
      <c r="T145" s="110" t="n"/>
      <c r="U145" s="104" t="n"/>
    </row>
    <row r="146">
      <c r="A146" s="104" t="inlineStr">
        <is>
          <t>GUIDE000145</t>
        </is>
      </c>
      <c r="B146" s="101" t="inlineStr">
        <is>
          <t>DEV000041</t>
        </is>
      </c>
      <c r="C146" s="103" t="inlineStr">
        <is>
          <t>APL</t>
        </is>
      </c>
      <c r="D146" s="103" t="inlineStr">
        <is>
          <t>PHN</t>
        </is>
      </c>
      <c r="E146" s="60" t="inlineStr">
        <is>
          <t>iPhone 15 Pro</t>
        </is>
      </c>
      <c r="F146" s="104" t="inlineStr">
        <is>
          <t>SVC000005</t>
        </is>
      </c>
      <c r="G146" s="104" t="inlineStr">
        <is>
          <t>Back Glass Replacement</t>
        </is>
      </c>
      <c r="H146" s="104" t="inlineStr">
        <is>
          <t>Display</t>
        </is>
      </c>
      <c r="I146" s="104" t="n"/>
      <c r="J146" s="104" t="n"/>
      <c r="K146" s="104" t="n"/>
      <c r="L146" s="104" t="n"/>
      <c r="M146" s="104" t="n"/>
      <c r="N146" s="104" t="n"/>
      <c r="O146" s="104" t="n"/>
      <c r="P146" s="104" t="n"/>
      <c r="Q146" s="104" t="n"/>
      <c r="R146" s="104" t="n"/>
      <c r="S146" s="110" t="n"/>
      <c r="T146" s="110" t="n"/>
      <c r="U146" s="104" t="n"/>
    </row>
    <row r="147">
      <c r="A147" s="105" t="inlineStr">
        <is>
          <t>GUIDE000146</t>
        </is>
      </c>
      <c r="B147" s="101" t="inlineStr">
        <is>
          <t>DEV000042</t>
        </is>
      </c>
      <c r="C147" s="103" t="inlineStr">
        <is>
          <t>APL</t>
        </is>
      </c>
      <c r="D147" s="103" t="inlineStr">
        <is>
          <t>PHN</t>
        </is>
      </c>
      <c r="E147" s="60" t="inlineStr">
        <is>
          <t>iPhone 15 Pro Max</t>
        </is>
      </c>
      <c r="F147" s="104" t="inlineStr">
        <is>
          <t>SVC000005</t>
        </is>
      </c>
      <c r="G147" s="104" t="inlineStr">
        <is>
          <t>Back Glass Replacement</t>
        </is>
      </c>
      <c r="H147" s="104" t="inlineStr">
        <is>
          <t>Display</t>
        </is>
      </c>
      <c r="I147" s="104" t="n"/>
      <c r="J147" s="104" t="n"/>
      <c r="K147" s="104" t="n"/>
      <c r="L147" s="104" t="n"/>
      <c r="M147" s="104" t="n"/>
      <c r="N147" s="104" t="n"/>
      <c r="O147" s="104" t="n"/>
      <c r="P147" s="104" t="n"/>
      <c r="Q147" s="104" t="n"/>
      <c r="R147" s="104" t="n"/>
      <c r="S147" s="110" t="n"/>
      <c r="T147" s="110" t="n"/>
      <c r="U147" s="104" t="n"/>
    </row>
    <row r="148">
      <c r="A148" s="104" t="inlineStr">
        <is>
          <t>GUIDE000147</t>
        </is>
      </c>
      <c r="B148" s="101" t="inlineStr">
        <is>
          <t>DEV000043</t>
        </is>
      </c>
      <c r="C148" s="103" t="inlineStr">
        <is>
          <t>APL</t>
        </is>
      </c>
      <c r="D148" s="103" t="inlineStr">
        <is>
          <t>PHN</t>
        </is>
      </c>
      <c r="E148" s="60" t="inlineStr">
        <is>
          <t>iPhone 16</t>
        </is>
      </c>
      <c r="F148" s="104" t="inlineStr">
        <is>
          <t>SVC000005</t>
        </is>
      </c>
      <c r="G148" s="104" t="inlineStr">
        <is>
          <t>Back Glass Replacement</t>
        </is>
      </c>
      <c r="H148" s="104" t="inlineStr">
        <is>
          <t>Display</t>
        </is>
      </c>
      <c r="I148" s="104" t="n"/>
      <c r="J148" s="104" t="n"/>
      <c r="K148" s="104" t="n"/>
      <c r="L148" s="104" t="n"/>
      <c r="M148" s="104" t="n"/>
      <c r="N148" s="104" t="n"/>
      <c r="O148" s="104" t="n"/>
      <c r="P148" s="104" t="n"/>
      <c r="Q148" s="104" t="n"/>
      <c r="R148" s="104" t="n"/>
      <c r="S148" s="110" t="n"/>
      <c r="T148" s="110" t="n"/>
      <c r="U148" s="104" t="n"/>
    </row>
    <row r="149">
      <c r="A149" s="104" t="inlineStr">
        <is>
          <t>GUIDE000148</t>
        </is>
      </c>
      <c r="B149" s="101" t="inlineStr">
        <is>
          <t>DEV000044</t>
        </is>
      </c>
      <c r="C149" s="103" t="inlineStr">
        <is>
          <t>APL</t>
        </is>
      </c>
      <c r="D149" s="103" t="inlineStr">
        <is>
          <t>PHN</t>
        </is>
      </c>
      <c r="E149" s="60" t="inlineStr">
        <is>
          <t>iPhone 16 Plus</t>
        </is>
      </c>
      <c r="F149" s="104" t="inlineStr">
        <is>
          <t>SVC000005</t>
        </is>
      </c>
      <c r="G149" s="104" t="inlineStr">
        <is>
          <t>Back Glass Replacement</t>
        </is>
      </c>
      <c r="H149" s="104" t="inlineStr">
        <is>
          <t>Display</t>
        </is>
      </c>
      <c r="I149" s="104" t="n"/>
      <c r="J149" s="104" t="n"/>
      <c r="K149" s="104" t="n"/>
      <c r="L149" s="104" t="n"/>
      <c r="M149" s="104" t="n"/>
      <c r="N149" s="104" t="n"/>
      <c r="O149" s="104" t="n"/>
      <c r="P149" s="104" t="n"/>
      <c r="Q149" s="104" t="n"/>
      <c r="R149" s="104" t="n"/>
      <c r="S149" s="110" t="n"/>
      <c r="T149" s="110" t="n"/>
      <c r="U149" s="104" t="n"/>
    </row>
    <row r="150">
      <c r="A150" s="104" t="inlineStr">
        <is>
          <t>GUIDE000149</t>
        </is>
      </c>
      <c r="B150" s="101" t="inlineStr">
        <is>
          <t>DEV000045</t>
        </is>
      </c>
      <c r="C150" s="103" t="inlineStr">
        <is>
          <t>APL</t>
        </is>
      </c>
      <c r="D150" s="103" t="inlineStr">
        <is>
          <t>PHN</t>
        </is>
      </c>
      <c r="E150" s="60" t="inlineStr">
        <is>
          <t>iPhone 16 Pro</t>
        </is>
      </c>
      <c r="F150" s="104" t="inlineStr">
        <is>
          <t>SVC000005</t>
        </is>
      </c>
      <c r="G150" s="104" t="inlineStr">
        <is>
          <t>Back Glass Replacement</t>
        </is>
      </c>
      <c r="H150" s="104" t="inlineStr">
        <is>
          <t>Display</t>
        </is>
      </c>
      <c r="I150" s="104" t="n"/>
      <c r="J150" s="104" t="n"/>
      <c r="K150" s="104" t="n"/>
      <c r="L150" s="104" t="n"/>
      <c r="M150" s="104" t="n"/>
      <c r="N150" s="104" t="n"/>
      <c r="O150" s="104" t="n"/>
      <c r="P150" s="104" t="n"/>
      <c r="Q150" s="104" t="n"/>
      <c r="R150" s="104" t="n"/>
      <c r="S150" s="110" t="n"/>
      <c r="T150" s="110" t="n"/>
      <c r="U150" s="104" t="n"/>
    </row>
    <row r="151">
      <c r="A151" s="105" t="inlineStr">
        <is>
          <t>GUIDE000150</t>
        </is>
      </c>
      <c r="B151" s="101" t="inlineStr">
        <is>
          <t>DEV000046</t>
        </is>
      </c>
      <c r="C151" s="103" t="inlineStr">
        <is>
          <t>APL</t>
        </is>
      </c>
      <c r="D151" s="103" t="inlineStr">
        <is>
          <t>PHN</t>
        </is>
      </c>
      <c r="E151" s="60" t="inlineStr">
        <is>
          <t>iPhone 16 Pro Max</t>
        </is>
      </c>
      <c r="F151" s="104" t="inlineStr">
        <is>
          <t>SVC000005</t>
        </is>
      </c>
      <c r="G151" s="104" t="inlineStr">
        <is>
          <t>Back Glass Replacement</t>
        </is>
      </c>
      <c r="H151" s="104" t="inlineStr">
        <is>
          <t>Display</t>
        </is>
      </c>
      <c r="I151" s="104" t="n"/>
      <c r="J151" s="104" t="n"/>
      <c r="K151" s="104" t="n"/>
      <c r="L151" s="104" t="n"/>
      <c r="M151" s="104" t="n"/>
      <c r="N151" s="104" t="n"/>
      <c r="O151" s="104" t="n"/>
      <c r="P151" s="104" t="n"/>
      <c r="Q151" s="104" t="n"/>
      <c r="R151" s="104" t="n"/>
      <c r="S151" s="110" t="n"/>
      <c r="T151" s="110" t="n"/>
      <c r="U151" s="104" t="n"/>
    </row>
    <row r="152">
      <c r="A152" s="104" t="inlineStr">
        <is>
          <t>GUIDE000151</t>
        </is>
      </c>
      <c r="B152" s="101" t="inlineStr">
        <is>
          <t>DEV000047</t>
        </is>
      </c>
      <c r="C152" s="103" t="inlineStr">
        <is>
          <t>APL</t>
        </is>
      </c>
      <c r="D152" s="103" t="inlineStr">
        <is>
          <t>PHN</t>
        </is>
      </c>
      <c r="E152" s="60" t="inlineStr">
        <is>
          <t>iPhone 16e</t>
        </is>
      </c>
      <c r="F152" s="104" t="inlineStr">
        <is>
          <t>SVC000005</t>
        </is>
      </c>
      <c r="G152" s="104" t="inlineStr">
        <is>
          <t>Back Glass Replacement</t>
        </is>
      </c>
      <c r="H152" s="104" t="inlineStr">
        <is>
          <t>Display</t>
        </is>
      </c>
      <c r="I152" s="104" t="n"/>
      <c r="J152" s="104" t="n"/>
      <c r="K152" s="104" t="n"/>
      <c r="L152" s="104" t="n"/>
      <c r="M152" s="104" t="n"/>
      <c r="N152" s="104" t="n"/>
      <c r="O152" s="104" t="n"/>
      <c r="P152" s="104" t="n"/>
      <c r="Q152" s="104" t="n"/>
      <c r="R152" s="104" t="n"/>
      <c r="S152" s="110" t="n"/>
      <c r="T152" s="110" t="n"/>
      <c r="U152" s="104" t="n"/>
    </row>
    <row r="153">
      <c r="A153" s="104" t="inlineStr">
        <is>
          <t>GUIDE000152</t>
        </is>
      </c>
      <c r="B153" s="101" t="inlineStr">
        <is>
          <t>DEV000048</t>
        </is>
      </c>
      <c r="C153" s="103" t="inlineStr">
        <is>
          <t>APL</t>
        </is>
      </c>
      <c r="D153" s="103" t="inlineStr">
        <is>
          <t>PHN</t>
        </is>
      </c>
      <c r="E153" s="60" t="inlineStr">
        <is>
          <t>iPhone 17</t>
        </is>
      </c>
      <c r="F153" s="104" t="inlineStr">
        <is>
          <t>SVC000005</t>
        </is>
      </c>
      <c r="G153" s="104" t="inlineStr">
        <is>
          <t>Back Glass Replacement</t>
        </is>
      </c>
      <c r="H153" s="104" t="inlineStr">
        <is>
          <t>Display</t>
        </is>
      </c>
      <c r="I153" s="104" t="n"/>
      <c r="J153" s="104" t="n"/>
      <c r="K153" s="104" t="n"/>
      <c r="L153" s="104" t="n"/>
      <c r="M153" s="104" t="n"/>
      <c r="N153" s="104" t="n"/>
      <c r="O153" s="104" t="n"/>
      <c r="P153" s="104" t="n"/>
      <c r="Q153" s="104" t="n"/>
      <c r="R153" s="104" t="n"/>
      <c r="S153" s="110" t="n"/>
      <c r="T153" s="110" t="n"/>
      <c r="U153" s="104" t="n"/>
    </row>
    <row r="154">
      <c r="A154" s="104" t="inlineStr">
        <is>
          <t>GUIDE000153</t>
        </is>
      </c>
      <c r="B154" s="101" t="inlineStr">
        <is>
          <t>DEV000049</t>
        </is>
      </c>
      <c r="C154" s="103" t="inlineStr">
        <is>
          <t>APL</t>
        </is>
      </c>
      <c r="D154" s="103" t="inlineStr">
        <is>
          <t>PHN</t>
        </is>
      </c>
      <c r="E154" s="60" t="inlineStr">
        <is>
          <t>iPhone 17 Pro</t>
        </is>
      </c>
      <c r="F154" s="104" t="inlineStr">
        <is>
          <t>SVC000005</t>
        </is>
      </c>
      <c r="G154" s="104" t="inlineStr">
        <is>
          <t>Back Glass Replacement</t>
        </is>
      </c>
      <c r="H154" s="104" t="inlineStr">
        <is>
          <t>Display</t>
        </is>
      </c>
      <c r="I154" s="104" t="n"/>
      <c r="J154" s="104" t="n"/>
      <c r="K154" s="104" t="n"/>
      <c r="L154" s="104" t="n"/>
      <c r="M154" s="104" t="n"/>
      <c r="N154" s="104" t="n"/>
      <c r="O154" s="104" t="n"/>
      <c r="P154" s="104" t="n"/>
      <c r="Q154" s="104" t="n"/>
      <c r="R154" s="104" t="n"/>
      <c r="S154" s="110" t="n"/>
      <c r="T154" s="110" t="n"/>
      <c r="U154" s="104" t="n"/>
    </row>
    <row r="155">
      <c r="A155" s="104" t="inlineStr">
        <is>
          <t>GUIDE000154</t>
        </is>
      </c>
      <c r="B155" s="101" t="inlineStr">
        <is>
          <t>DEV000050</t>
        </is>
      </c>
      <c r="C155" s="103" t="inlineStr">
        <is>
          <t>APL</t>
        </is>
      </c>
      <c r="D155" s="103" t="inlineStr">
        <is>
          <t>PHN</t>
        </is>
      </c>
      <c r="E155" s="60" t="inlineStr">
        <is>
          <t>iPhone 17 Pro Max</t>
        </is>
      </c>
      <c r="F155" s="104" t="inlineStr">
        <is>
          <t>SVC000005</t>
        </is>
      </c>
      <c r="G155" s="104" t="inlineStr">
        <is>
          <t>Back Glass Replacement</t>
        </is>
      </c>
      <c r="H155" s="104" t="inlineStr">
        <is>
          <t>Display</t>
        </is>
      </c>
      <c r="I155" s="104" t="n"/>
      <c r="J155" s="104" t="n"/>
      <c r="K155" s="104" t="n"/>
      <c r="L155" s="104" t="n"/>
      <c r="M155" s="104" t="n"/>
      <c r="N155" s="104" t="n"/>
      <c r="O155" s="104" t="n"/>
      <c r="P155" s="104" t="n"/>
      <c r="Q155" s="104" t="n"/>
      <c r="R155" s="104" t="n"/>
      <c r="S155" s="110" t="n"/>
      <c r="T155" s="110" t="n"/>
      <c r="U155" s="104" t="n"/>
    </row>
    <row r="156">
      <c r="A156" s="105" t="inlineStr">
        <is>
          <t>GUIDE000155</t>
        </is>
      </c>
      <c r="B156" s="101" t="inlineStr">
        <is>
          <t>DEV000051</t>
        </is>
      </c>
      <c r="C156" s="103" t="inlineStr">
        <is>
          <t>APL</t>
        </is>
      </c>
      <c r="D156" s="103" t="inlineStr">
        <is>
          <t>PHN</t>
        </is>
      </c>
      <c r="E156" s="60" t="inlineStr">
        <is>
          <t>iPhone Air</t>
        </is>
      </c>
      <c r="F156" s="104" t="inlineStr">
        <is>
          <t>SVC000005</t>
        </is>
      </c>
      <c r="G156" s="104" t="inlineStr">
        <is>
          <t>Back Glass Replacement</t>
        </is>
      </c>
      <c r="H156" s="104" t="inlineStr">
        <is>
          <t>Display</t>
        </is>
      </c>
      <c r="I156" s="104" t="n"/>
      <c r="J156" s="104" t="n"/>
      <c r="K156" s="104" t="n"/>
      <c r="L156" s="104" t="n"/>
      <c r="M156" s="104" t="n"/>
      <c r="N156" s="104" t="n"/>
      <c r="O156" s="104" t="n"/>
      <c r="P156" s="104" t="n"/>
      <c r="Q156" s="104" t="n"/>
      <c r="R156" s="104" t="n"/>
      <c r="S156" s="110" t="n"/>
      <c r="T156" s="110" t="n"/>
      <c r="U156" s="104" t="n"/>
    </row>
    <row r="157">
      <c r="A157" s="104" t="inlineStr">
        <is>
          <t>GUIDE000156</t>
        </is>
      </c>
      <c r="B157" s="101" t="inlineStr">
        <is>
          <t>DEV000052</t>
        </is>
      </c>
      <c r="C157" s="103" t="inlineStr">
        <is>
          <t>APL</t>
        </is>
      </c>
      <c r="D157" s="103" t="inlineStr">
        <is>
          <t>PHN</t>
        </is>
      </c>
      <c r="E157" s="60" t="inlineStr">
        <is>
          <t>iPhone 17e</t>
        </is>
      </c>
      <c r="F157" s="104" t="inlineStr">
        <is>
          <t>SVC000005</t>
        </is>
      </c>
      <c r="G157" s="104" t="inlineStr">
        <is>
          <t>Back Glass Replacement</t>
        </is>
      </c>
      <c r="H157" s="104" t="inlineStr">
        <is>
          <t>Display</t>
        </is>
      </c>
      <c r="I157" s="104" t="n"/>
      <c r="J157" s="104" t="n"/>
      <c r="K157" s="104" t="n"/>
      <c r="L157" s="104" t="n"/>
      <c r="M157" s="104" t="n"/>
      <c r="N157" s="104" t="n"/>
      <c r="O157" s="104" t="n"/>
      <c r="P157" s="104" t="n"/>
      <c r="Q157" s="104" t="n"/>
      <c r="R157" s="104" t="n"/>
      <c r="S157" s="110" t="n"/>
      <c r="T157" s="110" t="n"/>
      <c r="U157" s="104" t="n"/>
    </row>
    <row r="158">
      <c r="A158" s="104" t="inlineStr">
        <is>
          <t>GUIDE000157</t>
        </is>
      </c>
      <c r="B158" s="101" t="inlineStr">
        <is>
          <t>DEV000001</t>
        </is>
      </c>
      <c r="C158" s="103" t="inlineStr">
        <is>
          <t>APL</t>
        </is>
      </c>
      <c r="D158" s="103" t="inlineStr">
        <is>
          <t>PHN</t>
        </is>
      </c>
      <c r="E158" s="60" t="inlineStr">
        <is>
          <t>iPhone (2G)</t>
        </is>
      </c>
      <c r="F158" s="104" t="inlineStr">
        <is>
          <t>SVC000006</t>
        </is>
      </c>
      <c r="G158" s="104" t="inlineStr">
        <is>
          <t>Glass Only Repair</t>
        </is>
      </c>
      <c r="H158" s="104" t="inlineStr">
        <is>
          <t>Display</t>
        </is>
      </c>
      <c r="I158" s="104" t="n"/>
      <c r="J158" s="104" t="n"/>
      <c r="K158" s="104" t="n"/>
      <c r="L158" s="104" t="n"/>
      <c r="M158" s="104" t="n"/>
      <c r="N158" s="104" t="n"/>
      <c r="O158" s="104" t="n"/>
      <c r="P158" s="104" t="n"/>
      <c r="Q158" s="104" t="n"/>
      <c r="R158" s="104" t="n"/>
      <c r="S158" s="110" t="n"/>
      <c r="T158" s="110" t="n"/>
      <c r="U158" s="104" t="n"/>
    </row>
    <row r="159">
      <c r="A159" s="104" t="inlineStr">
        <is>
          <t>GUIDE000158</t>
        </is>
      </c>
      <c r="B159" s="101" t="inlineStr">
        <is>
          <t>DEV000002</t>
        </is>
      </c>
      <c r="C159" s="103" t="inlineStr">
        <is>
          <t>APL</t>
        </is>
      </c>
      <c r="D159" s="103" t="inlineStr">
        <is>
          <t>PHN</t>
        </is>
      </c>
      <c r="E159" s="60" t="inlineStr">
        <is>
          <t>iPhone 3G</t>
        </is>
      </c>
      <c r="F159" s="104" t="inlineStr">
        <is>
          <t>SVC000006</t>
        </is>
      </c>
      <c r="G159" s="104" t="inlineStr">
        <is>
          <t>Glass Only Repair</t>
        </is>
      </c>
      <c r="H159" s="104" t="inlineStr">
        <is>
          <t>Display</t>
        </is>
      </c>
      <c r="I159" s="104" t="n"/>
      <c r="J159" s="104" t="n"/>
      <c r="K159" s="104" t="n"/>
      <c r="L159" s="104" t="n"/>
      <c r="M159" s="104" t="n"/>
      <c r="N159" s="104" t="n"/>
      <c r="O159" s="104" t="n"/>
      <c r="P159" s="104" t="n"/>
      <c r="Q159" s="104" t="n"/>
      <c r="R159" s="104" t="n"/>
      <c r="S159" s="110" t="n"/>
      <c r="T159" s="110" t="n"/>
      <c r="U159" s="104" t="n"/>
    </row>
    <row r="160">
      <c r="A160" s="105" t="inlineStr">
        <is>
          <t>GUIDE000159</t>
        </is>
      </c>
      <c r="B160" s="101" t="inlineStr">
        <is>
          <t>DEV000003</t>
        </is>
      </c>
      <c r="C160" s="103" t="inlineStr">
        <is>
          <t>APL</t>
        </is>
      </c>
      <c r="D160" s="103" t="inlineStr">
        <is>
          <t>PHN</t>
        </is>
      </c>
      <c r="E160" s="60" t="inlineStr">
        <is>
          <t>iPhone 3GS</t>
        </is>
      </c>
      <c r="F160" s="104" t="inlineStr">
        <is>
          <t>SVC000006</t>
        </is>
      </c>
      <c r="G160" s="104" t="inlineStr">
        <is>
          <t>Glass Only Repair</t>
        </is>
      </c>
      <c r="H160" s="104" t="inlineStr">
        <is>
          <t>Display</t>
        </is>
      </c>
      <c r="I160" s="104" t="n"/>
      <c r="J160" s="104" t="n"/>
      <c r="K160" s="104" t="n"/>
      <c r="L160" s="104" t="n"/>
      <c r="M160" s="104" t="n"/>
      <c r="N160" s="104" t="n"/>
      <c r="O160" s="104" t="n"/>
      <c r="P160" s="104" t="n"/>
      <c r="Q160" s="104" t="n"/>
      <c r="R160" s="104" t="n"/>
      <c r="S160" s="110" t="n"/>
      <c r="T160" s="110" t="n"/>
      <c r="U160" s="104" t="n"/>
    </row>
    <row r="161">
      <c r="A161" s="104" t="inlineStr">
        <is>
          <t>GUIDE000160</t>
        </is>
      </c>
      <c r="B161" s="101" t="inlineStr">
        <is>
          <t>DEV000004</t>
        </is>
      </c>
      <c r="C161" s="103" t="inlineStr">
        <is>
          <t>APL</t>
        </is>
      </c>
      <c r="D161" s="103" t="inlineStr">
        <is>
          <t>PHN</t>
        </is>
      </c>
      <c r="E161" s="60" t="inlineStr">
        <is>
          <t>iPhone 4</t>
        </is>
      </c>
      <c r="F161" s="104" t="inlineStr">
        <is>
          <t>SVC000006</t>
        </is>
      </c>
      <c r="G161" s="104" t="inlineStr">
        <is>
          <t>Glass Only Repair</t>
        </is>
      </c>
      <c r="H161" s="104" t="inlineStr">
        <is>
          <t>Display</t>
        </is>
      </c>
      <c r="I161" s="104" t="n"/>
      <c r="J161" s="104" t="n"/>
      <c r="K161" s="104" t="n"/>
      <c r="L161" s="104" t="n"/>
      <c r="M161" s="104" t="n"/>
      <c r="N161" s="104" t="n"/>
      <c r="O161" s="104" t="n"/>
      <c r="P161" s="104" t="n"/>
      <c r="Q161" s="104" t="n"/>
      <c r="R161" s="104" t="n"/>
      <c r="S161" s="110" t="n"/>
      <c r="T161" s="110" t="n"/>
      <c r="U161" s="104" t="n"/>
    </row>
    <row r="162">
      <c r="A162" s="104" t="inlineStr">
        <is>
          <t>GUIDE000161</t>
        </is>
      </c>
      <c r="B162" s="101" t="inlineStr">
        <is>
          <t>DEV000005</t>
        </is>
      </c>
      <c r="C162" s="103" t="inlineStr">
        <is>
          <t>APL</t>
        </is>
      </c>
      <c r="D162" s="103" t="inlineStr">
        <is>
          <t>PHN</t>
        </is>
      </c>
      <c r="E162" s="60" t="inlineStr">
        <is>
          <t>iPhone 4s</t>
        </is>
      </c>
      <c r="F162" s="104" t="inlineStr">
        <is>
          <t>SVC000006</t>
        </is>
      </c>
      <c r="G162" s="104" t="inlineStr">
        <is>
          <t>Glass Only Repair</t>
        </is>
      </c>
      <c r="H162" s="104" t="inlineStr">
        <is>
          <t>Display</t>
        </is>
      </c>
      <c r="I162" s="104" t="n"/>
      <c r="J162" s="104" t="n"/>
      <c r="K162" s="104" t="n"/>
      <c r="L162" s="104" t="n"/>
      <c r="M162" s="104" t="n"/>
      <c r="N162" s="104" t="n"/>
      <c r="O162" s="104" t="n"/>
      <c r="P162" s="104" t="n"/>
      <c r="Q162" s="104" t="n"/>
      <c r="R162" s="104" t="n"/>
      <c r="S162" s="110" t="n"/>
      <c r="T162" s="110" t="n"/>
      <c r="U162" s="104" t="n"/>
    </row>
    <row r="163">
      <c r="A163" s="104" t="inlineStr">
        <is>
          <t>GUIDE000162</t>
        </is>
      </c>
      <c r="B163" s="101" t="inlineStr">
        <is>
          <t>DEV000006</t>
        </is>
      </c>
      <c r="C163" s="103" t="inlineStr">
        <is>
          <t>APL</t>
        </is>
      </c>
      <c r="D163" s="103" t="inlineStr">
        <is>
          <t>PHN</t>
        </is>
      </c>
      <c r="E163" s="60" t="inlineStr">
        <is>
          <t>iPhone 5</t>
        </is>
      </c>
      <c r="F163" s="104" t="inlineStr">
        <is>
          <t>SVC000006</t>
        </is>
      </c>
      <c r="G163" s="104" t="inlineStr">
        <is>
          <t>Glass Only Repair</t>
        </is>
      </c>
      <c r="H163" s="104" t="inlineStr">
        <is>
          <t>Display</t>
        </is>
      </c>
      <c r="I163" s="104" t="n"/>
      <c r="J163" s="104" t="n"/>
      <c r="K163" s="104" t="n"/>
      <c r="L163" s="104" t="n"/>
      <c r="M163" s="104" t="n"/>
      <c r="N163" s="104" t="n"/>
      <c r="O163" s="104" t="n"/>
      <c r="P163" s="104" t="n"/>
      <c r="Q163" s="104" t="n"/>
      <c r="R163" s="104" t="n"/>
      <c r="S163" s="110" t="n"/>
      <c r="T163" s="110" t="n"/>
      <c r="U163" s="104" t="n"/>
    </row>
    <row r="164">
      <c r="A164" s="104" t="inlineStr">
        <is>
          <t>GUIDE000163</t>
        </is>
      </c>
      <c r="B164" s="101" t="inlineStr">
        <is>
          <t>DEV000007</t>
        </is>
      </c>
      <c r="C164" s="103" t="inlineStr">
        <is>
          <t>APL</t>
        </is>
      </c>
      <c r="D164" s="103" t="inlineStr">
        <is>
          <t>PHN</t>
        </is>
      </c>
      <c r="E164" s="60" t="inlineStr">
        <is>
          <t>iPhone 5c</t>
        </is>
      </c>
      <c r="F164" s="104" t="inlineStr">
        <is>
          <t>SVC000006</t>
        </is>
      </c>
      <c r="G164" s="104" t="inlineStr">
        <is>
          <t>Glass Only Repair</t>
        </is>
      </c>
      <c r="H164" s="104" t="inlineStr">
        <is>
          <t>Display</t>
        </is>
      </c>
      <c r="I164" s="104" t="n"/>
      <c r="J164" s="104" t="n"/>
      <c r="K164" s="104" t="n"/>
      <c r="L164" s="104" t="n"/>
      <c r="M164" s="104" t="n"/>
      <c r="N164" s="104" t="n"/>
      <c r="O164" s="104" t="n"/>
      <c r="P164" s="104" t="n"/>
      <c r="Q164" s="104" t="n"/>
      <c r="R164" s="104" t="n"/>
      <c r="S164" s="110" t="n"/>
      <c r="T164" s="110" t="n"/>
      <c r="U164" s="104" t="n"/>
    </row>
    <row r="165">
      <c r="A165" s="105" t="inlineStr">
        <is>
          <t>GUIDE000164</t>
        </is>
      </c>
      <c r="B165" s="101" t="inlineStr">
        <is>
          <t>DEV000008</t>
        </is>
      </c>
      <c r="C165" s="103" t="inlineStr">
        <is>
          <t>APL</t>
        </is>
      </c>
      <c r="D165" s="103" t="inlineStr">
        <is>
          <t>PHN</t>
        </is>
      </c>
      <c r="E165" s="60" t="inlineStr">
        <is>
          <t>iPhone 5s</t>
        </is>
      </c>
      <c r="F165" s="104" t="inlineStr">
        <is>
          <t>SVC000006</t>
        </is>
      </c>
      <c r="G165" s="104" t="inlineStr">
        <is>
          <t>Glass Only Repair</t>
        </is>
      </c>
      <c r="H165" s="104" t="inlineStr">
        <is>
          <t>Display</t>
        </is>
      </c>
      <c r="I165" s="104" t="n"/>
      <c r="J165" s="104" t="n"/>
      <c r="K165" s="104" t="n"/>
      <c r="L165" s="104" t="n"/>
      <c r="M165" s="104" t="n"/>
      <c r="N165" s="104" t="n"/>
      <c r="O165" s="104" t="n"/>
      <c r="P165" s="104" t="n"/>
      <c r="Q165" s="104" t="n"/>
      <c r="R165" s="104" t="n"/>
      <c r="S165" s="110" t="n"/>
      <c r="T165" s="110" t="n"/>
      <c r="U165" s="104" t="n"/>
    </row>
    <row r="166">
      <c r="A166" s="104" t="inlineStr">
        <is>
          <t>GUIDE000165</t>
        </is>
      </c>
      <c r="B166" s="101" t="inlineStr">
        <is>
          <t>DEV000009</t>
        </is>
      </c>
      <c r="C166" s="103" t="inlineStr">
        <is>
          <t>APL</t>
        </is>
      </c>
      <c r="D166" s="103" t="inlineStr">
        <is>
          <t>PHN</t>
        </is>
      </c>
      <c r="E166" s="60" t="inlineStr">
        <is>
          <t>iPhone 6</t>
        </is>
      </c>
      <c r="F166" s="104" t="inlineStr">
        <is>
          <t>SVC000006</t>
        </is>
      </c>
      <c r="G166" s="104" t="inlineStr">
        <is>
          <t>Glass Only Repair</t>
        </is>
      </c>
      <c r="H166" s="104" t="inlineStr">
        <is>
          <t>Display</t>
        </is>
      </c>
      <c r="I166" s="104" t="n"/>
      <c r="J166" s="104" t="n"/>
      <c r="K166" s="104" t="n"/>
      <c r="L166" s="104" t="n"/>
      <c r="M166" s="104" t="n"/>
      <c r="N166" s="104" t="n"/>
      <c r="O166" s="104" t="n"/>
      <c r="P166" s="104" t="n"/>
      <c r="Q166" s="104" t="n"/>
      <c r="R166" s="104" t="n"/>
      <c r="S166" s="110" t="n"/>
      <c r="T166" s="110" t="n"/>
      <c r="U166" s="104" t="n"/>
    </row>
    <row r="167">
      <c r="A167" s="104" t="inlineStr">
        <is>
          <t>GUIDE000166</t>
        </is>
      </c>
      <c r="B167" s="101" t="inlineStr">
        <is>
          <t>DEV000010</t>
        </is>
      </c>
      <c r="C167" s="103" t="inlineStr">
        <is>
          <t>APL</t>
        </is>
      </c>
      <c r="D167" s="103" t="inlineStr">
        <is>
          <t>PHN</t>
        </is>
      </c>
      <c r="E167" s="60" t="inlineStr">
        <is>
          <t>iPhone 6 Plus</t>
        </is>
      </c>
      <c r="F167" s="104" t="inlineStr">
        <is>
          <t>SVC000006</t>
        </is>
      </c>
      <c r="G167" s="104" t="inlineStr">
        <is>
          <t>Glass Only Repair</t>
        </is>
      </c>
      <c r="H167" s="104" t="inlineStr">
        <is>
          <t>Display</t>
        </is>
      </c>
      <c r="I167" s="104" t="n"/>
      <c r="J167" s="104" t="n"/>
      <c r="K167" s="104" t="n"/>
      <c r="L167" s="104" t="n"/>
      <c r="M167" s="104" t="n"/>
      <c r="N167" s="104" t="n"/>
      <c r="O167" s="104" t="n"/>
      <c r="P167" s="104" t="n"/>
      <c r="Q167" s="104" t="n"/>
      <c r="R167" s="104" t="n"/>
      <c r="S167" s="110" t="n"/>
      <c r="T167" s="110" t="n"/>
      <c r="U167" s="104" t="n"/>
    </row>
    <row r="168">
      <c r="A168" s="104" t="inlineStr">
        <is>
          <t>GUIDE000167</t>
        </is>
      </c>
      <c r="B168" s="101" t="inlineStr">
        <is>
          <t>DEV000011</t>
        </is>
      </c>
      <c r="C168" s="103" t="inlineStr">
        <is>
          <t>APL</t>
        </is>
      </c>
      <c r="D168" s="103" t="inlineStr">
        <is>
          <t>PHN</t>
        </is>
      </c>
      <c r="E168" s="60" t="inlineStr">
        <is>
          <t>iPhone 6s</t>
        </is>
      </c>
      <c r="F168" s="104" t="inlineStr">
        <is>
          <t>SVC000006</t>
        </is>
      </c>
      <c r="G168" s="104" t="inlineStr">
        <is>
          <t>Glass Only Repair</t>
        </is>
      </c>
      <c r="H168" s="104" t="inlineStr">
        <is>
          <t>Display</t>
        </is>
      </c>
      <c r="I168" s="104" t="n"/>
      <c r="J168" s="104" t="n"/>
      <c r="K168" s="104" t="n"/>
      <c r="L168" s="104" t="n"/>
      <c r="M168" s="104" t="n"/>
      <c r="N168" s="104" t="n"/>
      <c r="O168" s="104" t="n"/>
      <c r="P168" s="104" t="n"/>
      <c r="Q168" s="104" t="n"/>
      <c r="R168" s="104" t="n"/>
      <c r="S168" s="110" t="n"/>
      <c r="T168" s="110" t="n"/>
      <c r="U168" s="104" t="n"/>
    </row>
    <row r="169">
      <c r="A169" s="105" t="inlineStr">
        <is>
          <t>GUIDE000168</t>
        </is>
      </c>
      <c r="B169" s="101" t="inlineStr">
        <is>
          <t>DEV000012</t>
        </is>
      </c>
      <c r="C169" s="103" t="inlineStr">
        <is>
          <t>APL</t>
        </is>
      </c>
      <c r="D169" s="103" t="inlineStr">
        <is>
          <t>PHN</t>
        </is>
      </c>
      <c r="E169" s="60" t="inlineStr">
        <is>
          <t>iPhone 6s Plus</t>
        </is>
      </c>
      <c r="F169" s="104" t="inlineStr">
        <is>
          <t>SVC000006</t>
        </is>
      </c>
      <c r="G169" s="104" t="inlineStr">
        <is>
          <t>Glass Only Repair</t>
        </is>
      </c>
      <c r="H169" s="104" t="inlineStr">
        <is>
          <t>Display</t>
        </is>
      </c>
      <c r="I169" s="104" t="n"/>
      <c r="J169" s="104" t="n"/>
      <c r="K169" s="104" t="n"/>
      <c r="L169" s="104" t="n"/>
      <c r="M169" s="104" t="n"/>
      <c r="N169" s="104" t="n"/>
      <c r="O169" s="104" t="n"/>
      <c r="P169" s="104" t="n"/>
      <c r="Q169" s="104" t="n"/>
      <c r="R169" s="104" t="n"/>
      <c r="S169" s="110" t="n"/>
      <c r="T169" s="110" t="n"/>
      <c r="U169" s="104" t="n"/>
    </row>
    <row r="170">
      <c r="A170" s="104" t="inlineStr">
        <is>
          <t>GUIDE000169</t>
        </is>
      </c>
      <c r="B170" s="101" t="inlineStr">
        <is>
          <t>DEV000013</t>
        </is>
      </c>
      <c r="C170" s="103" t="inlineStr">
        <is>
          <t>APL</t>
        </is>
      </c>
      <c r="D170" s="103" t="inlineStr">
        <is>
          <t>PHN</t>
        </is>
      </c>
      <c r="E170" s="60" t="inlineStr">
        <is>
          <t>iPhone SE (1st Gen)</t>
        </is>
      </c>
      <c r="F170" s="104" t="inlineStr">
        <is>
          <t>SVC000006</t>
        </is>
      </c>
      <c r="G170" s="104" t="inlineStr">
        <is>
          <t>Glass Only Repair</t>
        </is>
      </c>
      <c r="H170" s="104" t="inlineStr">
        <is>
          <t>Display</t>
        </is>
      </c>
      <c r="I170" s="104" t="n"/>
      <c r="J170" s="104" t="n"/>
      <c r="K170" s="104" t="n"/>
      <c r="L170" s="104" t="n"/>
      <c r="M170" s="104" t="n"/>
      <c r="N170" s="104" t="n"/>
      <c r="O170" s="104" t="n"/>
      <c r="P170" s="104" t="n"/>
      <c r="Q170" s="104" t="n"/>
      <c r="R170" s="104" t="n"/>
      <c r="S170" s="110" t="n"/>
      <c r="T170" s="110" t="n"/>
      <c r="U170" s="104" t="n"/>
    </row>
    <row r="171">
      <c r="A171" s="104" t="inlineStr">
        <is>
          <t>GUIDE000170</t>
        </is>
      </c>
      <c r="B171" s="101" t="inlineStr">
        <is>
          <t>DEV000014</t>
        </is>
      </c>
      <c r="C171" s="103" t="inlineStr">
        <is>
          <t>APL</t>
        </is>
      </c>
      <c r="D171" s="103" t="inlineStr">
        <is>
          <t>PHN</t>
        </is>
      </c>
      <c r="E171" s="60" t="inlineStr">
        <is>
          <t>iPhone 7</t>
        </is>
      </c>
      <c r="F171" s="104" t="inlineStr">
        <is>
          <t>SVC000006</t>
        </is>
      </c>
      <c r="G171" s="104" t="inlineStr">
        <is>
          <t>Glass Only Repair</t>
        </is>
      </c>
      <c r="H171" s="104" t="inlineStr">
        <is>
          <t>Display</t>
        </is>
      </c>
      <c r="I171" s="104" t="n"/>
      <c r="J171" s="104" t="n"/>
      <c r="K171" s="104" t="n"/>
      <c r="L171" s="104" t="n"/>
      <c r="M171" s="104" t="n"/>
      <c r="N171" s="104" t="n"/>
      <c r="O171" s="104" t="n"/>
      <c r="P171" s="104" t="n"/>
      <c r="Q171" s="104" t="n"/>
      <c r="R171" s="104" t="n"/>
      <c r="S171" s="110" t="n"/>
      <c r="T171" s="110" t="n"/>
      <c r="U171" s="104" t="n"/>
    </row>
    <row r="172">
      <c r="A172" s="104" t="inlineStr">
        <is>
          <t>GUIDE000171</t>
        </is>
      </c>
      <c r="B172" s="101" t="inlineStr">
        <is>
          <t>DEV000015</t>
        </is>
      </c>
      <c r="C172" s="103" t="inlineStr">
        <is>
          <t>APL</t>
        </is>
      </c>
      <c r="D172" s="103" t="inlineStr">
        <is>
          <t>PHN</t>
        </is>
      </c>
      <c r="E172" s="60" t="inlineStr">
        <is>
          <t>iPhone 7 Plus</t>
        </is>
      </c>
      <c r="F172" s="104" t="inlineStr">
        <is>
          <t>SVC000006</t>
        </is>
      </c>
      <c r="G172" s="104" t="inlineStr">
        <is>
          <t>Glass Only Repair</t>
        </is>
      </c>
      <c r="H172" s="104" t="inlineStr">
        <is>
          <t>Display</t>
        </is>
      </c>
      <c r="I172" s="104" t="n"/>
      <c r="J172" s="104" t="n"/>
      <c r="K172" s="104" t="n"/>
      <c r="L172" s="104" t="n"/>
      <c r="M172" s="104" t="n"/>
      <c r="N172" s="104" t="n"/>
      <c r="O172" s="104" t="n"/>
      <c r="P172" s="104" t="n"/>
      <c r="Q172" s="104" t="n"/>
      <c r="R172" s="104" t="n"/>
      <c r="S172" s="110" t="n"/>
      <c r="T172" s="110" t="n"/>
      <c r="U172" s="104" t="n"/>
    </row>
    <row r="173">
      <c r="A173" s="104" t="inlineStr">
        <is>
          <t>GUIDE000172</t>
        </is>
      </c>
      <c r="B173" s="101" t="inlineStr">
        <is>
          <t>DEV000016</t>
        </is>
      </c>
      <c r="C173" s="103" t="inlineStr">
        <is>
          <t>APL</t>
        </is>
      </c>
      <c r="D173" s="103" t="inlineStr">
        <is>
          <t>PHN</t>
        </is>
      </c>
      <c r="E173" s="60" t="inlineStr">
        <is>
          <t>iPhone 8</t>
        </is>
      </c>
      <c r="F173" s="104" t="inlineStr">
        <is>
          <t>SVC000006</t>
        </is>
      </c>
      <c r="G173" s="104" t="inlineStr">
        <is>
          <t>Glass Only Repair</t>
        </is>
      </c>
      <c r="H173" s="104" t="inlineStr">
        <is>
          <t>Display</t>
        </is>
      </c>
      <c r="I173" s="104" t="n"/>
      <c r="J173" s="104" t="n"/>
      <c r="K173" s="104" t="n"/>
      <c r="L173" s="104" t="n"/>
      <c r="M173" s="104" t="n"/>
      <c r="N173" s="104" t="n"/>
      <c r="O173" s="104" t="n"/>
      <c r="P173" s="104" t="n"/>
      <c r="Q173" s="104" t="n"/>
      <c r="R173" s="104" t="n"/>
      <c r="S173" s="110" t="n"/>
      <c r="T173" s="110" t="n"/>
      <c r="U173" s="104" t="n"/>
    </row>
    <row r="174">
      <c r="A174" s="105" t="inlineStr">
        <is>
          <t>GUIDE000173</t>
        </is>
      </c>
      <c r="B174" s="101" t="inlineStr">
        <is>
          <t>DEV000017</t>
        </is>
      </c>
      <c r="C174" s="103" t="inlineStr">
        <is>
          <t>APL</t>
        </is>
      </c>
      <c r="D174" s="103" t="inlineStr">
        <is>
          <t>PHN</t>
        </is>
      </c>
      <c r="E174" s="60" t="inlineStr">
        <is>
          <t>iPhone 8 Plus</t>
        </is>
      </c>
      <c r="F174" s="104" t="inlineStr">
        <is>
          <t>SVC000006</t>
        </is>
      </c>
      <c r="G174" s="104" t="inlineStr">
        <is>
          <t>Glass Only Repair</t>
        </is>
      </c>
      <c r="H174" s="104" t="inlineStr">
        <is>
          <t>Display</t>
        </is>
      </c>
      <c r="I174" s="104" t="n"/>
      <c r="J174" s="104" t="n"/>
      <c r="K174" s="104" t="n"/>
      <c r="L174" s="104" t="n"/>
      <c r="M174" s="104" t="n"/>
      <c r="N174" s="104" t="n"/>
      <c r="O174" s="104" t="n"/>
      <c r="P174" s="104" t="n"/>
      <c r="Q174" s="104" t="n"/>
      <c r="R174" s="104" t="n"/>
      <c r="S174" s="110" t="n"/>
      <c r="T174" s="110" t="n"/>
      <c r="U174" s="104" t="n"/>
    </row>
    <row r="175">
      <c r="A175" s="104" t="inlineStr">
        <is>
          <t>GUIDE000174</t>
        </is>
      </c>
      <c r="B175" s="101" t="inlineStr">
        <is>
          <t>DEV000018</t>
        </is>
      </c>
      <c r="C175" s="103" t="inlineStr">
        <is>
          <t>APL</t>
        </is>
      </c>
      <c r="D175" s="103" t="inlineStr">
        <is>
          <t>PHN</t>
        </is>
      </c>
      <c r="E175" s="60" t="inlineStr">
        <is>
          <t>iPhone X</t>
        </is>
      </c>
      <c r="F175" s="104" t="inlineStr">
        <is>
          <t>SVC000006</t>
        </is>
      </c>
      <c r="G175" s="104" t="inlineStr">
        <is>
          <t>Glass Only Repair</t>
        </is>
      </c>
      <c r="H175" s="104" t="inlineStr">
        <is>
          <t>Display</t>
        </is>
      </c>
      <c r="I175" s="104" t="n"/>
      <c r="J175" s="104" t="n"/>
      <c r="K175" s="104" t="n"/>
      <c r="L175" s="104" t="n"/>
      <c r="M175" s="104" t="n"/>
      <c r="N175" s="104" t="n"/>
      <c r="O175" s="104" t="n"/>
      <c r="P175" s="104" t="n"/>
      <c r="Q175" s="104" t="n"/>
      <c r="R175" s="104" t="n"/>
      <c r="S175" s="110" t="n"/>
      <c r="T175" s="110" t="n"/>
      <c r="U175" s="104" t="n"/>
    </row>
    <row r="176">
      <c r="A176" s="104" t="inlineStr">
        <is>
          <t>GUIDE000175</t>
        </is>
      </c>
      <c r="B176" s="101" t="inlineStr">
        <is>
          <t>DEV000019</t>
        </is>
      </c>
      <c r="C176" s="103" t="inlineStr">
        <is>
          <t>APL</t>
        </is>
      </c>
      <c r="D176" s="103" t="inlineStr">
        <is>
          <t>PHN</t>
        </is>
      </c>
      <c r="E176" s="60" t="inlineStr">
        <is>
          <t>iPhone XR</t>
        </is>
      </c>
      <c r="F176" s="104" t="inlineStr">
        <is>
          <t>SVC000006</t>
        </is>
      </c>
      <c r="G176" s="104" t="inlineStr">
        <is>
          <t>Glass Only Repair</t>
        </is>
      </c>
      <c r="H176" s="104" t="inlineStr">
        <is>
          <t>Display</t>
        </is>
      </c>
      <c r="I176" s="104" t="n"/>
      <c r="J176" s="104" t="n"/>
      <c r="K176" s="104" t="n"/>
      <c r="L176" s="104" t="n"/>
      <c r="M176" s="104" t="n"/>
      <c r="N176" s="104" t="n"/>
      <c r="O176" s="104" t="n"/>
      <c r="P176" s="104" t="n"/>
      <c r="Q176" s="104" t="n"/>
      <c r="R176" s="104" t="n"/>
      <c r="S176" s="110" t="n"/>
      <c r="T176" s="110" t="n"/>
      <c r="U176" s="104" t="n"/>
    </row>
    <row r="177">
      <c r="A177" s="104" t="inlineStr">
        <is>
          <t>GUIDE000176</t>
        </is>
      </c>
      <c r="B177" s="101" t="inlineStr">
        <is>
          <t>DEV000020</t>
        </is>
      </c>
      <c r="C177" s="103" t="inlineStr">
        <is>
          <t>APL</t>
        </is>
      </c>
      <c r="D177" s="103" t="inlineStr">
        <is>
          <t>PHN</t>
        </is>
      </c>
      <c r="E177" s="60" t="inlineStr">
        <is>
          <t>iPhone XS</t>
        </is>
      </c>
      <c r="F177" s="104" t="inlineStr">
        <is>
          <t>SVC000006</t>
        </is>
      </c>
      <c r="G177" s="104" t="inlineStr">
        <is>
          <t>Glass Only Repair</t>
        </is>
      </c>
      <c r="H177" s="104" t="inlineStr">
        <is>
          <t>Display</t>
        </is>
      </c>
      <c r="I177" s="104" t="n"/>
      <c r="J177" s="104" t="n"/>
      <c r="K177" s="104" t="n"/>
      <c r="L177" s="104" t="n"/>
      <c r="M177" s="104" t="n"/>
      <c r="N177" s="104" t="n"/>
      <c r="O177" s="104" t="n"/>
      <c r="P177" s="104" t="n"/>
      <c r="Q177" s="104" t="n"/>
      <c r="R177" s="104" t="n"/>
      <c r="S177" s="110" t="n"/>
      <c r="T177" s="110" t="n"/>
      <c r="U177" s="104" t="n"/>
    </row>
    <row r="178">
      <c r="A178" s="105" t="inlineStr">
        <is>
          <t>GUIDE000177</t>
        </is>
      </c>
      <c r="B178" s="101" t="inlineStr">
        <is>
          <t>DEV000021</t>
        </is>
      </c>
      <c r="C178" s="103" t="inlineStr">
        <is>
          <t>APL</t>
        </is>
      </c>
      <c r="D178" s="103" t="inlineStr">
        <is>
          <t>PHN</t>
        </is>
      </c>
      <c r="E178" s="60" t="inlineStr">
        <is>
          <t>iPhone XS Max</t>
        </is>
      </c>
      <c r="F178" s="104" t="inlineStr">
        <is>
          <t>SVC000006</t>
        </is>
      </c>
      <c r="G178" s="104" t="inlineStr">
        <is>
          <t>Glass Only Repair</t>
        </is>
      </c>
      <c r="H178" s="104" t="inlineStr">
        <is>
          <t>Display</t>
        </is>
      </c>
      <c r="I178" s="104" t="n"/>
      <c r="J178" s="104" t="n"/>
      <c r="K178" s="104" t="n"/>
      <c r="L178" s="104" t="n"/>
      <c r="M178" s="104" t="n"/>
      <c r="N178" s="104" t="n"/>
      <c r="O178" s="104" t="n"/>
      <c r="P178" s="104" t="n"/>
      <c r="Q178" s="104" t="n"/>
      <c r="R178" s="104" t="n"/>
      <c r="S178" s="110" t="n"/>
      <c r="T178" s="110" t="n"/>
      <c r="U178" s="104" t="n"/>
    </row>
    <row r="179">
      <c r="A179" s="104" t="inlineStr">
        <is>
          <t>GUIDE000178</t>
        </is>
      </c>
      <c r="B179" s="101" t="inlineStr">
        <is>
          <t>DEV000022</t>
        </is>
      </c>
      <c r="C179" s="103" t="inlineStr">
        <is>
          <t>APL</t>
        </is>
      </c>
      <c r="D179" s="103" t="inlineStr">
        <is>
          <t>PHN</t>
        </is>
      </c>
      <c r="E179" s="60" t="inlineStr">
        <is>
          <t>iPhone 11</t>
        </is>
      </c>
      <c r="F179" s="104" t="inlineStr">
        <is>
          <t>SVC000006</t>
        </is>
      </c>
      <c r="G179" s="104" t="inlineStr">
        <is>
          <t>Glass Only Repair</t>
        </is>
      </c>
      <c r="H179" s="104" t="inlineStr">
        <is>
          <t>Display</t>
        </is>
      </c>
      <c r="I179" s="104" t="n"/>
      <c r="J179" s="104" t="n"/>
      <c r="K179" s="104" t="n"/>
      <c r="L179" s="104" t="n"/>
      <c r="M179" s="104" t="n"/>
      <c r="N179" s="104" t="n"/>
      <c r="O179" s="104" t="n"/>
      <c r="P179" s="104" t="n"/>
      <c r="Q179" s="104" t="n"/>
      <c r="R179" s="104" t="n"/>
      <c r="S179" s="110" t="n"/>
      <c r="T179" s="110" t="n"/>
      <c r="U179" s="104" t="n"/>
    </row>
    <row r="180">
      <c r="A180" s="104" t="inlineStr">
        <is>
          <t>GUIDE000179</t>
        </is>
      </c>
      <c r="B180" s="101" t="inlineStr">
        <is>
          <t>DEV000023</t>
        </is>
      </c>
      <c r="C180" s="103" t="inlineStr">
        <is>
          <t>APL</t>
        </is>
      </c>
      <c r="D180" s="103" t="inlineStr">
        <is>
          <t>PHN</t>
        </is>
      </c>
      <c r="E180" s="60" t="inlineStr">
        <is>
          <t>iPhone 11 Pro</t>
        </is>
      </c>
      <c r="F180" s="104" t="inlineStr">
        <is>
          <t>SVC000006</t>
        </is>
      </c>
      <c r="G180" s="104" t="inlineStr">
        <is>
          <t>Glass Only Repair</t>
        </is>
      </c>
      <c r="H180" s="104" t="inlineStr">
        <is>
          <t>Display</t>
        </is>
      </c>
      <c r="I180" s="104" t="n"/>
      <c r="J180" s="104" t="n"/>
      <c r="K180" s="104" t="n"/>
      <c r="L180" s="104" t="n"/>
      <c r="M180" s="104" t="n"/>
      <c r="N180" s="104" t="n"/>
      <c r="O180" s="104" t="n"/>
      <c r="P180" s="104" t="n"/>
      <c r="Q180" s="104" t="n"/>
      <c r="R180" s="104" t="n"/>
      <c r="S180" s="110" t="n"/>
      <c r="T180" s="110" t="n"/>
      <c r="U180" s="104" t="n"/>
    </row>
    <row r="181">
      <c r="A181" s="104" t="inlineStr">
        <is>
          <t>GUIDE000180</t>
        </is>
      </c>
      <c r="B181" s="101" t="inlineStr">
        <is>
          <t>DEV000024</t>
        </is>
      </c>
      <c r="C181" s="103" t="inlineStr">
        <is>
          <t>APL</t>
        </is>
      </c>
      <c r="D181" s="103" t="inlineStr">
        <is>
          <t>PHN</t>
        </is>
      </c>
      <c r="E181" s="60" t="inlineStr">
        <is>
          <t>iPhone 11 Pro Max</t>
        </is>
      </c>
      <c r="F181" s="104" t="inlineStr">
        <is>
          <t>SVC000006</t>
        </is>
      </c>
      <c r="G181" s="104" t="inlineStr">
        <is>
          <t>Glass Only Repair</t>
        </is>
      </c>
      <c r="H181" s="104" t="inlineStr">
        <is>
          <t>Display</t>
        </is>
      </c>
      <c r="I181" s="104" t="n"/>
      <c r="J181" s="104" t="n"/>
      <c r="K181" s="104" t="n"/>
      <c r="L181" s="104" t="n"/>
      <c r="M181" s="104" t="n"/>
      <c r="N181" s="104" t="n"/>
      <c r="O181" s="104" t="n"/>
      <c r="P181" s="104" t="n"/>
      <c r="Q181" s="104" t="n"/>
      <c r="R181" s="104" t="n"/>
      <c r="S181" s="110" t="n"/>
      <c r="T181" s="110" t="n"/>
      <c r="U181" s="104" t="n"/>
    </row>
    <row r="182">
      <c r="A182" s="104" t="inlineStr">
        <is>
          <t>GUIDE000181</t>
        </is>
      </c>
      <c r="B182" s="101" t="inlineStr">
        <is>
          <t>DEV000025</t>
        </is>
      </c>
      <c r="C182" s="103" t="inlineStr">
        <is>
          <t>APL</t>
        </is>
      </c>
      <c r="D182" s="103" t="inlineStr">
        <is>
          <t>PHN</t>
        </is>
      </c>
      <c r="E182" s="60" t="inlineStr">
        <is>
          <t>iPhone SE (2nd Generation)</t>
        </is>
      </c>
      <c r="F182" s="104" t="inlineStr">
        <is>
          <t>SVC000006</t>
        </is>
      </c>
      <c r="G182" s="104" t="inlineStr">
        <is>
          <t>Glass Only Repair</t>
        </is>
      </c>
      <c r="H182" s="104" t="inlineStr">
        <is>
          <t>Display</t>
        </is>
      </c>
      <c r="I182" s="104" t="n"/>
      <c r="J182" s="104" t="n"/>
      <c r="K182" s="104" t="n"/>
      <c r="L182" s="104" t="n"/>
      <c r="M182" s="104" t="n"/>
      <c r="N182" s="104" t="n"/>
      <c r="O182" s="104" t="n"/>
      <c r="P182" s="104" t="n"/>
      <c r="Q182" s="104" t="n"/>
      <c r="R182" s="104" t="n"/>
      <c r="S182" s="110" t="n"/>
      <c r="T182" s="110" t="n"/>
      <c r="U182" s="104" t="n"/>
    </row>
    <row r="183">
      <c r="A183" s="105" t="inlineStr">
        <is>
          <t>GUIDE000182</t>
        </is>
      </c>
      <c r="B183" s="101" t="inlineStr">
        <is>
          <t>DEV000026</t>
        </is>
      </c>
      <c r="C183" s="103" t="inlineStr">
        <is>
          <t>APL</t>
        </is>
      </c>
      <c r="D183" s="103" t="inlineStr">
        <is>
          <t>PHN</t>
        </is>
      </c>
      <c r="E183" s="60" t="inlineStr">
        <is>
          <t>iPhone 12 mini</t>
        </is>
      </c>
      <c r="F183" s="104" t="inlineStr">
        <is>
          <t>SVC000006</t>
        </is>
      </c>
      <c r="G183" s="104" t="inlineStr">
        <is>
          <t>Glass Only Repair</t>
        </is>
      </c>
      <c r="H183" s="104" t="inlineStr">
        <is>
          <t>Display</t>
        </is>
      </c>
      <c r="I183" s="104" t="n"/>
      <c r="J183" s="104" t="n"/>
      <c r="K183" s="104" t="n"/>
      <c r="L183" s="104" t="n"/>
      <c r="M183" s="104" t="n"/>
      <c r="N183" s="104" t="n"/>
      <c r="O183" s="104" t="n"/>
      <c r="P183" s="104" t="n"/>
      <c r="Q183" s="104" t="n"/>
      <c r="R183" s="104" t="n"/>
      <c r="S183" s="110" t="n"/>
      <c r="T183" s="110" t="n"/>
      <c r="U183" s="104" t="n"/>
    </row>
    <row r="184">
      <c r="A184" s="104" t="inlineStr">
        <is>
          <t>GUIDE000183</t>
        </is>
      </c>
      <c r="B184" s="101" t="inlineStr">
        <is>
          <t>DEV000027</t>
        </is>
      </c>
      <c r="C184" s="103" t="inlineStr">
        <is>
          <t>APL</t>
        </is>
      </c>
      <c r="D184" s="103" t="inlineStr">
        <is>
          <t>PHN</t>
        </is>
      </c>
      <c r="E184" s="60" t="inlineStr">
        <is>
          <t>iPhone 12</t>
        </is>
      </c>
      <c r="F184" s="104" t="inlineStr">
        <is>
          <t>SVC000006</t>
        </is>
      </c>
      <c r="G184" s="104" t="inlineStr">
        <is>
          <t>Glass Only Repair</t>
        </is>
      </c>
      <c r="H184" s="104" t="inlineStr">
        <is>
          <t>Display</t>
        </is>
      </c>
      <c r="I184" s="104" t="n"/>
      <c r="J184" s="104" t="n"/>
      <c r="K184" s="104" t="n"/>
      <c r="L184" s="104" t="n"/>
      <c r="M184" s="104" t="n"/>
      <c r="N184" s="104" t="n"/>
      <c r="O184" s="104" t="n"/>
      <c r="P184" s="104" t="n"/>
      <c r="Q184" s="104" t="n"/>
      <c r="R184" s="104" t="n"/>
      <c r="S184" s="110" t="n"/>
      <c r="T184" s="110" t="n"/>
      <c r="U184" s="104" t="n"/>
    </row>
    <row r="185">
      <c r="A185" s="104" t="inlineStr">
        <is>
          <t>GUIDE000184</t>
        </is>
      </c>
      <c r="B185" s="101" t="inlineStr">
        <is>
          <t>DEV000028</t>
        </is>
      </c>
      <c r="C185" s="103" t="inlineStr">
        <is>
          <t>APL</t>
        </is>
      </c>
      <c r="D185" s="103" t="inlineStr">
        <is>
          <t>PHN</t>
        </is>
      </c>
      <c r="E185" s="60" t="inlineStr">
        <is>
          <t>iPhone 12 Pro</t>
        </is>
      </c>
      <c r="F185" s="104" t="inlineStr">
        <is>
          <t>SVC000006</t>
        </is>
      </c>
      <c r="G185" s="104" t="inlineStr">
        <is>
          <t>Glass Only Repair</t>
        </is>
      </c>
      <c r="H185" s="104" t="inlineStr">
        <is>
          <t>Display</t>
        </is>
      </c>
      <c r="I185" s="104" t="n"/>
      <c r="J185" s="104" t="n"/>
      <c r="K185" s="104" t="n"/>
      <c r="L185" s="104" t="n"/>
      <c r="M185" s="104" t="n"/>
      <c r="N185" s="104" t="n"/>
      <c r="O185" s="104" t="n"/>
      <c r="P185" s="104" t="n"/>
      <c r="Q185" s="104" t="n"/>
      <c r="R185" s="104" t="n"/>
      <c r="S185" s="110" t="n"/>
      <c r="T185" s="110" t="n"/>
      <c r="U185" s="104" t="n"/>
    </row>
    <row r="186">
      <c r="A186" s="104" t="inlineStr">
        <is>
          <t>GUIDE000185</t>
        </is>
      </c>
      <c r="B186" s="101" t="inlineStr">
        <is>
          <t>DEV000029</t>
        </is>
      </c>
      <c r="C186" s="103" t="inlineStr">
        <is>
          <t>APL</t>
        </is>
      </c>
      <c r="D186" s="103" t="inlineStr">
        <is>
          <t>PHN</t>
        </is>
      </c>
      <c r="E186" s="60" t="inlineStr">
        <is>
          <t>iPhone 12 Pro Max</t>
        </is>
      </c>
      <c r="F186" s="104" t="inlineStr">
        <is>
          <t>SVC000006</t>
        </is>
      </c>
      <c r="G186" s="104" t="inlineStr">
        <is>
          <t>Glass Only Repair</t>
        </is>
      </c>
      <c r="H186" s="104" t="inlineStr">
        <is>
          <t>Display</t>
        </is>
      </c>
      <c r="I186" s="104" t="n"/>
      <c r="J186" s="104" t="n"/>
      <c r="K186" s="104" t="n"/>
      <c r="L186" s="104" t="n"/>
      <c r="M186" s="104" t="n"/>
      <c r="N186" s="104" t="n"/>
      <c r="O186" s="104" t="n"/>
      <c r="P186" s="104" t="n"/>
      <c r="Q186" s="104" t="n"/>
      <c r="R186" s="104" t="n"/>
      <c r="S186" s="110" t="n"/>
      <c r="T186" s="110" t="n"/>
      <c r="U186" s="104" t="n"/>
    </row>
    <row r="187">
      <c r="A187" s="105" t="inlineStr">
        <is>
          <t>GUIDE000186</t>
        </is>
      </c>
      <c r="B187" s="101" t="inlineStr">
        <is>
          <t>DEV000030</t>
        </is>
      </c>
      <c r="C187" s="103" t="inlineStr">
        <is>
          <t>APL</t>
        </is>
      </c>
      <c r="D187" s="103" t="inlineStr">
        <is>
          <t>PHN</t>
        </is>
      </c>
      <c r="E187" s="60" t="inlineStr">
        <is>
          <t>iPhone 13 mini</t>
        </is>
      </c>
      <c r="F187" s="104" t="inlineStr">
        <is>
          <t>SVC000006</t>
        </is>
      </c>
      <c r="G187" s="104" t="inlineStr">
        <is>
          <t>Glass Only Repair</t>
        </is>
      </c>
      <c r="H187" s="104" t="inlineStr">
        <is>
          <t>Display</t>
        </is>
      </c>
      <c r="I187" s="104" t="n"/>
      <c r="J187" s="104" t="n"/>
      <c r="K187" s="104" t="n"/>
      <c r="L187" s="104" t="n"/>
      <c r="M187" s="104" t="n"/>
      <c r="N187" s="104" t="n"/>
      <c r="O187" s="104" t="n"/>
      <c r="P187" s="104" t="n"/>
      <c r="Q187" s="104" t="n"/>
      <c r="R187" s="104" t="n"/>
      <c r="S187" s="110" t="n"/>
      <c r="T187" s="110" t="n"/>
      <c r="U187" s="104" t="n"/>
    </row>
    <row r="188">
      <c r="A188" s="104" t="inlineStr">
        <is>
          <t>GUIDE000187</t>
        </is>
      </c>
      <c r="B188" s="101" t="inlineStr">
        <is>
          <t>DEV000031</t>
        </is>
      </c>
      <c r="C188" s="103" t="inlineStr">
        <is>
          <t>APL</t>
        </is>
      </c>
      <c r="D188" s="103" t="inlineStr">
        <is>
          <t>PHN</t>
        </is>
      </c>
      <c r="E188" s="60" t="inlineStr">
        <is>
          <t>iPhone 13</t>
        </is>
      </c>
      <c r="F188" s="104" t="inlineStr">
        <is>
          <t>SVC000006</t>
        </is>
      </c>
      <c r="G188" s="104" t="inlineStr">
        <is>
          <t>Glass Only Repair</t>
        </is>
      </c>
      <c r="H188" s="104" t="inlineStr">
        <is>
          <t>Display</t>
        </is>
      </c>
      <c r="I188" s="104" t="n"/>
      <c r="J188" s="104" t="n"/>
      <c r="K188" s="104" t="n"/>
      <c r="L188" s="104" t="n"/>
      <c r="M188" s="104" t="n"/>
      <c r="N188" s="104" t="n"/>
      <c r="O188" s="104" t="n"/>
      <c r="P188" s="104" t="n"/>
      <c r="Q188" s="104" t="n"/>
      <c r="R188" s="104" t="n"/>
      <c r="S188" s="110" t="n"/>
      <c r="T188" s="110" t="n"/>
      <c r="U188" s="104" t="n"/>
    </row>
    <row r="189">
      <c r="A189" s="104" t="inlineStr">
        <is>
          <t>GUIDE000188</t>
        </is>
      </c>
      <c r="B189" s="101" t="inlineStr">
        <is>
          <t>DEV000032</t>
        </is>
      </c>
      <c r="C189" s="103" t="inlineStr">
        <is>
          <t>APL</t>
        </is>
      </c>
      <c r="D189" s="103" t="inlineStr">
        <is>
          <t>PHN</t>
        </is>
      </c>
      <c r="E189" s="60" t="inlineStr">
        <is>
          <t>iPhone 13 Pro</t>
        </is>
      </c>
      <c r="F189" s="104" t="inlineStr">
        <is>
          <t>SVC000006</t>
        </is>
      </c>
      <c r="G189" s="104" t="inlineStr">
        <is>
          <t>Glass Only Repair</t>
        </is>
      </c>
      <c r="H189" s="104" t="inlineStr">
        <is>
          <t>Display</t>
        </is>
      </c>
      <c r="I189" s="104" t="n"/>
      <c r="J189" s="104" t="n"/>
      <c r="K189" s="104" t="n"/>
      <c r="L189" s="104" t="n"/>
      <c r="M189" s="104" t="n"/>
      <c r="N189" s="104" t="n"/>
      <c r="O189" s="104" t="n"/>
      <c r="P189" s="104" t="n"/>
      <c r="Q189" s="104" t="n"/>
      <c r="R189" s="104" t="n"/>
      <c r="S189" s="110" t="n"/>
      <c r="T189" s="110" t="n"/>
      <c r="U189" s="104" t="n"/>
    </row>
    <row r="190">
      <c r="A190" s="104" t="inlineStr">
        <is>
          <t>GUIDE000189</t>
        </is>
      </c>
      <c r="B190" s="101" t="inlineStr">
        <is>
          <t>DEV000033</t>
        </is>
      </c>
      <c r="C190" s="103" t="inlineStr">
        <is>
          <t>APL</t>
        </is>
      </c>
      <c r="D190" s="103" t="inlineStr">
        <is>
          <t>PHN</t>
        </is>
      </c>
      <c r="E190" s="60" t="inlineStr">
        <is>
          <t>iPhone 13 Pro Max</t>
        </is>
      </c>
      <c r="F190" s="104" t="inlineStr">
        <is>
          <t>SVC000006</t>
        </is>
      </c>
      <c r="G190" s="104" t="inlineStr">
        <is>
          <t>Glass Only Repair</t>
        </is>
      </c>
      <c r="H190" s="104" t="inlineStr">
        <is>
          <t>Display</t>
        </is>
      </c>
      <c r="I190" s="104" t="n"/>
      <c r="J190" s="104" t="n"/>
      <c r="K190" s="104" t="n"/>
      <c r="L190" s="104" t="n"/>
      <c r="M190" s="104" t="n"/>
      <c r="N190" s="104" t="n"/>
      <c r="O190" s="104" t="n"/>
      <c r="P190" s="104" t="n"/>
      <c r="Q190" s="104" t="n"/>
      <c r="R190" s="104" t="n"/>
      <c r="S190" s="110" t="n"/>
      <c r="T190" s="110" t="n"/>
      <c r="U190" s="104" t="n"/>
    </row>
    <row r="191">
      <c r="A191" s="104" t="inlineStr">
        <is>
          <t>GUIDE000190</t>
        </is>
      </c>
      <c r="B191" s="101" t="inlineStr">
        <is>
          <t>DEV000034</t>
        </is>
      </c>
      <c r="C191" s="103" t="inlineStr">
        <is>
          <t>APL</t>
        </is>
      </c>
      <c r="D191" s="103" t="inlineStr">
        <is>
          <t>PHN</t>
        </is>
      </c>
      <c r="E191" s="60" t="inlineStr">
        <is>
          <t>iPhone SE (3rd Generation)</t>
        </is>
      </c>
      <c r="F191" s="104" t="inlineStr">
        <is>
          <t>SVC000006</t>
        </is>
      </c>
      <c r="G191" s="104" t="inlineStr">
        <is>
          <t>Glass Only Repair</t>
        </is>
      </c>
      <c r="H191" s="104" t="inlineStr">
        <is>
          <t>Display</t>
        </is>
      </c>
      <c r="I191" s="104" t="n"/>
      <c r="J191" s="104" t="n"/>
      <c r="K191" s="104" t="n"/>
      <c r="L191" s="104" t="n"/>
      <c r="M191" s="104" t="n"/>
      <c r="N191" s="104" t="n"/>
      <c r="O191" s="104" t="n"/>
      <c r="P191" s="104" t="n"/>
      <c r="Q191" s="104" t="n"/>
      <c r="R191" s="104" t="n"/>
      <c r="S191" s="110" t="n"/>
      <c r="T191" s="110" t="n"/>
      <c r="U191" s="104" t="n"/>
    </row>
    <row r="192">
      <c r="A192" s="105" t="inlineStr">
        <is>
          <t>GUIDE000191</t>
        </is>
      </c>
      <c r="B192" s="101" t="inlineStr">
        <is>
          <t>DEV000035</t>
        </is>
      </c>
      <c r="C192" s="103" t="inlineStr">
        <is>
          <t>APL</t>
        </is>
      </c>
      <c r="D192" s="103" t="inlineStr">
        <is>
          <t>PHN</t>
        </is>
      </c>
      <c r="E192" s="60" t="inlineStr">
        <is>
          <t>iPhone 14</t>
        </is>
      </c>
      <c r="F192" s="104" t="inlineStr">
        <is>
          <t>SVC000006</t>
        </is>
      </c>
      <c r="G192" s="104" t="inlineStr">
        <is>
          <t>Glass Only Repair</t>
        </is>
      </c>
      <c r="H192" s="104" t="inlineStr">
        <is>
          <t>Display</t>
        </is>
      </c>
      <c r="I192" s="104" t="n"/>
      <c r="J192" s="104" t="n"/>
      <c r="K192" s="104" t="n"/>
      <c r="L192" s="104" t="n"/>
      <c r="M192" s="104" t="n"/>
      <c r="N192" s="104" t="n"/>
      <c r="O192" s="104" t="n"/>
      <c r="P192" s="104" t="n"/>
      <c r="Q192" s="104" t="n"/>
      <c r="R192" s="104" t="n"/>
      <c r="S192" s="110" t="n"/>
      <c r="T192" s="110" t="n"/>
      <c r="U192" s="104" t="n"/>
    </row>
    <row r="193">
      <c r="A193" s="104" t="inlineStr">
        <is>
          <t>GUIDE000192</t>
        </is>
      </c>
      <c r="B193" s="101" t="inlineStr">
        <is>
          <t>DEV000036</t>
        </is>
      </c>
      <c r="C193" s="103" t="inlineStr">
        <is>
          <t>APL</t>
        </is>
      </c>
      <c r="D193" s="103" t="inlineStr">
        <is>
          <t>PHN</t>
        </is>
      </c>
      <c r="E193" s="60" t="inlineStr">
        <is>
          <t>iPhone 14 Plus</t>
        </is>
      </c>
      <c r="F193" s="104" t="inlineStr">
        <is>
          <t>SVC000006</t>
        </is>
      </c>
      <c r="G193" s="104" t="inlineStr">
        <is>
          <t>Glass Only Repair</t>
        </is>
      </c>
      <c r="H193" s="104" t="inlineStr">
        <is>
          <t>Display</t>
        </is>
      </c>
      <c r="I193" s="104" t="n"/>
      <c r="J193" s="104" t="n"/>
      <c r="K193" s="104" t="n"/>
      <c r="L193" s="104" t="n"/>
      <c r="M193" s="104" t="n"/>
      <c r="N193" s="104" t="n"/>
      <c r="O193" s="104" t="n"/>
      <c r="P193" s="104" t="n"/>
      <c r="Q193" s="104" t="n"/>
      <c r="R193" s="104" t="n"/>
      <c r="S193" s="110" t="n"/>
      <c r="T193" s="110" t="n"/>
      <c r="U193" s="104" t="n"/>
    </row>
    <row r="194">
      <c r="A194" s="104" t="inlineStr">
        <is>
          <t>GUIDE000193</t>
        </is>
      </c>
      <c r="B194" s="101" t="inlineStr">
        <is>
          <t>DEV000037</t>
        </is>
      </c>
      <c r="C194" s="103" t="inlineStr">
        <is>
          <t>APL</t>
        </is>
      </c>
      <c r="D194" s="103" t="inlineStr">
        <is>
          <t>PHN</t>
        </is>
      </c>
      <c r="E194" s="60" t="inlineStr">
        <is>
          <t>iPhone 14 Pro</t>
        </is>
      </c>
      <c r="F194" s="104" t="inlineStr">
        <is>
          <t>SVC000006</t>
        </is>
      </c>
      <c r="G194" s="104" t="inlineStr">
        <is>
          <t>Glass Only Repair</t>
        </is>
      </c>
      <c r="H194" s="104" t="inlineStr">
        <is>
          <t>Display</t>
        </is>
      </c>
      <c r="I194" s="104" t="n"/>
      <c r="J194" s="104" t="n"/>
      <c r="K194" s="104" t="n"/>
      <c r="L194" s="104" t="n"/>
      <c r="M194" s="104" t="n"/>
      <c r="N194" s="104" t="n"/>
      <c r="O194" s="104" t="n"/>
      <c r="P194" s="104" t="n"/>
      <c r="Q194" s="104" t="n"/>
      <c r="R194" s="104" t="n"/>
      <c r="S194" s="110" t="n"/>
      <c r="T194" s="110" t="n"/>
      <c r="U194" s="104" t="n"/>
    </row>
    <row r="195">
      <c r="A195" s="104" t="inlineStr">
        <is>
          <t>GUIDE000194</t>
        </is>
      </c>
      <c r="B195" s="101" t="inlineStr">
        <is>
          <t>DEV000038</t>
        </is>
      </c>
      <c r="C195" s="103" t="inlineStr">
        <is>
          <t>APL</t>
        </is>
      </c>
      <c r="D195" s="103" t="inlineStr">
        <is>
          <t>PHN</t>
        </is>
      </c>
      <c r="E195" s="60" t="inlineStr">
        <is>
          <t>iPhone 14 Pro Max</t>
        </is>
      </c>
      <c r="F195" s="104" t="inlineStr">
        <is>
          <t>SVC000006</t>
        </is>
      </c>
      <c r="G195" s="104" t="inlineStr">
        <is>
          <t>Glass Only Repair</t>
        </is>
      </c>
      <c r="H195" s="104" t="inlineStr">
        <is>
          <t>Display</t>
        </is>
      </c>
      <c r="I195" s="104" t="n"/>
      <c r="J195" s="104" t="n"/>
      <c r="K195" s="104" t="n"/>
      <c r="L195" s="104" t="n"/>
      <c r="M195" s="104" t="n"/>
      <c r="N195" s="104" t="n"/>
      <c r="O195" s="104" t="n"/>
      <c r="P195" s="104" t="n"/>
      <c r="Q195" s="104" t="n"/>
      <c r="R195" s="104" t="n"/>
      <c r="S195" s="110" t="n"/>
      <c r="T195" s="110" t="n"/>
      <c r="U195" s="104" t="n"/>
    </row>
    <row r="196">
      <c r="A196" s="105" t="inlineStr">
        <is>
          <t>GUIDE000195</t>
        </is>
      </c>
      <c r="B196" s="101" t="inlineStr">
        <is>
          <t>DEV000039</t>
        </is>
      </c>
      <c r="C196" s="103" t="inlineStr">
        <is>
          <t>APL</t>
        </is>
      </c>
      <c r="D196" s="103" t="inlineStr">
        <is>
          <t>PHN</t>
        </is>
      </c>
      <c r="E196" s="60" t="inlineStr">
        <is>
          <t>iPhone 15</t>
        </is>
      </c>
      <c r="F196" s="104" t="inlineStr">
        <is>
          <t>SVC000006</t>
        </is>
      </c>
      <c r="G196" s="104" t="inlineStr">
        <is>
          <t>Glass Only Repair</t>
        </is>
      </c>
      <c r="H196" s="104" t="inlineStr">
        <is>
          <t>Display</t>
        </is>
      </c>
      <c r="I196" s="104" t="n"/>
      <c r="J196" s="104" t="n"/>
      <c r="K196" s="104" t="n"/>
      <c r="L196" s="104" t="n"/>
      <c r="M196" s="104" t="n"/>
      <c r="N196" s="104" t="n"/>
      <c r="O196" s="104" t="n"/>
      <c r="P196" s="104" t="n"/>
      <c r="Q196" s="104" t="n"/>
      <c r="R196" s="104" t="n"/>
      <c r="S196" s="110" t="n"/>
      <c r="T196" s="110" t="n"/>
      <c r="U196" s="104" t="n"/>
    </row>
    <row r="197">
      <c r="A197" s="104" t="inlineStr">
        <is>
          <t>GUIDE000196</t>
        </is>
      </c>
      <c r="B197" s="101" t="inlineStr">
        <is>
          <t>DEV000040</t>
        </is>
      </c>
      <c r="C197" s="103" t="inlineStr">
        <is>
          <t>APL</t>
        </is>
      </c>
      <c r="D197" s="103" t="inlineStr">
        <is>
          <t>PHN</t>
        </is>
      </c>
      <c r="E197" s="60" t="inlineStr">
        <is>
          <t>iPhone 15 Plus</t>
        </is>
      </c>
      <c r="F197" s="104" t="inlineStr">
        <is>
          <t>SVC000006</t>
        </is>
      </c>
      <c r="G197" s="104" t="inlineStr">
        <is>
          <t>Glass Only Repair</t>
        </is>
      </c>
      <c r="H197" s="104" t="inlineStr">
        <is>
          <t>Display</t>
        </is>
      </c>
      <c r="I197" s="104" t="n"/>
      <c r="J197" s="104" t="n"/>
      <c r="K197" s="104" t="n"/>
      <c r="L197" s="104" t="n"/>
      <c r="M197" s="104" t="n"/>
      <c r="N197" s="104" t="n"/>
      <c r="O197" s="104" t="n"/>
      <c r="P197" s="104" t="n"/>
      <c r="Q197" s="104" t="n"/>
      <c r="R197" s="104" t="n"/>
      <c r="S197" s="110" t="n"/>
      <c r="T197" s="110" t="n"/>
      <c r="U197" s="104" t="n"/>
    </row>
    <row r="198">
      <c r="A198" s="104" t="inlineStr">
        <is>
          <t>GUIDE000197</t>
        </is>
      </c>
      <c r="B198" s="101" t="inlineStr">
        <is>
          <t>DEV000041</t>
        </is>
      </c>
      <c r="C198" s="103" t="inlineStr">
        <is>
          <t>APL</t>
        </is>
      </c>
      <c r="D198" s="103" t="inlineStr">
        <is>
          <t>PHN</t>
        </is>
      </c>
      <c r="E198" s="60" t="inlineStr">
        <is>
          <t>iPhone 15 Pro</t>
        </is>
      </c>
      <c r="F198" s="104" t="inlineStr">
        <is>
          <t>SVC000006</t>
        </is>
      </c>
      <c r="G198" s="104" t="inlineStr">
        <is>
          <t>Glass Only Repair</t>
        </is>
      </c>
      <c r="H198" s="104" t="inlineStr">
        <is>
          <t>Display</t>
        </is>
      </c>
      <c r="I198" s="104" t="n"/>
      <c r="J198" s="104" t="n"/>
      <c r="K198" s="104" t="n"/>
      <c r="L198" s="104" t="n"/>
      <c r="M198" s="104" t="n"/>
      <c r="N198" s="104" t="n"/>
      <c r="O198" s="104" t="n"/>
      <c r="P198" s="104" t="n"/>
      <c r="Q198" s="104" t="n"/>
      <c r="R198" s="104" t="n"/>
      <c r="S198" s="110" t="n"/>
      <c r="T198" s="110" t="n"/>
      <c r="U198" s="104" t="n"/>
    </row>
    <row r="199">
      <c r="A199" s="104" t="inlineStr">
        <is>
          <t>GUIDE000198</t>
        </is>
      </c>
      <c r="B199" s="101" t="inlineStr">
        <is>
          <t>DEV000042</t>
        </is>
      </c>
      <c r="C199" s="103" t="inlineStr">
        <is>
          <t>APL</t>
        </is>
      </c>
      <c r="D199" s="103" t="inlineStr">
        <is>
          <t>PHN</t>
        </is>
      </c>
      <c r="E199" s="60" t="inlineStr">
        <is>
          <t>iPhone 15 Pro Max</t>
        </is>
      </c>
      <c r="F199" s="104" t="inlineStr">
        <is>
          <t>SVC000006</t>
        </is>
      </c>
      <c r="G199" s="104" t="inlineStr">
        <is>
          <t>Glass Only Repair</t>
        </is>
      </c>
      <c r="H199" s="104" t="inlineStr">
        <is>
          <t>Display</t>
        </is>
      </c>
      <c r="I199" s="104" t="n"/>
      <c r="J199" s="104" t="n"/>
      <c r="K199" s="104" t="n"/>
      <c r="L199" s="104" t="n"/>
      <c r="M199" s="104" t="n"/>
      <c r="N199" s="104" t="n"/>
      <c r="O199" s="104" t="n"/>
      <c r="P199" s="104" t="n"/>
      <c r="Q199" s="104" t="n"/>
      <c r="R199" s="104" t="n"/>
      <c r="S199" s="110" t="n"/>
      <c r="T199" s="110" t="n"/>
      <c r="U199" s="104" t="n"/>
    </row>
    <row r="200">
      <c r="A200" s="104" t="inlineStr">
        <is>
          <t>GUIDE000199</t>
        </is>
      </c>
      <c r="B200" s="101" t="inlineStr">
        <is>
          <t>DEV000043</t>
        </is>
      </c>
      <c r="C200" s="103" t="inlineStr">
        <is>
          <t>APL</t>
        </is>
      </c>
      <c r="D200" s="103" t="inlineStr">
        <is>
          <t>PHN</t>
        </is>
      </c>
      <c r="E200" s="60" t="inlineStr">
        <is>
          <t>iPhone 16</t>
        </is>
      </c>
      <c r="F200" s="104" t="inlineStr">
        <is>
          <t>SVC000006</t>
        </is>
      </c>
      <c r="G200" s="104" t="inlineStr">
        <is>
          <t>Glass Only Repair</t>
        </is>
      </c>
      <c r="H200" s="104" t="inlineStr">
        <is>
          <t>Display</t>
        </is>
      </c>
      <c r="I200" s="104" t="n"/>
      <c r="J200" s="104" t="n"/>
      <c r="K200" s="104" t="n"/>
      <c r="L200" s="104" t="n"/>
      <c r="M200" s="104" t="n"/>
      <c r="N200" s="104" t="n"/>
      <c r="O200" s="104" t="n"/>
      <c r="P200" s="104" t="n"/>
      <c r="Q200" s="104" t="n"/>
      <c r="R200" s="104" t="n"/>
      <c r="S200" s="110" t="n"/>
      <c r="T200" s="110" t="n"/>
      <c r="U200" s="104" t="n"/>
    </row>
    <row r="201">
      <c r="A201" s="105" t="inlineStr">
        <is>
          <t>GUIDE000200</t>
        </is>
      </c>
      <c r="B201" s="101" t="inlineStr">
        <is>
          <t>DEV000044</t>
        </is>
      </c>
      <c r="C201" s="103" t="inlineStr">
        <is>
          <t>APL</t>
        </is>
      </c>
      <c r="D201" s="103" t="inlineStr">
        <is>
          <t>PHN</t>
        </is>
      </c>
      <c r="E201" s="60" t="inlineStr">
        <is>
          <t>iPhone 16 Plus</t>
        </is>
      </c>
      <c r="F201" s="104" t="inlineStr">
        <is>
          <t>SVC000006</t>
        </is>
      </c>
      <c r="G201" s="104" t="inlineStr">
        <is>
          <t>Glass Only Repair</t>
        </is>
      </c>
      <c r="H201" s="104" t="inlineStr">
        <is>
          <t>Display</t>
        </is>
      </c>
      <c r="I201" s="104" t="n"/>
      <c r="J201" s="104" t="n"/>
      <c r="K201" s="104" t="n"/>
      <c r="L201" s="104" t="n"/>
      <c r="M201" s="104" t="n"/>
      <c r="N201" s="104" t="n"/>
      <c r="O201" s="104" t="n"/>
      <c r="P201" s="104" t="n"/>
      <c r="Q201" s="104" t="n"/>
      <c r="R201" s="104" t="n"/>
      <c r="S201" s="110" t="n"/>
      <c r="T201" s="110" t="n"/>
      <c r="U201" s="104" t="n"/>
    </row>
    <row r="202">
      <c r="A202" s="104" t="inlineStr">
        <is>
          <t>GUIDE000201</t>
        </is>
      </c>
      <c r="B202" s="101" t="inlineStr">
        <is>
          <t>DEV000045</t>
        </is>
      </c>
      <c r="C202" s="103" t="inlineStr">
        <is>
          <t>APL</t>
        </is>
      </c>
      <c r="D202" s="103" t="inlineStr">
        <is>
          <t>PHN</t>
        </is>
      </c>
      <c r="E202" s="60" t="inlineStr">
        <is>
          <t>iPhone 16 Pro</t>
        </is>
      </c>
      <c r="F202" s="104" t="inlineStr">
        <is>
          <t>SVC000006</t>
        </is>
      </c>
      <c r="G202" s="104" t="inlineStr">
        <is>
          <t>Glass Only Repair</t>
        </is>
      </c>
      <c r="H202" s="104" t="inlineStr">
        <is>
          <t>Display</t>
        </is>
      </c>
      <c r="I202" s="104" t="n"/>
      <c r="J202" s="104" t="n"/>
      <c r="K202" s="104" t="n"/>
      <c r="L202" s="104" t="n"/>
      <c r="M202" s="104" t="n"/>
      <c r="N202" s="104" t="n"/>
      <c r="O202" s="104" t="n"/>
      <c r="P202" s="104" t="n"/>
      <c r="Q202" s="104" t="n"/>
      <c r="R202" s="104" t="n"/>
      <c r="S202" s="110" t="n"/>
      <c r="T202" s="110" t="n"/>
      <c r="U202" s="104" t="n"/>
    </row>
    <row r="203">
      <c r="A203" s="104" t="inlineStr">
        <is>
          <t>GUIDE000202</t>
        </is>
      </c>
      <c r="B203" s="101" t="inlineStr">
        <is>
          <t>DEV000046</t>
        </is>
      </c>
      <c r="C203" s="103" t="inlineStr">
        <is>
          <t>APL</t>
        </is>
      </c>
      <c r="D203" s="103" t="inlineStr">
        <is>
          <t>PHN</t>
        </is>
      </c>
      <c r="E203" s="60" t="inlineStr">
        <is>
          <t>iPhone 16 Pro Max</t>
        </is>
      </c>
      <c r="F203" s="104" t="inlineStr">
        <is>
          <t>SVC000006</t>
        </is>
      </c>
      <c r="G203" s="104" t="inlineStr">
        <is>
          <t>Glass Only Repair</t>
        </is>
      </c>
      <c r="H203" s="104" t="inlineStr">
        <is>
          <t>Display</t>
        </is>
      </c>
      <c r="I203" s="104" t="n"/>
      <c r="J203" s="104" t="n"/>
      <c r="K203" s="104" t="n"/>
      <c r="L203" s="104" t="n"/>
      <c r="M203" s="104" t="n"/>
      <c r="N203" s="104" t="n"/>
      <c r="O203" s="104" t="n"/>
      <c r="P203" s="104" t="n"/>
      <c r="Q203" s="104" t="n"/>
      <c r="R203" s="104" t="n"/>
      <c r="S203" s="110" t="n"/>
      <c r="T203" s="110" t="n"/>
      <c r="U203" s="104" t="n"/>
    </row>
    <row r="204">
      <c r="A204" s="104" t="inlineStr">
        <is>
          <t>GUIDE000203</t>
        </is>
      </c>
      <c r="B204" s="101" t="inlineStr">
        <is>
          <t>DEV000047</t>
        </is>
      </c>
      <c r="C204" s="103" t="inlineStr">
        <is>
          <t>APL</t>
        </is>
      </c>
      <c r="D204" s="103" t="inlineStr">
        <is>
          <t>PHN</t>
        </is>
      </c>
      <c r="E204" s="60" t="inlineStr">
        <is>
          <t>iPhone 16e</t>
        </is>
      </c>
      <c r="F204" s="104" t="inlineStr">
        <is>
          <t>SVC000006</t>
        </is>
      </c>
      <c r="G204" s="104" t="inlineStr">
        <is>
          <t>Glass Only Repair</t>
        </is>
      </c>
      <c r="H204" s="104" t="inlineStr">
        <is>
          <t>Display</t>
        </is>
      </c>
      <c r="I204" s="104" t="n"/>
      <c r="J204" s="104" t="n"/>
      <c r="K204" s="104" t="n"/>
      <c r="L204" s="104" t="n"/>
      <c r="M204" s="104" t="n"/>
      <c r="N204" s="104" t="n"/>
      <c r="O204" s="104" t="n"/>
      <c r="P204" s="104" t="n"/>
      <c r="Q204" s="104" t="n"/>
      <c r="R204" s="104" t="n"/>
      <c r="S204" s="110" t="n"/>
      <c r="T204" s="110" t="n"/>
      <c r="U204" s="104" t="n"/>
    </row>
    <row r="205">
      <c r="A205" s="105" t="inlineStr">
        <is>
          <t>GUIDE000204</t>
        </is>
      </c>
      <c r="B205" s="101" t="inlineStr">
        <is>
          <t>DEV000048</t>
        </is>
      </c>
      <c r="C205" s="103" t="inlineStr">
        <is>
          <t>APL</t>
        </is>
      </c>
      <c r="D205" s="103" t="inlineStr">
        <is>
          <t>PHN</t>
        </is>
      </c>
      <c r="E205" s="60" t="inlineStr">
        <is>
          <t>iPhone 17</t>
        </is>
      </c>
      <c r="F205" s="104" t="inlineStr">
        <is>
          <t>SVC000006</t>
        </is>
      </c>
      <c r="G205" s="104" t="inlineStr">
        <is>
          <t>Glass Only Repair</t>
        </is>
      </c>
      <c r="H205" s="104" t="inlineStr">
        <is>
          <t>Display</t>
        </is>
      </c>
      <c r="I205" s="104" t="n"/>
      <c r="J205" s="104" t="n"/>
      <c r="K205" s="104" t="n"/>
      <c r="L205" s="104" t="n"/>
      <c r="M205" s="104" t="n"/>
      <c r="N205" s="104" t="n"/>
      <c r="O205" s="104" t="n"/>
      <c r="P205" s="104" t="n"/>
      <c r="Q205" s="104" t="n"/>
      <c r="R205" s="104" t="n"/>
      <c r="S205" s="110" t="n"/>
      <c r="T205" s="110" t="n"/>
      <c r="U205" s="104" t="n"/>
    </row>
    <row r="206">
      <c r="A206" s="104" t="inlineStr">
        <is>
          <t>GUIDE000205</t>
        </is>
      </c>
      <c r="B206" s="101" t="inlineStr">
        <is>
          <t>DEV000049</t>
        </is>
      </c>
      <c r="C206" s="103" t="inlineStr">
        <is>
          <t>APL</t>
        </is>
      </c>
      <c r="D206" s="103" t="inlineStr">
        <is>
          <t>PHN</t>
        </is>
      </c>
      <c r="E206" s="60" t="inlineStr">
        <is>
          <t>iPhone 17 Pro</t>
        </is>
      </c>
      <c r="F206" s="104" t="inlineStr">
        <is>
          <t>SVC000006</t>
        </is>
      </c>
      <c r="G206" s="104" t="inlineStr">
        <is>
          <t>Glass Only Repair</t>
        </is>
      </c>
      <c r="H206" s="104" t="inlineStr">
        <is>
          <t>Display</t>
        </is>
      </c>
      <c r="I206" s="104" t="n"/>
      <c r="J206" s="104" t="n"/>
      <c r="K206" s="104" t="n"/>
      <c r="L206" s="104" t="n"/>
      <c r="M206" s="104" t="n"/>
      <c r="N206" s="104" t="n"/>
      <c r="O206" s="104" t="n"/>
      <c r="P206" s="104" t="n"/>
      <c r="Q206" s="104" t="n"/>
      <c r="R206" s="104" t="n"/>
      <c r="S206" s="110" t="n"/>
      <c r="T206" s="110" t="n"/>
      <c r="U206" s="104" t="n"/>
    </row>
    <row r="207">
      <c r="A207" s="104" t="inlineStr">
        <is>
          <t>GUIDE000206</t>
        </is>
      </c>
      <c r="B207" s="101" t="inlineStr">
        <is>
          <t>DEV000050</t>
        </is>
      </c>
      <c r="C207" s="103" t="inlineStr">
        <is>
          <t>APL</t>
        </is>
      </c>
      <c r="D207" s="103" t="inlineStr">
        <is>
          <t>PHN</t>
        </is>
      </c>
      <c r="E207" s="60" t="inlineStr">
        <is>
          <t>iPhone 17 Pro Max</t>
        </is>
      </c>
      <c r="F207" s="104" t="inlineStr">
        <is>
          <t>SVC000006</t>
        </is>
      </c>
      <c r="G207" s="104" t="inlineStr">
        <is>
          <t>Glass Only Repair</t>
        </is>
      </c>
      <c r="H207" s="104" t="inlineStr">
        <is>
          <t>Display</t>
        </is>
      </c>
      <c r="I207" s="104" t="n"/>
      <c r="J207" s="104" t="n"/>
      <c r="K207" s="104" t="n"/>
      <c r="L207" s="104" t="n"/>
      <c r="M207" s="104" t="n"/>
      <c r="N207" s="104" t="n"/>
      <c r="O207" s="104" t="n"/>
      <c r="P207" s="104" t="n"/>
      <c r="Q207" s="104" t="n"/>
      <c r="R207" s="104" t="n"/>
      <c r="S207" s="110" t="n"/>
      <c r="T207" s="110" t="n"/>
      <c r="U207" s="104" t="n"/>
    </row>
    <row r="208">
      <c r="A208" s="104" t="inlineStr">
        <is>
          <t>GUIDE000207</t>
        </is>
      </c>
      <c r="B208" s="101" t="inlineStr">
        <is>
          <t>DEV000051</t>
        </is>
      </c>
      <c r="C208" s="103" t="inlineStr">
        <is>
          <t>APL</t>
        </is>
      </c>
      <c r="D208" s="103" t="inlineStr">
        <is>
          <t>PHN</t>
        </is>
      </c>
      <c r="E208" s="60" t="inlineStr">
        <is>
          <t>iPhone Air</t>
        </is>
      </c>
      <c r="F208" s="104" t="inlineStr">
        <is>
          <t>SVC000006</t>
        </is>
      </c>
      <c r="G208" s="104" t="inlineStr">
        <is>
          <t>Glass Only Repair</t>
        </is>
      </c>
      <c r="H208" s="104" t="inlineStr">
        <is>
          <t>Display</t>
        </is>
      </c>
      <c r="I208" s="104" t="n"/>
      <c r="J208" s="104" t="n"/>
      <c r="K208" s="104" t="n"/>
      <c r="L208" s="104" t="n"/>
      <c r="M208" s="104" t="n"/>
      <c r="N208" s="104" t="n"/>
      <c r="O208" s="104" t="n"/>
      <c r="P208" s="104" t="n"/>
      <c r="Q208" s="104" t="n"/>
      <c r="R208" s="104" t="n"/>
      <c r="S208" s="110" t="n"/>
      <c r="T208" s="110" t="n"/>
      <c r="U208" s="104" t="n"/>
    </row>
    <row r="209">
      <c r="A209" s="104" t="inlineStr">
        <is>
          <t>GUIDE000208</t>
        </is>
      </c>
      <c r="B209" s="101" t="inlineStr">
        <is>
          <t>DEV000052</t>
        </is>
      </c>
      <c r="C209" s="103" t="inlineStr">
        <is>
          <t>APL</t>
        </is>
      </c>
      <c r="D209" s="103" t="inlineStr">
        <is>
          <t>PHN</t>
        </is>
      </c>
      <c r="E209" s="60" t="inlineStr">
        <is>
          <t>iPhone 17e</t>
        </is>
      </c>
      <c r="F209" s="104" t="inlineStr">
        <is>
          <t>SVC000006</t>
        </is>
      </c>
      <c r="G209" s="104" t="inlineStr">
        <is>
          <t>Glass Only Repair</t>
        </is>
      </c>
      <c r="H209" s="104" t="inlineStr">
        <is>
          <t>Display</t>
        </is>
      </c>
      <c r="I209" s="104" t="n"/>
      <c r="J209" s="104" t="n"/>
      <c r="K209" s="104" t="n"/>
      <c r="L209" s="104" t="n"/>
      <c r="M209" s="104" t="n"/>
      <c r="N209" s="104" t="n"/>
      <c r="O209" s="104" t="n"/>
      <c r="P209" s="104" t="n"/>
      <c r="Q209" s="104" t="n"/>
      <c r="R209" s="104" t="n"/>
      <c r="S209" s="110" t="n"/>
      <c r="T209" s="110" t="n"/>
      <c r="U209" s="104" t="n"/>
    </row>
    <row r="210">
      <c r="A210" s="105" t="inlineStr">
        <is>
          <t>GUIDE000209</t>
        </is>
      </c>
      <c r="B210" s="101" t="inlineStr">
        <is>
          <t>DEV000001</t>
        </is>
      </c>
      <c r="C210" s="103" t="inlineStr">
        <is>
          <t>APL</t>
        </is>
      </c>
      <c r="D210" s="103" t="inlineStr">
        <is>
          <t>PHN</t>
        </is>
      </c>
      <c r="E210" s="60" t="inlineStr">
        <is>
          <t>iPhone (2G)</t>
        </is>
      </c>
      <c r="F210" s="104" t="inlineStr">
        <is>
          <t>SVC000007</t>
        </is>
      </c>
      <c r="G210" s="104" t="inlineStr">
        <is>
          <t>Battery Replacement</t>
        </is>
      </c>
      <c r="H210" s="104" t="inlineStr">
        <is>
          <t>Battery</t>
        </is>
      </c>
      <c r="I210" s="104" t="n"/>
      <c r="J210" s="104" t="n"/>
      <c r="K210" s="104" t="n"/>
      <c r="L210" s="104" t="n"/>
      <c r="M210" s="104" t="n"/>
      <c r="N210" s="104" t="n"/>
      <c r="O210" s="104" t="n"/>
      <c r="P210" s="104" t="n"/>
      <c r="Q210" s="104" t="n"/>
      <c r="R210" s="104" t="n"/>
      <c r="S210" s="110" t="n"/>
      <c r="T210" s="110" t="n"/>
      <c r="U210" s="104" t="n"/>
    </row>
    <row r="211">
      <c r="A211" s="104" t="inlineStr">
        <is>
          <t>GUIDE000210</t>
        </is>
      </c>
      <c r="B211" s="101" t="inlineStr">
        <is>
          <t>DEV000002</t>
        </is>
      </c>
      <c r="C211" s="103" t="inlineStr">
        <is>
          <t>APL</t>
        </is>
      </c>
      <c r="D211" s="103" t="inlineStr">
        <is>
          <t>PHN</t>
        </is>
      </c>
      <c r="E211" s="60" t="inlineStr">
        <is>
          <t>iPhone 3G</t>
        </is>
      </c>
      <c r="F211" s="104" t="inlineStr">
        <is>
          <t>SVC000007</t>
        </is>
      </c>
      <c r="G211" s="104" t="inlineStr">
        <is>
          <t>Battery Replacement</t>
        </is>
      </c>
      <c r="H211" s="104" t="inlineStr">
        <is>
          <t>Battery</t>
        </is>
      </c>
      <c r="I211" s="104" t="n"/>
      <c r="J211" s="104" t="n"/>
      <c r="K211" s="104" t="n"/>
      <c r="L211" s="104" t="n"/>
      <c r="M211" s="104" t="n"/>
      <c r="N211" s="104" t="n"/>
      <c r="O211" s="104" t="n"/>
      <c r="P211" s="104" t="n"/>
      <c r="Q211" s="104" t="n"/>
      <c r="R211" s="104" t="n"/>
      <c r="S211" s="110" t="n"/>
      <c r="T211" s="110" t="n"/>
      <c r="U211" s="104" t="n"/>
    </row>
    <row r="212">
      <c r="A212" s="104" t="inlineStr">
        <is>
          <t>GUIDE000211</t>
        </is>
      </c>
      <c r="B212" s="101" t="inlineStr">
        <is>
          <t>DEV000003</t>
        </is>
      </c>
      <c r="C212" s="103" t="inlineStr">
        <is>
          <t>APL</t>
        </is>
      </c>
      <c r="D212" s="103" t="inlineStr">
        <is>
          <t>PHN</t>
        </is>
      </c>
      <c r="E212" s="60" t="inlineStr">
        <is>
          <t>iPhone 3GS</t>
        </is>
      </c>
      <c r="F212" s="104" t="inlineStr">
        <is>
          <t>SVC000007</t>
        </is>
      </c>
      <c r="G212" s="104" t="inlineStr">
        <is>
          <t>Battery Replacement</t>
        </is>
      </c>
      <c r="H212" s="104" t="inlineStr">
        <is>
          <t>Battery</t>
        </is>
      </c>
      <c r="I212" s="104" t="n"/>
      <c r="J212" s="104" t="n"/>
      <c r="K212" s="104" t="n"/>
      <c r="L212" s="104" t="n"/>
      <c r="M212" s="104" t="n"/>
      <c r="N212" s="104" t="n"/>
      <c r="O212" s="104" t="n"/>
      <c r="P212" s="104" t="n"/>
      <c r="Q212" s="104" t="n"/>
      <c r="R212" s="104" t="n"/>
      <c r="S212" s="110" t="n"/>
      <c r="T212" s="110" t="n"/>
      <c r="U212" s="104" t="n"/>
    </row>
    <row r="213">
      <c r="A213" s="104" t="inlineStr">
        <is>
          <t>GUIDE000212</t>
        </is>
      </c>
      <c r="B213" s="101" t="inlineStr">
        <is>
          <t>DEV000004</t>
        </is>
      </c>
      <c r="C213" s="103" t="inlineStr">
        <is>
          <t>APL</t>
        </is>
      </c>
      <c r="D213" s="103" t="inlineStr">
        <is>
          <t>PHN</t>
        </is>
      </c>
      <c r="E213" s="60" t="inlineStr">
        <is>
          <t>iPhone 4</t>
        </is>
      </c>
      <c r="F213" s="104" t="inlineStr">
        <is>
          <t>SVC000007</t>
        </is>
      </c>
      <c r="G213" s="104" t="inlineStr">
        <is>
          <t>Battery Replacement</t>
        </is>
      </c>
      <c r="H213" s="104" t="inlineStr">
        <is>
          <t>Battery</t>
        </is>
      </c>
      <c r="I213" s="104" t="n"/>
      <c r="J213" s="104" t="n"/>
      <c r="K213" s="104" t="n"/>
      <c r="L213" s="104" t="n"/>
      <c r="M213" s="104" t="n"/>
      <c r="N213" s="104" t="n"/>
      <c r="O213" s="104" t="n"/>
      <c r="P213" s="104" t="n"/>
      <c r="Q213" s="104" t="n"/>
      <c r="R213" s="104" t="n"/>
      <c r="S213" s="110" t="n"/>
      <c r="T213" s="110" t="n"/>
      <c r="U213" s="104" t="n"/>
    </row>
    <row r="214">
      <c r="A214" s="105" t="inlineStr">
        <is>
          <t>GUIDE000213</t>
        </is>
      </c>
      <c r="B214" s="101" t="inlineStr">
        <is>
          <t>DEV000005</t>
        </is>
      </c>
      <c r="C214" s="103" t="inlineStr">
        <is>
          <t>APL</t>
        </is>
      </c>
      <c r="D214" s="103" t="inlineStr">
        <is>
          <t>PHN</t>
        </is>
      </c>
      <c r="E214" s="60" t="inlineStr">
        <is>
          <t>iPhone 4s</t>
        </is>
      </c>
      <c r="F214" s="104" t="inlineStr">
        <is>
          <t>SVC000007</t>
        </is>
      </c>
      <c r="G214" s="104" t="inlineStr">
        <is>
          <t>Battery Replacement</t>
        </is>
      </c>
      <c r="H214" s="104" t="inlineStr">
        <is>
          <t>Battery</t>
        </is>
      </c>
      <c r="I214" s="104" t="n"/>
      <c r="J214" s="104" t="n"/>
      <c r="K214" s="104" t="n"/>
      <c r="L214" s="104" t="n"/>
      <c r="M214" s="104" t="n"/>
      <c r="N214" s="104" t="n"/>
      <c r="O214" s="104" t="n"/>
      <c r="P214" s="104" t="n"/>
      <c r="Q214" s="104" t="n"/>
      <c r="R214" s="104" t="n"/>
      <c r="S214" s="110" t="n"/>
      <c r="T214" s="110" t="n"/>
      <c r="U214" s="104" t="n"/>
    </row>
    <row r="215">
      <c r="A215" s="104" t="inlineStr">
        <is>
          <t>GUIDE000214</t>
        </is>
      </c>
      <c r="B215" s="101" t="inlineStr">
        <is>
          <t>DEV000006</t>
        </is>
      </c>
      <c r="C215" s="103" t="inlineStr">
        <is>
          <t>APL</t>
        </is>
      </c>
      <c r="D215" s="103" t="inlineStr">
        <is>
          <t>PHN</t>
        </is>
      </c>
      <c r="E215" s="60" t="inlineStr">
        <is>
          <t>iPhone 5</t>
        </is>
      </c>
      <c r="F215" s="104" t="inlineStr">
        <is>
          <t>SVC000007</t>
        </is>
      </c>
      <c r="G215" s="104" t="inlineStr">
        <is>
          <t>Battery Replacement</t>
        </is>
      </c>
      <c r="H215" s="104" t="inlineStr">
        <is>
          <t>Battery</t>
        </is>
      </c>
      <c r="I215" s="104" t="n"/>
      <c r="J215" s="104" t="n"/>
      <c r="K215" s="104" t="n"/>
      <c r="L215" s="104" t="n"/>
      <c r="M215" s="104" t="n"/>
      <c r="N215" s="104" t="n"/>
      <c r="O215" s="104" t="n"/>
      <c r="P215" s="104" t="n"/>
      <c r="Q215" s="104" t="n"/>
      <c r="R215" s="104" t="n"/>
      <c r="S215" s="110" t="n"/>
      <c r="T215" s="110" t="n"/>
      <c r="U215" s="104" t="n"/>
    </row>
    <row r="216">
      <c r="A216" s="104" t="inlineStr">
        <is>
          <t>GUIDE000215</t>
        </is>
      </c>
      <c r="B216" s="101" t="inlineStr">
        <is>
          <t>DEV000007</t>
        </is>
      </c>
      <c r="C216" s="103" t="inlineStr">
        <is>
          <t>APL</t>
        </is>
      </c>
      <c r="D216" s="103" t="inlineStr">
        <is>
          <t>PHN</t>
        </is>
      </c>
      <c r="E216" s="60" t="inlineStr">
        <is>
          <t>iPhone 5c</t>
        </is>
      </c>
      <c r="F216" s="104" t="inlineStr">
        <is>
          <t>SVC000007</t>
        </is>
      </c>
      <c r="G216" s="104" t="inlineStr">
        <is>
          <t>Battery Replacement</t>
        </is>
      </c>
      <c r="H216" s="104" t="inlineStr">
        <is>
          <t>Battery</t>
        </is>
      </c>
      <c r="I216" s="104" t="n"/>
      <c r="J216" s="104" t="n"/>
      <c r="K216" s="104" t="n"/>
      <c r="L216" s="104" t="n"/>
      <c r="M216" s="104" t="n"/>
      <c r="N216" s="104" t="n"/>
      <c r="O216" s="104" t="n"/>
      <c r="P216" s="104" t="n"/>
      <c r="Q216" s="104" t="n"/>
      <c r="R216" s="104" t="n"/>
      <c r="S216" s="110" t="n"/>
      <c r="T216" s="110" t="n"/>
      <c r="U216" s="104" t="n"/>
    </row>
    <row r="217">
      <c r="A217" s="104" t="inlineStr">
        <is>
          <t>GUIDE000216</t>
        </is>
      </c>
      <c r="B217" s="101" t="inlineStr">
        <is>
          <t>DEV000008</t>
        </is>
      </c>
      <c r="C217" s="103" t="inlineStr">
        <is>
          <t>APL</t>
        </is>
      </c>
      <c r="D217" s="103" t="inlineStr">
        <is>
          <t>PHN</t>
        </is>
      </c>
      <c r="E217" s="60" t="inlineStr">
        <is>
          <t>iPhone 5s</t>
        </is>
      </c>
      <c r="F217" s="104" t="inlineStr">
        <is>
          <t>SVC000007</t>
        </is>
      </c>
      <c r="G217" s="104" t="inlineStr">
        <is>
          <t>Battery Replacement</t>
        </is>
      </c>
      <c r="H217" s="104" t="inlineStr">
        <is>
          <t>Battery</t>
        </is>
      </c>
      <c r="I217" s="104" t="n"/>
      <c r="J217" s="104" t="n"/>
      <c r="K217" s="104" t="n"/>
      <c r="L217" s="104" t="n"/>
      <c r="M217" s="104" t="n"/>
      <c r="N217" s="104" t="n"/>
      <c r="O217" s="104" t="n"/>
      <c r="P217" s="104" t="n"/>
      <c r="Q217" s="104" t="n"/>
      <c r="R217" s="104" t="n"/>
      <c r="S217" s="110" t="n"/>
      <c r="T217" s="110" t="n"/>
      <c r="U217" s="104" t="n"/>
    </row>
    <row r="218">
      <c r="A218" s="104" t="inlineStr">
        <is>
          <t>GUIDE000217</t>
        </is>
      </c>
      <c r="B218" s="101" t="inlineStr">
        <is>
          <t>DEV000009</t>
        </is>
      </c>
      <c r="C218" s="103" t="inlineStr">
        <is>
          <t>APL</t>
        </is>
      </c>
      <c r="D218" s="103" t="inlineStr">
        <is>
          <t>PHN</t>
        </is>
      </c>
      <c r="E218" s="60" t="inlineStr">
        <is>
          <t>iPhone 6</t>
        </is>
      </c>
      <c r="F218" s="104" t="inlineStr">
        <is>
          <t>SVC000007</t>
        </is>
      </c>
      <c r="G218" s="104" t="inlineStr">
        <is>
          <t>Battery Replacement</t>
        </is>
      </c>
      <c r="H218" s="104" t="inlineStr">
        <is>
          <t>Battery</t>
        </is>
      </c>
      <c r="I218" s="104" t="n"/>
      <c r="J218" s="104" t="n"/>
      <c r="K218" s="104" t="n"/>
      <c r="L218" s="104" t="n"/>
      <c r="M218" s="104" t="n"/>
      <c r="N218" s="104" t="n"/>
      <c r="O218" s="104" t="n"/>
      <c r="P218" s="104" t="n"/>
      <c r="Q218" s="104" t="n"/>
      <c r="R218" s="104" t="n"/>
      <c r="S218" s="110" t="n"/>
      <c r="T218" s="110" t="n"/>
      <c r="U218" s="104" t="n"/>
    </row>
    <row r="219">
      <c r="A219" s="105" t="inlineStr">
        <is>
          <t>GUIDE000218</t>
        </is>
      </c>
      <c r="B219" s="101" t="inlineStr">
        <is>
          <t>DEV000010</t>
        </is>
      </c>
      <c r="C219" s="103" t="inlineStr">
        <is>
          <t>APL</t>
        </is>
      </c>
      <c r="D219" s="103" t="inlineStr">
        <is>
          <t>PHN</t>
        </is>
      </c>
      <c r="E219" s="60" t="inlineStr">
        <is>
          <t>iPhone 6 Plus</t>
        </is>
      </c>
      <c r="F219" s="104" t="inlineStr">
        <is>
          <t>SVC000007</t>
        </is>
      </c>
      <c r="G219" s="104" t="inlineStr">
        <is>
          <t>Battery Replacement</t>
        </is>
      </c>
      <c r="H219" s="104" t="inlineStr">
        <is>
          <t>Battery</t>
        </is>
      </c>
      <c r="I219" s="104" t="n"/>
      <c r="J219" s="104" t="n"/>
      <c r="K219" s="104" t="n"/>
      <c r="L219" s="104" t="n"/>
      <c r="M219" s="104" t="n"/>
      <c r="N219" s="104" t="n"/>
      <c r="O219" s="104" t="n"/>
      <c r="P219" s="104" t="n"/>
      <c r="Q219" s="104" t="n"/>
      <c r="R219" s="104" t="n"/>
      <c r="S219" s="110" t="n"/>
      <c r="T219" s="110" t="n"/>
      <c r="U219" s="104" t="n"/>
    </row>
    <row r="220">
      <c r="A220" s="104" t="inlineStr">
        <is>
          <t>GUIDE000219</t>
        </is>
      </c>
      <c r="B220" s="101" t="inlineStr">
        <is>
          <t>DEV000011</t>
        </is>
      </c>
      <c r="C220" s="103" t="inlineStr">
        <is>
          <t>APL</t>
        </is>
      </c>
      <c r="D220" s="103" t="inlineStr">
        <is>
          <t>PHN</t>
        </is>
      </c>
      <c r="E220" s="60" t="inlineStr">
        <is>
          <t>iPhone 6s</t>
        </is>
      </c>
      <c r="F220" s="104" t="inlineStr">
        <is>
          <t>SVC000007</t>
        </is>
      </c>
      <c r="G220" s="104" t="inlineStr">
        <is>
          <t>Battery Replacement</t>
        </is>
      </c>
      <c r="H220" s="104" t="inlineStr">
        <is>
          <t>Battery</t>
        </is>
      </c>
      <c r="I220" s="104" t="n"/>
      <c r="J220" s="104" t="n"/>
      <c r="K220" s="104" t="n"/>
      <c r="L220" s="104" t="n"/>
      <c r="M220" s="104" t="n"/>
      <c r="N220" s="104" t="n"/>
      <c r="O220" s="104" t="n"/>
      <c r="P220" s="104" t="n"/>
      <c r="Q220" s="104" t="n"/>
      <c r="R220" s="104" t="n"/>
      <c r="S220" s="110" t="n"/>
      <c r="T220" s="110" t="n"/>
      <c r="U220" s="104" t="n"/>
    </row>
    <row r="221">
      <c r="A221" s="104" t="inlineStr">
        <is>
          <t>GUIDE000220</t>
        </is>
      </c>
      <c r="B221" s="101" t="inlineStr">
        <is>
          <t>DEV000012</t>
        </is>
      </c>
      <c r="C221" s="103" t="inlineStr">
        <is>
          <t>APL</t>
        </is>
      </c>
      <c r="D221" s="103" t="inlineStr">
        <is>
          <t>PHN</t>
        </is>
      </c>
      <c r="E221" s="60" t="inlineStr">
        <is>
          <t>iPhone 6s Plus</t>
        </is>
      </c>
      <c r="F221" s="104" t="inlineStr">
        <is>
          <t>SVC000007</t>
        </is>
      </c>
      <c r="G221" s="104" t="inlineStr">
        <is>
          <t>Battery Replacement</t>
        </is>
      </c>
      <c r="H221" s="104" t="inlineStr">
        <is>
          <t>Battery</t>
        </is>
      </c>
      <c r="I221" s="104" t="n"/>
      <c r="J221" s="104" t="n"/>
      <c r="K221" s="104" t="n"/>
      <c r="L221" s="104" t="n"/>
      <c r="M221" s="104" t="n"/>
      <c r="N221" s="104" t="n"/>
      <c r="O221" s="104" t="n"/>
      <c r="P221" s="104" t="n"/>
      <c r="Q221" s="104" t="n"/>
      <c r="R221" s="104" t="n"/>
      <c r="S221" s="110" t="n"/>
      <c r="T221" s="110" t="n"/>
      <c r="U221" s="104" t="n"/>
    </row>
    <row r="222">
      <c r="A222" s="104" t="inlineStr">
        <is>
          <t>GUIDE000221</t>
        </is>
      </c>
      <c r="B222" s="101" t="inlineStr">
        <is>
          <t>DEV000013</t>
        </is>
      </c>
      <c r="C222" s="103" t="inlineStr">
        <is>
          <t>APL</t>
        </is>
      </c>
      <c r="D222" s="103" t="inlineStr">
        <is>
          <t>PHN</t>
        </is>
      </c>
      <c r="E222" s="60" t="inlineStr">
        <is>
          <t>iPhone SE (1st Gen)</t>
        </is>
      </c>
      <c r="F222" s="104" t="inlineStr">
        <is>
          <t>SVC000007</t>
        </is>
      </c>
      <c r="G222" s="104" t="inlineStr">
        <is>
          <t>Battery Replacement</t>
        </is>
      </c>
      <c r="H222" s="104" t="inlineStr">
        <is>
          <t>Battery</t>
        </is>
      </c>
      <c r="I222" s="104" t="n"/>
      <c r="J222" s="104" t="n"/>
      <c r="K222" s="104" t="n"/>
      <c r="L222" s="104" t="n"/>
      <c r="M222" s="104" t="n"/>
      <c r="N222" s="104" t="n"/>
      <c r="O222" s="104" t="n"/>
      <c r="P222" s="104" t="n"/>
      <c r="Q222" s="104" t="n"/>
      <c r="R222" s="104" t="n"/>
      <c r="S222" s="110" t="n"/>
      <c r="T222" s="110" t="n"/>
      <c r="U222" s="104" t="n"/>
    </row>
    <row r="223">
      <c r="A223" s="105" t="inlineStr">
        <is>
          <t>GUIDE000222</t>
        </is>
      </c>
      <c r="B223" s="101" t="inlineStr">
        <is>
          <t>DEV000014</t>
        </is>
      </c>
      <c r="C223" s="103" t="inlineStr">
        <is>
          <t>APL</t>
        </is>
      </c>
      <c r="D223" s="103" t="inlineStr">
        <is>
          <t>PHN</t>
        </is>
      </c>
      <c r="E223" s="60" t="inlineStr">
        <is>
          <t>iPhone 7</t>
        </is>
      </c>
      <c r="F223" s="104" t="inlineStr">
        <is>
          <t>SVC000007</t>
        </is>
      </c>
      <c r="G223" s="104" t="inlineStr">
        <is>
          <t>Battery Replacement</t>
        </is>
      </c>
      <c r="H223" s="104" t="inlineStr">
        <is>
          <t>Battery</t>
        </is>
      </c>
      <c r="I223" s="104" t="n"/>
      <c r="J223" s="104" t="n"/>
      <c r="K223" s="104" t="n"/>
      <c r="L223" s="104" t="n"/>
      <c r="M223" s="104" t="n"/>
      <c r="N223" s="104" t="n"/>
      <c r="O223" s="104" t="n"/>
      <c r="P223" s="104" t="n"/>
      <c r="Q223" s="104" t="n"/>
      <c r="R223" s="104" t="n"/>
      <c r="S223" s="110" t="n"/>
      <c r="T223" s="110" t="n"/>
      <c r="U223" s="104" t="n"/>
    </row>
    <row r="224">
      <c r="A224" s="104" t="inlineStr">
        <is>
          <t>GUIDE000223</t>
        </is>
      </c>
      <c r="B224" s="101" t="inlineStr">
        <is>
          <t>DEV000015</t>
        </is>
      </c>
      <c r="C224" s="103" t="inlineStr">
        <is>
          <t>APL</t>
        </is>
      </c>
      <c r="D224" s="103" t="inlineStr">
        <is>
          <t>PHN</t>
        </is>
      </c>
      <c r="E224" s="60" t="inlineStr">
        <is>
          <t>iPhone 7 Plus</t>
        </is>
      </c>
      <c r="F224" s="104" t="inlineStr">
        <is>
          <t>SVC000007</t>
        </is>
      </c>
      <c r="G224" s="104" t="inlineStr">
        <is>
          <t>Battery Replacement</t>
        </is>
      </c>
      <c r="H224" s="104" t="inlineStr">
        <is>
          <t>Battery</t>
        </is>
      </c>
      <c r="I224" s="104" t="n"/>
      <c r="J224" s="104" t="n"/>
      <c r="K224" s="104" t="n"/>
      <c r="L224" s="104" t="n"/>
      <c r="M224" s="104" t="n"/>
      <c r="N224" s="104" t="n"/>
      <c r="O224" s="104" t="n"/>
      <c r="P224" s="104" t="n"/>
      <c r="Q224" s="104" t="n"/>
      <c r="R224" s="104" t="n"/>
      <c r="S224" s="110" t="n"/>
      <c r="T224" s="110" t="n"/>
      <c r="U224" s="104" t="n"/>
    </row>
    <row r="225">
      <c r="A225" s="104" t="inlineStr">
        <is>
          <t>GUIDE000224</t>
        </is>
      </c>
      <c r="B225" s="101" t="inlineStr">
        <is>
          <t>DEV000016</t>
        </is>
      </c>
      <c r="C225" s="103" t="inlineStr">
        <is>
          <t>APL</t>
        </is>
      </c>
      <c r="D225" s="103" t="inlineStr">
        <is>
          <t>PHN</t>
        </is>
      </c>
      <c r="E225" s="60" t="inlineStr">
        <is>
          <t>iPhone 8</t>
        </is>
      </c>
      <c r="F225" s="104" t="inlineStr">
        <is>
          <t>SVC000007</t>
        </is>
      </c>
      <c r="G225" s="104" t="inlineStr">
        <is>
          <t>Battery Replacement</t>
        </is>
      </c>
      <c r="H225" s="104" t="inlineStr">
        <is>
          <t>Battery</t>
        </is>
      </c>
      <c r="I225" s="104" t="n"/>
      <c r="J225" s="104" t="n"/>
      <c r="K225" s="104" t="n"/>
      <c r="L225" s="104" t="n"/>
      <c r="M225" s="104" t="n"/>
      <c r="N225" s="104" t="n"/>
      <c r="O225" s="104" t="n"/>
      <c r="P225" s="104" t="n"/>
      <c r="Q225" s="104" t="n"/>
      <c r="R225" s="104" t="n"/>
      <c r="S225" s="110" t="n"/>
      <c r="T225" s="110" t="n"/>
      <c r="U225" s="104" t="n"/>
    </row>
    <row r="226">
      <c r="A226" s="104" t="inlineStr">
        <is>
          <t>GUIDE000225</t>
        </is>
      </c>
      <c r="B226" s="101" t="inlineStr">
        <is>
          <t>DEV000017</t>
        </is>
      </c>
      <c r="C226" s="103" t="inlineStr">
        <is>
          <t>APL</t>
        </is>
      </c>
      <c r="D226" s="103" t="inlineStr">
        <is>
          <t>PHN</t>
        </is>
      </c>
      <c r="E226" s="60" t="inlineStr">
        <is>
          <t>iPhone 8 Plus</t>
        </is>
      </c>
      <c r="F226" s="104" t="inlineStr">
        <is>
          <t>SVC000007</t>
        </is>
      </c>
      <c r="G226" s="104" t="inlineStr">
        <is>
          <t>Battery Replacement</t>
        </is>
      </c>
      <c r="H226" s="104" t="inlineStr">
        <is>
          <t>Battery</t>
        </is>
      </c>
      <c r="I226" s="104" t="n"/>
      <c r="J226" s="104" t="n"/>
      <c r="K226" s="104" t="n"/>
      <c r="L226" s="104" t="n"/>
      <c r="M226" s="104" t="n"/>
      <c r="N226" s="104" t="n"/>
      <c r="O226" s="104" t="n"/>
      <c r="P226" s="104" t="n"/>
      <c r="Q226" s="104" t="n"/>
      <c r="R226" s="104" t="n"/>
      <c r="S226" s="110" t="n"/>
      <c r="T226" s="110" t="n"/>
      <c r="U226" s="104" t="n"/>
    </row>
    <row r="227">
      <c r="A227" s="104" t="inlineStr">
        <is>
          <t>GUIDE000226</t>
        </is>
      </c>
      <c r="B227" s="101" t="inlineStr">
        <is>
          <t>DEV000018</t>
        </is>
      </c>
      <c r="C227" s="103" t="inlineStr">
        <is>
          <t>APL</t>
        </is>
      </c>
      <c r="D227" s="103" t="inlineStr">
        <is>
          <t>PHN</t>
        </is>
      </c>
      <c r="E227" s="60" t="inlineStr">
        <is>
          <t>iPhone X</t>
        </is>
      </c>
      <c r="F227" s="104" t="inlineStr">
        <is>
          <t>SVC000007</t>
        </is>
      </c>
      <c r="G227" s="104" t="inlineStr">
        <is>
          <t>Battery Replacement</t>
        </is>
      </c>
      <c r="H227" s="104" t="inlineStr">
        <is>
          <t>Battery</t>
        </is>
      </c>
      <c r="I227" s="104" t="n"/>
      <c r="J227" s="104" t="n"/>
      <c r="K227" s="104" t="n"/>
      <c r="L227" s="104" t="n"/>
      <c r="M227" s="104" t="n"/>
      <c r="N227" s="104" t="n"/>
      <c r="O227" s="104" t="n"/>
      <c r="P227" s="104" t="n"/>
      <c r="Q227" s="104" t="n"/>
      <c r="R227" s="104" t="n"/>
      <c r="S227" s="110" t="n"/>
      <c r="T227" s="110" t="n"/>
      <c r="U227" s="104" t="n"/>
    </row>
    <row r="228">
      <c r="A228" s="105" t="inlineStr">
        <is>
          <t>GUIDE000227</t>
        </is>
      </c>
      <c r="B228" s="101" t="inlineStr">
        <is>
          <t>DEV000019</t>
        </is>
      </c>
      <c r="C228" s="103" t="inlineStr">
        <is>
          <t>APL</t>
        </is>
      </c>
      <c r="D228" s="103" t="inlineStr">
        <is>
          <t>PHN</t>
        </is>
      </c>
      <c r="E228" s="60" t="inlineStr">
        <is>
          <t>iPhone XR</t>
        </is>
      </c>
      <c r="F228" s="104" t="inlineStr">
        <is>
          <t>SVC000007</t>
        </is>
      </c>
      <c r="G228" s="104" t="inlineStr">
        <is>
          <t>Battery Replacement</t>
        </is>
      </c>
      <c r="H228" s="104" t="inlineStr">
        <is>
          <t>Battery</t>
        </is>
      </c>
      <c r="I228" s="104" t="n"/>
      <c r="J228" s="104" t="n"/>
      <c r="K228" s="104" t="n"/>
      <c r="L228" s="104" t="n"/>
      <c r="M228" s="104" t="n"/>
      <c r="N228" s="104" t="n"/>
      <c r="O228" s="104" t="n"/>
      <c r="P228" s="104" t="n"/>
      <c r="Q228" s="104" t="n"/>
      <c r="R228" s="104" t="n"/>
      <c r="S228" s="110" t="n"/>
      <c r="T228" s="110" t="n"/>
      <c r="U228" s="104" t="n"/>
    </row>
    <row r="229">
      <c r="A229" s="104" t="inlineStr">
        <is>
          <t>GUIDE000228</t>
        </is>
      </c>
      <c r="B229" s="101" t="inlineStr">
        <is>
          <t>DEV000020</t>
        </is>
      </c>
      <c r="C229" s="103" t="inlineStr">
        <is>
          <t>APL</t>
        </is>
      </c>
      <c r="D229" s="103" t="inlineStr">
        <is>
          <t>PHN</t>
        </is>
      </c>
      <c r="E229" s="60" t="inlineStr">
        <is>
          <t>iPhone XS</t>
        </is>
      </c>
      <c r="F229" s="104" t="inlineStr">
        <is>
          <t>SVC000007</t>
        </is>
      </c>
      <c r="G229" s="104" t="inlineStr">
        <is>
          <t>Battery Replacement</t>
        </is>
      </c>
      <c r="H229" s="104" t="inlineStr">
        <is>
          <t>Battery</t>
        </is>
      </c>
      <c r="I229" s="104" t="n"/>
      <c r="J229" s="104" t="n"/>
      <c r="K229" s="104" t="n"/>
      <c r="L229" s="104" t="n"/>
      <c r="M229" s="104" t="n"/>
      <c r="N229" s="104" t="n"/>
      <c r="O229" s="104" t="n"/>
      <c r="P229" s="104" t="n"/>
      <c r="Q229" s="104" t="n"/>
      <c r="R229" s="104" t="n"/>
      <c r="S229" s="110" t="n"/>
      <c r="T229" s="110" t="n"/>
      <c r="U229" s="104" t="n"/>
    </row>
    <row r="230">
      <c r="A230" s="104" t="inlineStr">
        <is>
          <t>GUIDE000229</t>
        </is>
      </c>
      <c r="B230" s="101" t="inlineStr">
        <is>
          <t>DEV000021</t>
        </is>
      </c>
      <c r="C230" s="103" t="inlineStr">
        <is>
          <t>APL</t>
        </is>
      </c>
      <c r="D230" s="103" t="inlineStr">
        <is>
          <t>PHN</t>
        </is>
      </c>
      <c r="E230" s="60" t="inlineStr">
        <is>
          <t>iPhone XS Max</t>
        </is>
      </c>
      <c r="F230" s="104" t="inlineStr">
        <is>
          <t>SVC000007</t>
        </is>
      </c>
      <c r="G230" s="104" t="inlineStr">
        <is>
          <t>Battery Replacement</t>
        </is>
      </c>
      <c r="H230" s="104" t="inlineStr">
        <is>
          <t>Battery</t>
        </is>
      </c>
      <c r="I230" s="104" t="n"/>
      <c r="J230" s="104" t="n"/>
      <c r="K230" s="104" t="n"/>
      <c r="L230" s="104" t="n"/>
      <c r="M230" s="104" t="n"/>
      <c r="N230" s="104" t="n"/>
      <c r="O230" s="104" t="n"/>
      <c r="P230" s="104" t="n"/>
      <c r="Q230" s="104" t="n"/>
      <c r="R230" s="104" t="n"/>
      <c r="S230" s="110" t="n"/>
      <c r="T230" s="110" t="n"/>
      <c r="U230" s="104" t="n"/>
    </row>
    <row r="231">
      <c r="A231" s="104" t="inlineStr">
        <is>
          <t>GUIDE000230</t>
        </is>
      </c>
      <c r="B231" s="101" t="inlineStr">
        <is>
          <t>DEV000022</t>
        </is>
      </c>
      <c r="C231" s="103" t="inlineStr">
        <is>
          <t>APL</t>
        </is>
      </c>
      <c r="D231" s="103" t="inlineStr">
        <is>
          <t>PHN</t>
        </is>
      </c>
      <c r="E231" s="60" t="inlineStr">
        <is>
          <t>iPhone 11</t>
        </is>
      </c>
      <c r="F231" s="104" t="inlineStr">
        <is>
          <t>SVC000007</t>
        </is>
      </c>
      <c r="G231" s="104" t="inlineStr">
        <is>
          <t>Battery Replacement</t>
        </is>
      </c>
      <c r="H231" s="104" t="inlineStr">
        <is>
          <t>Battery</t>
        </is>
      </c>
      <c r="I231" s="104" t="n"/>
      <c r="J231" s="104" t="n"/>
      <c r="K231" s="104" t="n"/>
      <c r="L231" s="104" t="n"/>
      <c r="M231" s="104" t="n"/>
      <c r="N231" s="104" t="n"/>
      <c r="O231" s="104" t="n"/>
      <c r="P231" s="104" t="n"/>
      <c r="Q231" s="104" t="n"/>
      <c r="R231" s="104" t="n"/>
      <c r="S231" s="110" t="n"/>
      <c r="T231" s="110" t="n"/>
      <c r="U231" s="104" t="n"/>
    </row>
    <row r="232">
      <c r="A232" s="105" t="inlineStr">
        <is>
          <t>GUIDE000231</t>
        </is>
      </c>
      <c r="B232" s="101" t="inlineStr">
        <is>
          <t>DEV000023</t>
        </is>
      </c>
      <c r="C232" s="103" t="inlineStr">
        <is>
          <t>APL</t>
        </is>
      </c>
      <c r="D232" s="103" t="inlineStr">
        <is>
          <t>PHN</t>
        </is>
      </c>
      <c r="E232" s="60" t="inlineStr">
        <is>
          <t>iPhone 11 Pro</t>
        </is>
      </c>
      <c r="F232" s="104" t="inlineStr">
        <is>
          <t>SVC000007</t>
        </is>
      </c>
      <c r="G232" s="104" t="inlineStr">
        <is>
          <t>Battery Replacement</t>
        </is>
      </c>
      <c r="H232" s="104" t="inlineStr">
        <is>
          <t>Battery</t>
        </is>
      </c>
      <c r="I232" s="104" t="n"/>
      <c r="J232" s="104" t="n"/>
      <c r="K232" s="104" t="n"/>
      <c r="L232" s="104" t="n"/>
      <c r="M232" s="104" t="n"/>
      <c r="N232" s="104" t="n"/>
      <c r="O232" s="104" t="n"/>
      <c r="P232" s="104" t="n"/>
      <c r="Q232" s="104" t="n"/>
      <c r="R232" s="104" t="n"/>
      <c r="S232" s="110" t="n"/>
      <c r="T232" s="110" t="n"/>
      <c r="U232" s="104" t="n"/>
    </row>
    <row r="233">
      <c r="A233" s="104" t="inlineStr">
        <is>
          <t>GUIDE000232</t>
        </is>
      </c>
      <c r="B233" s="101" t="inlineStr">
        <is>
          <t>DEV000024</t>
        </is>
      </c>
      <c r="C233" s="103" t="inlineStr">
        <is>
          <t>APL</t>
        </is>
      </c>
      <c r="D233" s="103" t="inlineStr">
        <is>
          <t>PHN</t>
        </is>
      </c>
      <c r="E233" s="60" t="inlineStr">
        <is>
          <t>iPhone 11 Pro Max</t>
        </is>
      </c>
      <c r="F233" s="104" t="inlineStr">
        <is>
          <t>SVC000007</t>
        </is>
      </c>
      <c r="G233" s="104" t="inlineStr">
        <is>
          <t>Battery Replacement</t>
        </is>
      </c>
      <c r="H233" s="104" t="inlineStr">
        <is>
          <t>Battery</t>
        </is>
      </c>
      <c r="I233" s="104" t="n"/>
      <c r="J233" s="104" t="n"/>
      <c r="K233" s="104" t="n"/>
      <c r="L233" s="104" t="n"/>
      <c r="M233" s="104" t="n"/>
      <c r="N233" s="104" t="n"/>
      <c r="O233" s="104" t="n"/>
      <c r="P233" s="104" t="n"/>
      <c r="Q233" s="104" t="n"/>
      <c r="R233" s="104" t="n"/>
      <c r="S233" s="110" t="n"/>
      <c r="T233" s="110" t="n"/>
      <c r="U233" s="104" t="n"/>
    </row>
    <row r="234">
      <c r="A234" s="104" t="inlineStr">
        <is>
          <t>GUIDE000233</t>
        </is>
      </c>
      <c r="B234" s="101" t="inlineStr">
        <is>
          <t>DEV000025</t>
        </is>
      </c>
      <c r="C234" s="103" t="inlineStr">
        <is>
          <t>APL</t>
        </is>
      </c>
      <c r="D234" s="103" t="inlineStr">
        <is>
          <t>PHN</t>
        </is>
      </c>
      <c r="E234" s="60" t="inlineStr">
        <is>
          <t>iPhone SE (2nd Generation)</t>
        </is>
      </c>
      <c r="F234" s="104" t="inlineStr">
        <is>
          <t>SVC000007</t>
        </is>
      </c>
      <c r="G234" s="104" t="inlineStr">
        <is>
          <t>Battery Replacement</t>
        </is>
      </c>
      <c r="H234" s="104" t="inlineStr">
        <is>
          <t>Battery</t>
        </is>
      </c>
      <c r="I234" s="104" t="n"/>
      <c r="J234" s="104" t="n"/>
      <c r="K234" s="104" t="n"/>
      <c r="L234" s="104" t="n"/>
      <c r="M234" s="104" t="n"/>
      <c r="N234" s="104" t="n"/>
      <c r="O234" s="104" t="n"/>
      <c r="P234" s="104" t="n"/>
      <c r="Q234" s="104" t="n"/>
      <c r="R234" s="104" t="n"/>
      <c r="S234" s="110" t="n"/>
      <c r="T234" s="110" t="n"/>
      <c r="U234" s="104" t="n"/>
    </row>
    <row r="235">
      <c r="A235" s="104" t="inlineStr">
        <is>
          <t>GUIDE000234</t>
        </is>
      </c>
      <c r="B235" s="101" t="inlineStr">
        <is>
          <t>DEV000026</t>
        </is>
      </c>
      <c r="C235" s="103" t="inlineStr">
        <is>
          <t>APL</t>
        </is>
      </c>
      <c r="D235" s="103" t="inlineStr">
        <is>
          <t>PHN</t>
        </is>
      </c>
      <c r="E235" s="60" t="inlineStr">
        <is>
          <t>iPhone 12 mini</t>
        </is>
      </c>
      <c r="F235" s="104" t="inlineStr">
        <is>
          <t>SVC000007</t>
        </is>
      </c>
      <c r="G235" s="104" t="inlineStr">
        <is>
          <t>Battery Replacement</t>
        </is>
      </c>
      <c r="H235" s="104" t="inlineStr">
        <is>
          <t>Battery</t>
        </is>
      </c>
      <c r="I235" s="104" t="n"/>
      <c r="J235" s="104" t="n"/>
      <c r="K235" s="104" t="n"/>
      <c r="L235" s="104" t="n"/>
      <c r="M235" s="104" t="n"/>
      <c r="N235" s="104" t="n"/>
      <c r="O235" s="104" t="n"/>
      <c r="P235" s="104" t="n"/>
      <c r="Q235" s="104" t="n"/>
      <c r="R235" s="104" t="n"/>
      <c r="S235" s="110" t="n"/>
      <c r="T235" s="110" t="n"/>
      <c r="U235" s="104" t="n"/>
    </row>
    <row r="236">
      <c r="A236" s="104" t="inlineStr">
        <is>
          <t>GUIDE000235</t>
        </is>
      </c>
      <c r="B236" s="101" t="inlineStr">
        <is>
          <t>DEV000027</t>
        </is>
      </c>
      <c r="C236" s="103" t="inlineStr">
        <is>
          <t>APL</t>
        </is>
      </c>
      <c r="D236" s="103" t="inlineStr">
        <is>
          <t>PHN</t>
        </is>
      </c>
      <c r="E236" s="60" t="inlineStr">
        <is>
          <t>iPhone 12</t>
        </is>
      </c>
      <c r="F236" s="104" t="inlineStr">
        <is>
          <t>SVC000007</t>
        </is>
      </c>
      <c r="G236" s="104" t="inlineStr">
        <is>
          <t>Battery Replacement</t>
        </is>
      </c>
      <c r="H236" s="104" t="inlineStr">
        <is>
          <t>Battery</t>
        </is>
      </c>
      <c r="I236" s="104" t="n"/>
      <c r="J236" s="104" t="n"/>
      <c r="K236" s="104" t="n"/>
      <c r="L236" s="104" t="n"/>
      <c r="M236" s="104" t="n"/>
      <c r="N236" s="104" t="n"/>
      <c r="O236" s="104" t="n"/>
      <c r="P236" s="104" t="n"/>
      <c r="Q236" s="104" t="n"/>
      <c r="R236" s="104" t="n"/>
      <c r="S236" s="110" t="n"/>
      <c r="T236" s="110" t="n"/>
      <c r="U236" s="104" t="n"/>
    </row>
    <row r="237">
      <c r="A237" s="105" t="inlineStr">
        <is>
          <t>GUIDE000236</t>
        </is>
      </c>
      <c r="B237" s="101" t="inlineStr">
        <is>
          <t>DEV000028</t>
        </is>
      </c>
      <c r="C237" s="103" t="inlineStr">
        <is>
          <t>APL</t>
        </is>
      </c>
      <c r="D237" s="103" t="inlineStr">
        <is>
          <t>PHN</t>
        </is>
      </c>
      <c r="E237" s="60" t="inlineStr">
        <is>
          <t>iPhone 12 Pro</t>
        </is>
      </c>
      <c r="F237" s="104" t="inlineStr">
        <is>
          <t>SVC000007</t>
        </is>
      </c>
      <c r="G237" s="104" t="inlineStr">
        <is>
          <t>Battery Replacement</t>
        </is>
      </c>
      <c r="H237" s="104" t="inlineStr">
        <is>
          <t>Battery</t>
        </is>
      </c>
      <c r="I237" s="104" t="n"/>
      <c r="J237" s="104" t="n"/>
      <c r="K237" s="104" t="n"/>
      <c r="L237" s="104" t="n"/>
      <c r="M237" s="104" t="n"/>
      <c r="N237" s="104" t="n"/>
      <c r="O237" s="104" t="n"/>
      <c r="P237" s="104" t="n"/>
      <c r="Q237" s="104" t="n"/>
      <c r="R237" s="104" t="n"/>
      <c r="S237" s="110" t="n"/>
      <c r="T237" s="110" t="n"/>
      <c r="U237" s="104" t="n"/>
    </row>
    <row r="238">
      <c r="A238" s="104" t="inlineStr">
        <is>
          <t>GUIDE000237</t>
        </is>
      </c>
      <c r="B238" s="101" t="inlineStr">
        <is>
          <t>DEV000029</t>
        </is>
      </c>
      <c r="C238" s="103" t="inlineStr">
        <is>
          <t>APL</t>
        </is>
      </c>
      <c r="D238" s="103" t="inlineStr">
        <is>
          <t>PHN</t>
        </is>
      </c>
      <c r="E238" s="60" t="inlineStr">
        <is>
          <t>iPhone 12 Pro Max</t>
        </is>
      </c>
      <c r="F238" s="104" t="inlineStr">
        <is>
          <t>SVC000007</t>
        </is>
      </c>
      <c r="G238" s="104" t="inlineStr">
        <is>
          <t>Battery Replacement</t>
        </is>
      </c>
      <c r="H238" s="104" t="inlineStr">
        <is>
          <t>Battery</t>
        </is>
      </c>
      <c r="I238" s="104" t="n"/>
      <c r="J238" s="104" t="n"/>
      <c r="K238" s="104" t="n"/>
      <c r="L238" s="104" t="n"/>
      <c r="M238" s="104" t="n"/>
      <c r="N238" s="104" t="n"/>
      <c r="O238" s="104" t="n"/>
      <c r="P238" s="104" t="n"/>
      <c r="Q238" s="104" t="n"/>
      <c r="R238" s="104" t="n"/>
      <c r="S238" s="110" t="n"/>
      <c r="T238" s="110" t="n"/>
      <c r="U238" s="104" t="n"/>
    </row>
    <row r="239">
      <c r="A239" s="104" t="inlineStr">
        <is>
          <t>GUIDE000238</t>
        </is>
      </c>
      <c r="B239" s="101" t="inlineStr">
        <is>
          <t>DEV000030</t>
        </is>
      </c>
      <c r="C239" s="103" t="inlineStr">
        <is>
          <t>APL</t>
        </is>
      </c>
      <c r="D239" s="103" t="inlineStr">
        <is>
          <t>PHN</t>
        </is>
      </c>
      <c r="E239" s="60" t="inlineStr">
        <is>
          <t>iPhone 13 mini</t>
        </is>
      </c>
      <c r="F239" s="104" t="inlineStr">
        <is>
          <t>SVC000007</t>
        </is>
      </c>
      <c r="G239" s="104" t="inlineStr">
        <is>
          <t>Battery Replacement</t>
        </is>
      </c>
      <c r="H239" s="104" t="inlineStr">
        <is>
          <t>Battery</t>
        </is>
      </c>
      <c r="I239" s="104" t="n"/>
      <c r="J239" s="104" t="n"/>
      <c r="K239" s="104" t="n"/>
      <c r="L239" s="104" t="n"/>
      <c r="M239" s="104" t="n"/>
      <c r="N239" s="104" t="n"/>
      <c r="O239" s="104" t="n"/>
      <c r="P239" s="104" t="n"/>
      <c r="Q239" s="104" t="n"/>
      <c r="R239" s="104" t="n"/>
      <c r="S239" s="110" t="n"/>
      <c r="T239" s="110" t="n"/>
      <c r="U239" s="104" t="n"/>
    </row>
    <row r="240">
      <c r="A240" s="104" t="inlineStr">
        <is>
          <t>GUIDE000239</t>
        </is>
      </c>
      <c r="B240" s="101" t="inlineStr">
        <is>
          <t>DEV000031</t>
        </is>
      </c>
      <c r="C240" s="103" t="inlineStr">
        <is>
          <t>APL</t>
        </is>
      </c>
      <c r="D240" s="103" t="inlineStr">
        <is>
          <t>PHN</t>
        </is>
      </c>
      <c r="E240" s="60" t="inlineStr">
        <is>
          <t>iPhone 13</t>
        </is>
      </c>
      <c r="F240" s="104" t="inlineStr">
        <is>
          <t>SVC000007</t>
        </is>
      </c>
      <c r="G240" s="104" t="inlineStr">
        <is>
          <t>Battery Replacement</t>
        </is>
      </c>
      <c r="H240" s="104" t="inlineStr">
        <is>
          <t>Battery</t>
        </is>
      </c>
      <c r="I240" s="104" t="n"/>
      <c r="J240" s="104" t="n"/>
      <c r="K240" s="104" t="n"/>
      <c r="L240" s="104" t="n"/>
      <c r="M240" s="104" t="n"/>
      <c r="N240" s="104" t="n"/>
      <c r="O240" s="104" t="n"/>
      <c r="P240" s="104" t="n"/>
      <c r="Q240" s="104" t="n"/>
      <c r="R240" s="104" t="n"/>
      <c r="S240" s="110" t="n"/>
      <c r="T240" s="110" t="n"/>
      <c r="U240" s="104" t="n"/>
    </row>
    <row r="241">
      <c r="A241" s="105" t="inlineStr">
        <is>
          <t>GUIDE000240</t>
        </is>
      </c>
      <c r="B241" s="101" t="inlineStr">
        <is>
          <t>DEV000032</t>
        </is>
      </c>
      <c r="C241" s="103" t="inlineStr">
        <is>
          <t>APL</t>
        </is>
      </c>
      <c r="D241" s="103" t="inlineStr">
        <is>
          <t>PHN</t>
        </is>
      </c>
      <c r="E241" s="60" t="inlineStr">
        <is>
          <t>iPhone 13 Pro</t>
        </is>
      </c>
      <c r="F241" s="104" t="inlineStr">
        <is>
          <t>SVC000007</t>
        </is>
      </c>
      <c r="G241" s="104" t="inlineStr">
        <is>
          <t>Battery Replacement</t>
        </is>
      </c>
      <c r="H241" s="104" t="inlineStr">
        <is>
          <t>Battery</t>
        </is>
      </c>
      <c r="I241" s="104" t="n"/>
      <c r="J241" s="104" t="n"/>
      <c r="K241" s="104" t="n"/>
      <c r="L241" s="104" t="n"/>
      <c r="M241" s="104" t="n"/>
      <c r="N241" s="104" t="n"/>
      <c r="O241" s="104" t="n"/>
      <c r="P241" s="104" t="n"/>
      <c r="Q241" s="104" t="n"/>
      <c r="R241" s="104" t="n"/>
      <c r="S241" s="110" t="n"/>
      <c r="T241" s="110" t="n"/>
      <c r="U241" s="104" t="n"/>
    </row>
    <row r="242">
      <c r="A242" s="104" t="inlineStr">
        <is>
          <t>GUIDE000241</t>
        </is>
      </c>
      <c r="B242" s="101" t="inlineStr">
        <is>
          <t>DEV000033</t>
        </is>
      </c>
      <c r="C242" s="103" t="inlineStr">
        <is>
          <t>APL</t>
        </is>
      </c>
      <c r="D242" s="103" t="inlineStr">
        <is>
          <t>PHN</t>
        </is>
      </c>
      <c r="E242" s="60" t="inlineStr">
        <is>
          <t>iPhone 13 Pro Max</t>
        </is>
      </c>
      <c r="F242" s="104" t="inlineStr">
        <is>
          <t>SVC000007</t>
        </is>
      </c>
      <c r="G242" s="104" t="inlineStr">
        <is>
          <t>Battery Replacement</t>
        </is>
      </c>
      <c r="H242" s="104" t="inlineStr">
        <is>
          <t>Battery</t>
        </is>
      </c>
      <c r="I242" s="104" t="n"/>
      <c r="J242" s="104" t="n"/>
      <c r="K242" s="104" t="n"/>
      <c r="L242" s="104" t="n"/>
      <c r="M242" s="104" t="n"/>
      <c r="N242" s="104" t="n"/>
      <c r="O242" s="104" t="n"/>
      <c r="P242" s="104" t="n"/>
      <c r="Q242" s="104" t="n"/>
      <c r="R242" s="104" t="n"/>
      <c r="S242" s="110" t="n"/>
      <c r="T242" s="110" t="n"/>
      <c r="U242" s="104" t="n"/>
    </row>
    <row r="243">
      <c r="A243" s="104" t="inlineStr">
        <is>
          <t>GUIDE000242</t>
        </is>
      </c>
      <c r="B243" s="101" t="inlineStr">
        <is>
          <t>DEV000034</t>
        </is>
      </c>
      <c r="C243" s="103" t="inlineStr">
        <is>
          <t>APL</t>
        </is>
      </c>
      <c r="D243" s="103" t="inlineStr">
        <is>
          <t>PHN</t>
        </is>
      </c>
      <c r="E243" s="60" t="inlineStr">
        <is>
          <t>iPhone SE (3rd Generation)</t>
        </is>
      </c>
      <c r="F243" s="104" t="inlineStr">
        <is>
          <t>SVC000007</t>
        </is>
      </c>
      <c r="G243" s="104" t="inlineStr">
        <is>
          <t>Battery Replacement</t>
        </is>
      </c>
      <c r="H243" s="104" t="inlineStr">
        <is>
          <t>Battery</t>
        </is>
      </c>
      <c r="I243" s="104" t="n"/>
      <c r="J243" s="104" t="n"/>
      <c r="K243" s="104" t="n"/>
      <c r="L243" s="104" t="n"/>
      <c r="M243" s="104" t="n"/>
      <c r="N243" s="104" t="n"/>
      <c r="O243" s="104" t="n"/>
      <c r="P243" s="104" t="n"/>
      <c r="Q243" s="104" t="n"/>
      <c r="R243" s="104" t="n"/>
      <c r="S243" s="110" t="n"/>
      <c r="T243" s="110" t="n"/>
      <c r="U243" s="104" t="n"/>
    </row>
    <row r="244">
      <c r="A244" s="104" t="inlineStr">
        <is>
          <t>GUIDE000243</t>
        </is>
      </c>
      <c r="B244" s="101" t="inlineStr">
        <is>
          <t>DEV000035</t>
        </is>
      </c>
      <c r="C244" s="103" t="inlineStr">
        <is>
          <t>APL</t>
        </is>
      </c>
      <c r="D244" s="103" t="inlineStr">
        <is>
          <t>PHN</t>
        </is>
      </c>
      <c r="E244" s="60" t="inlineStr">
        <is>
          <t>iPhone 14</t>
        </is>
      </c>
      <c r="F244" s="104" t="inlineStr">
        <is>
          <t>SVC000007</t>
        </is>
      </c>
      <c r="G244" s="104" t="inlineStr">
        <is>
          <t>Battery Replacement</t>
        </is>
      </c>
      <c r="H244" s="104" t="inlineStr">
        <is>
          <t>Battery</t>
        </is>
      </c>
      <c r="I244" s="104" t="n"/>
      <c r="J244" s="104" t="n"/>
      <c r="K244" s="104" t="n"/>
      <c r="L244" s="104" t="n"/>
      <c r="M244" s="104" t="n"/>
      <c r="N244" s="104" t="n"/>
      <c r="O244" s="104" t="n"/>
      <c r="P244" s="104" t="n"/>
      <c r="Q244" s="104" t="n"/>
      <c r="R244" s="104" t="n"/>
      <c r="S244" s="110" t="n"/>
      <c r="T244" s="110" t="n"/>
      <c r="U244" s="104" t="n"/>
    </row>
    <row r="245">
      <c r="A245" s="104" t="inlineStr">
        <is>
          <t>GUIDE000244</t>
        </is>
      </c>
      <c r="B245" s="101" t="inlineStr">
        <is>
          <t>DEV000036</t>
        </is>
      </c>
      <c r="C245" s="103" t="inlineStr">
        <is>
          <t>APL</t>
        </is>
      </c>
      <c r="D245" s="103" t="inlineStr">
        <is>
          <t>PHN</t>
        </is>
      </c>
      <c r="E245" s="60" t="inlineStr">
        <is>
          <t>iPhone 14 Plus</t>
        </is>
      </c>
      <c r="F245" s="104" t="inlineStr">
        <is>
          <t>SVC000007</t>
        </is>
      </c>
      <c r="G245" s="104" t="inlineStr">
        <is>
          <t>Battery Replacement</t>
        </is>
      </c>
      <c r="H245" s="104" t="inlineStr">
        <is>
          <t>Battery</t>
        </is>
      </c>
      <c r="I245" s="104" t="n"/>
      <c r="J245" s="104" t="n"/>
      <c r="K245" s="104" t="n"/>
      <c r="L245" s="104" t="n"/>
      <c r="M245" s="104" t="n"/>
      <c r="N245" s="104" t="n"/>
      <c r="O245" s="104" t="n"/>
      <c r="P245" s="104" t="n"/>
      <c r="Q245" s="104" t="n"/>
      <c r="R245" s="104" t="n"/>
      <c r="S245" s="110" t="n"/>
      <c r="T245" s="110" t="n"/>
      <c r="U245" s="104" t="n"/>
    </row>
    <row r="246">
      <c r="A246" s="105" t="inlineStr">
        <is>
          <t>GUIDE000245</t>
        </is>
      </c>
      <c r="B246" s="101" t="inlineStr">
        <is>
          <t>DEV000037</t>
        </is>
      </c>
      <c r="C246" s="103" t="inlineStr">
        <is>
          <t>APL</t>
        </is>
      </c>
      <c r="D246" s="103" t="inlineStr">
        <is>
          <t>PHN</t>
        </is>
      </c>
      <c r="E246" s="60" t="inlineStr">
        <is>
          <t>iPhone 14 Pro</t>
        </is>
      </c>
      <c r="F246" s="104" t="inlineStr">
        <is>
          <t>SVC000007</t>
        </is>
      </c>
      <c r="G246" s="104" t="inlineStr">
        <is>
          <t>Battery Replacement</t>
        </is>
      </c>
      <c r="H246" s="104" t="inlineStr">
        <is>
          <t>Battery</t>
        </is>
      </c>
      <c r="I246" s="104" t="n"/>
      <c r="J246" s="104" t="n"/>
      <c r="K246" s="104" t="n"/>
      <c r="L246" s="104" t="n"/>
      <c r="M246" s="104" t="n"/>
      <c r="N246" s="104" t="n"/>
      <c r="O246" s="104" t="n"/>
      <c r="P246" s="104" t="n"/>
      <c r="Q246" s="104" t="n"/>
      <c r="R246" s="104" t="n"/>
      <c r="S246" s="110" t="n"/>
      <c r="T246" s="110" t="n"/>
      <c r="U246" s="104" t="n"/>
    </row>
    <row r="247">
      <c r="A247" s="104" t="inlineStr">
        <is>
          <t>GUIDE000246</t>
        </is>
      </c>
      <c r="B247" s="101" t="inlineStr">
        <is>
          <t>DEV000038</t>
        </is>
      </c>
      <c r="C247" s="103" t="inlineStr">
        <is>
          <t>APL</t>
        </is>
      </c>
      <c r="D247" s="103" t="inlineStr">
        <is>
          <t>PHN</t>
        </is>
      </c>
      <c r="E247" s="60" t="inlineStr">
        <is>
          <t>iPhone 14 Pro Max</t>
        </is>
      </c>
      <c r="F247" s="104" t="inlineStr">
        <is>
          <t>SVC000007</t>
        </is>
      </c>
      <c r="G247" s="104" t="inlineStr">
        <is>
          <t>Battery Replacement</t>
        </is>
      </c>
      <c r="H247" s="104" t="inlineStr">
        <is>
          <t>Battery</t>
        </is>
      </c>
      <c r="I247" s="104" t="n"/>
      <c r="J247" s="104" t="n"/>
      <c r="K247" s="104" t="n"/>
      <c r="L247" s="104" t="n"/>
      <c r="M247" s="104" t="n"/>
      <c r="N247" s="104" t="n"/>
      <c r="O247" s="104" t="n"/>
      <c r="P247" s="104" t="n"/>
      <c r="Q247" s="104" t="n"/>
      <c r="R247" s="104" t="n"/>
      <c r="S247" s="110" t="n"/>
      <c r="T247" s="110" t="n"/>
      <c r="U247" s="104" t="n"/>
    </row>
    <row r="248">
      <c r="A248" s="104" t="inlineStr">
        <is>
          <t>GUIDE000247</t>
        </is>
      </c>
      <c r="B248" s="101" t="inlineStr">
        <is>
          <t>DEV000039</t>
        </is>
      </c>
      <c r="C248" s="103" t="inlineStr">
        <is>
          <t>APL</t>
        </is>
      </c>
      <c r="D248" s="103" t="inlineStr">
        <is>
          <t>PHN</t>
        </is>
      </c>
      <c r="E248" s="60" t="inlineStr">
        <is>
          <t>iPhone 15</t>
        </is>
      </c>
      <c r="F248" s="104" t="inlineStr">
        <is>
          <t>SVC000007</t>
        </is>
      </c>
      <c r="G248" s="104" t="inlineStr">
        <is>
          <t>Battery Replacement</t>
        </is>
      </c>
      <c r="H248" s="104" t="inlineStr">
        <is>
          <t>Battery</t>
        </is>
      </c>
      <c r="I248" s="104" t="n"/>
      <c r="J248" s="104" t="n"/>
      <c r="K248" s="104" t="n"/>
      <c r="L248" s="104" t="n"/>
      <c r="M248" s="104" t="n"/>
      <c r="N248" s="104" t="n"/>
      <c r="O248" s="104" t="n"/>
      <c r="P248" s="104" t="n"/>
      <c r="Q248" s="104" t="n"/>
      <c r="R248" s="104" t="n"/>
      <c r="S248" s="110" t="n"/>
      <c r="T248" s="110" t="n"/>
      <c r="U248" s="104" t="n"/>
    </row>
    <row r="249">
      <c r="A249" s="104" t="inlineStr">
        <is>
          <t>GUIDE000248</t>
        </is>
      </c>
      <c r="B249" s="101" t="inlineStr">
        <is>
          <t>DEV000040</t>
        </is>
      </c>
      <c r="C249" s="103" t="inlineStr">
        <is>
          <t>APL</t>
        </is>
      </c>
      <c r="D249" s="103" t="inlineStr">
        <is>
          <t>PHN</t>
        </is>
      </c>
      <c r="E249" s="60" t="inlineStr">
        <is>
          <t>iPhone 15 Plus</t>
        </is>
      </c>
      <c r="F249" s="104" t="inlineStr">
        <is>
          <t>SVC000007</t>
        </is>
      </c>
      <c r="G249" s="104" t="inlineStr">
        <is>
          <t>Battery Replacement</t>
        </is>
      </c>
      <c r="H249" s="104" t="inlineStr">
        <is>
          <t>Battery</t>
        </is>
      </c>
      <c r="I249" s="104" t="n"/>
      <c r="J249" s="104" t="n"/>
      <c r="K249" s="104" t="n"/>
      <c r="L249" s="104" t="n"/>
      <c r="M249" s="104" t="n"/>
      <c r="N249" s="104" t="n"/>
      <c r="O249" s="104" t="n"/>
      <c r="P249" s="104" t="n"/>
      <c r="Q249" s="104" t="n"/>
      <c r="R249" s="104" t="n"/>
      <c r="S249" s="110" t="n"/>
      <c r="T249" s="110" t="n"/>
      <c r="U249" s="104" t="n"/>
    </row>
    <row r="250">
      <c r="A250" s="105" t="inlineStr">
        <is>
          <t>GUIDE000249</t>
        </is>
      </c>
      <c r="B250" s="101" t="inlineStr">
        <is>
          <t>DEV000041</t>
        </is>
      </c>
      <c r="C250" s="103" t="inlineStr">
        <is>
          <t>APL</t>
        </is>
      </c>
      <c r="D250" s="103" t="inlineStr">
        <is>
          <t>PHN</t>
        </is>
      </c>
      <c r="E250" s="60" t="inlineStr">
        <is>
          <t>iPhone 15 Pro</t>
        </is>
      </c>
      <c r="F250" s="104" t="inlineStr">
        <is>
          <t>SVC000007</t>
        </is>
      </c>
      <c r="G250" s="104" t="inlineStr">
        <is>
          <t>Battery Replacement</t>
        </is>
      </c>
      <c r="H250" s="104" t="inlineStr">
        <is>
          <t>Battery</t>
        </is>
      </c>
      <c r="I250" s="104" t="n"/>
      <c r="J250" s="104" t="n"/>
      <c r="K250" s="104" t="n"/>
      <c r="L250" s="104" t="n"/>
      <c r="M250" s="104" t="n"/>
      <c r="N250" s="104" t="n"/>
      <c r="O250" s="104" t="n"/>
      <c r="P250" s="104" t="n"/>
      <c r="Q250" s="104" t="n"/>
      <c r="R250" s="104" t="n"/>
      <c r="S250" s="110" t="n"/>
      <c r="T250" s="110" t="n"/>
      <c r="U250" s="104" t="n"/>
    </row>
    <row r="251">
      <c r="A251" s="104" t="inlineStr">
        <is>
          <t>GUIDE000250</t>
        </is>
      </c>
      <c r="B251" s="101" t="inlineStr">
        <is>
          <t>DEV000042</t>
        </is>
      </c>
      <c r="C251" s="103" t="inlineStr">
        <is>
          <t>APL</t>
        </is>
      </c>
      <c r="D251" s="103" t="inlineStr">
        <is>
          <t>PHN</t>
        </is>
      </c>
      <c r="E251" s="60" t="inlineStr">
        <is>
          <t>iPhone 15 Pro Max</t>
        </is>
      </c>
      <c r="F251" s="104" t="inlineStr">
        <is>
          <t>SVC000007</t>
        </is>
      </c>
      <c r="G251" s="104" t="inlineStr">
        <is>
          <t>Battery Replacement</t>
        </is>
      </c>
      <c r="H251" s="104" t="inlineStr">
        <is>
          <t>Battery</t>
        </is>
      </c>
      <c r="I251" s="104" t="n"/>
      <c r="J251" s="104" t="n"/>
      <c r="K251" s="104" t="n"/>
      <c r="L251" s="104" t="n"/>
      <c r="M251" s="104" t="n"/>
      <c r="N251" s="104" t="n"/>
      <c r="O251" s="104" t="n"/>
      <c r="P251" s="104" t="n"/>
      <c r="Q251" s="104" t="n"/>
      <c r="R251" s="104" t="n"/>
      <c r="S251" s="110" t="n"/>
      <c r="T251" s="110" t="n"/>
      <c r="U251" s="104" t="n"/>
    </row>
    <row r="252">
      <c r="A252" s="104" t="inlineStr">
        <is>
          <t>GUIDE000251</t>
        </is>
      </c>
      <c r="B252" s="101" t="inlineStr">
        <is>
          <t>DEV000043</t>
        </is>
      </c>
      <c r="C252" s="103" t="inlineStr">
        <is>
          <t>APL</t>
        </is>
      </c>
      <c r="D252" s="103" t="inlineStr">
        <is>
          <t>PHN</t>
        </is>
      </c>
      <c r="E252" s="60" t="inlineStr">
        <is>
          <t>iPhone 16</t>
        </is>
      </c>
      <c r="F252" s="104" t="inlineStr">
        <is>
          <t>SVC000007</t>
        </is>
      </c>
      <c r="G252" s="104" t="inlineStr">
        <is>
          <t>Battery Replacement</t>
        </is>
      </c>
      <c r="H252" s="104" t="inlineStr">
        <is>
          <t>Battery</t>
        </is>
      </c>
      <c r="I252" s="104" t="n"/>
      <c r="J252" s="104" t="n"/>
      <c r="K252" s="104" t="n"/>
      <c r="L252" s="104" t="n"/>
      <c r="M252" s="104" t="n"/>
      <c r="N252" s="104" t="n"/>
      <c r="O252" s="104" t="n"/>
      <c r="P252" s="104" t="n"/>
      <c r="Q252" s="104" t="n"/>
      <c r="R252" s="104" t="n"/>
      <c r="S252" s="110" t="n"/>
      <c r="T252" s="110" t="n"/>
      <c r="U252" s="104" t="n"/>
    </row>
    <row r="253">
      <c r="A253" s="104" t="inlineStr">
        <is>
          <t>GUIDE000252</t>
        </is>
      </c>
      <c r="B253" s="101" t="inlineStr">
        <is>
          <t>DEV000044</t>
        </is>
      </c>
      <c r="C253" s="103" t="inlineStr">
        <is>
          <t>APL</t>
        </is>
      </c>
      <c r="D253" s="103" t="inlineStr">
        <is>
          <t>PHN</t>
        </is>
      </c>
      <c r="E253" s="60" t="inlineStr">
        <is>
          <t>iPhone 16 Plus</t>
        </is>
      </c>
      <c r="F253" s="104" t="inlineStr">
        <is>
          <t>SVC000007</t>
        </is>
      </c>
      <c r="G253" s="104" t="inlineStr">
        <is>
          <t>Battery Replacement</t>
        </is>
      </c>
      <c r="H253" s="104" t="inlineStr">
        <is>
          <t>Battery</t>
        </is>
      </c>
      <c r="I253" s="104" t="n"/>
      <c r="J253" s="104" t="n"/>
      <c r="K253" s="104" t="n"/>
      <c r="L253" s="104" t="n"/>
      <c r="M253" s="104" t="n"/>
      <c r="N253" s="104" t="n"/>
      <c r="O253" s="104" t="n"/>
      <c r="P253" s="104" t="n"/>
      <c r="Q253" s="104" t="n"/>
      <c r="R253" s="104" t="n"/>
      <c r="S253" s="110" t="n"/>
      <c r="T253" s="110" t="n"/>
      <c r="U253" s="104" t="n"/>
    </row>
    <row r="254">
      <c r="A254" s="104" t="inlineStr">
        <is>
          <t>GUIDE000253</t>
        </is>
      </c>
      <c r="B254" s="101" t="inlineStr">
        <is>
          <t>DEV000045</t>
        </is>
      </c>
      <c r="C254" s="103" t="inlineStr">
        <is>
          <t>APL</t>
        </is>
      </c>
      <c r="D254" s="103" t="inlineStr">
        <is>
          <t>PHN</t>
        </is>
      </c>
      <c r="E254" s="60" t="inlineStr">
        <is>
          <t>iPhone 16 Pro</t>
        </is>
      </c>
      <c r="F254" s="104" t="inlineStr">
        <is>
          <t>SVC000007</t>
        </is>
      </c>
      <c r="G254" s="104" t="inlineStr">
        <is>
          <t>Battery Replacement</t>
        </is>
      </c>
      <c r="H254" s="104" t="inlineStr">
        <is>
          <t>Battery</t>
        </is>
      </c>
      <c r="I254" s="104" t="n"/>
      <c r="J254" s="104" t="n"/>
      <c r="K254" s="104" t="n"/>
      <c r="L254" s="104" t="n"/>
      <c r="M254" s="104" t="n"/>
      <c r="N254" s="104" t="n"/>
      <c r="O254" s="104" t="n"/>
      <c r="P254" s="104" t="n"/>
      <c r="Q254" s="104" t="n"/>
      <c r="R254" s="104" t="n"/>
      <c r="S254" s="110" t="n"/>
      <c r="T254" s="110" t="n"/>
      <c r="U254" s="104" t="n"/>
    </row>
    <row r="255">
      <c r="A255" s="105" t="inlineStr">
        <is>
          <t>GUIDE000254</t>
        </is>
      </c>
      <c r="B255" s="101" t="inlineStr">
        <is>
          <t>DEV000046</t>
        </is>
      </c>
      <c r="C255" s="103" t="inlineStr">
        <is>
          <t>APL</t>
        </is>
      </c>
      <c r="D255" s="103" t="inlineStr">
        <is>
          <t>PHN</t>
        </is>
      </c>
      <c r="E255" s="60" t="inlineStr">
        <is>
          <t>iPhone 16 Pro Max</t>
        </is>
      </c>
      <c r="F255" s="104" t="inlineStr">
        <is>
          <t>SVC000007</t>
        </is>
      </c>
      <c r="G255" s="104" t="inlineStr">
        <is>
          <t>Battery Replacement</t>
        </is>
      </c>
      <c r="H255" s="104" t="inlineStr">
        <is>
          <t>Battery</t>
        </is>
      </c>
      <c r="I255" s="104" t="n"/>
      <c r="J255" s="104" t="n"/>
      <c r="K255" s="104" t="n"/>
      <c r="L255" s="104" t="n"/>
      <c r="M255" s="104" t="n"/>
      <c r="N255" s="104" t="n"/>
      <c r="O255" s="104" t="n"/>
      <c r="P255" s="104" t="n"/>
      <c r="Q255" s="104" t="n"/>
      <c r="R255" s="104" t="n"/>
      <c r="S255" s="110" t="n"/>
      <c r="T255" s="110" t="n"/>
      <c r="U255" s="104" t="n"/>
    </row>
    <row r="256">
      <c r="A256" s="104" t="inlineStr">
        <is>
          <t>GUIDE000255</t>
        </is>
      </c>
      <c r="B256" s="101" t="inlineStr">
        <is>
          <t>DEV000047</t>
        </is>
      </c>
      <c r="C256" s="103" t="inlineStr">
        <is>
          <t>APL</t>
        </is>
      </c>
      <c r="D256" s="103" t="inlineStr">
        <is>
          <t>PHN</t>
        </is>
      </c>
      <c r="E256" s="60" t="inlineStr">
        <is>
          <t>iPhone 16e</t>
        </is>
      </c>
      <c r="F256" s="104" t="inlineStr">
        <is>
          <t>SVC000007</t>
        </is>
      </c>
      <c r="G256" s="104" t="inlineStr">
        <is>
          <t>Battery Replacement</t>
        </is>
      </c>
      <c r="H256" s="104" t="inlineStr">
        <is>
          <t>Battery</t>
        </is>
      </c>
      <c r="I256" s="104" t="n"/>
      <c r="J256" s="104" t="n"/>
      <c r="K256" s="104" t="n"/>
      <c r="L256" s="104" t="n"/>
      <c r="M256" s="104" t="n"/>
      <c r="N256" s="104" t="n"/>
      <c r="O256" s="104" t="n"/>
      <c r="P256" s="104" t="n"/>
      <c r="Q256" s="104" t="n"/>
      <c r="R256" s="104" t="n"/>
      <c r="S256" s="110" t="n"/>
      <c r="T256" s="110" t="n"/>
      <c r="U256" s="104" t="n"/>
    </row>
    <row r="257">
      <c r="A257" s="104" t="inlineStr">
        <is>
          <t>GUIDE000256</t>
        </is>
      </c>
      <c r="B257" s="101" t="inlineStr">
        <is>
          <t>DEV000048</t>
        </is>
      </c>
      <c r="C257" s="103" t="inlineStr">
        <is>
          <t>APL</t>
        </is>
      </c>
      <c r="D257" s="103" t="inlineStr">
        <is>
          <t>PHN</t>
        </is>
      </c>
      <c r="E257" s="60" t="inlineStr">
        <is>
          <t>iPhone 17</t>
        </is>
      </c>
      <c r="F257" s="104" t="inlineStr">
        <is>
          <t>SVC000007</t>
        </is>
      </c>
      <c r="G257" s="104" t="inlineStr">
        <is>
          <t>Battery Replacement</t>
        </is>
      </c>
      <c r="H257" s="104" t="inlineStr">
        <is>
          <t>Battery</t>
        </is>
      </c>
      <c r="I257" s="104" t="n"/>
      <c r="J257" s="104" t="n"/>
      <c r="K257" s="104" t="n"/>
      <c r="L257" s="104" t="n"/>
      <c r="M257" s="104" t="n"/>
      <c r="N257" s="104" t="n"/>
      <c r="O257" s="104" t="n"/>
      <c r="P257" s="104" t="n"/>
      <c r="Q257" s="104" t="n"/>
      <c r="R257" s="104" t="n"/>
      <c r="S257" s="110" t="n"/>
      <c r="T257" s="110" t="n"/>
      <c r="U257" s="104" t="n"/>
    </row>
    <row r="258">
      <c r="A258" s="104" t="inlineStr">
        <is>
          <t>GUIDE000257</t>
        </is>
      </c>
      <c r="B258" s="101" t="inlineStr">
        <is>
          <t>DEV000049</t>
        </is>
      </c>
      <c r="C258" s="103" t="inlineStr">
        <is>
          <t>APL</t>
        </is>
      </c>
      <c r="D258" s="103" t="inlineStr">
        <is>
          <t>PHN</t>
        </is>
      </c>
      <c r="E258" s="60" t="inlineStr">
        <is>
          <t>iPhone 17 Pro</t>
        </is>
      </c>
      <c r="F258" s="104" t="inlineStr">
        <is>
          <t>SVC000007</t>
        </is>
      </c>
      <c r="G258" s="104" t="inlineStr">
        <is>
          <t>Battery Replacement</t>
        </is>
      </c>
      <c r="H258" s="104" t="inlineStr">
        <is>
          <t>Battery</t>
        </is>
      </c>
      <c r="I258" s="104" t="n"/>
      <c r="J258" s="104" t="n"/>
      <c r="K258" s="104" t="n"/>
      <c r="L258" s="104" t="n"/>
      <c r="M258" s="104" t="n"/>
      <c r="N258" s="104" t="n"/>
      <c r="O258" s="104" t="n"/>
      <c r="P258" s="104" t="n"/>
      <c r="Q258" s="104" t="n"/>
      <c r="R258" s="104" t="n"/>
      <c r="S258" s="110" t="n"/>
      <c r="T258" s="110" t="n"/>
      <c r="U258" s="104" t="n"/>
    </row>
    <row r="259">
      <c r="A259" s="105" t="inlineStr">
        <is>
          <t>GUIDE000258</t>
        </is>
      </c>
      <c r="B259" s="101" t="inlineStr">
        <is>
          <t>DEV000050</t>
        </is>
      </c>
      <c r="C259" s="103" t="inlineStr">
        <is>
          <t>APL</t>
        </is>
      </c>
      <c r="D259" s="103" t="inlineStr">
        <is>
          <t>PHN</t>
        </is>
      </c>
      <c r="E259" s="60" t="inlineStr">
        <is>
          <t>iPhone 17 Pro Max</t>
        </is>
      </c>
      <c r="F259" s="104" t="inlineStr">
        <is>
          <t>SVC000007</t>
        </is>
      </c>
      <c r="G259" s="104" t="inlineStr">
        <is>
          <t>Battery Replacement</t>
        </is>
      </c>
      <c r="H259" s="104" t="inlineStr">
        <is>
          <t>Battery</t>
        </is>
      </c>
      <c r="I259" s="104" t="n"/>
      <c r="J259" s="104" t="n"/>
      <c r="K259" s="104" t="n"/>
      <c r="L259" s="104" t="n"/>
      <c r="M259" s="104" t="n"/>
      <c r="N259" s="104" t="n"/>
      <c r="O259" s="104" t="n"/>
      <c r="P259" s="104" t="n"/>
      <c r="Q259" s="104" t="n"/>
      <c r="R259" s="104" t="n"/>
      <c r="S259" s="110" t="n"/>
      <c r="T259" s="110" t="n"/>
      <c r="U259" s="104" t="n"/>
    </row>
    <row r="260">
      <c r="A260" s="104" t="inlineStr">
        <is>
          <t>GUIDE000259</t>
        </is>
      </c>
      <c r="B260" s="101" t="inlineStr">
        <is>
          <t>DEV000051</t>
        </is>
      </c>
      <c r="C260" s="103" t="inlineStr">
        <is>
          <t>APL</t>
        </is>
      </c>
      <c r="D260" s="103" t="inlineStr">
        <is>
          <t>PHN</t>
        </is>
      </c>
      <c r="E260" s="60" t="inlineStr">
        <is>
          <t>iPhone Air</t>
        </is>
      </c>
      <c r="F260" s="104" t="inlineStr">
        <is>
          <t>SVC000007</t>
        </is>
      </c>
      <c r="G260" s="104" t="inlineStr">
        <is>
          <t>Battery Replacement</t>
        </is>
      </c>
      <c r="H260" s="104" t="inlineStr">
        <is>
          <t>Battery</t>
        </is>
      </c>
      <c r="I260" s="104" t="n"/>
      <c r="J260" s="104" t="n"/>
      <c r="K260" s="104" t="n"/>
      <c r="L260" s="104" t="n"/>
      <c r="M260" s="104" t="n"/>
      <c r="N260" s="104" t="n"/>
      <c r="O260" s="104" t="n"/>
      <c r="P260" s="104" t="n"/>
      <c r="Q260" s="104" t="n"/>
      <c r="R260" s="104" t="n"/>
      <c r="S260" s="110" t="n"/>
      <c r="T260" s="110" t="n"/>
      <c r="U260" s="104" t="n"/>
    </row>
    <row r="261">
      <c r="A261" s="104" t="inlineStr">
        <is>
          <t>GUIDE000260</t>
        </is>
      </c>
      <c r="B261" s="101" t="inlineStr">
        <is>
          <t>DEV000052</t>
        </is>
      </c>
      <c r="C261" s="103" t="inlineStr">
        <is>
          <t>APL</t>
        </is>
      </c>
      <c r="D261" s="103" t="inlineStr">
        <is>
          <t>PHN</t>
        </is>
      </c>
      <c r="E261" s="60" t="inlineStr">
        <is>
          <t>iPhone 17e</t>
        </is>
      </c>
      <c r="F261" s="104" t="inlineStr">
        <is>
          <t>SVC000007</t>
        </is>
      </c>
      <c r="G261" s="104" t="inlineStr">
        <is>
          <t>Battery Replacement</t>
        </is>
      </c>
      <c r="H261" s="104" t="inlineStr">
        <is>
          <t>Battery</t>
        </is>
      </c>
      <c r="I261" s="104" t="n"/>
      <c r="J261" s="104" t="n"/>
      <c r="K261" s="104" t="n"/>
      <c r="L261" s="104" t="n"/>
      <c r="M261" s="104" t="n"/>
      <c r="N261" s="104" t="n"/>
      <c r="O261" s="104" t="n"/>
      <c r="P261" s="104" t="n"/>
      <c r="Q261" s="104" t="n"/>
      <c r="R261" s="104" t="n"/>
      <c r="S261" s="110" t="n"/>
      <c r="T261" s="110" t="n"/>
      <c r="U261" s="104" t="n"/>
    </row>
    <row r="262">
      <c r="A262" s="104" t="inlineStr">
        <is>
          <t>GUIDE000261</t>
        </is>
      </c>
      <c r="B262" s="101" t="inlineStr">
        <is>
          <t>DEV000001</t>
        </is>
      </c>
      <c r="C262" s="103" t="inlineStr">
        <is>
          <t>APL</t>
        </is>
      </c>
      <c r="D262" s="103" t="inlineStr">
        <is>
          <t>PHN</t>
        </is>
      </c>
      <c r="E262" s="60" t="inlineStr">
        <is>
          <t>iPhone (2G)</t>
        </is>
      </c>
      <c r="F262" s="104" t="inlineStr">
        <is>
          <t>SVC000008</t>
        </is>
      </c>
      <c r="G262" s="104" t="inlineStr">
        <is>
          <t>Battery Diagnostic</t>
        </is>
      </c>
      <c r="H262" s="104" t="inlineStr">
        <is>
          <t>Battery</t>
        </is>
      </c>
      <c r="I262" s="104" t="n"/>
      <c r="J262" s="104" t="n"/>
      <c r="K262" s="104" t="n"/>
      <c r="L262" s="104" t="n"/>
      <c r="M262" s="104" t="n"/>
      <c r="N262" s="104" t="n"/>
      <c r="O262" s="104" t="n"/>
      <c r="P262" s="104" t="n"/>
      <c r="Q262" s="104" t="n"/>
      <c r="R262" s="104" t="n"/>
      <c r="S262" s="110" t="n"/>
      <c r="T262" s="110" t="n"/>
      <c r="U262" s="104" t="n"/>
    </row>
    <row r="263">
      <c r="A263" s="104" t="inlineStr">
        <is>
          <t>GUIDE000262</t>
        </is>
      </c>
      <c r="B263" s="101" t="inlineStr">
        <is>
          <t>DEV000002</t>
        </is>
      </c>
      <c r="C263" s="103" t="inlineStr">
        <is>
          <t>APL</t>
        </is>
      </c>
      <c r="D263" s="103" t="inlineStr">
        <is>
          <t>PHN</t>
        </is>
      </c>
      <c r="E263" s="60" t="inlineStr">
        <is>
          <t>iPhone 3G</t>
        </is>
      </c>
      <c r="F263" s="104" t="inlineStr">
        <is>
          <t>SVC000008</t>
        </is>
      </c>
      <c r="G263" s="104" t="inlineStr">
        <is>
          <t>Battery Diagnostic</t>
        </is>
      </c>
      <c r="H263" s="104" t="inlineStr">
        <is>
          <t>Battery</t>
        </is>
      </c>
      <c r="I263" s="104" t="n"/>
      <c r="J263" s="104" t="n"/>
      <c r="K263" s="104" t="n"/>
      <c r="L263" s="104" t="n"/>
      <c r="M263" s="104" t="n"/>
      <c r="N263" s="104" t="n"/>
      <c r="O263" s="104" t="n"/>
      <c r="P263" s="104" t="n"/>
      <c r="Q263" s="104" t="n"/>
      <c r="R263" s="104" t="n"/>
      <c r="S263" s="110" t="n"/>
      <c r="T263" s="110" t="n"/>
      <c r="U263" s="104" t="n"/>
    </row>
    <row r="264">
      <c r="A264" s="105" t="inlineStr">
        <is>
          <t>GUIDE000263</t>
        </is>
      </c>
      <c r="B264" s="101" t="inlineStr">
        <is>
          <t>DEV000003</t>
        </is>
      </c>
      <c r="C264" s="103" t="inlineStr">
        <is>
          <t>APL</t>
        </is>
      </c>
      <c r="D264" s="103" t="inlineStr">
        <is>
          <t>PHN</t>
        </is>
      </c>
      <c r="E264" s="60" t="inlineStr">
        <is>
          <t>iPhone 3GS</t>
        </is>
      </c>
      <c r="F264" s="104" t="inlineStr">
        <is>
          <t>SVC000008</t>
        </is>
      </c>
      <c r="G264" s="104" t="inlineStr">
        <is>
          <t>Battery Diagnostic</t>
        </is>
      </c>
      <c r="H264" s="104" t="inlineStr">
        <is>
          <t>Battery</t>
        </is>
      </c>
      <c r="I264" s="104" t="n"/>
      <c r="J264" s="104" t="n"/>
      <c r="K264" s="104" t="n"/>
      <c r="L264" s="104" t="n"/>
      <c r="M264" s="104" t="n"/>
      <c r="N264" s="104" t="n"/>
      <c r="O264" s="104" t="n"/>
      <c r="P264" s="104" t="n"/>
      <c r="Q264" s="104" t="n"/>
      <c r="R264" s="104" t="n"/>
      <c r="S264" s="110" t="n"/>
      <c r="T264" s="110" t="n"/>
      <c r="U264" s="104" t="n"/>
    </row>
    <row r="265">
      <c r="A265" s="104" t="inlineStr">
        <is>
          <t>GUIDE000264</t>
        </is>
      </c>
      <c r="B265" s="101" t="inlineStr">
        <is>
          <t>DEV000004</t>
        </is>
      </c>
      <c r="C265" s="103" t="inlineStr">
        <is>
          <t>APL</t>
        </is>
      </c>
      <c r="D265" s="103" t="inlineStr">
        <is>
          <t>PHN</t>
        </is>
      </c>
      <c r="E265" s="60" t="inlineStr">
        <is>
          <t>iPhone 4</t>
        </is>
      </c>
      <c r="F265" s="104" t="inlineStr">
        <is>
          <t>SVC000008</t>
        </is>
      </c>
      <c r="G265" s="104" t="inlineStr">
        <is>
          <t>Battery Diagnostic</t>
        </is>
      </c>
      <c r="H265" s="104" t="inlineStr">
        <is>
          <t>Battery</t>
        </is>
      </c>
      <c r="I265" s="104" t="n"/>
      <c r="J265" s="104" t="n"/>
      <c r="K265" s="104" t="n"/>
      <c r="L265" s="104" t="n"/>
      <c r="M265" s="104" t="n"/>
      <c r="N265" s="104" t="n"/>
      <c r="O265" s="104" t="n"/>
      <c r="P265" s="104" t="n"/>
      <c r="Q265" s="104" t="n"/>
      <c r="R265" s="104" t="n"/>
      <c r="S265" s="110" t="n"/>
      <c r="T265" s="110" t="n"/>
      <c r="U265" s="104" t="n"/>
    </row>
    <row r="266">
      <c r="A266" s="104" t="inlineStr">
        <is>
          <t>GUIDE000265</t>
        </is>
      </c>
      <c r="B266" s="101" t="inlineStr">
        <is>
          <t>DEV000005</t>
        </is>
      </c>
      <c r="C266" s="103" t="inlineStr">
        <is>
          <t>APL</t>
        </is>
      </c>
      <c r="D266" s="103" t="inlineStr">
        <is>
          <t>PHN</t>
        </is>
      </c>
      <c r="E266" s="60" t="inlineStr">
        <is>
          <t>iPhone 4s</t>
        </is>
      </c>
      <c r="F266" s="104" t="inlineStr">
        <is>
          <t>SVC000008</t>
        </is>
      </c>
      <c r="G266" s="104" t="inlineStr">
        <is>
          <t>Battery Diagnostic</t>
        </is>
      </c>
      <c r="H266" s="104" t="inlineStr">
        <is>
          <t>Battery</t>
        </is>
      </c>
      <c r="I266" s="104" t="n"/>
      <c r="J266" s="104" t="n"/>
      <c r="K266" s="104" t="n"/>
      <c r="L266" s="104" t="n"/>
      <c r="M266" s="104" t="n"/>
      <c r="N266" s="104" t="n"/>
      <c r="O266" s="104" t="n"/>
      <c r="P266" s="104" t="n"/>
      <c r="Q266" s="104" t="n"/>
      <c r="R266" s="104" t="n"/>
      <c r="S266" s="110" t="n"/>
      <c r="T266" s="110" t="n"/>
      <c r="U266" s="104" t="n"/>
    </row>
    <row r="267">
      <c r="A267" s="104" t="inlineStr">
        <is>
          <t>GUIDE000266</t>
        </is>
      </c>
      <c r="B267" s="101" t="inlineStr">
        <is>
          <t>DEV000006</t>
        </is>
      </c>
      <c r="C267" s="103" t="inlineStr">
        <is>
          <t>APL</t>
        </is>
      </c>
      <c r="D267" s="103" t="inlineStr">
        <is>
          <t>PHN</t>
        </is>
      </c>
      <c r="E267" s="60" t="inlineStr">
        <is>
          <t>iPhone 5</t>
        </is>
      </c>
      <c r="F267" s="104" t="inlineStr">
        <is>
          <t>SVC000008</t>
        </is>
      </c>
      <c r="G267" s="104" t="inlineStr">
        <is>
          <t>Battery Diagnostic</t>
        </is>
      </c>
      <c r="H267" s="104" t="inlineStr">
        <is>
          <t>Battery</t>
        </is>
      </c>
      <c r="I267" s="104" t="n"/>
      <c r="J267" s="104" t="n"/>
      <c r="K267" s="104" t="n"/>
      <c r="L267" s="104" t="n"/>
      <c r="M267" s="104" t="n"/>
      <c r="N267" s="104" t="n"/>
      <c r="O267" s="104" t="n"/>
      <c r="P267" s="104" t="n"/>
      <c r="Q267" s="104" t="n"/>
      <c r="R267" s="104" t="n"/>
      <c r="S267" s="110" t="n"/>
      <c r="T267" s="110" t="n"/>
      <c r="U267" s="104" t="n"/>
    </row>
    <row r="268">
      <c r="A268" s="105" t="inlineStr">
        <is>
          <t>GUIDE000267</t>
        </is>
      </c>
      <c r="B268" s="101" t="inlineStr">
        <is>
          <t>DEV000007</t>
        </is>
      </c>
      <c r="C268" s="103" t="inlineStr">
        <is>
          <t>APL</t>
        </is>
      </c>
      <c r="D268" s="103" t="inlineStr">
        <is>
          <t>PHN</t>
        </is>
      </c>
      <c r="E268" s="60" t="inlineStr">
        <is>
          <t>iPhone 5c</t>
        </is>
      </c>
      <c r="F268" s="104" t="inlineStr">
        <is>
          <t>SVC000008</t>
        </is>
      </c>
      <c r="G268" s="104" t="inlineStr">
        <is>
          <t>Battery Diagnostic</t>
        </is>
      </c>
      <c r="H268" s="104" t="inlineStr">
        <is>
          <t>Battery</t>
        </is>
      </c>
      <c r="I268" s="104" t="n"/>
      <c r="J268" s="104" t="n"/>
      <c r="K268" s="104" t="n"/>
      <c r="L268" s="104" t="n"/>
      <c r="M268" s="104" t="n"/>
      <c r="N268" s="104" t="n"/>
      <c r="O268" s="104" t="n"/>
      <c r="P268" s="104" t="n"/>
      <c r="Q268" s="104" t="n"/>
      <c r="R268" s="104" t="n"/>
      <c r="S268" s="110" t="n"/>
      <c r="T268" s="110" t="n"/>
      <c r="U268" s="104" t="n"/>
    </row>
    <row r="269">
      <c r="A269" s="104" t="inlineStr">
        <is>
          <t>GUIDE000268</t>
        </is>
      </c>
      <c r="B269" s="101" t="inlineStr">
        <is>
          <t>DEV000008</t>
        </is>
      </c>
      <c r="C269" s="103" t="inlineStr">
        <is>
          <t>APL</t>
        </is>
      </c>
      <c r="D269" s="103" t="inlineStr">
        <is>
          <t>PHN</t>
        </is>
      </c>
      <c r="E269" s="60" t="inlineStr">
        <is>
          <t>iPhone 5s</t>
        </is>
      </c>
      <c r="F269" s="104" t="inlineStr">
        <is>
          <t>SVC000008</t>
        </is>
      </c>
      <c r="G269" s="104" t="inlineStr">
        <is>
          <t>Battery Diagnostic</t>
        </is>
      </c>
      <c r="H269" s="104" t="inlineStr">
        <is>
          <t>Battery</t>
        </is>
      </c>
      <c r="I269" s="104" t="n"/>
      <c r="J269" s="104" t="n"/>
      <c r="K269" s="104" t="n"/>
      <c r="L269" s="104" t="n"/>
      <c r="M269" s="104" t="n"/>
      <c r="N269" s="104" t="n"/>
      <c r="O269" s="104" t="n"/>
      <c r="P269" s="104" t="n"/>
      <c r="Q269" s="104" t="n"/>
      <c r="R269" s="104" t="n"/>
      <c r="S269" s="110" t="n"/>
      <c r="T269" s="110" t="n"/>
      <c r="U269" s="104" t="n"/>
    </row>
    <row r="270">
      <c r="A270" s="104" t="inlineStr">
        <is>
          <t>GUIDE000269</t>
        </is>
      </c>
      <c r="B270" s="101" t="inlineStr">
        <is>
          <t>DEV000009</t>
        </is>
      </c>
      <c r="C270" s="103" t="inlineStr">
        <is>
          <t>APL</t>
        </is>
      </c>
      <c r="D270" s="103" t="inlineStr">
        <is>
          <t>PHN</t>
        </is>
      </c>
      <c r="E270" s="60" t="inlineStr">
        <is>
          <t>iPhone 6</t>
        </is>
      </c>
      <c r="F270" s="104" t="inlineStr">
        <is>
          <t>SVC000008</t>
        </is>
      </c>
      <c r="G270" s="104" t="inlineStr">
        <is>
          <t>Battery Diagnostic</t>
        </is>
      </c>
      <c r="H270" s="104" t="inlineStr">
        <is>
          <t>Battery</t>
        </is>
      </c>
      <c r="I270" s="104" t="n"/>
      <c r="J270" s="104" t="n"/>
      <c r="K270" s="104" t="n"/>
      <c r="L270" s="104" t="n"/>
      <c r="M270" s="104" t="n"/>
      <c r="N270" s="104" t="n"/>
      <c r="O270" s="104" t="n"/>
      <c r="P270" s="104" t="n"/>
      <c r="Q270" s="104" t="n"/>
      <c r="R270" s="104" t="n"/>
      <c r="S270" s="110" t="n"/>
      <c r="T270" s="110" t="n"/>
      <c r="U270" s="104" t="n"/>
    </row>
    <row r="271">
      <c r="A271" s="104" t="inlineStr">
        <is>
          <t>GUIDE000270</t>
        </is>
      </c>
      <c r="B271" s="101" t="inlineStr">
        <is>
          <t>DEV000010</t>
        </is>
      </c>
      <c r="C271" s="103" t="inlineStr">
        <is>
          <t>APL</t>
        </is>
      </c>
      <c r="D271" s="103" t="inlineStr">
        <is>
          <t>PHN</t>
        </is>
      </c>
      <c r="E271" s="60" t="inlineStr">
        <is>
          <t>iPhone 6 Plus</t>
        </is>
      </c>
      <c r="F271" s="104" t="inlineStr">
        <is>
          <t>SVC000008</t>
        </is>
      </c>
      <c r="G271" s="104" t="inlineStr">
        <is>
          <t>Battery Diagnostic</t>
        </is>
      </c>
      <c r="H271" s="104" t="inlineStr">
        <is>
          <t>Battery</t>
        </is>
      </c>
      <c r="I271" s="104" t="n"/>
      <c r="J271" s="104" t="n"/>
      <c r="K271" s="104" t="n"/>
      <c r="L271" s="104" t="n"/>
      <c r="M271" s="104" t="n"/>
      <c r="N271" s="104" t="n"/>
      <c r="O271" s="104" t="n"/>
      <c r="P271" s="104" t="n"/>
      <c r="Q271" s="104" t="n"/>
      <c r="R271" s="104" t="n"/>
      <c r="S271" s="110" t="n"/>
      <c r="T271" s="110" t="n"/>
      <c r="U271" s="104" t="n"/>
    </row>
    <row r="272">
      <c r="A272" s="104" t="inlineStr">
        <is>
          <t>GUIDE000271</t>
        </is>
      </c>
      <c r="B272" s="101" t="inlineStr">
        <is>
          <t>DEV000011</t>
        </is>
      </c>
      <c r="C272" s="103" t="inlineStr">
        <is>
          <t>APL</t>
        </is>
      </c>
      <c r="D272" s="103" t="inlineStr">
        <is>
          <t>PHN</t>
        </is>
      </c>
      <c r="E272" s="60" t="inlineStr">
        <is>
          <t>iPhone 6s</t>
        </is>
      </c>
      <c r="F272" s="104" t="inlineStr">
        <is>
          <t>SVC000008</t>
        </is>
      </c>
      <c r="G272" s="104" t="inlineStr">
        <is>
          <t>Battery Diagnostic</t>
        </is>
      </c>
      <c r="H272" s="104" t="inlineStr">
        <is>
          <t>Battery</t>
        </is>
      </c>
      <c r="I272" s="104" t="n"/>
      <c r="J272" s="104" t="n"/>
      <c r="K272" s="104" t="n"/>
      <c r="L272" s="104" t="n"/>
      <c r="M272" s="104" t="n"/>
      <c r="N272" s="104" t="n"/>
      <c r="O272" s="104" t="n"/>
      <c r="P272" s="104" t="n"/>
      <c r="Q272" s="104" t="n"/>
      <c r="R272" s="104" t="n"/>
      <c r="S272" s="110" t="n"/>
      <c r="T272" s="110" t="n"/>
      <c r="U272" s="104" t="n"/>
    </row>
    <row r="273">
      <c r="A273" s="105" t="inlineStr">
        <is>
          <t>GUIDE000272</t>
        </is>
      </c>
      <c r="B273" s="101" t="inlineStr">
        <is>
          <t>DEV000012</t>
        </is>
      </c>
      <c r="C273" s="103" t="inlineStr">
        <is>
          <t>APL</t>
        </is>
      </c>
      <c r="D273" s="103" t="inlineStr">
        <is>
          <t>PHN</t>
        </is>
      </c>
      <c r="E273" s="60" t="inlineStr">
        <is>
          <t>iPhone 6s Plus</t>
        </is>
      </c>
      <c r="F273" s="104" t="inlineStr">
        <is>
          <t>SVC000008</t>
        </is>
      </c>
      <c r="G273" s="104" t="inlineStr">
        <is>
          <t>Battery Diagnostic</t>
        </is>
      </c>
      <c r="H273" s="104" t="inlineStr">
        <is>
          <t>Battery</t>
        </is>
      </c>
      <c r="I273" s="104" t="n"/>
      <c r="J273" s="104" t="n"/>
      <c r="K273" s="104" t="n"/>
      <c r="L273" s="104" t="n"/>
      <c r="M273" s="104" t="n"/>
      <c r="N273" s="104" t="n"/>
      <c r="O273" s="104" t="n"/>
      <c r="P273" s="104" t="n"/>
      <c r="Q273" s="104" t="n"/>
      <c r="R273" s="104" t="n"/>
      <c r="S273" s="110" t="n"/>
      <c r="T273" s="110" t="n"/>
      <c r="U273" s="104" t="n"/>
    </row>
    <row r="274">
      <c r="A274" s="104" t="inlineStr">
        <is>
          <t>GUIDE000273</t>
        </is>
      </c>
      <c r="B274" s="101" t="inlineStr">
        <is>
          <t>DEV000013</t>
        </is>
      </c>
      <c r="C274" s="103" t="inlineStr">
        <is>
          <t>APL</t>
        </is>
      </c>
      <c r="D274" s="103" t="inlineStr">
        <is>
          <t>PHN</t>
        </is>
      </c>
      <c r="E274" s="60" t="inlineStr">
        <is>
          <t>iPhone SE (1st Gen)</t>
        </is>
      </c>
      <c r="F274" s="104" t="inlineStr">
        <is>
          <t>SVC000008</t>
        </is>
      </c>
      <c r="G274" s="104" t="inlineStr">
        <is>
          <t>Battery Diagnostic</t>
        </is>
      </c>
      <c r="H274" s="104" t="inlineStr">
        <is>
          <t>Battery</t>
        </is>
      </c>
      <c r="I274" s="104" t="n"/>
      <c r="J274" s="104" t="n"/>
      <c r="K274" s="104" t="n"/>
      <c r="L274" s="104" t="n"/>
      <c r="M274" s="104" t="n"/>
      <c r="N274" s="104" t="n"/>
      <c r="O274" s="104" t="n"/>
      <c r="P274" s="104" t="n"/>
      <c r="Q274" s="104" t="n"/>
      <c r="R274" s="104" t="n"/>
      <c r="S274" s="110" t="n"/>
      <c r="T274" s="110" t="n"/>
      <c r="U274" s="104" t="n"/>
    </row>
    <row r="275">
      <c r="A275" s="104" t="inlineStr">
        <is>
          <t>GUIDE000274</t>
        </is>
      </c>
      <c r="B275" s="101" t="inlineStr">
        <is>
          <t>DEV000014</t>
        </is>
      </c>
      <c r="C275" s="103" t="inlineStr">
        <is>
          <t>APL</t>
        </is>
      </c>
      <c r="D275" s="103" t="inlineStr">
        <is>
          <t>PHN</t>
        </is>
      </c>
      <c r="E275" s="60" t="inlineStr">
        <is>
          <t>iPhone 7</t>
        </is>
      </c>
      <c r="F275" s="104" t="inlineStr">
        <is>
          <t>SVC000008</t>
        </is>
      </c>
      <c r="G275" s="104" t="inlineStr">
        <is>
          <t>Battery Diagnostic</t>
        </is>
      </c>
      <c r="H275" s="104" t="inlineStr">
        <is>
          <t>Battery</t>
        </is>
      </c>
      <c r="I275" s="104" t="n"/>
      <c r="J275" s="104" t="n"/>
      <c r="K275" s="104" t="n"/>
      <c r="L275" s="104" t="n"/>
      <c r="M275" s="104" t="n"/>
      <c r="N275" s="104" t="n"/>
      <c r="O275" s="104" t="n"/>
      <c r="P275" s="104" t="n"/>
      <c r="Q275" s="104" t="n"/>
      <c r="R275" s="104" t="n"/>
      <c r="S275" s="110" t="n"/>
      <c r="T275" s="110" t="n"/>
      <c r="U275" s="104" t="n"/>
    </row>
    <row r="276">
      <c r="A276" s="104" t="inlineStr">
        <is>
          <t>GUIDE000275</t>
        </is>
      </c>
      <c r="B276" s="101" t="inlineStr">
        <is>
          <t>DEV000015</t>
        </is>
      </c>
      <c r="C276" s="103" t="inlineStr">
        <is>
          <t>APL</t>
        </is>
      </c>
      <c r="D276" s="103" t="inlineStr">
        <is>
          <t>PHN</t>
        </is>
      </c>
      <c r="E276" s="60" t="inlineStr">
        <is>
          <t>iPhone 7 Plus</t>
        </is>
      </c>
      <c r="F276" s="104" t="inlineStr">
        <is>
          <t>SVC000008</t>
        </is>
      </c>
      <c r="G276" s="104" t="inlineStr">
        <is>
          <t>Battery Diagnostic</t>
        </is>
      </c>
      <c r="H276" s="104" t="inlineStr">
        <is>
          <t>Battery</t>
        </is>
      </c>
      <c r="I276" s="104" t="n"/>
      <c r="J276" s="104" t="n"/>
      <c r="K276" s="104" t="n"/>
      <c r="L276" s="104" t="n"/>
      <c r="M276" s="104" t="n"/>
      <c r="N276" s="104" t="n"/>
      <c r="O276" s="104" t="n"/>
      <c r="P276" s="104" t="n"/>
      <c r="Q276" s="104" t="n"/>
      <c r="R276" s="104" t="n"/>
      <c r="S276" s="110" t="n"/>
      <c r="T276" s="110" t="n"/>
      <c r="U276" s="104" t="n"/>
    </row>
    <row r="277">
      <c r="A277" s="105" t="inlineStr">
        <is>
          <t>GUIDE000276</t>
        </is>
      </c>
      <c r="B277" s="101" t="inlineStr">
        <is>
          <t>DEV000016</t>
        </is>
      </c>
      <c r="C277" s="103" t="inlineStr">
        <is>
          <t>APL</t>
        </is>
      </c>
      <c r="D277" s="103" t="inlineStr">
        <is>
          <t>PHN</t>
        </is>
      </c>
      <c r="E277" s="60" t="inlineStr">
        <is>
          <t>iPhone 8</t>
        </is>
      </c>
      <c r="F277" s="104" t="inlineStr">
        <is>
          <t>SVC000008</t>
        </is>
      </c>
      <c r="G277" s="104" t="inlineStr">
        <is>
          <t>Battery Diagnostic</t>
        </is>
      </c>
      <c r="H277" s="104" t="inlineStr">
        <is>
          <t>Battery</t>
        </is>
      </c>
      <c r="I277" s="104" t="n"/>
      <c r="J277" s="104" t="n"/>
      <c r="K277" s="104" t="n"/>
      <c r="L277" s="104" t="n"/>
      <c r="M277" s="104" t="n"/>
      <c r="N277" s="104" t="n"/>
      <c r="O277" s="104" t="n"/>
      <c r="P277" s="104" t="n"/>
      <c r="Q277" s="104" t="n"/>
      <c r="R277" s="104" t="n"/>
      <c r="S277" s="110" t="n"/>
      <c r="T277" s="110" t="n"/>
      <c r="U277" s="104" t="n"/>
    </row>
    <row r="278">
      <c r="A278" s="104" t="inlineStr">
        <is>
          <t>GUIDE000277</t>
        </is>
      </c>
      <c r="B278" s="101" t="inlineStr">
        <is>
          <t>DEV000017</t>
        </is>
      </c>
      <c r="C278" s="103" t="inlineStr">
        <is>
          <t>APL</t>
        </is>
      </c>
      <c r="D278" s="103" t="inlineStr">
        <is>
          <t>PHN</t>
        </is>
      </c>
      <c r="E278" s="60" t="inlineStr">
        <is>
          <t>iPhone 8 Plus</t>
        </is>
      </c>
      <c r="F278" s="104" t="inlineStr">
        <is>
          <t>SVC000008</t>
        </is>
      </c>
      <c r="G278" s="104" t="inlineStr">
        <is>
          <t>Battery Diagnostic</t>
        </is>
      </c>
      <c r="H278" s="104" t="inlineStr">
        <is>
          <t>Battery</t>
        </is>
      </c>
      <c r="I278" s="104" t="n"/>
      <c r="J278" s="104" t="n"/>
      <c r="K278" s="104" t="n"/>
      <c r="L278" s="104" t="n"/>
      <c r="M278" s="104" t="n"/>
      <c r="N278" s="104" t="n"/>
      <c r="O278" s="104" t="n"/>
      <c r="P278" s="104" t="n"/>
      <c r="Q278" s="104" t="n"/>
      <c r="R278" s="104" t="n"/>
      <c r="S278" s="110" t="n"/>
      <c r="T278" s="110" t="n"/>
      <c r="U278" s="104" t="n"/>
    </row>
    <row r="279">
      <c r="A279" s="104" t="inlineStr">
        <is>
          <t>GUIDE000278</t>
        </is>
      </c>
      <c r="B279" s="101" t="inlineStr">
        <is>
          <t>DEV000018</t>
        </is>
      </c>
      <c r="C279" s="103" t="inlineStr">
        <is>
          <t>APL</t>
        </is>
      </c>
      <c r="D279" s="103" t="inlineStr">
        <is>
          <t>PHN</t>
        </is>
      </c>
      <c r="E279" s="60" t="inlineStr">
        <is>
          <t>iPhone X</t>
        </is>
      </c>
      <c r="F279" s="104" t="inlineStr">
        <is>
          <t>SVC000008</t>
        </is>
      </c>
      <c r="G279" s="104" t="inlineStr">
        <is>
          <t>Battery Diagnostic</t>
        </is>
      </c>
      <c r="H279" s="104" t="inlineStr">
        <is>
          <t>Battery</t>
        </is>
      </c>
      <c r="I279" s="104" t="n"/>
      <c r="J279" s="104" t="n"/>
      <c r="K279" s="104" t="n"/>
      <c r="L279" s="104" t="n"/>
      <c r="M279" s="104" t="n"/>
      <c r="N279" s="104" t="n"/>
      <c r="O279" s="104" t="n"/>
      <c r="P279" s="104" t="n"/>
      <c r="Q279" s="104" t="n"/>
      <c r="R279" s="104" t="n"/>
      <c r="S279" s="110" t="n"/>
      <c r="T279" s="110" t="n"/>
      <c r="U279" s="104" t="n"/>
    </row>
    <row r="280">
      <c r="A280" s="104" t="inlineStr">
        <is>
          <t>GUIDE000279</t>
        </is>
      </c>
      <c r="B280" s="101" t="inlineStr">
        <is>
          <t>DEV000019</t>
        </is>
      </c>
      <c r="C280" s="103" t="inlineStr">
        <is>
          <t>APL</t>
        </is>
      </c>
      <c r="D280" s="103" t="inlineStr">
        <is>
          <t>PHN</t>
        </is>
      </c>
      <c r="E280" s="60" t="inlineStr">
        <is>
          <t>iPhone XR</t>
        </is>
      </c>
      <c r="F280" s="104" t="inlineStr">
        <is>
          <t>SVC000008</t>
        </is>
      </c>
      <c r="G280" s="104" t="inlineStr">
        <is>
          <t>Battery Diagnostic</t>
        </is>
      </c>
      <c r="H280" s="104" t="inlineStr">
        <is>
          <t>Battery</t>
        </is>
      </c>
      <c r="I280" s="104" t="n"/>
      <c r="J280" s="104" t="n"/>
      <c r="K280" s="104" t="n"/>
      <c r="L280" s="104" t="n"/>
      <c r="M280" s="104" t="n"/>
      <c r="N280" s="104" t="n"/>
      <c r="O280" s="104" t="n"/>
      <c r="P280" s="104" t="n"/>
      <c r="Q280" s="104" t="n"/>
      <c r="R280" s="104" t="n"/>
      <c r="S280" s="110" t="n"/>
      <c r="T280" s="110" t="n"/>
      <c r="U280" s="104" t="n"/>
    </row>
    <row r="281">
      <c r="A281" s="104" t="inlineStr">
        <is>
          <t>GUIDE000280</t>
        </is>
      </c>
      <c r="B281" s="101" t="inlineStr">
        <is>
          <t>DEV000020</t>
        </is>
      </c>
      <c r="C281" s="103" t="inlineStr">
        <is>
          <t>APL</t>
        </is>
      </c>
      <c r="D281" s="103" t="inlineStr">
        <is>
          <t>PHN</t>
        </is>
      </c>
      <c r="E281" s="60" t="inlineStr">
        <is>
          <t>iPhone XS</t>
        </is>
      </c>
      <c r="F281" s="104" t="inlineStr">
        <is>
          <t>SVC000008</t>
        </is>
      </c>
      <c r="G281" s="104" t="inlineStr">
        <is>
          <t>Battery Diagnostic</t>
        </is>
      </c>
      <c r="H281" s="104" t="inlineStr">
        <is>
          <t>Battery</t>
        </is>
      </c>
      <c r="I281" s="104" t="n"/>
      <c r="J281" s="104" t="n"/>
      <c r="K281" s="104" t="n"/>
      <c r="L281" s="104" t="n"/>
      <c r="M281" s="104" t="n"/>
      <c r="N281" s="104" t="n"/>
      <c r="O281" s="104" t="n"/>
      <c r="P281" s="104" t="n"/>
      <c r="Q281" s="104" t="n"/>
      <c r="R281" s="104" t="n"/>
      <c r="S281" s="110" t="n"/>
      <c r="T281" s="110" t="n"/>
      <c r="U281" s="104" t="n"/>
    </row>
    <row r="282">
      <c r="A282" s="105" t="inlineStr">
        <is>
          <t>GUIDE000281</t>
        </is>
      </c>
      <c r="B282" s="101" t="inlineStr">
        <is>
          <t>DEV000021</t>
        </is>
      </c>
      <c r="C282" s="103" t="inlineStr">
        <is>
          <t>APL</t>
        </is>
      </c>
      <c r="D282" s="103" t="inlineStr">
        <is>
          <t>PHN</t>
        </is>
      </c>
      <c r="E282" s="60" t="inlineStr">
        <is>
          <t>iPhone XS Max</t>
        </is>
      </c>
      <c r="F282" s="104" t="inlineStr">
        <is>
          <t>SVC000008</t>
        </is>
      </c>
      <c r="G282" s="104" t="inlineStr">
        <is>
          <t>Battery Diagnostic</t>
        </is>
      </c>
      <c r="H282" s="104" t="inlineStr">
        <is>
          <t>Battery</t>
        </is>
      </c>
      <c r="I282" s="104" t="n"/>
      <c r="J282" s="104" t="n"/>
      <c r="K282" s="104" t="n"/>
      <c r="L282" s="104" t="n"/>
      <c r="M282" s="104" t="n"/>
      <c r="N282" s="104" t="n"/>
      <c r="O282" s="104" t="n"/>
      <c r="P282" s="104" t="n"/>
      <c r="Q282" s="104" t="n"/>
      <c r="R282" s="104" t="n"/>
      <c r="S282" s="110" t="n"/>
      <c r="T282" s="110" t="n"/>
      <c r="U282" s="104" t="n"/>
    </row>
    <row r="283">
      <c r="A283" s="104" t="inlineStr">
        <is>
          <t>GUIDE000282</t>
        </is>
      </c>
      <c r="B283" s="101" t="inlineStr">
        <is>
          <t>DEV000022</t>
        </is>
      </c>
      <c r="C283" s="103" t="inlineStr">
        <is>
          <t>APL</t>
        </is>
      </c>
      <c r="D283" s="103" t="inlineStr">
        <is>
          <t>PHN</t>
        </is>
      </c>
      <c r="E283" s="60" t="inlineStr">
        <is>
          <t>iPhone 11</t>
        </is>
      </c>
      <c r="F283" s="104" t="inlineStr">
        <is>
          <t>SVC000008</t>
        </is>
      </c>
      <c r="G283" s="104" t="inlineStr">
        <is>
          <t>Battery Diagnostic</t>
        </is>
      </c>
      <c r="H283" s="104" t="inlineStr">
        <is>
          <t>Battery</t>
        </is>
      </c>
      <c r="I283" s="104" t="n"/>
      <c r="J283" s="104" t="n"/>
      <c r="K283" s="104" t="n"/>
      <c r="L283" s="104" t="n"/>
      <c r="M283" s="104" t="n"/>
      <c r="N283" s="104" t="n"/>
      <c r="O283" s="104" t="n"/>
      <c r="P283" s="104" t="n"/>
      <c r="Q283" s="104" t="n"/>
      <c r="R283" s="104" t="n"/>
      <c r="S283" s="110" t="n"/>
      <c r="T283" s="110" t="n"/>
      <c r="U283" s="104" t="n"/>
    </row>
    <row r="284">
      <c r="A284" s="104" t="inlineStr">
        <is>
          <t>GUIDE000283</t>
        </is>
      </c>
      <c r="B284" s="101" t="inlineStr">
        <is>
          <t>DEV000023</t>
        </is>
      </c>
      <c r="C284" s="103" t="inlineStr">
        <is>
          <t>APL</t>
        </is>
      </c>
      <c r="D284" s="103" t="inlineStr">
        <is>
          <t>PHN</t>
        </is>
      </c>
      <c r="E284" s="60" t="inlineStr">
        <is>
          <t>iPhone 11 Pro</t>
        </is>
      </c>
      <c r="F284" s="104" t="inlineStr">
        <is>
          <t>SVC000008</t>
        </is>
      </c>
      <c r="G284" s="104" t="inlineStr">
        <is>
          <t>Battery Diagnostic</t>
        </is>
      </c>
      <c r="H284" s="104" t="inlineStr">
        <is>
          <t>Battery</t>
        </is>
      </c>
      <c r="I284" s="104" t="n"/>
      <c r="J284" s="104" t="n"/>
      <c r="K284" s="104" t="n"/>
      <c r="L284" s="104" t="n"/>
      <c r="M284" s="104" t="n"/>
      <c r="N284" s="104" t="n"/>
      <c r="O284" s="104" t="n"/>
      <c r="P284" s="104" t="n"/>
      <c r="Q284" s="104" t="n"/>
      <c r="R284" s="104" t="n"/>
      <c r="S284" s="110" t="n"/>
      <c r="T284" s="110" t="n"/>
      <c r="U284" s="104" t="n"/>
    </row>
    <row r="285">
      <c r="A285" s="104" t="inlineStr">
        <is>
          <t>GUIDE000284</t>
        </is>
      </c>
      <c r="B285" s="101" t="inlineStr">
        <is>
          <t>DEV000024</t>
        </is>
      </c>
      <c r="C285" s="103" t="inlineStr">
        <is>
          <t>APL</t>
        </is>
      </c>
      <c r="D285" s="103" t="inlineStr">
        <is>
          <t>PHN</t>
        </is>
      </c>
      <c r="E285" s="60" t="inlineStr">
        <is>
          <t>iPhone 11 Pro Max</t>
        </is>
      </c>
      <c r="F285" s="104" t="inlineStr">
        <is>
          <t>SVC000008</t>
        </is>
      </c>
      <c r="G285" s="104" t="inlineStr">
        <is>
          <t>Battery Diagnostic</t>
        </is>
      </c>
      <c r="H285" s="104" t="inlineStr">
        <is>
          <t>Battery</t>
        </is>
      </c>
      <c r="I285" s="104" t="n"/>
      <c r="J285" s="104" t="n"/>
      <c r="K285" s="104" t="n"/>
      <c r="L285" s="104" t="n"/>
      <c r="M285" s="104" t="n"/>
      <c r="N285" s="104" t="n"/>
      <c r="O285" s="104" t="n"/>
      <c r="P285" s="104" t="n"/>
      <c r="Q285" s="104" t="n"/>
      <c r="R285" s="104" t="n"/>
      <c r="S285" s="110" t="n"/>
      <c r="T285" s="110" t="n"/>
      <c r="U285" s="104" t="n"/>
    </row>
    <row r="286">
      <c r="A286" s="105" t="inlineStr">
        <is>
          <t>GUIDE000285</t>
        </is>
      </c>
      <c r="B286" s="101" t="inlineStr">
        <is>
          <t>DEV000025</t>
        </is>
      </c>
      <c r="C286" s="103" t="inlineStr">
        <is>
          <t>APL</t>
        </is>
      </c>
      <c r="D286" s="103" t="inlineStr">
        <is>
          <t>PHN</t>
        </is>
      </c>
      <c r="E286" s="60" t="inlineStr">
        <is>
          <t>iPhone SE (2nd Generation)</t>
        </is>
      </c>
      <c r="F286" s="104" t="inlineStr">
        <is>
          <t>SVC000008</t>
        </is>
      </c>
      <c r="G286" s="104" t="inlineStr">
        <is>
          <t>Battery Diagnostic</t>
        </is>
      </c>
      <c r="H286" s="104" t="inlineStr">
        <is>
          <t>Battery</t>
        </is>
      </c>
      <c r="I286" s="104" t="n"/>
      <c r="J286" s="104" t="n"/>
      <c r="K286" s="104" t="n"/>
      <c r="L286" s="104" t="n"/>
      <c r="M286" s="104" t="n"/>
      <c r="N286" s="104" t="n"/>
      <c r="O286" s="104" t="n"/>
      <c r="P286" s="104" t="n"/>
      <c r="Q286" s="104" t="n"/>
      <c r="R286" s="104" t="n"/>
      <c r="S286" s="110" t="n"/>
      <c r="T286" s="110" t="n"/>
      <c r="U286" s="104" t="n"/>
    </row>
    <row r="287">
      <c r="A287" s="104" t="inlineStr">
        <is>
          <t>GUIDE000286</t>
        </is>
      </c>
      <c r="B287" s="101" t="inlineStr">
        <is>
          <t>DEV000026</t>
        </is>
      </c>
      <c r="C287" s="103" t="inlineStr">
        <is>
          <t>APL</t>
        </is>
      </c>
      <c r="D287" s="103" t="inlineStr">
        <is>
          <t>PHN</t>
        </is>
      </c>
      <c r="E287" s="60" t="inlineStr">
        <is>
          <t>iPhone 12 mini</t>
        </is>
      </c>
      <c r="F287" s="104" t="inlineStr">
        <is>
          <t>SVC000008</t>
        </is>
      </c>
      <c r="G287" s="104" t="inlineStr">
        <is>
          <t>Battery Diagnostic</t>
        </is>
      </c>
      <c r="H287" s="104" t="inlineStr">
        <is>
          <t>Battery</t>
        </is>
      </c>
      <c r="I287" s="104" t="n"/>
      <c r="J287" s="104" t="n"/>
      <c r="K287" s="104" t="n"/>
      <c r="L287" s="104" t="n"/>
      <c r="M287" s="104" t="n"/>
      <c r="N287" s="104" t="n"/>
      <c r="O287" s="104" t="n"/>
      <c r="P287" s="104" t="n"/>
      <c r="Q287" s="104" t="n"/>
      <c r="R287" s="104" t="n"/>
      <c r="S287" s="110" t="n"/>
      <c r="T287" s="110" t="n"/>
      <c r="U287" s="104" t="n"/>
    </row>
    <row r="288">
      <c r="A288" s="104" t="inlineStr">
        <is>
          <t>GUIDE000287</t>
        </is>
      </c>
      <c r="B288" s="101" t="inlineStr">
        <is>
          <t>DEV000027</t>
        </is>
      </c>
      <c r="C288" s="103" t="inlineStr">
        <is>
          <t>APL</t>
        </is>
      </c>
      <c r="D288" s="103" t="inlineStr">
        <is>
          <t>PHN</t>
        </is>
      </c>
      <c r="E288" s="60" t="inlineStr">
        <is>
          <t>iPhone 12</t>
        </is>
      </c>
      <c r="F288" s="104" t="inlineStr">
        <is>
          <t>SVC000008</t>
        </is>
      </c>
      <c r="G288" s="104" t="inlineStr">
        <is>
          <t>Battery Diagnostic</t>
        </is>
      </c>
      <c r="H288" s="104" t="inlineStr">
        <is>
          <t>Battery</t>
        </is>
      </c>
      <c r="I288" s="104" t="n"/>
      <c r="J288" s="104" t="n"/>
      <c r="K288" s="104" t="n"/>
      <c r="L288" s="104" t="n"/>
      <c r="M288" s="104" t="n"/>
      <c r="N288" s="104" t="n"/>
      <c r="O288" s="104" t="n"/>
      <c r="P288" s="104" t="n"/>
      <c r="Q288" s="104" t="n"/>
      <c r="R288" s="104" t="n"/>
      <c r="S288" s="110" t="n"/>
      <c r="T288" s="110" t="n"/>
      <c r="U288" s="104" t="n"/>
    </row>
    <row r="289">
      <c r="A289" s="104" t="inlineStr">
        <is>
          <t>GUIDE000288</t>
        </is>
      </c>
      <c r="B289" s="101" t="inlineStr">
        <is>
          <t>DEV000028</t>
        </is>
      </c>
      <c r="C289" s="103" t="inlineStr">
        <is>
          <t>APL</t>
        </is>
      </c>
      <c r="D289" s="103" t="inlineStr">
        <is>
          <t>PHN</t>
        </is>
      </c>
      <c r="E289" s="60" t="inlineStr">
        <is>
          <t>iPhone 12 Pro</t>
        </is>
      </c>
      <c r="F289" s="104" t="inlineStr">
        <is>
          <t>SVC000008</t>
        </is>
      </c>
      <c r="G289" s="104" t="inlineStr">
        <is>
          <t>Battery Diagnostic</t>
        </is>
      </c>
      <c r="H289" s="104" t="inlineStr">
        <is>
          <t>Battery</t>
        </is>
      </c>
      <c r="I289" s="104" t="n"/>
      <c r="J289" s="104" t="n"/>
      <c r="K289" s="104" t="n"/>
      <c r="L289" s="104" t="n"/>
      <c r="M289" s="104" t="n"/>
      <c r="N289" s="104" t="n"/>
      <c r="O289" s="104" t="n"/>
      <c r="P289" s="104" t="n"/>
      <c r="Q289" s="104" t="n"/>
      <c r="R289" s="104" t="n"/>
      <c r="S289" s="110" t="n"/>
      <c r="T289" s="110" t="n"/>
      <c r="U289" s="104" t="n"/>
    </row>
    <row r="290">
      <c r="A290" s="104" t="inlineStr">
        <is>
          <t>GUIDE000289</t>
        </is>
      </c>
      <c r="B290" s="101" t="inlineStr">
        <is>
          <t>DEV000029</t>
        </is>
      </c>
      <c r="C290" s="103" t="inlineStr">
        <is>
          <t>APL</t>
        </is>
      </c>
      <c r="D290" s="103" t="inlineStr">
        <is>
          <t>PHN</t>
        </is>
      </c>
      <c r="E290" s="60" t="inlineStr">
        <is>
          <t>iPhone 12 Pro Max</t>
        </is>
      </c>
      <c r="F290" s="104" t="inlineStr">
        <is>
          <t>SVC000008</t>
        </is>
      </c>
      <c r="G290" s="104" t="inlineStr">
        <is>
          <t>Battery Diagnostic</t>
        </is>
      </c>
      <c r="H290" s="104" t="inlineStr">
        <is>
          <t>Battery</t>
        </is>
      </c>
      <c r="I290" s="104" t="n"/>
      <c r="J290" s="104" t="n"/>
      <c r="K290" s="104" t="n"/>
      <c r="L290" s="104" t="n"/>
      <c r="M290" s="104" t="n"/>
      <c r="N290" s="104" t="n"/>
      <c r="O290" s="104" t="n"/>
      <c r="P290" s="104" t="n"/>
      <c r="Q290" s="104" t="n"/>
      <c r="R290" s="104" t="n"/>
      <c r="S290" s="110" t="n"/>
      <c r="T290" s="110" t="n"/>
      <c r="U290" s="104" t="n"/>
    </row>
    <row r="291">
      <c r="A291" s="105" t="inlineStr">
        <is>
          <t>GUIDE000290</t>
        </is>
      </c>
      <c r="B291" s="101" t="inlineStr">
        <is>
          <t>DEV000030</t>
        </is>
      </c>
      <c r="C291" s="103" t="inlineStr">
        <is>
          <t>APL</t>
        </is>
      </c>
      <c r="D291" s="103" t="inlineStr">
        <is>
          <t>PHN</t>
        </is>
      </c>
      <c r="E291" s="60" t="inlineStr">
        <is>
          <t>iPhone 13 mini</t>
        </is>
      </c>
      <c r="F291" s="104" t="inlineStr">
        <is>
          <t>SVC000008</t>
        </is>
      </c>
      <c r="G291" s="104" t="inlineStr">
        <is>
          <t>Battery Diagnostic</t>
        </is>
      </c>
      <c r="H291" s="104" t="inlineStr">
        <is>
          <t>Battery</t>
        </is>
      </c>
      <c r="I291" s="104" t="n"/>
      <c r="J291" s="104" t="n"/>
      <c r="K291" s="104" t="n"/>
      <c r="L291" s="104" t="n"/>
      <c r="M291" s="104" t="n"/>
      <c r="N291" s="104" t="n"/>
      <c r="O291" s="104" t="n"/>
      <c r="P291" s="104" t="n"/>
      <c r="Q291" s="104" t="n"/>
      <c r="R291" s="104" t="n"/>
      <c r="S291" s="110" t="n"/>
      <c r="T291" s="110" t="n"/>
      <c r="U291" s="104" t="n"/>
    </row>
    <row r="292">
      <c r="A292" s="104" t="inlineStr">
        <is>
          <t>GUIDE000291</t>
        </is>
      </c>
      <c r="B292" s="101" t="inlineStr">
        <is>
          <t>DEV000031</t>
        </is>
      </c>
      <c r="C292" s="103" t="inlineStr">
        <is>
          <t>APL</t>
        </is>
      </c>
      <c r="D292" s="103" t="inlineStr">
        <is>
          <t>PHN</t>
        </is>
      </c>
      <c r="E292" s="60" t="inlineStr">
        <is>
          <t>iPhone 13</t>
        </is>
      </c>
      <c r="F292" s="104" t="inlineStr">
        <is>
          <t>SVC000008</t>
        </is>
      </c>
      <c r="G292" s="104" t="inlineStr">
        <is>
          <t>Battery Diagnostic</t>
        </is>
      </c>
      <c r="H292" s="104" t="inlineStr">
        <is>
          <t>Battery</t>
        </is>
      </c>
      <c r="I292" s="104" t="n"/>
      <c r="J292" s="104" t="n"/>
      <c r="K292" s="104" t="n"/>
      <c r="L292" s="104" t="n"/>
      <c r="M292" s="104" t="n"/>
      <c r="N292" s="104" t="n"/>
      <c r="O292" s="104" t="n"/>
      <c r="P292" s="104" t="n"/>
      <c r="Q292" s="104" t="n"/>
      <c r="R292" s="104" t="n"/>
      <c r="S292" s="110" t="n"/>
      <c r="T292" s="110" t="n"/>
      <c r="U292" s="104" t="n"/>
    </row>
    <row r="293">
      <c r="A293" s="104" t="inlineStr">
        <is>
          <t>GUIDE000292</t>
        </is>
      </c>
      <c r="B293" s="101" t="inlineStr">
        <is>
          <t>DEV000032</t>
        </is>
      </c>
      <c r="C293" s="103" t="inlineStr">
        <is>
          <t>APL</t>
        </is>
      </c>
      <c r="D293" s="103" t="inlineStr">
        <is>
          <t>PHN</t>
        </is>
      </c>
      <c r="E293" s="60" t="inlineStr">
        <is>
          <t>iPhone 13 Pro</t>
        </is>
      </c>
      <c r="F293" s="104" t="inlineStr">
        <is>
          <t>SVC000008</t>
        </is>
      </c>
      <c r="G293" s="104" t="inlineStr">
        <is>
          <t>Battery Diagnostic</t>
        </is>
      </c>
      <c r="H293" s="104" t="inlineStr">
        <is>
          <t>Battery</t>
        </is>
      </c>
      <c r="I293" s="104" t="n"/>
      <c r="J293" s="104" t="n"/>
      <c r="K293" s="104" t="n"/>
      <c r="L293" s="104" t="n"/>
      <c r="M293" s="104" t="n"/>
      <c r="N293" s="104" t="n"/>
      <c r="O293" s="104" t="n"/>
      <c r="P293" s="104" t="n"/>
      <c r="Q293" s="104" t="n"/>
      <c r="R293" s="104" t="n"/>
      <c r="S293" s="110" t="n"/>
      <c r="T293" s="110" t="n"/>
      <c r="U293" s="104" t="n"/>
    </row>
    <row r="294">
      <c r="A294" s="104" t="inlineStr">
        <is>
          <t>GUIDE000293</t>
        </is>
      </c>
      <c r="B294" s="101" t="inlineStr">
        <is>
          <t>DEV000033</t>
        </is>
      </c>
      <c r="C294" s="103" t="inlineStr">
        <is>
          <t>APL</t>
        </is>
      </c>
      <c r="D294" s="103" t="inlineStr">
        <is>
          <t>PHN</t>
        </is>
      </c>
      <c r="E294" s="60" t="inlineStr">
        <is>
          <t>iPhone 13 Pro Max</t>
        </is>
      </c>
      <c r="F294" s="104" t="inlineStr">
        <is>
          <t>SVC000008</t>
        </is>
      </c>
      <c r="G294" s="104" t="inlineStr">
        <is>
          <t>Battery Diagnostic</t>
        </is>
      </c>
      <c r="H294" s="104" t="inlineStr">
        <is>
          <t>Battery</t>
        </is>
      </c>
      <c r="I294" s="104" t="n"/>
      <c r="J294" s="104" t="n"/>
      <c r="K294" s="104" t="n"/>
      <c r="L294" s="104" t="n"/>
      <c r="M294" s="104" t="n"/>
      <c r="N294" s="104" t="n"/>
      <c r="O294" s="104" t="n"/>
      <c r="P294" s="104" t="n"/>
      <c r="Q294" s="104" t="n"/>
      <c r="R294" s="104" t="n"/>
      <c r="S294" s="110" t="n"/>
      <c r="T294" s="110" t="n"/>
      <c r="U294" s="104" t="n"/>
    </row>
    <row r="295">
      <c r="A295" s="105" t="inlineStr">
        <is>
          <t>GUIDE000294</t>
        </is>
      </c>
      <c r="B295" s="101" t="inlineStr">
        <is>
          <t>DEV000034</t>
        </is>
      </c>
      <c r="C295" s="103" t="inlineStr">
        <is>
          <t>APL</t>
        </is>
      </c>
      <c r="D295" s="103" t="inlineStr">
        <is>
          <t>PHN</t>
        </is>
      </c>
      <c r="E295" s="60" t="inlineStr">
        <is>
          <t>iPhone SE (3rd Generation)</t>
        </is>
      </c>
      <c r="F295" s="104" t="inlineStr">
        <is>
          <t>SVC000008</t>
        </is>
      </c>
      <c r="G295" s="104" t="inlineStr">
        <is>
          <t>Battery Diagnostic</t>
        </is>
      </c>
      <c r="H295" s="104" t="inlineStr">
        <is>
          <t>Battery</t>
        </is>
      </c>
      <c r="I295" s="104" t="n"/>
      <c r="J295" s="104" t="n"/>
      <c r="K295" s="104" t="n"/>
      <c r="L295" s="104" t="n"/>
      <c r="M295" s="104" t="n"/>
      <c r="N295" s="104" t="n"/>
      <c r="O295" s="104" t="n"/>
      <c r="P295" s="104" t="n"/>
      <c r="Q295" s="104" t="n"/>
      <c r="R295" s="104" t="n"/>
      <c r="S295" s="110" t="n"/>
      <c r="T295" s="110" t="n"/>
      <c r="U295" s="104" t="n"/>
    </row>
    <row r="296">
      <c r="A296" s="104" t="inlineStr">
        <is>
          <t>GUIDE000295</t>
        </is>
      </c>
      <c r="B296" s="101" t="inlineStr">
        <is>
          <t>DEV000035</t>
        </is>
      </c>
      <c r="C296" s="103" t="inlineStr">
        <is>
          <t>APL</t>
        </is>
      </c>
      <c r="D296" s="103" t="inlineStr">
        <is>
          <t>PHN</t>
        </is>
      </c>
      <c r="E296" s="60" t="inlineStr">
        <is>
          <t>iPhone 14</t>
        </is>
      </c>
      <c r="F296" s="104" t="inlineStr">
        <is>
          <t>SVC000008</t>
        </is>
      </c>
      <c r="G296" s="104" t="inlineStr">
        <is>
          <t>Battery Diagnostic</t>
        </is>
      </c>
      <c r="H296" s="104" t="inlineStr">
        <is>
          <t>Battery</t>
        </is>
      </c>
      <c r="I296" s="104" t="n"/>
      <c r="J296" s="104" t="n"/>
      <c r="K296" s="104" t="n"/>
      <c r="L296" s="104" t="n"/>
      <c r="M296" s="104" t="n"/>
      <c r="N296" s="104" t="n"/>
      <c r="O296" s="104" t="n"/>
      <c r="P296" s="104" t="n"/>
      <c r="Q296" s="104" t="n"/>
      <c r="R296" s="104" t="n"/>
      <c r="S296" s="110" t="n"/>
      <c r="T296" s="110" t="n"/>
      <c r="U296" s="104" t="n"/>
    </row>
    <row r="297">
      <c r="A297" s="104" t="inlineStr">
        <is>
          <t>GUIDE000296</t>
        </is>
      </c>
      <c r="B297" s="101" t="inlineStr">
        <is>
          <t>DEV000036</t>
        </is>
      </c>
      <c r="C297" s="103" t="inlineStr">
        <is>
          <t>APL</t>
        </is>
      </c>
      <c r="D297" s="103" t="inlineStr">
        <is>
          <t>PHN</t>
        </is>
      </c>
      <c r="E297" s="60" t="inlineStr">
        <is>
          <t>iPhone 14 Plus</t>
        </is>
      </c>
      <c r="F297" s="104" t="inlineStr">
        <is>
          <t>SVC000008</t>
        </is>
      </c>
      <c r="G297" s="104" t="inlineStr">
        <is>
          <t>Battery Diagnostic</t>
        </is>
      </c>
      <c r="H297" s="104" t="inlineStr">
        <is>
          <t>Battery</t>
        </is>
      </c>
      <c r="I297" s="104" t="n"/>
      <c r="J297" s="104" t="n"/>
      <c r="K297" s="104" t="n"/>
      <c r="L297" s="104" t="n"/>
      <c r="M297" s="104" t="n"/>
      <c r="N297" s="104" t="n"/>
      <c r="O297" s="104" t="n"/>
      <c r="P297" s="104" t="n"/>
      <c r="Q297" s="104" t="n"/>
      <c r="R297" s="104" t="n"/>
      <c r="S297" s="110" t="n"/>
      <c r="T297" s="110" t="n"/>
      <c r="U297" s="104" t="n"/>
    </row>
    <row r="298">
      <c r="A298" s="104" t="inlineStr">
        <is>
          <t>GUIDE000297</t>
        </is>
      </c>
      <c r="B298" s="101" t="inlineStr">
        <is>
          <t>DEV000037</t>
        </is>
      </c>
      <c r="C298" s="103" t="inlineStr">
        <is>
          <t>APL</t>
        </is>
      </c>
      <c r="D298" s="103" t="inlineStr">
        <is>
          <t>PHN</t>
        </is>
      </c>
      <c r="E298" s="60" t="inlineStr">
        <is>
          <t>iPhone 14 Pro</t>
        </is>
      </c>
      <c r="F298" s="104" t="inlineStr">
        <is>
          <t>SVC000008</t>
        </is>
      </c>
      <c r="G298" s="104" t="inlineStr">
        <is>
          <t>Battery Diagnostic</t>
        </is>
      </c>
      <c r="H298" s="104" t="inlineStr">
        <is>
          <t>Battery</t>
        </is>
      </c>
      <c r="I298" s="104" t="n"/>
      <c r="J298" s="104" t="n"/>
      <c r="K298" s="104" t="n"/>
      <c r="L298" s="104" t="n"/>
      <c r="M298" s="104" t="n"/>
      <c r="N298" s="104" t="n"/>
      <c r="O298" s="104" t="n"/>
      <c r="P298" s="104" t="n"/>
      <c r="Q298" s="104" t="n"/>
      <c r="R298" s="104" t="n"/>
      <c r="S298" s="110" t="n"/>
      <c r="T298" s="110" t="n"/>
      <c r="U298" s="104" t="n"/>
    </row>
    <row r="299">
      <c r="A299" s="104" t="inlineStr">
        <is>
          <t>GUIDE000298</t>
        </is>
      </c>
      <c r="B299" s="101" t="inlineStr">
        <is>
          <t>DEV000038</t>
        </is>
      </c>
      <c r="C299" s="103" t="inlineStr">
        <is>
          <t>APL</t>
        </is>
      </c>
      <c r="D299" s="103" t="inlineStr">
        <is>
          <t>PHN</t>
        </is>
      </c>
      <c r="E299" s="60" t="inlineStr">
        <is>
          <t>iPhone 14 Pro Max</t>
        </is>
      </c>
      <c r="F299" s="104" t="inlineStr">
        <is>
          <t>SVC000008</t>
        </is>
      </c>
      <c r="G299" s="104" t="inlineStr">
        <is>
          <t>Battery Diagnostic</t>
        </is>
      </c>
      <c r="H299" s="104" t="inlineStr">
        <is>
          <t>Battery</t>
        </is>
      </c>
      <c r="I299" s="104" t="n"/>
      <c r="J299" s="104" t="n"/>
      <c r="K299" s="104" t="n"/>
      <c r="L299" s="104" t="n"/>
      <c r="M299" s="104" t="n"/>
      <c r="N299" s="104" t="n"/>
      <c r="O299" s="104" t="n"/>
      <c r="P299" s="104" t="n"/>
      <c r="Q299" s="104" t="n"/>
      <c r="R299" s="104" t="n"/>
      <c r="S299" s="110" t="n"/>
      <c r="T299" s="110" t="n"/>
      <c r="U299" s="104" t="n"/>
    </row>
    <row r="300">
      <c r="A300" s="105" t="inlineStr">
        <is>
          <t>GUIDE000299</t>
        </is>
      </c>
      <c r="B300" s="101" t="inlineStr">
        <is>
          <t>DEV000039</t>
        </is>
      </c>
      <c r="C300" s="103" t="inlineStr">
        <is>
          <t>APL</t>
        </is>
      </c>
      <c r="D300" s="103" t="inlineStr">
        <is>
          <t>PHN</t>
        </is>
      </c>
      <c r="E300" s="60" t="inlineStr">
        <is>
          <t>iPhone 15</t>
        </is>
      </c>
      <c r="F300" s="104" t="inlineStr">
        <is>
          <t>SVC000008</t>
        </is>
      </c>
      <c r="G300" s="104" t="inlineStr">
        <is>
          <t>Battery Diagnostic</t>
        </is>
      </c>
      <c r="H300" s="104" t="inlineStr">
        <is>
          <t>Battery</t>
        </is>
      </c>
      <c r="I300" s="104" t="n"/>
      <c r="J300" s="104" t="n"/>
      <c r="K300" s="104" t="n"/>
      <c r="L300" s="104" t="n"/>
      <c r="M300" s="104" t="n"/>
      <c r="N300" s="104" t="n"/>
      <c r="O300" s="104" t="n"/>
      <c r="P300" s="104" t="n"/>
      <c r="Q300" s="104" t="n"/>
      <c r="R300" s="104" t="n"/>
      <c r="S300" s="110" t="n"/>
      <c r="T300" s="110" t="n"/>
      <c r="U300" s="104" t="n"/>
    </row>
    <row r="301">
      <c r="A301" s="104" t="inlineStr">
        <is>
          <t>GUIDE000300</t>
        </is>
      </c>
      <c r="B301" s="101" t="inlineStr">
        <is>
          <t>DEV000040</t>
        </is>
      </c>
      <c r="C301" s="103" t="inlineStr">
        <is>
          <t>APL</t>
        </is>
      </c>
      <c r="D301" s="103" t="inlineStr">
        <is>
          <t>PHN</t>
        </is>
      </c>
      <c r="E301" s="60" t="inlineStr">
        <is>
          <t>iPhone 15 Plus</t>
        </is>
      </c>
      <c r="F301" s="104" t="inlineStr">
        <is>
          <t>SVC000008</t>
        </is>
      </c>
      <c r="G301" s="104" t="inlineStr">
        <is>
          <t>Battery Diagnostic</t>
        </is>
      </c>
      <c r="H301" s="104" t="inlineStr">
        <is>
          <t>Battery</t>
        </is>
      </c>
      <c r="I301" s="104" t="n"/>
      <c r="J301" s="104" t="n"/>
      <c r="K301" s="104" t="n"/>
      <c r="L301" s="104" t="n"/>
      <c r="M301" s="104" t="n"/>
      <c r="N301" s="104" t="n"/>
      <c r="O301" s="104" t="n"/>
      <c r="P301" s="104" t="n"/>
      <c r="Q301" s="104" t="n"/>
      <c r="R301" s="104" t="n"/>
      <c r="S301" s="110" t="n"/>
      <c r="T301" s="110" t="n"/>
      <c r="U301" s="104" t="n"/>
    </row>
    <row r="302">
      <c r="A302" s="104" t="inlineStr">
        <is>
          <t>GUIDE000301</t>
        </is>
      </c>
      <c r="B302" s="101" t="inlineStr">
        <is>
          <t>DEV000041</t>
        </is>
      </c>
      <c r="C302" s="103" t="inlineStr">
        <is>
          <t>APL</t>
        </is>
      </c>
      <c r="D302" s="103" t="inlineStr">
        <is>
          <t>PHN</t>
        </is>
      </c>
      <c r="E302" s="60" t="inlineStr">
        <is>
          <t>iPhone 15 Pro</t>
        </is>
      </c>
      <c r="F302" s="104" t="inlineStr">
        <is>
          <t>SVC000008</t>
        </is>
      </c>
      <c r="G302" s="104" t="inlineStr">
        <is>
          <t>Battery Diagnostic</t>
        </is>
      </c>
      <c r="H302" s="104" t="inlineStr">
        <is>
          <t>Battery</t>
        </is>
      </c>
      <c r="I302" s="104" t="n"/>
      <c r="J302" s="104" t="n"/>
      <c r="K302" s="104" t="n"/>
      <c r="L302" s="104" t="n"/>
      <c r="M302" s="104" t="n"/>
      <c r="N302" s="104" t="n"/>
      <c r="O302" s="104" t="n"/>
      <c r="P302" s="104" t="n"/>
      <c r="Q302" s="104" t="n"/>
      <c r="R302" s="104" t="n"/>
      <c r="S302" s="110" t="n"/>
      <c r="T302" s="110" t="n"/>
      <c r="U302" s="104" t="n"/>
    </row>
    <row r="303">
      <c r="A303" s="104" t="inlineStr">
        <is>
          <t>GUIDE000302</t>
        </is>
      </c>
      <c r="B303" s="101" t="inlineStr">
        <is>
          <t>DEV000042</t>
        </is>
      </c>
      <c r="C303" s="103" t="inlineStr">
        <is>
          <t>APL</t>
        </is>
      </c>
      <c r="D303" s="103" t="inlineStr">
        <is>
          <t>PHN</t>
        </is>
      </c>
      <c r="E303" s="60" t="inlineStr">
        <is>
          <t>iPhone 15 Pro Max</t>
        </is>
      </c>
      <c r="F303" s="104" t="inlineStr">
        <is>
          <t>SVC000008</t>
        </is>
      </c>
      <c r="G303" s="104" t="inlineStr">
        <is>
          <t>Battery Diagnostic</t>
        </is>
      </c>
      <c r="H303" s="104" t="inlineStr">
        <is>
          <t>Battery</t>
        </is>
      </c>
      <c r="I303" s="104" t="n"/>
      <c r="J303" s="104" t="n"/>
      <c r="K303" s="104" t="n"/>
      <c r="L303" s="104" t="n"/>
      <c r="M303" s="104" t="n"/>
      <c r="N303" s="104" t="n"/>
      <c r="O303" s="104" t="n"/>
      <c r="P303" s="104" t="n"/>
      <c r="Q303" s="104" t="n"/>
      <c r="R303" s="104" t="n"/>
      <c r="S303" s="110" t="n"/>
      <c r="T303" s="110" t="n"/>
      <c r="U303" s="104" t="n"/>
    </row>
    <row r="304">
      <c r="A304" s="105" t="inlineStr">
        <is>
          <t>GUIDE000303</t>
        </is>
      </c>
      <c r="B304" s="101" t="inlineStr">
        <is>
          <t>DEV000043</t>
        </is>
      </c>
      <c r="C304" s="103" t="inlineStr">
        <is>
          <t>APL</t>
        </is>
      </c>
      <c r="D304" s="103" t="inlineStr">
        <is>
          <t>PHN</t>
        </is>
      </c>
      <c r="E304" s="60" t="inlineStr">
        <is>
          <t>iPhone 16</t>
        </is>
      </c>
      <c r="F304" s="104" t="inlineStr">
        <is>
          <t>SVC000008</t>
        </is>
      </c>
      <c r="G304" s="104" t="inlineStr">
        <is>
          <t>Battery Diagnostic</t>
        </is>
      </c>
      <c r="H304" s="104" t="inlineStr">
        <is>
          <t>Battery</t>
        </is>
      </c>
      <c r="I304" s="104" t="n"/>
      <c r="J304" s="104" t="n"/>
      <c r="K304" s="104" t="n"/>
      <c r="L304" s="104" t="n"/>
      <c r="M304" s="104" t="n"/>
      <c r="N304" s="104" t="n"/>
      <c r="O304" s="104" t="n"/>
      <c r="P304" s="104" t="n"/>
      <c r="Q304" s="104" t="n"/>
      <c r="R304" s="104" t="n"/>
      <c r="S304" s="110" t="n"/>
      <c r="T304" s="110" t="n"/>
      <c r="U304" s="104" t="n"/>
    </row>
    <row r="305">
      <c r="A305" s="104" t="inlineStr">
        <is>
          <t>GUIDE000304</t>
        </is>
      </c>
      <c r="B305" s="101" t="inlineStr">
        <is>
          <t>DEV000044</t>
        </is>
      </c>
      <c r="C305" s="103" t="inlineStr">
        <is>
          <t>APL</t>
        </is>
      </c>
      <c r="D305" s="103" t="inlineStr">
        <is>
          <t>PHN</t>
        </is>
      </c>
      <c r="E305" s="60" t="inlineStr">
        <is>
          <t>iPhone 16 Plus</t>
        </is>
      </c>
      <c r="F305" s="104" t="inlineStr">
        <is>
          <t>SVC000008</t>
        </is>
      </c>
      <c r="G305" s="104" t="inlineStr">
        <is>
          <t>Battery Diagnostic</t>
        </is>
      </c>
      <c r="H305" s="104" t="inlineStr">
        <is>
          <t>Battery</t>
        </is>
      </c>
      <c r="I305" s="104" t="n"/>
      <c r="J305" s="104" t="n"/>
      <c r="K305" s="104" t="n"/>
      <c r="L305" s="104" t="n"/>
      <c r="M305" s="104" t="n"/>
      <c r="N305" s="104" t="n"/>
      <c r="O305" s="104" t="n"/>
      <c r="P305" s="104" t="n"/>
      <c r="Q305" s="104" t="n"/>
      <c r="R305" s="104" t="n"/>
      <c r="S305" s="110" t="n"/>
      <c r="T305" s="110" t="n"/>
      <c r="U305" s="104" t="n"/>
    </row>
    <row r="306">
      <c r="A306" s="104" t="inlineStr">
        <is>
          <t>GUIDE000305</t>
        </is>
      </c>
      <c r="B306" s="101" t="inlineStr">
        <is>
          <t>DEV000045</t>
        </is>
      </c>
      <c r="C306" s="103" t="inlineStr">
        <is>
          <t>APL</t>
        </is>
      </c>
      <c r="D306" s="103" t="inlineStr">
        <is>
          <t>PHN</t>
        </is>
      </c>
      <c r="E306" s="60" t="inlineStr">
        <is>
          <t>iPhone 16 Pro</t>
        </is>
      </c>
      <c r="F306" s="104" t="inlineStr">
        <is>
          <t>SVC000008</t>
        </is>
      </c>
      <c r="G306" s="104" t="inlineStr">
        <is>
          <t>Battery Diagnostic</t>
        </is>
      </c>
      <c r="H306" s="104" t="inlineStr">
        <is>
          <t>Battery</t>
        </is>
      </c>
      <c r="I306" s="104" t="n"/>
      <c r="J306" s="104" t="n"/>
      <c r="K306" s="104" t="n"/>
      <c r="L306" s="104" t="n"/>
      <c r="M306" s="104" t="n"/>
      <c r="N306" s="104" t="n"/>
      <c r="O306" s="104" t="n"/>
      <c r="P306" s="104" t="n"/>
      <c r="Q306" s="104" t="n"/>
      <c r="R306" s="104" t="n"/>
      <c r="S306" s="110" t="n"/>
      <c r="T306" s="110" t="n"/>
      <c r="U306" s="104" t="n"/>
    </row>
    <row r="307">
      <c r="A307" s="104" t="inlineStr">
        <is>
          <t>GUIDE000306</t>
        </is>
      </c>
      <c r="B307" s="101" t="inlineStr">
        <is>
          <t>DEV000046</t>
        </is>
      </c>
      <c r="C307" s="103" t="inlineStr">
        <is>
          <t>APL</t>
        </is>
      </c>
      <c r="D307" s="103" t="inlineStr">
        <is>
          <t>PHN</t>
        </is>
      </c>
      <c r="E307" s="60" t="inlineStr">
        <is>
          <t>iPhone 16 Pro Max</t>
        </is>
      </c>
      <c r="F307" s="104" t="inlineStr">
        <is>
          <t>SVC000008</t>
        </is>
      </c>
      <c r="G307" s="104" t="inlineStr">
        <is>
          <t>Battery Diagnostic</t>
        </is>
      </c>
      <c r="H307" s="104" t="inlineStr">
        <is>
          <t>Battery</t>
        </is>
      </c>
      <c r="I307" s="104" t="n"/>
      <c r="J307" s="104" t="n"/>
      <c r="K307" s="104" t="n"/>
      <c r="L307" s="104" t="n"/>
      <c r="M307" s="104" t="n"/>
      <c r="N307" s="104" t="n"/>
      <c r="O307" s="104" t="n"/>
      <c r="P307" s="104" t="n"/>
      <c r="Q307" s="104" t="n"/>
      <c r="R307" s="104" t="n"/>
      <c r="S307" s="110" t="n"/>
      <c r="T307" s="110" t="n"/>
      <c r="U307" s="104" t="n"/>
    </row>
    <row r="308">
      <c r="A308" s="104" t="inlineStr">
        <is>
          <t>GUIDE000307</t>
        </is>
      </c>
      <c r="B308" s="101" t="inlineStr">
        <is>
          <t>DEV000047</t>
        </is>
      </c>
      <c r="C308" s="103" t="inlineStr">
        <is>
          <t>APL</t>
        </is>
      </c>
      <c r="D308" s="103" t="inlineStr">
        <is>
          <t>PHN</t>
        </is>
      </c>
      <c r="E308" s="60" t="inlineStr">
        <is>
          <t>iPhone 16e</t>
        </is>
      </c>
      <c r="F308" s="104" t="inlineStr">
        <is>
          <t>SVC000008</t>
        </is>
      </c>
      <c r="G308" s="104" t="inlineStr">
        <is>
          <t>Battery Diagnostic</t>
        </is>
      </c>
      <c r="H308" s="104" t="inlineStr">
        <is>
          <t>Battery</t>
        </is>
      </c>
      <c r="I308" s="104" t="n"/>
      <c r="J308" s="104" t="n"/>
      <c r="K308" s="104" t="n"/>
      <c r="L308" s="104" t="n"/>
      <c r="M308" s="104" t="n"/>
      <c r="N308" s="104" t="n"/>
      <c r="O308" s="104" t="n"/>
      <c r="P308" s="104" t="n"/>
      <c r="Q308" s="104" t="n"/>
      <c r="R308" s="104" t="n"/>
      <c r="S308" s="110" t="n"/>
      <c r="T308" s="110" t="n"/>
      <c r="U308" s="104" t="n"/>
    </row>
    <row r="309">
      <c r="A309" s="105" t="inlineStr">
        <is>
          <t>GUIDE000308</t>
        </is>
      </c>
      <c r="B309" s="101" t="inlineStr">
        <is>
          <t>DEV000048</t>
        </is>
      </c>
      <c r="C309" s="103" t="inlineStr">
        <is>
          <t>APL</t>
        </is>
      </c>
      <c r="D309" s="103" t="inlineStr">
        <is>
          <t>PHN</t>
        </is>
      </c>
      <c r="E309" s="60" t="inlineStr">
        <is>
          <t>iPhone 17</t>
        </is>
      </c>
      <c r="F309" s="104" t="inlineStr">
        <is>
          <t>SVC000008</t>
        </is>
      </c>
      <c r="G309" s="104" t="inlineStr">
        <is>
          <t>Battery Diagnostic</t>
        </is>
      </c>
      <c r="H309" s="104" t="inlineStr">
        <is>
          <t>Battery</t>
        </is>
      </c>
      <c r="I309" s="104" t="n"/>
      <c r="J309" s="104" t="n"/>
      <c r="K309" s="104" t="n"/>
      <c r="L309" s="104" t="n"/>
      <c r="M309" s="104" t="n"/>
      <c r="N309" s="104" t="n"/>
      <c r="O309" s="104" t="n"/>
      <c r="P309" s="104" t="n"/>
      <c r="Q309" s="104" t="n"/>
      <c r="R309" s="104" t="n"/>
      <c r="S309" s="110" t="n"/>
      <c r="T309" s="110" t="n"/>
      <c r="U309" s="104" t="n"/>
    </row>
    <row r="310">
      <c r="A310" s="104" t="inlineStr">
        <is>
          <t>GUIDE000309</t>
        </is>
      </c>
      <c r="B310" s="101" t="inlineStr">
        <is>
          <t>DEV000049</t>
        </is>
      </c>
      <c r="C310" s="103" t="inlineStr">
        <is>
          <t>APL</t>
        </is>
      </c>
      <c r="D310" s="103" t="inlineStr">
        <is>
          <t>PHN</t>
        </is>
      </c>
      <c r="E310" s="60" t="inlineStr">
        <is>
          <t>iPhone 17 Pro</t>
        </is>
      </c>
      <c r="F310" s="104" t="inlineStr">
        <is>
          <t>SVC000008</t>
        </is>
      </c>
      <c r="G310" s="104" t="inlineStr">
        <is>
          <t>Battery Diagnostic</t>
        </is>
      </c>
      <c r="H310" s="104" t="inlineStr">
        <is>
          <t>Battery</t>
        </is>
      </c>
      <c r="I310" s="104" t="n"/>
      <c r="J310" s="104" t="n"/>
      <c r="K310" s="104" t="n"/>
      <c r="L310" s="104" t="n"/>
      <c r="M310" s="104" t="n"/>
      <c r="N310" s="104" t="n"/>
      <c r="O310" s="104" t="n"/>
      <c r="P310" s="104" t="n"/>
      <c r="Q310" s="104" t="n"/>
      <c r="R310" s="104" t="n"/>
      <c r="S310" s="110" t="n"/>
      <c r="T310" s="110" t="n"/>
      <c r="U310" s="104" t="n"/>
    </row>
    <row r="311">
      <c r="A311" s="104" t="inlineStr">
        <is>
          <t>GUIDE000310</t>
        </is>
      </c>
      <c r="B311" s="101" t="inlineStr">
        <is>
          <t>DEV000050</t>
        </is>
      </c>
      <c r="C311" s="103" t="inlineStr">
        <is>
          <t>APL</t>
        </is>
      </c>
      <c r="D311" s="103" t="inlineStr">
        <is>
          <t>PHN</t>
        </is>
      </c>
      <c r="E311" s="60" t="inlineStr">
        <is>
          <t>iPhone 17 Pro Max</t>
        </is>
      </c>
      <c r="F311" s="104" t="inlineStr">
        <is>
          <t>SVC000008</t>
        </is>
      </c>
      <c r="G311" s="104" t="inlineStr">
        <is>
          <t>Battery Diagnostic</t>
        </is>
      </c>
      <c r="H311" s="104" t="inlineStr">
        <is>
          <t>Battery</t>
        </is>
      </c>
      <c r="I311" s="104" t="n"/>
      <c r="J311" s="104" t="n"/>
      <c r="K311" s="104" t="n"/>
      <c r="L311" s="104" t="n"/>
      <c r="M311" s="104" t="n"/>
      <c r="N311" s="104" t="n"/>
      <c r="O311" s="104" t="n"/>
      <c r="P311" s="104" t="n"/>
      <c r="Q311" s="104" t="n"/>
      <c r="R311" s="104" t="n"/>
      <c r="S311" s="110" t="n"/>
      <c r="T311" s="110" t="n"/>
      <c r="U311" s="104" t="n"/>
    </row>
    <row r="312">
      <c r="A312" s="104" t="inlineStr">
        <is>
          <t>GUIDE000311</t>
        </is>
      </c>
      <c r="B312" s="101" t="inlineStr">
        <is>
          <t>DEV000051</t>
        </is>
      </c>
      <c r="C312" s="103" t="inlineStr">
        <is>
          <t>APL</t>
        </is>
      </c>
      <c r="D312" s="103" t="inlineStr">
        <is>
          <t>PHN</t>
        </is>
      </c>
      <c r="E312" s="60" t="inlineStr">
        <is>
          <t>iPhone Air</t>
        </is>
      </c>
      <c r="F312" s="104" t="inlineStr">
        <is>
          <t>SVC000008</t>
        </is>
      </c>
      <c r="G312" s="104" t="inlineStr">
        <is>
          <t>Battery Diagnostic</t>
        </is>
      </c>
      <c r="H312" s="104" t="inlineStr">
        <is>
          <t>Battery</t>
        </is>
      </c>
      <c r="I312" s="104" t="n"/>
      <c r="J312" s="104" t="n"/>
      <c r="K312" s="104" t="n"/>
      <c r="L312" s="104" t="n"/>
      <c r="M312" s="104" t="n"/>
      <c r="N312" s="104" t="n"/>
      <c r="O312" s="104" t="n"/>
      <c r="P312" s="104" t="n"/>
      <c r="Q312" s="104" t="n"/>
      <c r="R312" s="104" t="n"/>
      <c r="S312" s="110" t="n"/>
      <c r="T312" s="110" t="n"/>
      <c r="U312" s="104" t="n"/>
    </row>
    <row r="313">
      <c r="A313" s="105" t="inlineStr">
        <is>
          <t>GUIDE000312</t>
        </is>
      </c>
      <c r="B313" s="101" t="inlineStr">
        <is>
          <t>DEV000052</t>
        </is>
      </c>
      <c r="C313" s="103" t="inlineStr">
        <is>
          <t>APL</t>
        </is>
      </c>
      <c r="D313" s="103" t="inlineStr">
        <is>
          <t>PHN</t>
        </is>
      </c>
      <c r="E313" s="60" t="inlineStr">
        <is>
          <t>iPhone 17e</t>
        </is>
      </c>
      <c r="F313" s="104" t="inlineStr">
        <is>
          <t>SVC000008</t>
        </is>
      </c>
      <c r="G313" s="104" t="inlineStr">
        <is>
          <t>Battery Diagnostic</t>
        </is>
      </c>
      <c r="H313" s="104" t="inlineStr">
        <is>
          <t>Battery</t>
        </is>
      </c>
      <c r="I313" s="104" t="n"/>
      <c r="J313" s="104" t="n"/>
      <c r="K313" s="104" t="n"/>
      <c r="L313" s="104" t="n"/>
      <c r="M313" s="104" t="n"/>
      <c r="N313" s="104" t="n"/>
      <c r="O313" s="104" t="n"/>
      <c r="P313" s="104" t="n"/>
      <c r="Q313" s="104" t="n"/>
      <c r="R313" s="104" t="n"/>
      <c r="S313" s="110" t="n"/>
      <c r="T313" s="110" t="n"/>
      <c r="U313" s="104" t="n"/>
    </row>
    <row r="314">
      <c r="A314" s="104" t="inlineStr">
        <is>
          <t>GUIDE000313</t>
        </is>
      </c>
      <c r="B314" s="101" t="inlineStr">
        <is>
          <t>DEV000001</t>
        </is>
      </c>
      <c r="C314" s="103" t="inlineStr">
        <is>
          <t>APL</t>
        </is>
      </c>
      <c r="D314" s="103" t="inlineStr">
        <is>
          <t>PHN</t>
        </is>
      </c>
      <c r="E314" s="60" t="inlineStr">
        <is>
          <t>iPhone (2G)</t>
        </is>
      </c>
      <c r="F314" s="104" t="inlineStr">
        <is>
          <t>SVC000010</t>
        </is>
      </c>
      <c r="G314" s="104" t="inlineStr">
        <is>
          <t>Charging Port Replacement</t>
        </is>
      </c>
      <c r="H314" s="104" t="inlineStr">
        <is>
          <t>Charging</t>
        </is>
      </c>
      <c r="I314" s="104" t="n"/>
      <c r="J314" s="104" t="n"/>
      <c r="K314" s="104" t="n"/>
      <c r="L314" s="104" t="n"/>
      <c r="M314" s="104" t="n"/>
      <c r="N314" s="104" t="n"/>
      <c r="O314" s="104" t="n"/>
      <c r="P314" s="104" t="n"/>
      <c r="Q314" s="104" t="n"/>
      <c r="R314" s="104" t="n"/>
      <c r="S314" s="110" t="n"/>
      <c r="T314" s="110" t="n"/>
      <c r="U314" s="104" t="n"/>
    </row>
    <row r="315">
      <c r="A315" s="104" t="inlineStr">
        <is>
          <t>GUIDE000314</t>
        </is>
      </c>
      <c r="B315" s="101" t="inlineStr">
        <is>
          <t>DEV000002</t>
        </is>
      </c>
      <c r="C315" s="103" t="inlineStr">
        <is>
          <t>APL</t>
        </is>
      </c>
      <c r="D315" s="103" t="inlineStr">
        <is>
          <t>PHN</t>
        </is>
      </c>
      <c r="E315" s="60" t="inlineStr">
        <is>
          <t>iPhone 3G</t>
        </is>
      </c>
      <c r="F315" s="104" t="inlineStr">
        <is>
          <t>SVC000010</t>
        </is>
      </c>
      <c r="G315" s="104" t="inlineStr">
        <is>
          <t>Charging Port Replacement</t>
        </is>
      </c>
      <c r="H315" s="104" t="inlineStr">
        <is>
          <t>Charging</t>
        </is>
      </c>
      <c r="I315" s="104" t="n"/>
      <c r="J315" s="104" t="n"/>
      <c r="K315" s="104" t="n"/>
      <c r="L315" s="104" t="n"/>
      <c r="M315" s="104" t="n"/>
      <c r="N315" s="104" t="n"/>
      <c r="O315" s="104" t="n"/>
      <c r="P315" s="104" t="n"/>
      <c r="Q315" s="104" t="n"/>
      <c r="R315" s="104" t="n"/>
      <c r="S315" s="110" t="n"/>
      <c r="T315" s="110" t="n"/>
      <c r="U315" s="104" t="n"/>
    </row>
    <row r="316">
      <c r="A316" s="104" t="inlineStr">
        <is>
          <t>GUIDE000315</t>
        </is>
      </c>
      <c r="B316" s="101" t="inlineStr">
        <is>
          <t>DEV000003</t>
        </is>
      </c>
      <c r="C316" s="103" t="inlineStr">
        <is>
          <t>APL</t>
        </is>
      </c>
      <c r="D316" s="103" t="inlineStr">
        <is>
          <t>PHN</t>
        </is>
      </c>
      <c r="E316" s="60" t="inlineStr">
        <is>
          <t>iPhone 3GS</t>
        </is>
      </c>
      <c r="F316" s="104" t="inlineStr">
        <is>
          <t>SVC000010</t>
        </is>
      </c>
      <c r="G316" s="104" t="inlineStr">
        <is>
          <t>Charging Port Replacement</t>
        </is>
      </c>
      <c r="H316" s="104" t="inlineStr">
        <is>
          <t>Charging</t>
        </is>
      </c>
      <c r="I316" s="104" t="n"/>
      <c r="J316" s="104" t="n"/>
      <c r="K316" s="104" t="n"/>
      <c r="L316" s="104" t="n"/>
      <c r="M316" s="104" t="n"/>
      <c r="N316" s="104" t="n"/>
      <c r="O316" s="104" t="n"/>
      <c r="P316" s="104" t="n"/>
      <c r="Q316" s="104" t="n"/>
      <c r="R316" s="104" t="n"/>
      <c r="S316" s="110" t="n"/>
      <c r="T316" s="110" t="n"/>
      <c r="U316" s="104" t="n"/>
    </row>
    <row r="317">
      <c r="A317" s="104" t="inlineStr">
        <is>
          <t>GUIDE000316</t>
        </is>
      </c>
      <c r="B317" s="101" t="inlineStr">
        <is>
          <t>DEV000004</t>
        </is>
      </c>
      <c r="C317" s="103" t="inlineStr">
        <is>
          <t>APL</t>
        </is>
      </c>
      <c r="D317" s="103" t="inlineStr">
        <is>
          <t>PHN</t>
        </is>
      </c>
      <c r="E317" s="60" t="inlineStr">
        <is>
          <t>iPhone 4</t>
        </is>
      </c>
      <c r="F317" s="104" t="inlineStr">
        <is>
          <t>SVC000010</t>
        </is>
      </c>
      <c r="G317" s="104" t="inlineStr">
        <is>
          <t>Charging Port Replacement</t>
        </is>
      </c>
      <c r="H317" s="104" t="inlineStr">
        <is>
          <t>Charging</t>
        </is>
      </c>
      <c r="I317" s="104" t="n"/>
      <c r="J317" s="104" t="n"/>
      <c r="K317" s="104" t="n"/>
      <c r="L317" s="104" t="n"/>
      <c r="M317" s="104" t="n"/>
      <c r="N317" s="104" t="n"/>
      <c r="O317" s="104" t="n"/>
      <c r="P317" s="104" t="n"/>
      <c r="Q317" s="104" t="n"/>
      <c r="R317" s="104" t="n"/>
      <c r="S317" s="110" t="n"/>
      <c r="T317" s="110" t="n"/>
      <c r="U317" s="104" t="n"/>
    </row>
    <row r="318">
      <c r="A318" s="105" t="inlineStr">
        <is>
          <t>GUIDE000317</t>
        </is>
      </c>
      <c r="B318" s="101" t="inlineStr">
        <is>
          <t>DEV000005</t>
        </is>
      </c>
      <c r="C318" s="103" t="inlineStr">
        <is>
          <t>APL</t>
        </is>
      </c>
      <c r="D318" s="103" t="inlineStr">
        <is>
          <t>PHN</t>
        </is>
      </c>
      <c r="E318" s="60" t="inlineStr">
        <is>
          <t>iPhone 4s</t>
        </is>
      </c>
      <c r="F318" s="104" t="inlineStr">
        <is>
          <t>SVC000010</t>
        </is>
      </c>
      <c r="G318" s="104" t="inlineStr">
        <is>
          <t>Charging Port Replacement</t>
        </is>
      </c>
      <c r="H318" s="104" t="inlineStr">
        <is>
          <t>Charging</t>
        </is>
      </c>
      <c r="I318" s="104" t="n"/>
      <c r="J318" s="104" t="n"/>
      <c r="K318" s="104" t="n"/>
      <c r="L318" s="104" t="n"/>
      <c r="M318" s="104" t="n"/>
      <c r="N318" s="104" t="n"/>
      <c r="O318" s="104" t="n"/>
      <c r="P318" s="104" t="n"/>
      <c r="Q318" s="104" t="n"/>
      <c r="R318" s="104" t="n"/>
      <c r="S318" s="110" t="n"/>
      <c r="T318" s="110" t="n"/>
      <c r="U318" s="104" t="n"/>
    </row>
    <row r="319">
      <c r="A319" s="104" t="inlineStr">
        <is>
          <t>GUIDE000318</t>
        </is>
      </c>
      <c r="B319" s="101" t="inlineStr">
        <is>
          <t>DEV000006</t>
        </is>
      </c>
      <c r="C319" s="103" t="inlineStr">
        <is>
          <t>APL</t>
        </is>
      </c>
      <c r="D319" s="103" t="inlineStr">
        <is>
          <t>PHN</t>
        </is>
      </c>
      <c r="E319" s="60" t="inlineStr">
        <is>
          <t>iPhone 5</t>
        </is>
      </c>
      <c r="F319" s="104" t="inlineStr">
        <is>
          <t>SVC000010</t>
        </is>
      </c>
      <c r="G319" s="104" t="inlineStr">
        <is>
          <t>Charging Port Replacement</t>
        </is>
      </c>
      <c r="H319" s="104" t="inlineStr">
        <is>
          <t>Charging</t>
        </is>
      </c>
      <c r="I319" s="104" t="n"/>
      <c r="J319" s="104" t="n"/>
      <c r="K319" s="104" t="n"/>
      <c r="L319" s="104" t="n"/>
      <c r="M319" s="104" t="n"/>
      <c r="N319" s="104" t="n"/>
      <c r="O319" s="104" t="n"/>
      <c r="P319" s="104" t="n"/>
      <c r="Q319" s="104" t="n"/>
      <c r="R319" s="104" t="n"/>
      <c r="S319" s="110" t="n"/>
      <c r="T319" s="110" t="n"/>
      <c r="U319" s="104" t="n"/>
    </row>
    <row r="320">
      <c r="A320" s="104" t="inlineStr">
        <is>
          <t>GUIDE000319</t>
        </is>
      </c>
      <c r="B320" s="101" t="inlineStr">
        <is>
          <t>DEV000007</t>
        </is>
      </c>
      <c r="C320" s="103" t="inlineStr">
        <is>
          <t>APL</t>
        </is>
      </c>
      <c r="D320" s="103" t="inlineStr">
        <is>
          <t>PHN</t>
        </is>
      </c>
      <c r="E320" s="60" t="inlineStr">
        <is>
          <t>iPhone 5c</t>
        </is>
      </c>
      <c r="F320" s="104" t="inlineStr">
        <is>
          <t>SVC000010</t>
        </is>
      </c>
      <c r="G320" s="104" t="inlineStr">
        <is>
          <t>Charging Port Replacement</t>
        </is>
      </c>
      <c r="H320" s="104" t="inlineStr">
        <is>
          <t>Charging</t>
        </is>
      </c>
      <c r="I320" s="104" t="n"/>
      <c r="J320" s="104" t="n"/>
      <c r="K320" s="104" t="n"/>
      <c r="L320" s="104" t="n"/>
      <c r="M320" s="104" t="n"/>
      <c r="N320" s="104" t="n"/>
      <c r="O320" s="104" t="n"/>
      <c r="P320" s="104" t="n"/>
      <c r="Q320" s="104" t="n"/>
      <c r="R320" s="104" t="n"/>
      <c r="S320" s="110" t="n"/>
      <c r="T320" s="110" t="n"/>
      <c r="U320" s="104" t="n"/>
    </row>
    <row r="321">
      <c r="A321" s="104" t="inlineStr">
        <is>
          <t>GUIDE000320</t>
        </is>
      </c>
      <c r="B321" s="101" t="inlineStr">
        <is>
          <t>DEV000008</t>
        </is>
      </c>
      <c r="C321" s="103" t="inlineStr">
        <is>
          <t>APL</t>
        </is>
      </c>
      <c r="D321" s="103" t="inlineStr">
        <is>
          <t>PHN</t>
        </is>
      </c>
      <c r="E321" s="60" t="inlineStr">
        <is>
          <t>iPhone 5s</t>
        </is>
      </c>
      <c r="F321" s="104" t="inlineStr">
        <is>
          <t>SVC000010</t>
        </is>
      </c>
      <c r="G321" s="104" t="inlineStr">
        <is>
          <t>Charging Port Replacement</t>
        </is>
      </c>
      <c r="H321" s="104" t="inlineStr">
        <is>
          <t>Charging</t>
        </is>
      </c>
      <c r="I321" s="104" t="n"/>
      <c r="J321" s="104" t="n"/>
      <c r="K321" s="104" t="n"/>
      <c r="L321" s="104" t="n"/>
      <c r="M321" s="104" t="n"/>
      <c r="N321" s="104" t="n"/>
      <c r="O321" s="104" t="n"/>
      <c r="P321" s="104" t="n"/>
      <c r="Q321" s="104" t="n"/>
      <c r="R321" s="104" t="n"/>
      <c r="S321" s="110" t="n"/>
      <c r="T321" s="110" t="n"/>
      <c r="U321" s="104" t="n"/>
    </row>
    <row r="322">
      <c r="A322" s="105" t="inlineStr">
        <is>
          <t>GUIDE000321</t>
        </is>
      </c>
      <c r="B322" s="101" t="inlineStr">
        <is>
          <t>DEV000009</t>
        </is>
      </c>
      <c r="C322" s="103" t="inlineStr">
        <is>
          <t>APL</t>
        </is>
      </c>
      <c r="D322" s="103" t="inlineStr">
        <is>
          <t>PHN</t>
        </is>
      </c>
      <c r="E322" s="60" t="inlineStr">
        <is>
          <t>iPhone 6</t>
        </is>
      </c>
      <c r="F322" s="104" t="inlineStr">
        <is>
          <t>SVC000010</t>
        </is>
      </c>
      <c r="G322" s="104" t="inlineStr">
        <is>
          <t>Charging Port Replacement</t>
        </is>
      </c>
      <c r="H322" s="104" t="inlineStr">
        <is>
          <t>Charging</t>
        </is>
      </c>
      <c r="I322" s="104" t="n"/>
      <c r="J322" s="104" t="n"/>
      <c r="K322" s="104" t="n"/>
      <c r="L322" s="104" t="n"/>
      <c r="M322" s="104" t="n"/>
      <c r="N322" s="104" t="n"/>
      <c r="O322" s="104" t="n"/>
      <c r="P322" s="104" t="n"/>
      <c r="Q322" s="104" t="n"/>
      <c r="R322" s="104" t="n"/>
      <c r="S322" s="110" t="n"/>
      <c r="T322" s="110" t="n"/>
      <c r="U322" s="104" t="n"/>
    </row>
    <row r="323">
      <c r="A323" s="104" t="inlineStr">
        <is>
          <t>GUIDE000322</t>
        </is>
      </c>
      <c r="B323" s="101" t="inlineStr">
        <is>
          <t>DEV000010</t>
        </is>
      </c>
      <c r="C323" s="103" t="inlineStr">
        <is>
          <t>APL</t>
        </is>
      </c>
      <c r="D323" s="103" t="inlineStr">
        <is>
          <t>PHN</t>
        </is>
      </c>
      <c r="E323" s="60" t="inlineStr">
        <is>
          <t>iPhone 6 Plus</t>
        </is>
      </c>
      <c r="F323" s="104" t="inlineStr">
        <is>
          <t>SVC000010</t>
        </is>
      </c>
      <c r="G323" s="104" t="inlineStr">
        <is>
          <t>Charging Port Replacement</t>
        </is>
      </c>
      <c r="H323" s="104" t="inlineStr">
        <is>
          <t>Charging</t>
        </is>
      </c>
      <c r="I323" s="104" t="n"/>
      <c r="J323" s="104" t="n"/>
      <c r="K323" s="104" t="n"/>
      <c r="L323" s="104" t="n"/>
      <c r="M323" s="104" t="n"/>
      <c r="N323" s="104" t="n"/>
      <c r="O323" s="104" t="n"/>
      <c r="P323" s="104" t="n"/>
      <c r="Q323" s="104" t="n"/>
      <c r="R323" s="104" t="n"/>
      <c r="S323" s="110" t="n"/>
      <c r="T323" s="110" t="n"/>
      <c r="U323" s="104" t="n"/>
    </row>
    <row r="324">
      <c r="A324" s="104" t="inlineStr">
        <is>
          <t>GUIDE000323</t>
        </is>
      </c>
      <c r="B324" s="101" t="inlineStr">
        <is>
          <t>DEV000011</t>
        </is>
      </c>
      <c r="C324" s="103" t="inlineStr">
        <is>
          <t>APL</t>
        </is>
      </c>
      <c r="D324" s="103" t="inlineStr">
        <is>
          <t>PHN</t>
        </is>
      </c>
      <c r="E324" s="60" t="inlineStr">
        <is>
          <t>iPhone 6s</t>
        </is>
      </c>
      <c r="F324" s="104" t="inlineStr">
        <is>
          <t>SVC000010</t>
        </is>
      </c>
      <c r="G324" s="104" t="inlineStr">
        <is>
          <t>Charging Port Replacement</t>
        </is>
      </c>
      <c r="H324" s="104" t="inlineStr">
        <is>
          <t>Charging</t>
        </is>
      </c>
      <c r="I324" s="104" t="n"/>
      <c r="J324" s="104" t="n"/>
      <c r="K324" s="104" t="n"/>
      <c r="L324" s="104" t="n"/>
      <c r="M324" s="104" t="n"/>
      <c r="N324" s="104" t="n"/>
      <c r="O324" s="104" t="n"/>
      <c r="P324" s="104" t="n"/>
      <c r="Q324" s="104" t="n"/>
      <c r="R324" s="104" t="n"/>
      <c r="S324" s="110" t="n"/>
      <c r="T324" s="110" t="n"/>
      <c r="U324" s="104" t="n"/>
    </row>
    <row r="325">
      <c r="A325" s="104" t="inlineStr">
        <is>
          <t>GUIDE000324</t>
        </is>
      </c>
      <c r="B325" s="101" t="inlineStr">
        <is>
          <t>DEV000012</t>
        </is>
      </c>
      <c r="C325" s="103" t="inlineStr">
        <is>
          <t>APL</t>
        </is>
      </c>
      <c r="D325" s="103" t="inlineStr">
        <is>
          <t>PHN</t>
        </is>
      </c>
      <c r="E325" s="60" t="inlineStr">
        <is>
          <t>iPhone 6s Plus</t>
        </is>
      </c>
      <c r="F325" s="104" t="inlineStr">
        <is>
          <t>SVC000010</t>
        </is>
      </c>
      <c r="G325" s="104" t="inlineStr">
        <is>
          <t>Charging Port Replacement</t>
        </is>
      </c>
      <c r="H325" s="104" t="inlineStr">
        <is>
          <t>Charging</t>
        </is>
      </c>
      <c r="I325" s="104" t="n"/>
      <c r="J325" s="104" t="n"/>
      <c r="K325" s="104" t="n"/>
      <c r="L325" s="104" t="n"/>
      <c r="M325" s="104" t="n"/>
      <c r="N325" s="104" t="n"/>
      <c r="O325" s="104" t="n"/>
      <c r="P325" s="104" t="n"/>
      <c r="Q325" s="104" t="n"/>
      <c r="R325" s="104" t="n"/>
      <c r="S325" s="110" t="n"/>
      <c r="T325" s="110" t="n"/>
      <c r="U325" s="104" t="n"/>
    </row>
    <row r="326">
      <c r="A326" s="104" t="inlineStr">
        <is>
          <t>GUIDE000325</t>
        </is>
      </c>
      <c r="B326" s="101" t="inlineStr">
        <is>
          <t>DEV000013</t>
        </is>
      </c>
      <c r="C326" s="103" t="inlineStr">
        <is>
          <t>APL</t>
        </is>
      </c>
      <c r="D326" s="103" t="inlineStr">
        <is>
          <t>PHN</t>
        </is>
      </c>
      <c r="E326" s="60" t="inlineStr">
        <is>
          <t>iPhone SE (1st Gen)</t>
        </is>
      </c>
      <c r="F326" s="104" t="inlineStr">
        <is>
          <t>SVC000010</t>
        </is>
      </c>
      <c r="G326" s="104" t="inlineStr">
        <is>
          <t>Charging Port Replacement</t>
        </is>
      </c>
      <c r="H326" s="104" t="inlineStr">
        <is>
          <t>Charging</t>
        </is>
      </c>
      <c r="I326" s="104" t="n"/>
      <c r="J326" s="104" t="n"/>
      <c r="K326" s="104" t="n"/>
      <c r="L326" s="104" t="n"/>
      <c r="M326" s="104" t="n"/>
      <c r="N326" s="104" t="n"/>
      <c r="O326" s="104" t="n"/>
      <c r="P326" s="104" t="n"/>
      <c r="Q326" s="104" t="n"/>
      <c r="R326" s="104" t="n"/>
      <c r="S326" s="110" t="n"/>
      <c r="T326" s="110" t="n"/>
      <c r="U326" s="104" t="n"/>
    </row>
    <row r="327">
      <c r="A327" s="105" t="inlineStr">
        <is>
          <t>GUIDE000326</t>
        </is>
      </c>
      <c r="B327" s="101" t="inlineStr">
        <is>
          <t>DEV000014</t>
        </is>
      </c>
      <c r="C327" s="103" t="inlineStr">
        <is>
          <t>APL</t>
        </is>
      </c>
      <c r="D327" s="103" t="inlineStr">
        <is>
          <t>PHN</t>
        </is>
      </c>
      <c r="E327" s="60" t="inlineStr">
        <is>
          <t>iPhone 7</t>
        </is>
      </c>
      <c r="F327" s="104" t="inlineStr">
        <is>
          <t>SVC000010</t>
        </is>
      </c>
      <c r="G327" s="104" t="inlineStr">
        <is>
          <t>Charging Port Replacement</t>
        </is>
      </c>
      <c r="H327" s="104" t="inlineStr">
        <is>
          <t>Charging</t>
        </is>
      </c>
      <c r="I327" s="104" t="n"/>
      <c r="J327" s="104" t="n"/>
      <c r="K327" s="104" t="n"/>
      <c r="L327" s="104" t="n"/>
      <c r="M327" s="104" t="n"/>
      <c r="N327" s="104" t="n"/>
      <c r="O327" s="104" t="n"/>
      <c r="P327" s="104" t="n"/>
      <c r="Q327" s="104" t="n"/>
      <c r="R327" s="104" t="n"/>
      <c r="S327" s="110" t="n"/>
      <c r="T327" s="110" t="n"/>
      <c r="U327" s="104" t="n"/>
    </row>
    <row r="328">
      <c r="A328" s="104" t="inlineStr">
        <is>
          <t>GUIDE000327</t>
        </is>
      </c>
      <c r="B328" s="101" t="inlineStr">
        <is>
          <t>DEV000015</t>
        </is>
      </c>
      <c r="C328" s="103" t="inlineStr">
        <is>
          <t>APL</t>
        </is>
      </c>
      <c r="D328" s="103" t="inlineStr">
        <is>
          <t>PHN</t>
        </is>
      </c>
      <c r="E328" s="60" t="inlineStr">
        <is>
          <t>iPhone 7 Plus</t>
        </is>
      </c>
      <c r="F328" s="104" t="inlineStr">
        <is>
          <t>SVC000010</t>
        </is>
      </c>
      <c r="G328" s="104" t="inlineStr">
        <is>
          <t>Charging Port Replacement</t>
        </is>
      </c>
      <c r="H328" s="104" t="inlineStr">
        <is>
          <t>Charging</t>
        </is>
      </c>
      <c r="I328" s="104" t="n"/>
      <c r="J328" s="104" t="n"/>
      <c r="K328" s="104" t="n"/>
      <c r="L328" s="104" t="n"/>
      <c r="M328" s="104" t="n"/>
      <c r="N328" s="104" t="n"/>
      <c r="O328" s="104" t="n"/>
      <c r="P328" s="104" t="n"/>
      <c r="Q328" s="104" t="n"/>
      <c r="R328" s="104" t="n"/>
      <c r="S328" s="110" t="n"/>
      <c r="T328" s="110" t="n"/>
      <c r="U328" s="104" t="n"/>
    </row>
    <row r="329">
      <c r="A329" s="104" t="inlineStr">
        <is>
          <t>GUIDE000328</t>
        </is>
      </c>
      <c r="B329" s="101" t="inlineStr">
        <is>
          <t>DEV000016</t>
        </is>
      </c>
      <c r="C329" s="103" t="inlineStr">
        <is>
          <t>APL</t>
        </is>
      </c>
      <c r="D329" s="103" t="inlineStr">
        <is>
          <t>PHN</t>
        </is>
      </c>
      <c r="E329" s="60" t="inlineStr">
        <is>
          <t>iPhone 8</t>
        </is>
      </c>
      <c r="F329" s="104" t="inlineStr">
        <is>
          <t>SVC000010</t>
        </is>
      </c>
      <c r="G329" s="104" t="inlineStr">
        <is>
          <t>Charging Port Replacement</t>
        </is>
      </c>
      <c r="H329" s="104" t="inlineStr">
        <is>
          <t>Charging</t>
        </is>
      </c>
      <c r="I329" s="104" t="n"/>
      <c r="J329" s="104" t="n"/>
      <c r="K329" s="104" t="n"/>
      <c r="L329" s="104" t="n"/>
      <c r="M329" s="104" t="n"/>
      <c r="N329" s="104" t="n"/>
      <c r="O329" s="104" t="n"/>
      <c r="P329" s="104" t="n"/>
      <c r="Q329" s="104" t="n"/>
      <c r="R329" s="104" t="n"/>
      <c r="S329" s="110" t="n"/>
      <c r="T329" s="110" t="n"/>
      <c r="U329" s="104" t="n"/>
    </row>
    <row r="330">
      <c r="A330" s="104" t="inlineStr">
        <is>
          <t>GUIDE000329</t>
        </is>
      </c>
      <c r="B330" s="101" t="inlineStr">
        <is>
          <t>DEV000017</t>
        </is>
      </c>
      <c r="C330" s="103" t="inlineStr">
        <is>
          <t>APL</t>
        </is>
      </c>
      <c r="D330" s="103" t="inlineStr">
        <is>
          <t>PHN</t>
        </is>
      </c>
      <c r="E330" s="60" t="inlineStr">
        <is>
          <t>iPhone 8 Plus</t>
        </is>
      </c>
      <c r="F330" s="104" t="inlineStr">
        <is>
          <t>SVC000010</t>
        </is>
      </c>
      <c r="G330" s="104" t="inlineStr">
        <is>
          <t>Charging Port Replacement</t>
        </is>
      </c>
      <c r="H330" s="104" t="inlineStr">
        <is>
          <t>Charging</t>
        </is>
      </c>
      <c r="I330" s="104" t="n"/>
      <c r="J330" s="104" t="n"/>
      <c r="K330" s="104" t="n"/>
      <c r="L330" s="104" t="n"/>
      <c r="M330" s="104" t="n"/>
      <c r="N330" s="104" t="n"/>
      <c r="O330" s="104" t="n"/>
      <c r="P330" s="104" t="n"/>
      <c r="Q330" s="104" t="n"/>
      <c r="R330" s="104" t="n"/>
      <c r="S330" s="110" t="n"/>
      <c r="T330" s="110" t="n"/>
      <c r="U330" s="104" t="n"/>
    </row>
    <row r="331">
      <c r="A331" s="105" t="inlineStr">
        <is>
          <t>GUIDE000330</t>
        </is>
      </c>
      <c r="B331" s="101" t="inlineStr">
        <is>
          <t>DEV000018</t>
        </is>
      </c>
      <c r="C331" s="103" t="inlineStr">
        <is>
          <t>APL</t>
        </is>
      </c>
      <c r="D331" s="103" t="inlineStr">
        <is>
          <t>PHN</t>
        </is>
      </c>
      <c r="E331" s="60" t="inlineStr">
        <is>
          <t>iPhone X</t>
        </is>
      </c>
      <c r="F331" s="104" t="inlineStr">
        <is>
          <t>SVC000010</t>
        </is>
      </c>
      <c r="G331" s="104" t="inlineStr">
        <is>
          <t>Charging Port Replacement</t>
        </is>
      </c>
      <c r="H331" s="104" t="inlineStr">
        <is>
          <t>Charging</t>
        </is>
      </c>
      <c r="I331" s="104" t="n"/>
      <c r="J331" s="104" t="n"/>
      <c r="K331" s="104" t="n"/>
      <c r="L331" s="104" t="n"/>
      <c r="M331" s="104" t="n"/>
      <c r="N331" s="104" t="n"/>
      <c r="O331" s="104" t="n"/>
      <c r="P331" s="104" t="n"/>
      <c r="Q331" s="104" t="n"/>
      <c r="R331" s="104" t="n"/>
      <c r="S331" s="110" t="n"/>
      <c r="T331" s="110" t="n"/>
      <c r="U331" s="104" t="n"/>
    </row>
    <row r="332">
      <c r="A332" s="104" t="inlineStr">
        <is>
          <t>GUIDE000331</t>
        </is>
      </c>
      <c r="B332" s="101" t="inlineStr">
        <is>
          <t>DEV000019</t>
        </is>
      </c>
      <c r="C332" s="103" t="inlineStr">
        <is>
          <t>APL</t>
        </is>
      </c>
      <c r="D332" s="103" t="inlineStr">
        <is>
          <t>PHN</t>
        </is>
      </c>
      <c r="E332" s="60" t="inlineStr">
        <is>
          <t>iPhone XR</t>
        </is>
      </c>
      <c r="F332" s="104" t="inlineStr">
        <is>
          <t>SVC000010</t>
        </is>
      </c>
      <c r="G332" s="104" t="inlineStr">
        <is>
          <t>Charging Port Replacement</t>
        </is>
      </c>
      <c r="H332" s="104" t="inlineStr">
        <is>
          <t>Charging</t>
        </is>
      </c>
      <c r="I332" s="104" t="n"/>
      <c r="J332" s="104" t="n"/>
      <c r="K332" s="104" t="n"/>
      <c r="L332" s="104" t="n"/>
      <c r="M332" s="104" t="n"/>
      <c r="N332" s="104" t="n"/>
      <c r="O332" s="104" t="n"/>
      <c r="P332" s="104" t="n"/>
      <c r="Q332" s="104" t="n"/>
      <c r="R332" s="104" t="n"/>
      <c r="S332" s="110" t="n"/>
      <c r="T332" s="110" t="n"/>
      <c r="U332" s="104" t="n"/>
    </row>
    <row r="333">
      <c r="A333" s="104" t="inlineStr">
        <is>
          <t>GUIDE000332</t>
        </is>
      </c>
      <c r="B333" s="101" t="inlineStr">
        <is>
          <t>DEV000020</t>
        </is>
      </c>
      <c r="C333" s="103" t="inlineStr">
        <is>
          <t>APL</t>
        </is>
      </c>
      <c r="D333" s="103" t="inlineStr">
        <is>
          <t>PHN</t>
        </is>
      </c>
      <c r="E333" s="60" t="inlineStr">
        <is>
          <t>iPhone XS</t>
        </is>
      </c>
      <c r="F333" s="104" t="inlineStr">
        <is>
          <t>SVC000010</t>
        </is>
      </c>
      <c r="G333" s="104" t="inlineStr">
        <is>
          <t>Charging Port Replacement</t>
        </is>
      </c>
      <c r="H333" s="104" t="inlineStr">
        <is>
          <t>Charging</t>
        </is>
      </c>
      <c r="I333" s="104" t="n"/>
      <c r="J333" s="104" t="n"/>
      <c r="K333" s="104" t="n"/>
      <c r="L333" s="104" t="n"/>
      <c r="M333" s="104" t="n"/>
      <c r="N333" s="104" t="n"/>
      <c r="O333" s="104" t="n"/>
      <c r="P333" s="104" t="n"/>
      <c r="Q333" s="104" t="n"/>
      <c r="R333" s="104" t="n"/>
      <c r="S333" s="110" t="n"/>
      <c r="T333" s="110" t="n"/>
      <c r="U333" s="104" t="n"/>
    </row>
    <row r="334">
      <c r="A334" s="104" t="inlineStr">
        <is>
          <t>GUIDE000333</t>
        </is>
      </c>
      <c r="B334" s="101" t="inlineStr">
        <is>
          <t>DEV000021</t>
        </is>
      </c>
      <c r="C334" s="103" t="inlineStr">
        <is>
          <t>APL</t>
        </is>
      </c>
      <c r="D334" s="103" t="inlineStr">
        <is>
          <t>PHN</t>
        </is>
      </c>
      <c r="E334" s="60" t="inlineStr">
        <is>
          <t>iPhone XS Max</t>
        </is>
      </c>
      <c r="F334" s="104" t="inlineStr">
        <is>
          <t>SVC000010</t>
        </is>
      </c>
      <c r="G334" s="104" t="inlineStr">
        <is>
          <t>Charging Port Replacement</t>
        </is>
      </c>
      <c r="H334" s="104" t="inlineStr">
        <is>
          <t>Charging</t>
        </is>
      </c>
      <c r="I334" s="104" t="n"/>
      <c r="J334" s="104" t="n"/>
      <c r="K334" s="104" t="n"/>
      <c r="L334" s="104" t="n"/>
      <c r="M334" s="104" t="n"/>
      <c r="N334" s="104" t="n"/>
      <c r="O334" s="104" t="n"/>
      <c r="P334" s="104" t="n"/>
      <c r="Q334" s="104" t="n"/>
      <c r="R334" s="104" t="n"/>
      <c r="S334" s="110" t="n"/>
      <c r="T334" s="110" t="n"/>
      <c r="U334" s="104" t="n"/>
    </row>
    <row r="335">
      <c r="A335" s="104" t="inlineStr">
        <is>
          <t>GUIDE000334</t>
        </is>
      </c>
      <c r="B335" s="101" t="inlineStr">
        <is>
          <t>DEV000022</t>
        </is>
      </c>
      <c r="C335" s="103" t="inlineStr">
        <is>
          <t>APL</t>
        </is>
      </c>
      <c r="D335" s="103" t="inlineStr">
        <is>
          <t>PHN</t>
        </is>
      </c>
      <c r="E335" s="60" t="inlineStr">
        <is>
          <t>iPhone 11</t>
        </is>
      </c>
      <c r="F335" s="104" t="inlineStr">
        <is>
          <t>SVC000010</t>
        </is>
      </c>
      <c r="G335" s="104" t="inlineStr">
        <is>
          <t>Charging Port Replacement</t>
        </is>
      </c>
      <c r="H335" s="104" t="inlineStr">
        <is>
          <t>Charging</t>
        </is>
      </c>
      <c r="I335" s="104" t="n"/>
      <c r="J335" s="104" t="n"/>
      <c r="K335" s="104" t="n"/>
      <c r="L335" s="104" t="n"/>
      <c r="M335" s="104" t="n"/>
      <c r="N335" s="104" t="n"/>
      <c r="O335" s="104" t="n"/>
      <c r="P335" s="104" t="n"/>
      <c r="Q335" s="104" t="n"/>
      <c r="R335" s="104" t="n"/>
      <c r="S335" s="110" t="n"/>
      <c r="T335" s="110" t="n"/>
      <c r="U335" s="104" t="n"/>
    </row>
    <row r="336">
      <c r="A336" s="105" t="inlineStr">
        <is>
          <t>GUIDE000335</t>
        </is>
      </c>
      <c r="B336" s="101" t="inlineStr">
        <is>
          <t>DEV000023</t>
        </is>
      </c>
      <c r="C336" s="103" t="inlineStr">
        <is>
          <t>APL</t>
        </is>
      </c>
      <c r="D336" s="103" t="inlineStr">
        <is>
          <t>PHN</t>
        </is>
      </c>
      <c r="E336" s="60" t="inlineStr">
        <is>
          <t>iPhone 11 Pro</t>
        </is>
      </c>
      <c r="F336" s="104" t="inlineStr">
        <is>
          <t>SVC000010</t>
        </is>
      </c>
      <c r="G336" s="104" t="inlineStr">
        <is>
          <t>Charging Port Replacement</t>
        </is>
      </c>
      <c r="H336" s="104" t="inlineStr">
        <is>
          <t>Charging</t>
        </is>
      </c>
      <c r="I336" s="104" t="n"/>
      <c r="J336" s="104" t="n"/>
      <c r="K336" s="104" t="n"/>
      <c r="L336" s="104" t="n"/>
      <c r="M336" s="104" t="n"/>
      <c r="N336" s="104" t="n"/>
      <c r="O336" s="104" t="n"/>
      <c r="P336" s="104" t="n"/>
      <c r="Q336" s="104" t="n"/>
      <c r="R336" s="104" t="n"/>
      <c r="S336" s="110" t="n"/>
      <c r="T336" s="110" t="n"/>
      <c r="U336" s="104" t="n"/>
    </row>
    <row r="337">
      <c r="A337" s="104" t="inlineStr">
        <is>
          <t>GUIDE000336</t>
        </is>
      </c>
      <c r="B337" s="101" t="inlineStr">
        <is>
          <t>DEV000024</t>
        </is>
      </c>
      <c r="C337" s="103" t="inlineStr">
        <is>
          <t>APL</t>
        </is>
      </c>
      <c r="D337" s="103" t="inlineStr">
        <is>
          <t>PHN</t>
        </is>
      </c>
      <c r="E337" s="60" t="inlineStr">
        <is>
          <t>iPhone 11 Pro Max</t>
        </is>
      </c>
      <c r="F337" s="104" t="inlineStr">
        <is>
          <t>SVC000010</t>
        </is>
      </c>
      <c r="G337" s="104" t="inlineStr">
        <is>
          <t>Charging Port Replacement</t>
        </is>
      </c>
      <c r="H337" s="104" t="inlineStr">
        <is>
          <t>Charging</t>
        </is>
      </c>
      <c r="I337" s="104" t="n"/>
      <c r="J337" s="104" t="n"/>
      <c r="K337" s="104" t="n"/>
      <c r="L337" s="104" t="n"/>
      <c r="M337" s="104" t="n"/>
      <c r="N337" s="104" t="n"/>
      <c r="O337" s="104" t="n"/>
      <c r="P337" s="104" t="n"/>
      <c r="Q337" s="104" t="n"/>
      <c r="R337" s="104" t="n"/>
      <c r="S337" s="110" t="n"/>
      <c r="T337" s="110" t="n"/>
      <c r="U337" s="104" t="n"/>
    </row>
    <row r="338">
      <c r="A338" s="104" t="inlineStr">
        <is>
          <t>GUIDE000337</t>
        </is>
      </c>
      <c r="B338" s="101" t="inlineStr">
        <is>
          <t>DEV000025</t>
        </is>
      </c>
      <c r="C338" s="103" t="inlineStr">
        <is>
          <t>APL</t>
        </is>
      </c>
      <c r="D338" s="103" t="inlineStr">
        <is>
          <t>PHN</t>
        </is>
      </c>
      <c r="E338" s="60" t="inlineStr">
        <is>
          <t>iPhone SE (2nd Generation)</t>
        </is>
      </c>
      <c r="F338" s="104" t="inlineStr">
        <is>
          <t>SVC000010</t>
        </is>
      </c>
      <c r="G338" s="104" t="inlineStr">
        <is>
          <t>Charging Port Replacement</t>
        </is>
      </c>
      <c r="H338" s="104" t="inlineStr">
        <is>
          <t>Charging</t>
        </is>
      </c>
      <c r="I338" s="104" t="n"/>
      <c r="J338" s="104" t="n"/>
      <c r="K338" s="104" t="n"/>
      <c r="L338" s="104" t="n"/>
      <c r="M338" s="104" t="n"/>
      <c r="N338" s="104" t="n"/>
      <c r="O338" s="104" t="n"/>
      <c r="P338" s="104" t="n"/>
      <c r="Q338" s="104" t="n"/>
      <c r="R338" s="104" t="n"/>
      <c r="S338" s="110" t="n"/>
      <c r="T338" s="110" t="n"/>
      <c r="U338" s="104" t="n"/>
    </row>
    <row r="339">
      <c r="A339" s="104" t="inlineStr">
        <is>
          <t>GUIDE000338</t>
        </is>
      </c>
      <c r="B339" s="101" t="inlineStr">
        <is>
          <t>DEV000026</t>
        </is>
      </c>
      <c r="C339" s="103" t="inlineStr">
        <is>
          <t>APL</t>
        </is>
      </c>
      <c r="D339" s="103" t="inlineStr">
        <is>
          <t>PHN</t>
        </is>
      </c>
      <c r="E339" s="60" t="inlineStr">
        <is>
          <t>iPhone 12 mini</t>
        </is>
      </c>
      <c r="F339" s="104" t="inlineStr">
        <is>
          <t>SVC000010</t>
        </is>
      </c>
      <c r="G339" s="104" t="inlineStr">
        <is>
          <t>Charging Port Replacement</t>
        </is>
      </c>
      <c r="H339" s="104" t="inlineStr">
        <is>
          <t>Charging</t>
        </is>
      </c>
      <c r="I339" s="104" t="n"/>
      <c r="J339" s="104" t="n"/>
      <c r="K339" s="104" t="n"/>
      <c r="L339" s="104" t="n"/>
      <c r="M339" s="104" t="n"/>
      <c r="N339" s="104" t="n"/>
      <c r="O339" s="104" t="n"/>
      <c r="P339" s="104" t="n"/>
      <c r="Q339" s="104" t="n"/>
      <c r="R339" s="104" t="n"/>
      <c r="S339" s="110" t="n"/>
      <c r="T339" s="110" t="n"/>
      <c r="U339" s="104" t="n"/>
    </row>
    <row r="340">
      <c r="A340" s="105" t="inlineStr">
        <is>
          <t>GUIDE000339</t>
        </is>
      </c>
      <c r="B340" s="101" t="inlineStr">
        <is>
          <t>DEV000027</t>
        </is>
      </c>
      <c r="C340" s="103" t="inlineStr">
        <is>
          <t>APL</t>
        </is>
      </c>
      <c r="D340" s="103" t="inlineStr">
        <is>
          <t>PHN</t>
        </is>
      </c>
      <c r="E340" s="60" t="inlineStr">
        <is>
          <t>iPhone 12</t>
        </is>
      </c>
      <c r="F340" s="104" t="inlineStr">
        <is>
          <t>SVC000010</t>
        </is>
      </c>
      <c r="G340" s="104" t="inlineStr">
        <is>
          <t>Charging Port Replacement</t>
        </is>
      </c>
      <c r="H340" s="104" t="inlineStr">
        <is>
          <t>Charging</t>
        </is>
      </c>
      <c r="I340" s="104" t="n"/>
      <c r="J340" s="104" t="n"/>
      <c r="K340" s="104" t="n"/>
      <c r="L340" s="104" t="n"/>
      <c r="M340" s="104" t="n"/>
      <c r="N340" s="104" t="n"/>
      <c r="O340" s="104" t="n"/>
      <c r="P340" s="104" t="n"/>
      <c r="Q340" s="104" t="n"/>
      <c r="R340" s="104" t="n"/>
      <c r="S340" s="110" t="n"/>
      <c r="T340" s="110" t="n"/>
      <c r="U340" s="104" t="n"/>
    </row>
    <row r="341">
      <c r="A341" s="104" t="inlineStr">
        <is>
          <t>GUIDE000340</t>
        </is>
      </c>
      <c r="B341" s="101" t="inlineStr">
        <is>
          <t>DEV000028</t>
        </is>
      </c>
      <c r="C341" s="103" t="inlineStr">
        <is>
          <t>APL</t>
        </is>
      </c>
      <c r="D341" s="103" t="inlineStr">
        <is>
          <t>PHN</t>
        </is>
      </c>
      <c r="E341" s="60" t="inlineStr">
        <is>
          <t>iPhone 12 Pro</t>
        </is>
      </c>
      <c r="F341" s="104" t="inlineStr">
        <is>
          <t>SVC000010</t>
        </is>
      </c>
      <c r="G341" s="104" t="inlineStr">
        <is>
          <t>Charging Port Replacement</t>
        </is>
      </c>
      <c r="H341" s="104" t="inlineStr">
        <is>
          <t>Charging</t>
        </is>
      </c>
      <c r="I341" s="104" t="n"/>
      <c r="J341" s="104" t="n"/>
      <c r="K341" s="104" t="n"/>
      <c r="L341" s="104" t="n"/>
      <c r="M341" s="104" t="n"/>
      <c r="N341" s="104" t="n"/>
      <c r="O341" s="104" t="n"/>
      <c r="P341" s="104" t="n"/>
      <c r="Q341" s="104" t="n"/>
      <c r="R341" s="104" t="n"/>
      <c r="S341" s="110" t="n"/>
      <c r="T341" s="110" t="n"/>
      <c r="U341" s="104" t="n"/>
    </row>
    <row r="342">
      <c r="A342" s="104" t="inlineStr">
        <is>
          <t>GUIDE000341</t>
        </is>
      </c>
      <c r="B342" s="101" t="inlineStr">
        <is>
          <t>DEV000029</t>
        </is>
      </c>
      <c r="C342" s="103" t="inlineStr">
        <is>
          <t>APL</t>
        </is>
      </c>
      <c r="D342" s="103" t="inlineStr">
        <is>
          <t>PHN</t>
        </is>
      </c>
      <c r="E342" s="60" t="inlineStr">
        <is>
          <t>iPhone 12 Pro Max</t>
        </is>
      </c>
      <c r="F342" s="104" t="inlineStr">
        <is>
          <t>SVC000010</t>
        </is>
      </c>
      <c r="G342" s="104" t="inlineStr">
        <is>
          <t>Charging Port Replacement</t>
        </is>
      </c>
      <c r="H342" s="104" t="inlineStr">
        <is>
          <t>Charging</t>
        </is>
      </c>
      <c r="I342" s="104" t="n"/>
      <c r="J342" s="104" t="n"/>
      <c r="K342" s="104" t="n"/>
      <c r="L342" s="104" t="n"/>
      <c r="M342" s="104" t="n"/>
      <c r="N342" s="104" t="n"/>
      <c r="O342" s="104" t="n"/>
      <c r="P342" s="104" t="n"/>
      <c r="Q342" s="104" t="n"/>
      <c r="R342" s="104" t="n"/>
      <c r="S342" s="110" t="n"/>
      <c r="T342" s="110" t="n"/>
      <c r="U342" s="104" t="n"/>
    </row>
    <row r="343">
      <c r="A343" s="104" t="inlineStr">
        <is>
          <t>GUIDE000342</t>
        </is>
      </c>
      <c r="B343" s="101" t="inlineStr">
        <is>
          <t>DEV000030</t>
        </is>
      </c>
      <c r="C343" s="103" t="inlineStr">
        <is>
          <t>APL</t>
        </is>
      </c>
      <c r="D343" s="103" t="inlineStr">
        <is>
          <t>PHN</t>
        </is>
      </c>
      <c r="E343" s="60" t="inlineStr">
        <is>
          <t>iPhone 13 mini</t>
        </is>
      </c>
      <c r="F343" s="104" t="inlineStr">
        <is>
          <t>SVC000010</t>
        </is>
      </c>
      <c r="G343" s="104" t="inlineStr">
        <is>
          <t>Charging Port Replacement</t>
        </is>
      </c>
      <c r="H343" s="104" t="inlineStr">
        <is>
          <t>Charging</t>
        </is>
      </c>
      <c r="I343" s="104" t="n"/>
      <c r="J343" s="104" t="n"/>
      <c r="K343" s="104" t="n"/>
      <c r="L343" s="104" t="n"/>
      <c r="M343" s="104" t="n"/>
      <c r="N343" s="104" t="n"/>
      <c r="O343" s="104" t="n"/>
      <c r="P343" s="104" t="n"/>
      <c r="Q343" s="104" t="n"/>
      <c r="R343" s="104" t="n"/>
      <c r="S343" s="110" t="n"/>
      <c r="T343" s="110" t="n"/>
      <c r="U343" s="104" t="n"/>
    </row>
    <row r="344">
      <c r="A344" s="104" t="inlineStr">
        <is>
          <t>GUIDE000343</t>
        </is>
      </c>
      <c r="B344" s="101" t="inlineStr">
        <is>
          <t>DEV000031</t>
        </is>
      </c>
      <c r="C344" s="103" t="inlineStr">
        <is>
          <t>APL</t>
        </is>
      </c>
      <c r="D344" s="103" t="inlineStr">
        <is>
          <t>PHN</t>
        </is>
      </c>
      <c r="E344" s="60" t="inlineStr">
        <is>
          <t>iPhone 13</t>
        </is>
      </c>
      <c r="F344" s="104" t="inlineStr">
        <is>
          <t>SVC000010</t>
        </is>
      </c>
      <c r="G344" s="104" t="inlineStr">
        <is>
          <t>Charging Port Replacement</t>
        </is>
      </c>
      <c r="H344" s="104" t="inlineStr">
        <is>
          <t>Charging</t>
        </is>
      </c>
      <c r="I344" s="104" t="n"/>
      <c r="J344" s="104" t="n"/>
      <c r="K344" s="104" t="n"/>
      <c r="L344" s="104" t="n"/>
      <c r="M344" s="104" t="n"/>
      <c r="N344" s="104" t="n"/>
      <c r="O344" s="104" t="n"/>
      <c r="P344" s="104" t="n"/>
      <c r="Q344" s="104" t="n"/>
      <c r="R344" s="104" t="n"/>
      <c r="S344" s="110" t="n"/>
      <c r="T344" s="110" t="n"/>
      <c r="U344" s="104" t="n"/>
    </row>
    <row r="345">
      <c r="A345" s="105" t="inlineStr">
        <is>
          <t>GUIDE000344</t>
        </is>
      </c>
      <c r="B345" s="101" t="inlineStr">
        <is>
          <t>DEV000032</t>
        </is>
      </c>
      <c r="C345" s="103" t="inlineStr">
        <is>
          <t>APL</t>
        </is>
      </c>
      <c r="D345" s="103" t="inlineStr">
        <is>
          <t>PHN</t>
        </is>
      </c>
      <c r="E345" s="60" t="inlineStr">
        <is>
          <t>iPhone 13 Pro</t>
        </is>
      </c>
      <c r="F345" s="104" t="inlineStr">
        <is>
          <t>SVC000010</t>
        </is>
      </c>
      <c r="G345" s="104" t="inlineStr">
        <is>
          <t>Charging Port Replacement</t>
        </is>
      </c>
      <c r="H345" s="104" t="inlineStr">
        <is>
          <t>Charging</t>
        </is>
      </c>
      <c r="I345" s="104" t="n"/>
      <c r="J345" s="104" t="n"/>
      <c r="K345" s="104" t="n"/>
      <c r="L345" s="104" t="n"/>
      <c r="M345" s="104" t="n"/>
      <c r="N345" s="104" t="n"/>
      <c r="O345" s="104" t="n"/>
      <c r="P345" s="104" t="n"/>
      <c r="Q345" s="104" t="n"/>
      <c r="R345" s="104" t="n"/>
      <c r="S345" s="110" t="n"/>
      <c r="T345" s="110" t="n"/>
      <c r="U345" s="104" t="n"/>
    </row>
    <row r="346">
      <c r="A346" s="104" t="inlineStr">
        <is>
          <t>GUIDE000345</t>
        </is>
      </c>
      <c r="B346" s="101" t="inlineStr">
        <is>
          <t>DEV000033</t>
        </is>
      </c>
      <c r="C346" s="103" t="inlineStr">
        <is>
          <t>APL</t>
        </is>
      </c>
      <c r="D346" s="103" t="inlineStr">
        <is>
          <t>PHN</t>
        </is>
      </c>
      <c r="E346" s="60" t="inlineStr">
        <is>
          <t>iPhone 13 Pro Max</t>
        </is>
      </c>
      <c r="F346" s="104" t="inlineStr">
        <is>
          <t>SVC000010</t>
        </is>
      </c>
      <c r="G346" s="104" t="inlineStr">
        <is>
          <t>Charging Port Replacement</t>
        </is>
      </c>
      <c r="H346" s="104" t="inlineStr">
        <is>
          <t>Charging</t>
        </is>
      </c>
      <c r="I346" s="104" t="n"/>
      <c r="J346" s="104" t="n"/>
      <c r="K346" s="104" t="n"/>
      <c r="L346" s="104" t="n"/>
      <c r="M346" s="104" t="n"/>
      <c r="N346" s="104" t="n"/>
      <c r="O346" s="104" t="n"/>
      <c r="P346" s="104" t="n"/>
      <c r="Q346" s="104" t="n"/>
      <c r="R346" s="104" t="n"/>
      <c r="S346" s="110" t="n"/>
      <c r="T346" s="110" t="n"/>
      <c r="U346" s="104" t="n"/>
    </row>
    <row r="347">
      <c r="A347" s="104" t="inlineStr">
        <is>
          <t>GUIDE000346</t>
        </is>
      </c>
      <c r="B347" s="101" t="inlineStr">
        <is>
          <t>DEV000034</t>
        </is>
      </c>
      <c r="C347" s="103" t="inlineStr">
        <is>
          <t>APL</t>
        </is>
      </c>
      <c r="D347" s="103" t="inlineStr">
        <is>
          <t>PHN</t>
        </is>
      </c>
      <c r="E347" s="60" t="inlineStr">
        <is>
          <t>iPhone SE (3rd Generation)</t>
        </is>
      </c>
      <c r="F347" s="104" t="inlineStr">
        <is>
          <t>SVC000010</t>
        </is>
      </c>
      <c r="G347" s="104" t="inlineStr">
        <is>
          <t>Charging Port Replacement</t>
        </is>
      </c>
      <c r="H347" s="104" t="inlineStr">
        <is>
          <t>Charging</t>
        </is>
      </c>
      <c r="I347" s="104" t="n"/>
      <c r="J347" s="104" t="n"/>
      <c r="K347" s="104" t="n"/>
      <c r="L347" s="104" t="n"/>
      <c r="M347" s="104" t="n"/>
      <c r="N347" s="104" t="n"/>
      <c r="O347" s="104" t="n"/>
      <c r="P347" s="104" t="n"/>
      <c r="Q347" s="104" t="n"/>
      <c r="R347" s="104" t="n"/>
      <c r="S347" s="110" t="n"/>
      <c r="T347" s="110" t="n"/>
      <c r="U347" s="104" t="n"/>
    </row>
    <row r="348">
      <c r="A348" s="104" t="inlineStr">
        <is>
          <t>GUIDE000347</t>
        </is>
      </c>
      <c r="B348" s="101" t="inlineStr">
        <is>
          <t>DEV000035</t>
        </is>
      </c>
      <c r="C348" s="103" t="inlineStr">
        <is>
          <t>APL</t>
        </is>
      </c>
      <c r="D348" s="103" t="inlineStr">
        <is>
          <t>PHN</t>
        </is>
      </c>
      <c r="E348" s="60" t="inlineStr">
        <is>
          <t>iPhone 14</t>
        </is>
      </c>
      <c r="F348" s="104" t="inlineStr">
        <is>
          <t>SVC000010</t>
        </is>
      </c>
      <c r="G348" s="104" t="inlineStr">
        <is>
          <t>Charging Port Replacement</t>
        </is>
      </c>
      <c r="H348" s="104" t="inlineStr">
        <is>
          <t>Charging</t>
        </is>
      </c>
      <c r="I348" s="104" t="n"/>
      <c r="J348" s="104" t="n"/>
      <c r="K348" s="104" t="n"/>
      <c r="L348" s="104" t="n"/>
      <c r="M348" s="104" t="n"/>
      <c r="N348" s="104" t="n"/>
      <c r="O348" s="104" t="n"/>
      <c r="P348" s="104" t="n"/>
      <c r="Q348" s="104" t="n"/>
      <c r="R348" s="104" t="n"/>
      <c r="S348" s="110" t="n"/>
      <c r="T348" s="110" t="n"/>
      <c r="U348" s="104" t="n"/>
    </row>
    <row r="349">
      <c r="A349" s="105" t="inlineStr">
        <is>
          <t>GUIDE000348</t>
        </is>
      </c>
      <c r="B349" s="101" t="inlineStr">
        <is>
          <t>DEV000036</t>
        </is>
      </c>
      <c r="C349" s="103" t="inlineStr">
        <is>
          <t>APL</t>
        </is>
      </c>
      <c r="D349" s="103" t="inlineStr">
        <is>
          <t>PHN</t>
        </is>
      </c>
      <c r="E349" s="60" t="inlineStr">
        <is>
          <t>iPhone 14 Plus</t>
        </is>
      </c>
      <c r="F349" s="104" t="inlineStr">
        <is>
          <t>SVC000010</t>
        </is>
      </c>
      <c r="G349" s="104" t="inlineStr">
        <is>
          <t>Charging Port Replacement</t>
        </is>
      </c>
      <c r="H349" s="104" t="inlineStr">
        <is>
          <t>Charging</t>
        </is>
      </c>
      <c r="I349" s="104" t="n"/>
      <c r="J349" s="104" t="n"/>
      <c r="K349" s="104" t="n"/>
      <c r="L349" s="104" t="n"/>
      <c r="M349" s="104" t="n"/>
      <c r="N349" s="104" t="n"/>
      <c r="O349" s="104" t="n"/>
      <c r="P349" s="104" t="n"/>
      <c r="Q349" s="104" t="n"/>
      <c r="R349" s="104" t="n"/>
      <c r="S349" s="110" t="n"/>
      <c r="T349" s="110" t="n"/>
      <c r="U349" s="104" t="n"/>
    </row>
    <row r="350">
      <c r="A350" s="104" t="inlineStr">
        <is>
          <t>GUIDE000349</t>
        </is>
      </c>
      <c r="B350" s="101" t="inlineStr">
        <is>
          <t>DEV000037</t>
        </is>
      </c>
      <c r="C350" s="103" t="inlineStr">
        <is>
          <t>APL</t>
        </is>
      </c>
      <c r="D350" s="103" t="inlineStr">
        <is>
          <t>PHN</t>
        </is>
      </c>
      <c r="E350" s="60" t="inlineStr">
        <is>
          <t>iPhone 14 Pro</t>
        </is>
      </c>
      <c r="F350" s="104" t="inlineStr">
        <is>
          <t>SVC000010</t>
        </is>
      </c>
      <c r="G350" s="104" t="inlineStr">
        <is>
          <t>Charging Port Replacement</t>
        </is>
      </c>
      <c r="H350" s="104" t="inlineStr">
        <is>
          <t>Charging</t>
        </is>
      </c>
      <c r="I350" s="104" t="n"/>
      <c r="J350" s="104" t="n"/>
      <c r="K350" s="104" t="n"/>
      <c r="L350" s="104" t="n"/>
      <c r="M350" s="104" t="n"/>
      <c r="N350" s="104" t="n"/>
      <c r="O350" s="104" t="n"/>
      <c r="P350" s="104" t="n"/>
      <c r="Q350" s="104" t="n"/>
      <c r="R350" s="104" t="n"/>
      <c r="S350" s="110" t="n"/>
      <c r="T350" s="110" t="n"/>
      <c r="U350" s="104" t="n"/>
    </row>
    <row r="351">
      <c r="A351" s="104" t="inlineStr">
        <is>
          <t>GUIDE000350</t>
        </is>
      </c>
      <c r="B351" s="101" t="inlineStr">
        <is>
          <t>DEV000038</t>
        </is>
      </c>
      <c r="C351" s="103" t="inlineStr">
        <is>
          <t>APL</t>
        </is>
      </c>
      <c r="D351" s="103" t="inlineStr">
        <is>
          <t>PHN</t>
        </is>
      </c>
      <c r="E351" s="60" t="inlineStr">
        <is>
          <t>iPhone 14 Pro Max</t>
        </is>
      </c>
      <c r="F351" s="104" t="inlineStr">
        <is>
          <t>SVC000010</t>
        </is>
      </c>
      <c r="G351" s="104" t="inlineStr">
        <is>
          <t>Charging Port Replacement</t>
        </is>
      </c>
      <c r="H351" s="104" t="inlineStr">
        <is>
          <t>Charging</t>
        </is>
      </c>
      <c r="I351" s="104" t="n"/>
      <c r="J351" s="104" t="n"/>
      <c r="K351" s="104" t="n"/>
      <c r="L351" s="104" t="n"/>
      <c r="M351" s="104" t="n"/>
      <c r="N351" s="104" t="n"/>
      <c r="O351" s="104" t="n"/>
      <c r="P351" s="104" t="n"/>
      <c r="Q351" s="104" t="n"/>
      <c r="R351" s="104" t="n"/>
      <c r="S351" s="110" t="n"/>
      <c r="T351" s="110" t="n"/>
      <c r="U351" s="104" t="n"/>
    </row>
    <row r="352">
      <c r="A352" s="104" t="inlineStr">
        <is>
          <t>GUIDE000351</t>
        </is>
      </c>
      <c r="B352" s="101" t="inlineStr">
        <is>
          <t>DEV000039</t>
        </is>
      </c>
      <c r="C352" s="103" t="inlineStr">
        <is>
          <t>APL</t>
        </is>
      </c>
      <c r="D352" s="103" t="inlineStr">
        <is>
          <t>PHN</t>
        </is>
      </c>
      <c r="E352" s="60" t="inlineStr">
        <is>
          <t>iPhone 15</t>
        </is>
      </c>
      <c r="F352" s="104" t="inlineStr">
        <is>
          <t>SVC000010</t>
        </is>
      </c>
      <c r="G352" s="104" t="inlineStr">
        <is>
          <t>Charging Port Replacement</t>
        </is>
      </c>
      <c r="H352" s="104" t="inlineStr">
        <is>
          <t>Charging</t>
        </is>
      </c>
      <c r="I352" s="104" t="n"/>
      <c r="J352" s="104" t="n"/>
      <c r="K352" s="104" t="n"/>
      <c r="L352" s="104" t="n"/>
      <c r="M352" s="104" t="n"/>
      <c r="N352" s="104" t="n"/>
      <c r="O352" s="104" t="n"/>
      <c r="P352" s="104" t="n"/>
      <c r="Q352" s="104" t="n"/>
      <c r="R352" s="104" t="n"/>
      <c r="S352" s="110" t="n"/>
      <c r="T352" s="110" t="n"/>
      <c r="U352" s="104" t="n"/>
    </row>
    <row r="353">
      <c r="A353" s="104" t="inlineStr">
        <is>
          <t>GUIDE000352</t>
        </is>
      </c>
      <c r="B353" s="101" t="inlineStr">
        <is>
          <t>DEV000040</t>
        </is>
      </c>
      <c r="C353" s="103" t="inlineStr">
        <is>
          <t>APL</t>
        </is>
      </c>
      <c r="D353" s="103" t="inlineStr">
        <is>
          <t>PHN</t>
        </is>
      </c>
      <c r="E353" s="60" t="inlineStr">
        <is>
          <t>iPhone 15 Plus</t>
        </is>
      </c>
      <c r="F353" s="104" t="inlineStr">
        <is>
          <t>SVC000010</t>
        </is>
      </c>
      <c r="G353" s="104" t="inlineStr">
        <is>
          <t>Charging Port Replacement</t>
        </is>
      </c>
      <c r="H353" s="104" t="inlineStr">
        <is>
          <t>Charging</t>
        </is>
      </c>
      <c r="I353" s="104" t="n"/>
      <c r="J353" s="104" t="n"/>
      <c r="K353" s="104" t="n"/>
      <c r="L353" s="104" t="n"/>
      <c r="M353" s="104" t="n"/>
      <c r="N353" s="104" t="n"/>
      <c r="O353" s="104" t="n"/>
      <c r="P353" s="104" t="n"/>
      <c r="Q353" s="104" t="n"/>
      <c r="R353" s="104" t="n"/>
      <c r="S353" s="110" t="n"/>
      <c r="T353" s="110" t="n"/>
      <c r="U353" s="104" t="n"/>
    </row>
    <row r="354">
      <c r="A354" s="105" t="inlineStr">
        <is>
          <t>GUIDE000353</t>
        </is>
      </c>
      <c r="B354" s="101" t="inlineStr">
        <is>
          <t>DEV000041</t>
        </is>
      </c>
      <c r="C354" s="103" t="inlineStr">
        <is>
          <t>APL</t>
        </is>
      </c>
      <c r="D354" s="103" t="inlineStr">
        <is>
          <t>PHN</t>
        </is>
      </c>
      <c r="E354" s="60" t="inlineStr">
        <is>
          <t>iPhone 15 Pro</t>
        </is>
      </c>
      <c r="F354" s="104" t="inlineStr">
        <is>
          <t>SVC000010</t>
        </is>
      </c>
      <c r="G354" s="104" t="inlineStr">
        <is>
          <t>Charging Port Replacement</t>
        </is>
      </c>
      <c r="H354" s="104" t="inlineStr">
        <is>
          <t>Charging</t>
        </is>
      </c>
      <c r="I354" s="104" t="n"/>
      <c r="J354" s="104" t="n"/>
      <c r="K354" s="104" t="n"/>
      <c r="L354" s="104" t="n"/>
      <c r="M354" s="104" t="n"/>
      <c r="N354" s="104" t="n"/>
      <c r="O354" s="104" t="n"/>
      <c r="P354" s="104" t="n"/>
      <c r="Q354" s="104" t="n"/>
      <c r="R354" s="104" t="n"/>
      <c r="S354" s="110" t="n"/>
      <c r="T354" s="110" t="n"/>
      <c r="U354" s="104" t="n"/>
    </row>
    <row r="355">
      <c r="A355" s="104" t="inlineStr">
        <is>
          <t>GUIDE000354</t>
        </is>
      </c>
      <c r="B355" s="101" t="inlineStr">
        <is>
          <t>DEV000042</t>
        </is>
      </c>
      <c r="C355" s="103" t="inlineStr">
        <is>
          <t>APL</t>
        </is>
      </c>
      <c r="D355" s="103" t="inlineStr">
        <is>
          <t>PHN</t>
        </is>
      </c>
      <c r="E355" s="60" t="inlineStr">
        <is>
          <t>iPhone 15 Pro Max</t>
        </is>
      </c>
      <c r="F355" s="104" t="inlineStr">
        <is>
          <t>SVC000010</t>
        </is>
      </c>
      <c r="G355" s="104" t="inlineStr">
        <is>
          <t>Charging Port Replacement</t>
        </is>
      </c>
      <c r="H355" s="104" t="inlineStr">
        <is>
          <t>Charging</t>
        </is>
      </c>
      <c r="I355" s="104" t="n"/>
      <c r="J355" s="104" t="n"/>
      <c r="K355" s="104" t="n"/>
      <c r="L355" s="104" t="n"/>
      <c r="M355" s="104" t="n"/>
      <c r="N355" s="104" t="n"/>
      <c r="O355" s="104" t="n"/>
      <c r="P355" s="104" t="n"/>
      <c r="Q355" s="104" t="n"/>
      <c r="R355" s="104" t="n"/>
      <c r="S355" s="110" t="n"/>
      <c r="T355" s="110" t="n"/>
      <c r="U355" s="104" t="n"/>
    </row>
    <row r="356">
      <c r="A356" s="104" t="inlineStr">
        <is>
          <t>GUIDE000355</t>
        </is>
      </c>
      <c r="B356" s="101" t="inlineStr">
        <is>
          <t>DEV000043</t>
        </is>
      </c>
      <c r="C356" s="103" t="inlineStr">
        <is>
          <t>APL</t>
        </is>
      </c>
      <c r="D356" s="103" t="inlineStr">
        <is>
          <t>PHN</t>
        </is>
      </c>
      <c r="E356" s="60" t="inlineStr">
        <is>
          <t>iPhone 16</t>
        </is>
      </c>
      <c r="F356" s="104" t="inlineStr">
        <is>
          <t>SVC000010</t>
        </is>
      </c>
      <c r="G356" s="104" t="inlineStr">
        <is>
          <t>Charging Port Replacement</t>
        </is>
      </c>
      <c r="H356" s="104" t="inlineStr">
        <is>
          <t>Charging</t>
        </is>
      </c>
      <c r="I356" s="104" t="n"/>
      <c r="J356" s="104" t="n"/>
      <c r="K356" s="104" t="n"/>
      <c r="L356" s="104" t="n"/>
      <c r="M356" s="104" t="n"/>
      <c r="N356" s="104" t="n"/>
      <c r="O356" s="104" t="n"/>
      <c r="P356" s="104" t="n"/>
      <c r="Q356" s="104" t="n"/>
      <c r="R356" s="104" t="n"/>
      <c r="S356" s="110" t="n"/>
      <c r="T356" s="110" t="n"/>
      <c r="U356" s="104" t="n"/>
    </row>
    <row r="357">
      <c r="A357" s="104" t="inlineStr">
        <is>
          <t>GUIDE000356</t>
        </is>
      </c>
      <c r="B357" s="101" t="inlineStr">
        <is>
          <t>DEV000044</t>
        </is>
      </c>
      <c r="C357" s="103" t="inlineStr">
        <is>
          <t>APL</t>
        </is>
      </c>
      <c r="D357" s="103" t="inlineStr">
        <is>
          <t>PHN</t>
        </is>
      </c>
      <c r="E357" s="60" t="inlineStr">
        <is>
          <t>iPhone 16 Plus</t>
        </is>
      </c>
      <c r="F357" s="104" t="inlineStr">
        <is>
          <t>SVC000010</t>
        </is>
      </c>
      <c r="G357" s="104" t="inlineStr">
        <is>
          <t>Charging Port Replacement</t>
        </is>
      </c>
      <c r="H357" s="104" t="inlineStr">
        <is>
          <t>Charging</t>
        </is>
      </c>
      <c r="I357" s="104" t="n"/>
      <c r="J357" s="104" t="n"/>
      <c r="K357" s="104" t="n"/>
      <c r="L357" s="104" t="n"/>
      <c r="M357" s="104" t="n"/>
      <c r="N357" s="104" t="n"/>
      <c r="O357" s="104" t="n"/>
      <c r="P357" s="104" t="n"/>
      <c r="Q357" s="104" t="n"/>
      <c r="R357" s="104" t="n"/>
      <c r="S357" s="110" t="n"/>
      <c r="T357" s="110" t="n"/>
      <c r="U357" s="104" t="n"/>
    </row>
    <row r="358">
      <c r="A358" s="105" t="inlineStr">
        <is>
          <t>GUIDE000357</t>
        </is>
      </c>
      <c r="B358" s="101" t="inlineStr">
        <is>
          <t>DEV000045</t>
        </is>
      </c>
      <c r="C358" s="103" t="inlineStr">
        <is>
          <t>APL</t>
        </is>
      </c>
      <c r="D358" s="103" t="inlineStr">
        <is>
          <t>PHN</t>
        </is>
      </c>
      <c r="E358" s="60" t="inlineStr">
        <is>
          <t>iPhone 16 Pro</t>
        </is>
      </c>
      <c r="F358" s="104" t="inlineStr">
        <is>
          <t>SVC000010</t>
        </is>
      </c>
      <c r="G358" s="104" t="inlineStr">
        <is>
          <t>Charging Port Replacement</t>
        </is>
      </c>
      <c r="H358" s="104" t="inlineStr">
        <is>
          <t>Charging</t>
        </is>
      </c>
      <c r="I358" s="104" t="n"/>
      <c r="J358" s="104" t="n"/>
      <c r="K358" s="104" t="n"/>
      <c r="L358" s="104" t="n"/>
      <c r="M358" s="104" t="n"/>
      <c r="N358" s="104" t="n"/>
      <c r="O358" s="104" t="n"/>
      <c r="P358" s="104" t="n"/>
      <c r="Q358" s="104" t="n"/>
      <c r="R358" s="104" t="n"/>
      <c r="S358" s="110" t="n"/>
      <c r="T358" s="110" t="n"/>
      <c r="U358" s="104" t="n"/>
    </row>
    <row r="359">
      <c r="A359" s="104" t="inlineStr">
        <is>
          <t>GUIDE000358</t>
        </is>
      </c>
      <c r="B359" s="101" t="inlineStr">
        <is>
          <t>DEV000046</t>
        </is>
      </c>
      <c r="C359" s="103" t="inlineStr">
        <is>
          <t>APL</t>
        </is>
      </c>
      <c r="D359" s="103" t="inlineStr">
        <is>
          <t>PHN</t>
        </is>
      </c>
      <c r="E359" s="60" t="inlineStr">
        <is>
          <t>iPhone 16 Pro Max</t>
        </is>
      </c>
      <c r="F359" s="104" t="inlineStr">
        <is>
          <t>SVC000010</t>
        </is>
      </c>
      <c r="G359" s="104" t="inlineStr">
        <is>
          <t>Charging Port Replacement</t>
        </is>
      </c>
      <c r="H359" s="104" t="inlineStr">
        <is>
          <t>Charging</t>
        </is>
      </c>
      <c r="I359" s="104" t="n"/>
      <c r="J359" s="104" t="n"/>
      <c r="K359" s="104" t="n"/>
      <c r="L359" s="104" t="n"/>
      <c r="M359" s="104" t="n"/>
      <c r="N359" s="104" t="n"/>
      <c r="O359" s="104" t="n"/>
      <c r="P359" s="104" t="n"/>
      <c r="Q359" s="104" t="n"/>
      <c r="R359" s="104" t="n"/>
      <c r="S359" s="110" t="n"/>
      <c r="T359" s="110" t="n"/>
      <c r="U359" s="104" t="n"/>
    </row>
    <row r="360">
      <c r="A360" s="104" t="inlineStr">
        <is>
          <t>GUIDE000359</t>
        </is>
      </c>
      <c r="B360" s="101" t="inlineStr">
        <is>
          <t>DEV000047</t>
        </is>
      </c>
      <c r="C360" s="103" t="inlineStr">
        <is>
          <t>APL</t>
        </is>
      </c>
      <c r="D360" s="103" t="inlineStr">
        <is>
          <t>PHN</t>
        </is>
      </c>
      <c r="E360" s="60" t="inlineStr">
        <is>
          <t>iPhone 16e</t>
        </is>
      </c>
      <c r="F360" s="104" t="inlineStr">
        <is>
          <t>SVC000010</t>
        </is>
      </c>
      <c r="G360" s="104" t="inlineStr">
        <is>
          <t>Charging Port Replacement</t>
        </is>
      </c>
      <c r="H360" s="104" t="inlineStr">
        <is>
          <t>Charging</t>
        </is>
      </c>
      <c r="I360" s="104" t="n"/>
      <c r="J360" s="104" t="n"/>
      <c r="K360" s="104" t="n"/>
      <c r="L360" s="104" t="n"/>
      <c r="M360" s="104" t="n"/>
      <c r="N360" s="104" t="n"/>
      <c r="O360" s="104" t="n"/>
      <c r="P360" s="104" t="n"/>
      <c r="Q360" s="104" t="n"/>
      <c r="R360" s="104" t="n"/>
      <c r="S360" s="110" t="n"/>
      <c r="T360" s="110" t="n"/>
      <c r="U360" s="104" t="n"/>
    </row>
    <row r="361">
      <c r="A361" s="104" t="inlineStr">
        <is>
          <t>GUIDE000360</t>
        </is>
      </c>
      <c r="B361" s="101" t="inlineStr">
        <is>
          <t>DEV000048</t>
        </is>
      </c>
      <c r="C361" s="103" t="inlineStr">
        <is>
          <t>APL</t>
        </is>
      </c>
      <c r="D361" s="103" t="inlineStr">
        <is>
          <t>PHN</t>
        </is>
      </c>
      <c r="E361" s="60" t="inlineStr">
        <is>
          <t>iPhone 17</t>
        </is>
      </c>
      <c r="F361" s="104" t="inlineStr">
        <is>
          <t>SVC000010</t>
        </is>
      </c>
      <c r="G361" s="104" t="inlineStr">
        <is>
          <t>Charging Port Replacement</t>
        </is>
      </c>
      <c r="H361" s="104" t="inlineStr">
        <is>
          <t>Charging</t>
        </is>
      </c>
      <c r="I361" s="104" t="n"/>
      <c r="J361" s="104" t="n"/>
      <c r="K361" s="104" t="n"/>
      <c r="L361" s="104" t="n"/>
      <c r="M361" s="104" t="n"/>
      <c r="N361" s="104" t="n"/>
      <c r="O361" s="104" t="n"/>
      <c r="P361" s="104" t="n"/>
      <c r="Q361" s="104" t="n"/>
      <c r="R361" s="104" t="n"/>
      <c r="S361" s="110" t="n"/>
      <c r="T361" s="110" t="n"/>
      <c r="U361" s="104" t="n"/>
    </row>
    <row r="362">
      <c r="A362" s="104" t="inlineStr">
        <is>
          <t>GUIDE000361</t>
        </is>
      </c>
      <c r="B362" s="101" t="inlineStr">
        <is>
          <t>DEV000049</t>
        </is>
      </c>
      <c r="C362" s="103" t="inlineStr">
        <is>
          <t>APL</t>
        </is>
      </c>
      <c r="D362" s="103" t="inlineStr">
        <is>
          <t>PHN</t>
        </is>
      </c>
      <c r="E362" s="60" t="inlineStr">
        <is>
          <t>iPhone 17 Pro</t>
        </is>
      </c>
      <c r="F362" s="104" t="inlineStr">
        <is>
          <t>SVC000010</t>
        </is>
      </c>
      <c r="G362" s="104" t="inlineStr">
        <is>
          <t>Charging Port Replacement</t>
        </is>
      </c>
      <c r="H362" s="104" t="inlineStr">
        <is>
          <t>Charging</t>
        </is>
      </c>
      <c r="I362" s="104" t="n"/>
      <c r="J362" s="104" t="n"/>
      <c r="K362" s="104" t="n"/>
      <c r="L362" s="104" t="n"/>
      <c r="M362" s="104" t="n"/>
      <c r="N362" s="104" t="n"/>
      <c r="O362" s="104" t="n"/>
      <c r="P362" s="104" t="n"/>
      <c r="Q362" s="104" t="n"/>
      <c r="R362" s="104" t="n"/>
      <c r="S362" s="110" t="n"/>
      <c r="T362" s="110" t="n"/>
      <c r="U362" s="104" t="n"/>
    </row>
    <row r="363">
      <c r="A363" s="105" t="inlineStr">
        <is>
          <t>GUIDE000362</t>
        </is>
      </c>
      <c r="B363" s="101" t="inlineStr">
        <is>
          <t>DEV000050</t>
        </is>
      </c>
      <c r="C363" s="103" t="inlineStr">
        <is>
          <t>APL</t>
        </is>
      </c>
      <c r="D363" s="103" t="inlineStr">
        <is>
          <t>PHN</t>
        </is>
      </c>
      <c r="E363" s="60" t="inlineStr">
        <is>
          <t>iPhone 17 Pro Max</t>
        </is>
      </c>
      <c r="F363" s="104" t="inlineStr">
        <is>
          <t>SVC000010</t>
        </is>
      </c>
      <c r="G363" s="104" t="inlineStr">
        <is>
          <t>Charging Port Replacement</t>
        </is>
      </c>
      <c r="H363" s="104" t="inlineStr">
        <is>
          <t>Charging</t>
        </is>
      </c>
      <c r="I363" s="104" t="n"/>
      <c r="J363" s="104" t="n"/>
      <c r="K363" s="104" t="n"/>
      <c r="L363" s="104" t="n"/>
      <c r="M363" s="104" t="n"/>
      <c r="N363" s="104" t="n"/>
      <c r="O363" s="104" t="n"/>
      <c r="P363" s="104" t="n"/>
      <c r="Q363" s="104" t="n"/>
      <c r="R363" s="104" t="n"/>
      <c r="S363" s="110" t="n"/>
      <c r="T363" s="110" t="n"/>
      <c r="U363" s="104" t="n"/>
    </row>
    <row r="364">
      <c r="A364" s="104" t="inlineStr">
        <is>
          <t>GUIDE000363</t>
        </is>
      </c>
      <c r="B364" s="101" t="inlineStr">
        <is>
          <t>DEV000051</t>
        </is>
      </c>
      <c r="C364" s="103" t="inlineStr">
        <is>
          <t>APL</t>
        </is>
      </c>
      <c r="D364" s="103" t="inlineStr">
        <is>
          <t>PHN</t>
        </is>
      </c>
      <c r="E364" s="60" t="inlineStr">
        <is>
          <t>iPhone Air</t>
        </is>
      </c>
      <c r="F364" s="104" t="inlineStr">
        <is>
          <t>SVC000010</t>
        </is>
      </c>
      <c r="G364" s="104" t="inlineStr">
        <is>
          <t>Charging Port Replacement</t>
        </is>
      </c>
      <c r="H364" s="104" t="inlineStr">
        <is>
          <t>Charging</t>
        </is>
      </c>
      <c r="I364" s="104" t="n"/>
      <c r="J364" s="104" t="n"/>
      <c r="K364" s="104" t="n"/>
      <c r="L364" s="104" t="n"/>
      <c r="M364" s="104" t="n"/>
      <c r="N364" s="104" t="n"/>
      <c r="O364" s="104" t="n"/>
      <c r="P364" s="104" t="n"/>
      <c r="Q364" s="104" t="n"/>
      <c r="R364" s="104" t="n"/>
      <c r="S364" s="110" t="n"/>
      <c r="T364" s="110" t="n"/>
      <c r="U364" s="104" t="n"/>
    </row>
    <row r="365">
      <c r="A365" s="104" t="inlineStr">
        <is>
          <t>GUIDE000364</t>
        </is>
      </c>
      <c r="B365" s="101" t="inlineStr">
        <is>
          <t>DEV000052</t>
        </is>
      </c>
      <c r="C365" s="103" t="inlineStr">
        <is>
          <t>APL</t>
        </is>
      </c>
      <c r="D365" s="103" t="inlineStr">
        <is>
          <t>PHN</t>
        </is>
      </c>
      <c r="E365" s="60" t="inlineStr">
        <is>
          <t>iPhone 17e</t>
        </is>
      </c>
      <c r="F365" s="104" t="inlineStr">
        <is>
          <t>SVC000010</t>
        </is>
      </c>
      <c r="G365" s="104" t="inlineStr">
        <is>
          <t>Charging Port Replacement</t>
        </is>
      </c>
      <c r="H365" s="104" t="inlineStr">
        <is>
          <t>Charging</t>
        </is>
      </c>
      <c r="I365" s="104" t="n"/>
      <c r="J365" s="104" t="n"/>
      <c r="K365" s="104" t="n"/>
      <c r="L365" s="104" t="n"/>
      <c r="M365" s="104" t="n"/>
      <c r="N365" s="104" t="n"/>
      <c r="O365" s="104" t="n"/>
      <c r="P365" s="104" t="n"/>
      <c r="Q365" s="104" t="n"/>
      <c r="R365" s="104" t="n"/>
      <c r="S365" s="110" t="n"/>
      <c r="T365" s="110" t="n"/>
      <c r="U365" s="104" t="n"/>
    </row>
    <row r="366">
      <c r="A366" s="104" t="inlineStr">
        <is>
          <t>GUIDE000365</t>
        </is>
      </c>
      <c r="B366" s="101" t="inlineStr">
        <is>
          <t>DEV000001</t>
        </is>
      </c>
      <c r="C366" s="103" t="inlineStr">
        <is>
          <t>APL</t>
        </is>
      </c>
      <c r="D366" s="103" t="inlineStr">
        <is>
          <t>PHN</t>
        </is>
      </c>
      <c r="E366" s="60" t="inlineStr">
        <is>
          <t>iPhone (2G)</t>
        </is>
      </c>
      <c r="F366" s="104" t="inlineStr">
        <is>
          <t>SVC000011</t>
        </is>
      </c>
      <c r="G366" s="104" t="inlineStr">
        <is>
          <t>Charging Port Cleaning</t>
        </is>
      </c>
      <c r="H366" s="104" t="inlineStr">
        <is>
          <t>Charging</t>
        </is>
      </c>
      <c r="I366" s="104" t="n"/>
      <c r="J366" s="104" t="n"/>
      <c r="K366" s="104" t="n"/>
      <c r="L366" s="104" t="n"/>
      <c r="M366" s="104" t="n"/>
      <c r="N366" s="104" t="n"/>
      <c r="O366" s="104" t="n"/>
      <c r="P366" s="104" t="n"/>
      <c r="Q366" s="104" t="n"/>
      <c r="R366" s="104" t="n"/>
      <c r="S366" s="110" t="n"/>
      <c r="T366" s="110" t="n"/>
      <c r="U366" s="104" t="n"/>
    </row>
    <row r="367">
      <c r="A367" s="105" t="inlineStr">
        <is>
          <t>GUIDE000366</t>
        </is>
      </c>
      <c r="B367" s="101" t="inlineStr">
        <is>
          <t>DEV000002</t>
        </is>
      </c>
      <c r="C367" s="103" t="inlineStr">
        <is>
          <t>APL</t>
        </is>
      </c>
      <c r="D367" s="103" t="inlineStr">
        <is>
          <t>PHN</t>
        </is>
      </c>
      <c r="E367" s="60" t="inlineStr">
        <is>
          <t>iPhone 3G</t>
        </is>
      </c>
      <c r="F367" s="104" t="inlineStr">
        <is>
          <t>SVC000011</t>
        </is>
      </c>
      <c r="G367" s="104" t="inlineStr">
        <is>
          <t>Charging Port Cleaning</t>
        </is>
      </c>
      <c r="H367" s="104" t="inlineStr">
        <is>
          <t>Charging</t>
        </is>
      </c>
      <c r="I367" s="104" t="n"/>
      <c r="J367" s="104" t="n"/>
      <c r="K367" s="104" t="n"/>
      <c r="L367" s="104" t="n"/>
      <c r="M367" s="104" t="n"/>
      <c r="N367" s="104" t="n"/>
      <c r="O367" s="104" t="n"/>
      <c r="P367" s="104" t="n"/>
      <c r="Q367" s="104" t="n"/>
      <c r="R367" s="104" t="n"/>
      <c r="S367" s="110" t="n"/>
      <c r="T367" s="110" t="n"/>
      <c r="U367" s="104" t="n"/>
    </row>
    <row r="368">
      <c r="A368" s="104" t="inlineStr">
        <is>
          <t>GUIDE000367</t>
        </is>
      </c>
      <c r="B368" s="101" t="inlineStr">
        <is>
          <t>DEV000003</t>
        </is>
      </c>
      <c r="C368" s="103" t="inlineStr">
        <is>
          <t>APL</t>
        </is>
      </c>
      <c r="D368" s="103" t="inlineStr">
        <is>
          <t>PHN</t>
        </is>
      </c>
      <c r="E368" s="60" t="inlineStr">
        <is>
          <t>iPhone 3GS</t>
        </is>
      </c>
      <c r="F368" s="104" t="inlineStr">
        <is>
          <t>SVC000011</t>
        </is>
      </c>
      <c r="G368" s="104" t="inlineStr">
        <is>
          <t>Charging Port Cleaning</t>
        </is>
      </c>
      <c r="H368" s="104" t="inlineStr">
        <is>
          <t>Charging</t>
        </is>
      </c>
      <c r="I368" s="104" t="n"/>
      <c r="J368" s="104" t="n"/>
      <c r="K368" s="104" t="n"/>
      <c r="L368" s="104" t="n"/>
      <c r="M368" s="104" t="n"/>
      <c r="N368" s="104" t="n"/>
      <c r="O368" s="104" t="n"/>
      <c r="P368" s="104" t="n"/>
      <c r="Q368" s="104" t="n"/>
      <c r="R368" s="104" t="n"/>
      <c r="S368" s="110" t="n"/>
      <c r="T368" s="110" t="n"/>
      <c r="U368" s="104" t="n"/>
    </row>
    <row r="369">
      <c r="A369" s="104" t="inlineStr">
        <is>
          <t>GUIDE000368</t>
        </is>
      </c>
      <c r="B369" s="101" t="inlineStr">
        <is>
          <t>DEV000004</t>
        </is>
      </c>
      <c r="C369" s="103" t="inlineStr">
        <is>
          <t>APL</t>
        </is>
      </c>
      <c r="D369" s="103" t="inlineStr">
        <is>
          <t>PHN</t>
        </is>
      </c>
      <c r="E369" s="60" t="inlineStr">
        <is>
          <t>iPhone 4</t>
        </is>
      </c>
      <c r="F369" s="104" t="inlineStr">
        <is>
          <t>SVC000011</t>
        </is>
      </c>
      <c r="G369" s="104" t="inlineStr">
        <is>
          <t>Charging Port Cleaning</t>
        </is>
      </c>
      <c r="H369" s="104" t="inlineStr">
        <is>
          <t>Charging</t>
        </is>
      </c>
      <c r="I369" s="104" t="n"/>
      <c r="J369" s="104" t="n"/>
      <c r="K369" s="104" t="n"/>
      <c r="L369" s="104" t="n"/>
      <c r="M369" s="104" t="n"/>
      <c r="N369" s="104" t="n"/>
      <c r="O369" s="104" t="n"/>
      <c r="P369" s="104" t="n"/>
      <c r="Q369" s="104" t="n"/>
      <c r="R369" s="104" t="n"/>
      <c r="S369" s="110" t="n"/>
      <c r="T369" s="110" t="n"/>
      <c r="U369" s="104" t="n"/>
    </row>
    <row r="370">
      <c r="A370" s="104" t="inlineStr">
        <is>
          <t>GUIDE000369</t>
        </is>
      </c>
      <c r="B370" s="101" t="inlineStr">
        <is>
          <t>DEV000005</t>
        </is>
      </c>
      <c r="C370" s="103" t="inlineStr">
        <is>
          <t>APL</t>
        </is>
      </c>
      <c r="D370" s="103" t="inlineStr">
        <is>
          <t>PHN</t>
        </is>
      </c>
      <c r="E370" s="60" t="inlineStr">
        <is>
          <t>iPhone 4s</t>
        </is>
      </c>
      <c r="F370" s="104" t="inlineStr">
        <is>
          <t>SVC000011</t>
        </is>
      </c>
      <c r="G370" s="104" t="inlineStr">
        <is>
          <t>Charging Port Cleaning</t>
        </is>
      </c>
      <c r="H370" s="104" t="inlineStr">
        <is>
          <t>Charging</t>
        </is>
      </c>
      <c r="I370" s="104" t="n"/>
      <c r="J370" s="104" t="n"/>
      <c r="K370" s="104" t="n"/>
      <c r="L370" s="104" t="n"/>
      <c r="M370" s="104" t="n"/>
      <c r="N370" s="104" t="n"/>
      <c r="O370" s="104" t="n"/>
      <c r="P370" s="104" t="n"/>
      <c r="Q370" s="104" t="n"/>
      <c r="R370" s="104" t="n"/>
      <c r="S370" s="110" t="n"/>
      <c r="T370" s="110" t="n"/>
      <c r="U370" s="104" t="n"/>
    </row>
    <row r="371">
      <c r="A371" s="104" t="inlineStr">
        <is>
          <t>GUIDE000370</t>
        </is>
      </c>
      <c r="B371" s="101" t="inlineStr">
        <is>
          <t>DEV000006</t>
        </is>
      </c>
      <c r="C371" s="103" t="inlineStr">
        <is>
          <t>APL</t>
        </is>
      </c>
      <c r="D371" s="103" t="inlineStr">
        <is>
          <t>PHN</t>
        </is>
      </c>
      <c r="E371" s="60" t="inlineStr">
        <is>
          <t>iPhone 5</t>
        </is>
      </c>
      <c r="F371" s="104" t="inlineStr">
        <is>
          <t>SVC000011</t>
        </is>
      </c>
      <c r="G371" s="104" t="inlineStr">
        <is>
          <t>Charging Port Cleaning</t>
        </is>
      </c>
      <c r="H371" s="104" t="inlineStr">
        <is>
          <t>Charging</t>
        </is>
      </c>
      <c r="I371" s="104" t="n"/>
      <c r="J371" s="104" t="n"/>
      <c r="K371" s="104" t="n"/>
      <c r="L371" s="104" t="n"/>
      <c r="M371" s="104" t="n"/>
      <c r="N371" s="104" t="n"/>
      <c r="O371" s="104" t="n"/>
      <c r="P371" s="104" t="n"/>
      <c r="Q371" s="104" t="n"/>
      <c r="R371" s="104" t="n"/>
      <c r="S371" s="110" t="n"/>
      <c r="T371" s="110" t="n"/>
      <c r="U371" s="104" t="n"/>
    </row>
    <row r="372">
      <c r="A372" s="105" t="inlineStr">
        <is>
          <t>GUIDE000371</t>
        </is>
      </c>
      <c r="B372" s="101" t="inlineStr">
        <is>
          <t>DEV000007</t>
        </is>
      </c>
      <c r="C372" s="103" t="inlineStr">
        <is>
          <t>APL</t>
        </is>
      </c>
      <c r="D372" s="103" t="inlineStr">
        <is>
          <t>PHN</t>
        </is>
      </c>
      <c r="E372" s="60" t="inlineStr">
        <is>
          <t>iPhone 5c</t>
        </is>
      </c>
      <c r="F372" s="104" t="inlineStr">
        <is>
          <t>SVC000011</t>
        </is>
      </c>
      <c r="G372" s="104" t="inlineStr">
        <is>
          <t>Charging Port Cleaning</t>
        </is>
      </c>
      <c r="H372" s="104" t="inlineStr">
        <is>
          <t>Charging</t>
        </is>
      </c>
      <c r="I372" s="104" t="n"/>
      <c r="J372" s="104" t="n"/>
      <c r="K372" s="104" t="n"/>
      <c r="L372" s="104" t="n"/>
      <c r="M372" s="104" t="n"/>
      <c r="N372" s="104" t="n"/>
      <c r="O372" s="104" t="n"/>
      <c r="P372" s="104" t="n"/>
      <c r="Q372" s="104" t="n"/>
      <c r="R372" s="104" t="n"/>
      <c r="S372" s="110" t="n"/>
      <c r="T372" s="110" t="n"/>
      <c r="U372" s="104" t="n"/>
    </row>
    <row r="373">
      <c r="A373" s="104" t="inlineStr">
        <is>
          <t>GUIDE000372</t>
        </is>
      </c>
      <c r="B373" s="101" t="inlineStr">
        <is>
          <t>DEV000008</t>
        </is>
      </c>
      <c r="C373" s="103" t="inlineStr">
        <is>
          <t>APL</t>
        </is>
      </c>
      <c r="D373" s="103" t="inlineStr">
        <is>
          <t>PHN</t>
        </is>
      </c>
      <c r="E373" s="60" t="inlineStr">
        <is>
          <t>iPhone 5s</t>
        </is>
      </c>
      <c r="F373" s="104" t="inlineStr">
        <is>
          <t>SVC000011</t>
        </is>
      </c>
      <c r="G373" s="104" t="inlineStr">
        <is>
          <t>Charging Port Cleaning</t>
        </is>
      </c>
      <c r="H373" s="104" t="inlineStr">
        <is>
          <t>Charging</t>
        </is>
      </c>
      <c r="I373" s="104" t="n"/>
      <c r="J373" s="104" t="n"/>
      <c r="K373" s="104" t="n"/>
      <c r="L373" s="104" t="n"/>
      <c r="M373" s="104" t="n"/>
      <c r="N373" s="104" t="n"/>
      <c r="O373" s="104" t="n"/>
      <c r="P373" s="104" t="n"/>
      <c r="Q373" s="104" t="n"/>
      <c r="R373" s="104" t="n"/>
      <c r="S373" s="110" t="n"/>
      <c r="T373" s="110" t="n"/>
      <c r="U373" s="104" t="n"/>
    </row>
    <row r="374">
      <c r="A374" s="104" t="inlineStr">
        <is>
          <t>GUIDE000373</t>
        </is>
      </c>
      <c r="B374" s="101" t="inlineStr">
        <is>
          <t>DEV000009</t>
        </is>
      </c>
      <c r="C374" s="103" t="inlineStr">
        <is>
          <t>APL</t>
        </is>
      </c>
      <c r="D374" s="103" t="inlineStr">
        <is>
          <t>PHN</t>
        </is>
      </c>
      <c r="E374" s="60" t="inlineStr">
        <is>
          <t>iPhone 6</t>
        </is>
      </c>
      <c r="F374" s="104" t="inlineStr">
        <is>
          <t>SVC000011</t>
        </is>
      </c>
      <c r="G374" s="104" t="inlineStr">
        <is>
          <t>Charging Port Cleaning</t>
        </is>
      </c>
      <c r="H374" s="104" t="inlineStr">
        <is>
          <t>Charging</t>
        </is>
      </c>
      <c r="I374" s="104" t="n"/>
      <c r="J374" s="104" t="n"/>
      <c r="K374" s="104" t="n"/>
      <c r="L374" s="104" t="n"/>
      <c r="M374" s="104" t="n"/>
      <c r="N374" s="104" t="n"/>
      <c r="O374" s="104" t="n"/>
      <c r="P374" s="104" t="n"/>
      <c r="Q374" s="104" t="n"/>
      <c r="R374" s="104" t="n"/>
      <c r="S374" s="110" t="n"/>
      <c r="T374" s="110" t="n"/>
      <c r="U374" s="104" t="n"/>
    </row>
    <row r="375">
      <c r="A375" s="104" t="inlineStr">
        <is>
          <t>GUIDE000374</t>
        </is>
      </c>
      <c r="B375" s="101" t="inlineStr">
        <is>
          <t>DEV000010</t>
        </is>
      </c>
      <c r="C375" s="103" t="inlineStr">
        <is>
          <t>APL</t>
        </is>
      </c>
      <c r="D375" s="103" t="inlineStr">
        <is>
          <t>PHN</t>
        </is>
      </c>
      <c r="E375" s="60" t="inlineStr">
        <is>
          <t>iPhone 6 Plus</t>
        </is>
      </c>
      <c r="F375" s="104" t="inlineStr">
        <is>
          <t>SVC000011</t>
        </is>
      </c>
      <c r="G375" s="104" t="inlineStr">
        <is>
          <t>Charging Port Cleaning</t>
        </is>
      </c>
      <c r="H375" s="104" t="inlineStr">
        <is>
          <t>Charging</t>
        </is>
      </c>
      <c r="I375" s="104" t="n"/>
      <c r="J375" s="104" t="n"/>
      <c r="K375" s="104" t="n"/>
      <c r="L375" s="104" t="n"/>
      <c r="M375" s="104" t="n"/>
      <c r="N375" s="104" t="n"/>
      <c r="O375" s="104" t="n"/>
      <c r="P375" s="104" t="n"/>
      <c r="Q375" s="104" t="n"/>
      <c r="R375" s="104" t="n"/>
      <c r="S375" s="110" t="n"/>
      <c r="T375" s="110" t="n"/>
      <c r="U375" s="104" t="n"/>
    </row>
    <row r="376">
      <c r="A376" s="105" t="inlineStr">
        <is>
          <t>GUIDE000375</t>
        </is>
      </c>
      <c r="B376" s="101" t="inlineStr">
        <is>
          <t>DEV000011</t>
        </is>
      </c>
      <c r="C376" s="103" t="inlineStr">
        <is>
          <t>APL</t>
        </is>
      </c>
      <c r="D376" s="103" t="inlineStr">
        <is>
          <t>PHN</t>
        </is>
      </c>
      <c r="E376" s="60" t="inlineStr">
        <is>
          <t>iPhone 6s</t>
        </is>
      </c>
      <c r="F376" s="104" t="inlineStr">
        <is>
          <t>SVC000011</t>
        </is>
      </c>
      <c r="G376" s="104" t="inlineStr">
        <is>
          <t>Charging Port Cleaning</t>
        </is>
      </c>
      <c r="H376" s="104" t="inlineStr">
        <is>
          <t>Charging</t>
        </is>
      </c>
      <c r="I376" s="104" t="n"/>
      <c r="J376" s="104" t="n"/>
      <c r="K376" s="104" t="n"/>
      <c r="L376" s="104" t="n"/>
      <c r="M376" s="104" t="n"/>
      <c r="N376" s="104" t="n"/>
      <c r="O376" s="104" t="n"/>
      <c r="P376" s="104" t="n"/>
      <c r="Q376" s="104" t="n"/>
      <c r="R376" s="104" t="n"/>
      <c r="S376" s="110" t="n"/>
      <c r="T376" s="110" t="n"/>
      <c r="U376" s="104" t="n"/>
    </row>
    <row r="377">
      <c r="A377" s="104" t="inlineStr">
        <is>
          <t>GUIDE000376</t>
        </is>
      </c>
      <c r="B377" s="101" t="inlineStr">
        <is>
          <t>DEV000012</t>
        </is>
      </c>
      <c r="C377" s="103" t="inlineStr">
        <is>
          <t>APL</t>
        </is>
      </c>
      <c r="D377" s="103" t="inlineStr">
        <is>
          <t>PHN</t>
        </is>
      </c>
      <c r="E377" s="60" t="inlineStr">
        <is>
          <t>iPhone 6s Plus</t>
        </is>
      </c>
      <c r="F377" s="104" t="inlineStr">
        <is>
          <t>SVC000011</t>
        </is>
      </c>
      <c r="G377" s="104" t="inlineStr">
        <is>
          <t>Charging Port Cleaning</t>
        </is>
      </c>
      <c r="H377" s="104" t="inlineStr">
        <is>
          <t>Charging</t>
        </is>
      </c>
      <c r="I377" s="104" t="n"/>
      <c r="J377" s="104" t="n"/>
      <c r="K377" s="104" t="n"/>
      <c r="L377" s="104" t="n"/>
      <c r="M377" s="104" t="n"/>
      <c r="N377" s="104" t="n"/>
      <c r="O377" s="104" t="n"/>
      <c r="P377" s="104" t="n"/>
      <c r="Q377" s="104" t="n"/>
      <c r="R377" s="104" t="n"/>
      <c r="S377" s="110" t="n"/>
      <c r="T377" s="110" t="n"/>
      <c r="U377" s="104" t="n"/>
    </row>
    <row r="378">
      <c r="A378" s="104" t="inlineStr">
        <is>
          <t>GUIDE000377</t>
        </is>
      </c>
      <c r="B378" s="101" t="inlineStr">
        <is>
          <t>DEV000013</t>
        </is>
      </c>
      <c r="C378" s="103" t="inlineStr">
        <is>
          <t>APL</t>
        </is>
      </c>
      <c r="D378" s="103" t="inlineStr">
        <is>
          <t>PHN</t>
        </is>
      </c>
      <c r="E378" s="60" t="inlineStr">
        <is>
          <t>iPhone SE (1st Gen)</t>
        </is>
      </c>
      <c r="F378" s="104" t="inlineStr">
        <is>
          <t>SVC000011</t>
        </is>
      </c>
      <c r="G378" s="104" t="inlineStr">
        <is>
          <t>Charging Port Cleaning</t>
        </is>
      </c>
      <c r="H378" s="104" t="inlineStr">
        <is>
          <t>Charging</t>
        </is>
      </c>
      <c r="I378" s="104" t="n"/>
      <c r="J378" s="104" t="n"/>
      <c r="K378" s="104" t="n"/>
      <c r="L378" s="104" t="n"/>
      <c r="M378" s="104" t="n"/>
      <c r="N378" s="104" t="n"/>
      <c r="O378" s="104" t="n"/>
      <c r="P378" s="104" t="n"/>
      <c r="Q378" s="104" t="n"/>
      <c r="R378" s="104" t="n"/>
      <c r="S378" s="110" t="n"/>
      <c r="T378" s="110" t="n"/>
      <c r="U378" s="104" t="n"/>
    </row>
    <row r="379">
      <c r="A379" s="104" t="inlineStr">
        <is>
          <t>GUIDE000378</t>
        </is>
      </c>
      <c r="B379" s="101" t="inlineStr">
        <is>
          <t>DEV000014</t>
        </is>
      </c>
      <c r="C379" s="103" t="inlineStr">
        <is>
          <t>APL</t>
        </is>
      </c>
      <c r="D379" s="103" t="inlineStr">
        <is>
          <t>PHN</t>
        </is>
      </c>
      <c r="E379" s="60" t="inlineStr">
        <is>
          <t>iPhone 7</t>
        </is>
      </c>
      <c r="F379" s="104" t="inlineStr">
        <is>
          <t>SVC000011</t>
        </is>
      </c>
      <c r="G379" s="104" t="inlineStr">
        <is>
          <t>Charging Port Cleaning</t>
        </is>
      </c>
      <c r="H379" s="104" t="inlineStr">
        <is>
          <t>Charging</t>
        </is>
      </c>
      <c r="I379" s="104" t="n"/>
      <c r="J379" s="104" t="n"/>
      <c r="K379" s="104" t="n"/>
      <c r="L379" s="104" t="n"/>
      <c r="M379" s="104" t="n"/>
      <c r="N379" s="104" t="n"/>
      <c r="O379" s="104" t="n"/>
      <c r="P379" s="104" t="n"/>
      <c r="Q379" s="104" t="n"/>
      <c r="R379" s="104" t="n"/>
      <c r="S379" s="110" t="n"/>
      <c r="T379" s="110" t="n"/>
      <c r="U379" s="104" t="n"/>
    </row>
    <row r="380">
      <c r="A380" s="104" t="inlineStr">
        <is>
          <t>GUIDE000379</t>
        </is>
      </c>
      <c r="B380" s="101" t="inlineStr">
        <is>
          <t>DEV000015</t>
        </is>
      </c>
      <c r="C380" s="103" t="inlineStr">
        <is>
          <t>APL</t>
        </is>
      </c>
      <c r="D380" s="103" t="inlineStr">
        <is>
          <t>PHN</t>
        </is>
      </c>
      <c r="E380" s="60" t="inlineStr">
        <is>
          <t>iPhone 7 Plus</t>
        </is>
      </c>
      <c r="F380" s="104" t="inlineStr">
        <is>
          <t>SVC000011</t>
        </is>
      </c>
      <c r="G380" s="104" t="inlineStr">
        <is>
          <t>Charging Port Cleaning</t>
        </is>
      </c>
      <c r="H380" s="104" t="inlineStr">
        <is>
          <t>Charging</t>
        </is>
      </c>
      <c r="I380" s="104" t="n"/>
      <c r="J380" s="104" t="n"/>
      <c r="K380" s="104" t="n"/>
      <c r="L380" s="104" t="n"/>
      <c r="M380" s="104" t="n"/>
      <c r="N380" s="104" t="n"/>
      <c r="O380" s="104" t="n"/>
      <c r="P380" s="104" t="n"/>
      <c r="Q380" s="104" t="n"/>
      <c r="R380" s="104" t="n"/>
      <c r="S380" s="110" t="n"/>
      <c r="T380" s="110" t="n"/>
      <c r="U380" s="104" t="n"/>
    </row>
    <row r="381">
      <c r="A381" s="105" t="inlineStr">
        <is>
          <t>GUIDE000380</t>
        </is>
      </c>
      <c r="B381" s="101" t="inlineStr">
        <is>
          <t>DEV000016</t>
        </is>
      </c>
      <c r="C381" s="103" t="inlineStr">
        <is>
          <t>APL</t>
        </is>
      </c>
      <c r="D381" s="103" t="inlineStr">
        <is>
          <t>PHN</t>
        </is>
      </c>
      <c r="E381" s="60" t="inlineStr">
        <is>
          <t>iPhone 8</t>
        </is>
      </c>
      <c r="F381" s="104" t="inlineStr">
        <is>
          <t>SVC000011</t>
        </is>
      </c>
      <c r="G381" s="104" t="inlineStr">
        <is>
          <t>Charging Port Cleaning</t>
        </is>
      </c>
      <c r="H381" s="104" t="inlineStr">
        <is>
          <t>Charging</t>
        </is>
      </c>
      <c r="I381" s="104" t="n"/>
      <c r="J381" s="104" t="n"/>
      <c r="K381" s="104" t="n"/>
      <c r="L381" s="104" t="n"/>
      <c r="M381" s="104" t="n"/>
      <c r="N381" s="104" t="n"/>
      <c r="O381" s="104" t="n"/>
      <c r="P381" s="104" t="n"/>
      <c r="Q381" s="104" t="n"/>
      <c r="R381" s="104" t="n"/>
      <c r="S381" s="110" t="n"/>
      <c r="T381" s="110" t="n"/>
      <c r="U381" s="104" t="n"/>
    </row>
    <row r="382">
      <c r="A382" s="104" t="inlineStr">
        <is>
          <t>GUIDE000381</t>
        </is>
      </c>
      <c r="B382" s="101" t="inlineStr">
        <is>
          <t>DEV000017</t>
        </is>
      </c>
      <c r="C382" s="103" t="inlineStr">
        <is>
          <t>APL</t>
        </is>
      </c>
      <c r="D382" s="103" t="inlineStr">
        <is>
          <t>PHN</t>
        </is>
      </c>
      <c r="E382" s="60" t="inlineStr">
        <is>
          <t>iPhone 8 Plus</t>
        </is>
      </c>
      <c r="F382" s="104" t="inlineStr">
        <is>
          <t>SVC000011</t>
        </is>
      </c>
      <c r="G382" s="104" t="inlineStr">
        <is>
          <t>Charging Port Cleaning</t>
        </is>
      </c>
      <c r="H382" s="104" t="inlineStr">
        <is>
          <t>Charging</t>
        </is>
      </c>
      <c r="I382" s="104" t="n"/>
      <c r="J382" s="104" t="n"/>
      <c r="K382" s="104" t="n"/>
      <c r="L382" s="104" t="n"/>
      <c r="M382" s="104" t="n"/>
      <c r="N382" s="104" t="n"/>
      <c r="O382" s="104" t="n"/>
      <c r="P382" s="104" t="n"/>
      <c r="Q382" s="104" t="n"/>
      <c r="R382" s="104" t="n"/>
      <c r="S382" s="110" t="n"/>
      <c r="T382" s="110" t="n"/>
      <c r="U382" s="104" t="n"/>
    </row>
    <row r="383">
      <c r="A383" s="104" t="inlineStr">
        <is>
          <t>GUIDE000382</t>
        </is>
      </c>
      <c r="B383" s="101" t="inlineStr">
        <is>
          <t>DEV000018</t>
        </is>
      </c>
      <c r="C383" s="103" t="inlineStr">
        <is>
          <t>APL</t>
        </is>
      </c>
      <c r="D383" s="103" t="inlineStr">
        <is>
          <t>PHN</t>
        </is>
      </c>
      <c r="E383" s="60" t="inlineStr">
        <is>
          <t>iPhone X</t>
        </is>
      </c>
      <c r="F383" s="104" t="inlineStr">
        <is>
          <t>SVC000011</t>
        </is>
      </c>
      <c r="G383" s="104" t="inlineStr">
        <is>
          <t>Charging Port Cleaning</t>
        </is>
      </c>
      <c r="H383" s="104" t="inlineStr">
        <is>
          <t>Charging</t>
        </is>
      </c>
      <c r="I383" s="104" t="n"/>
      <c r="J383" s="104" t="n"/>
      <c r="K383" s="104" t="n"/>
      <c r="L383" s="104" t="n"/>
      <c r="M383" s="104" t="n"/>
      <c r="N383" s="104" t="n"/>
      <c r="O383" s="104" t="n"/>
      <c r="P383" s="104" t="n"/>
      <c r="Q383" s="104" t="n"/>
      <c r="R383" s="104" t="n"/>
      <c r="S383" s="110" t="n"/>
      <c r="T383" s="110" t="n"/>
      <c r="U383" s="104" t="n"/>
    </row>
    <row r="384">
      <c r="A384" s="104" t="inlineStr">
        <is>
          <t>GUIDE000383</t>
        </is>
      </c>
      <c r="B384" s="101" t="inlineStr">
        <is>
          <t>DEV000019</t>
        </is>
      </c>
      <c r="C384" s="103" t="inlineStr">
        <is>
          <t>APL</t>
        </is>
      </c>
      <c r="D384" s="103" t="inlineStr">
        <is>
          <t>PHN</t>
        </is>
      </c>
      <c r="E384" s="60" t="inlineStr">
        <is>
          <t>iPhone XR</t>
        </is>
      </c>
      <c r="F384" s="104" t="inlineStr">
        <is>
          <t>SVC000011</t>
        </is>
      </c>
      <c r="G384" s="104" t="inlineStr">
        <is>
          <t>Charging Port Cleaning</t>
        </is>
      </c>
      <c r="H384" s="104" t="inlineStr">
        <is>
          <t>Charging</t>
        </is>
      </c>
      <c r="I384" s="104" t="n"/>
      <c r="J384" s="104" t="n"/>
      <c r="K384" s="104" t="n"/>
      <c r="L384" s="104" t="n"/>
      <c r="M384" s="104" t="n"/>
      <c r="N384" s="104" t="n"/>
      <c r="O384" s="104" t="n"/>
      <c r="P384" s="104" t="n"/>
      <c r="Q384" s="104" t="n"/>
      <c r="R384" s="104" t="n"/>
      <c r="S384" s="110" t="n"/>
      <c r="T384" s="110" t="n"/>
      <c r="U384" s="104" t="n"/>
    </row>
    <row r="385">
      <c r="A385" s="105" t="inlineStr">
        <is>
          <t>GUIDE000384</t>
        </is>
      </c>
      <c r="B385" s="101" t="inlineStr">
        <is>
          <t>DEV000020</t>
        </is>
      </c>
      <c r="C385" s="103" t="inlineStr">
        <is>
          <t>APL</t>
        </is>
      </c>
      <c r="D385" s="103" t="inlineStr">
        <is>
          <t>PHN</t>
        </is>
      </c>
      <c r="E385" s="60" t="inlineStr">
        <is>
          <t>iPhone XS</t>
        </is>
      </c>
      <c r="F385" s="104" t="inlineStr">
        <is>
          <t>SVC000011</t>
        </is>
      </c>
      <c r="G385" s="104" t="inlineStr">
        <is>
          <t>Charging Port Cleaning</t>
        </is>
      </c>
      <c r="H385" s="104" t="inlineStr">
        <is>
          <t>Charging</t>
        </is>
      </c>
      <c r="I385" s="104" t="n"/>
      <c r="J385" s="104" t="n"/>
      <c r="K385" s="104" t="n"/>
      <c r="L385" s="104" t="n"/>
      <c r="M385" s="104" t="n"/>
      <c r="N385" s="104" t="n"/>
      <c r="O385" s="104" t="n"/>
      <c r="P385" s="104" t="n"/>
      <c r="Q385" s="104" t="n"/>
      <c r="R385" s="104" t="n"/>
      <c r="S385" s="110" t="n"/>
      <c r="T385" s="110" t="n"/>
      <c r="U385" s="104" t="n"/>
    </row>
    <row r="386">
      <c r="A386" s="104" t="inlineStr">
        <is>
          <t>GUIDE000385</t>
        </is>
      </c>
      <c r="B386" s="101" t="inlineStr">
        <is>
          <t>DEV000021</t>
        </is>
      </c>
      <c r="C386" s="103" t="inlineStr">
        <is>
          <t>APL</t>
        </is>
      </c>
      <c r="D386" s="103" t="inlineStr">
        <is>
          <t>PHN</t>
        </is>
      </c>
      <c r="E386" s="60" t="inlineStr">
        <is>
          <t>iPhone XS Max</t>
        </is>
      </c>
      <c r="F386" s="104" t="inlineStr">
        <is>
          <t>SVC000011</t>
        </is>
      </c>
      <c r="G386" s="104" t="inlineStr">
        <is>
          <t>Charging Port Cleaning</t>
        </is>
      </c>
      <c r="H386" s="104" t="inlineStr">
        <is>
          <t>Charging</t>
        </is>
      </c>
      <c r="I386" s="104" t="n"/>
      <c r="J386" s="104" t="n"/>
      <c r="K386" s="104" t="n"/>
      <c r="L386" s="104" t="n"/>
      <c r="M386" s="104" t="n"/>
      <c r="N386" s="104" t="n"/>
      <c r="O386" s="104" t="n"/>
      <c r="P386" s="104" t="n"/>
      <c r="Q386" s="104" t="n"/>
      <c r="R386" s="104" t="n"/>
      <c r="S386" s="110" t="n"/>
      <c r="T386" s="110" t="n"/>
      <c r="U386" s="104" t="n"/>
    </row>
    <row r="387">
      <c r="A387" s="104" t="inlineStr">
        <is>
          <t>GUIDE000386</t>
        </is>
      </c>
      <c r="B387" s="101" t="inlineStr">
        <is>
          <t>DEV000022</t>
        </is>
      </c>
      <c r="C387" s="103" t="inlineStr">
        <is>
          <t>APL</t>
        </is>
      </c>
      <c r="D387" s="103" t="inlineStr">
        <is>
          <t>PHN</t>
        </is>
      </c>
      <c r="E387" s="60" t="inlineStr">
        <is>
          <t>iPhone 11</t>
        </is>
      </c>
      <c r="F387" s="104" t="inlineStr">
        <is>
          <t>SVC000011</t>
        </is>
      </c>
      <c r="G387" s="104" t="inlineStr">
        <is>
          <t>Charging Port Cleaning</t>
        </is>
      </c>
      <c r="H387" s="104" t="inlineStr">
        <is>
          <t>Charging</t>
        </is>
      </c>
      <c r="I387" s="104" t="n"/>
      <c r="J387" s="104" t="n"/>
      <c r="K387" s="104" t="n"/>
      <c r="L387" s="104" t="n"/>
      <c r="M387" s="104" t="n"/>
      <c r="N387" s="104" t="n"/>
      <c r="O387" s="104" t="n"/>
      <c r="P387" s="104" t="n"/>
      <c r="Q387" s="104" t="n"/>
      <c r="R387" s="104" t="n"/>
      <c r="S387" s="110" t="n"/>
      <c r="T387" s="110" t="n"/>
      <c r="U387" s="104" t="n"/>
    </row>
    <row r="388">
      <c r="A388" s="104" t="inlineStr">
        <is>
          <t>GUIDE000387</t>
        </is>
      </c>
      <c r="B388" s="101" t="inlineStr">
        <is>
          <t>DEV000023</t>
        </is>
      </c>
      <c r="C388" s="103" t="inlineStr">
        <is>
          <t>APL</t>
        </is>
      </c>
      <c r="D388" s="103" t="inlineStr">
        <is>
          <t>PHN</t>
        </is>
      </c>
      <c r="E388" s="60" t="inlineStr">
        <is>
          <t>iPhone 11 Pro</t>
        </is>
      </c>
      <c r="F388" s="104" t="inlineStr">
        <is>
          <t>SVC000011</t>
        </is>
      </c>
      <c r="G388" s="104" t="inlineStr">
        <is>
          <t>Charging Port Cleaning</t>
        </is>
      </c>
      <c r="H388" s="104" t="inlineStr">
        <is>
          <t>Charging</t>
        </is>
      </c>
      <c r="I388" s="104" t="n"/>
      <c r="J388" s="104" t="n"/>
      <c r="K388" s="104" t="n"/>
      <c r="L388" s="104" t="n"/>
      <c r="M388" s="104" t="n"/>
      <c r="N388" s="104" t="n"/>
      <c r="O388" s="104" t="n"/>
      <c r="P388" s="104" t="n"/>
      <c r="Q388" s="104" t="n"/>
      <c r="R388" s="104" t="n"/>
      <c r="S388" s="110" t="n"/>
      <c r="T388" s="110" t="n"/>
      <c r="U388" s="104" t="n"/>
    </row>
    <row r="389">
      <c r="A389" s="104" t="inlineStr">
        <is>
          <t>GUIDE000388</t>
        </is>
      </c>
      <c r="B389" s="101" t="inlineStr">
        <is>
          <t>DEV000024</t>
        </is>
      </c>
      <c r="C389" s="103" t="inlineStr">
        <is>
          <t>APL</t>
        </is>
      </c>
      <c r="D389" s="103" t="inlineStr">
        <is>
          <t>PHN</t>
        </is>
      </c>
      <c r="E389" s="60" t="inlineStr">
        <is>
          <t>iPhone 11 Pro Max</t>
        </is>
      </c>
      <c r="F389" s="104" t="inlineStr">
        <is>
          <t>SVC000011</t>
        </is>
      </c>
      <c r="G389" s="104" t="inlineStr">
        <is>
          <t>Charging Port Cleaning</t>
        </is>
      </c>
      <c r="H389" s="104" t="inlineStr">
        <is>
          <t>Charging</t>
        </is>
      </c>
      <c r="I389" s="104" t="n"/>
      <c r="J389" s="104" t="n"/>
      <c r="K389" s="104" t="n"/>
      <c r="L389" s="104" t="n"/>
      <c r="M389" s="104" t="n"/>
      <c r="N389" s="104" t="n"/>
      <c r="O389" s="104" t="n"/>
      <c r="P389" s="104" t="n"/>
      <c r="Q389" s="104" t="n"/>
      <c r="R389" s="104" t="n"/>
      <c r="S389" s="110" t="n"/>
      <c r="T389" s="110" t="n"/>
      <c r="U389" s="104" t="n"/>
    </row>
    <row r="390">
      <c r="A390" s="105" t="inlineStr">
        <is>
          <t>GUIDE000389</t>
        </is>
      </c>
      <c r="B390" s="101" t="inlineStr">
        <is>
          <t>DEV000025</t>
        </is>
      </c>
      <c r="C390" s="103" t="inlineStr">
        <is>
          <t>APL</t>
        </is>
      </c>
      <c r="D390" s="103" t="inlineStr">
        <is>
          <t>PHN</t>
        </is>
      </c>
      <c r="E390" s="60" t="inlineStr">
        <is>
          <t>iPhone SE (2nd Generation)</t>
        </is>
      </c>
      <c r="F390" s="104" t="inlineStr">
        <is>
          <t>SVC000011</t>
        </is>
      </c>
      <c r="G390" s="104" t="inlineStr">
        <is>
          <t>Charging Port Cleaning</t>
        </is>
      </c>
      <c r="H390" s="104" t="inlineStr">
        <is>
          <t>Charging</t>
        </is>
      </c>
      <c r="I390" s="104" t="n"/>
      <c r="J390" s="104" t="n"/>
      <c r="K390" s="104" t="n"/>
      <c r="L390" s="104" t="n"/>
      <c r="M390" s="104" t="n"/>
      <c r="N390" s="104" t="n"/>
      <c r="O390" s="104" t="n"/>
      <c r="P390" s="104" t="n"/>
      <c r="Q390" s="104" t="n"/>
      <c r="R390" s="104" t="n"/>
      <c r="S390" s="110" t="n"/>
      <c r="T390" s="110" t="n"/>
      <c r="U390" s="104" t="n"/>
    </row>
    <row r="391">
      <c r="A391" s="104" t="inlineStr">
        <is>
          <t>GUIDE000390</t>
        </is>
      </c>
      <c r="B391" s="101" t="inlineStr">
        <is>
          <t>DEV000026</t>
        </is>
      </c>
      <c r="C391" s="103" t="inlineStr">
        <is>
          <t>APL</t>
        </is>
      </c>
      <c r="D391" s="103" t="inlineStr">
        <is>
          <t>PHN</t>
        </is>
      </c>
      <c r="E391" s="60" t="inlineStr">
        <is>
          <t>iPhone 12 mini</t>
        </is>
      </c>
      <c r="F391" s="104" t="inlineStr">
        <is>
          <t>SVC000011</t>
        </is>
      </c>
      <c r="G391" s="104" t="inlineStr">
        <is>
          <t>Charging Port Cleaning</t>
        </is>
      </c>
      <c r="H391" s="104" t="inlineStr">
        <is>
          <t>Charging</t>
        </is>
      </c>
      <c r="I391" s="104" t="n"/>
      <c r="J391" s="104" t="n"/>
      <c r="K391" s="104" t="n"/>
      <c r="L391" s="104" t="n"/>
      <c r="M391" s="104" t="n"/>
      <c r="N391" s="104" t="n"/>
      <c r="O391" s="104" t="n"/>
      <c r="P391" s="104" t="n"/>
      <c r="Q391" s="104" t="n"/>
      <c r="R391" s="104" t="n"/>
      <c r="S391" s="110" t="n"/>
      <c r="T391" s="110" t="n"/>
      <c r="U391" s="104" t="n"/>
    </row>
    <row r="392">
      <c r="A392" s="104" t="inlineStr">
        <is>
          <t>GUIDE000391</t>
        </is>
      </c>
      <c r="B392" s="101" t="inlineStr">
        <is>
          <t>DEV000027</t>
        </is>
      </c>
      <c r="C392" s="103" t="inlineStr">
        <is>
          <t>APL</t>
        </is>
      </c>
      <c r="D392" s="103" t="inlineStr">
        <is>
          <t>PHN</t>
        </is>
      </c>
      <c r="E392" s="60" t="inlineStr">
        <is>
          <t>iPhone 12</t>
        </is>
      </c>
      <c r="F392" s="104" t="inlineStr">
        <is>
          <t>SVC000011</t>
        </is>
      </c>
      <c r="G392" s="104" t="inlineStr">
        <is>
          <t>Charging Port Cleaning</t>
        </is>
      </c>
      <c r="H392" s="104" t="inlineStr">
        <is>
          <t>Charging</t>
        </is>
      </c>
      <c r="I392" s="104" t="n"/>
      <c r="J392" s="104" t="n"/>
      <c r="K392" s="104" t="n"/>
      <c r="L392" s="104" t="n"/>
      <c r="M392" s="104" t="n"/>
      <c r="N392" s="104" t="n"/>
      <c r="O392" s="104" t="n"/>
      <c r="P392" s="104" t="n"/>
      <c r="Q392" s="104" t="n"/>
      <c r="R392" s="104" t="n"/>
      <c r="S392" s="110" t="n"/>
      <c r="T392" s="110" t="n"/>
      <c r="U392" s="104" t="n"/>
    </row>
    <row r="393">
      <c r="A393" s="104" t="inlineStr">
        <is>
          <t>GUIDE000392</t>
        </is>
      </c>
      <c r="B393" s="101" t="inlineStr">
        <is>
          <t>DEV000028</t>
        </is>
      </c>
      <c r="C393" s="103" t="inlineStr">
        <is>
          <t>APL</t>
        </is>
      </c>
      <c r="D393" s="103" t="inlineStr">
        <is>
          <t>PHN</t>
        </is>
      </c>
      <c r="E393" s="60" t="inlineStr">
        <is>
          <t>iPhone 12 Pro</t>
        </is>
      </c>
      <c r="F393" s="104" t="inlineStr">
        <is>
          <t>SVC000011</t>
        </is>
      </c>
      <c r="G393" s="104" t="inlineStr">
        <is>
          <t>Charging Port Cleaning</t>
        </is>
      </c>
      <c r="H393" s="104" t="inlineStr">
        <is>
          <t>Charging</t>
        </is>
      </c>
      <c r="I393" s="104" t="n"/>
      <c r="J393" s="104" t="n"/>
      <c r="K393" s="104" t="n"/>
      <c r="L393" s="104" t="n"/>
      <c r="M393" s="104" t="n"/>
      <c r="N393" s="104" t="n"/>
      <c r="O393" s="104" t="n"/>
      <c r="P393" s="104" t="n"/>
      <c r="Q393" s="104" t="n"/>
      <c r="R393" s="104" t="n"/>
      <c r="S393" s="110" t="n"/>
      <c r="T393" s="110" t="n"/>
      <c r="U393" s="104" t="n"/>
    </row>
    <row r="394">
      <c r="A394" s="105" t="inlineStr">
        <is>
          <t>GUIDE000393</t>
        </is>
      </c>
      <c r="B394" s="101" t="inlineStr">
        <is>
          <t>DEV000029</t>
        </is>
      </c>
      <c r="C394" s="103" t="inlineStr">
        <is>
          <t>APL</t>
        </is>
      </c>
      <c r="D394" s="103" t="inlineStr">
        <is>
          <t>PHN</t>
        </is>
      </c>
      <c r="E394" s="60" t="inlineStr">
        <is>
          <t>iPhone 12 Pro Max</t>
        </is>
      </c>
      <c r="F394" s="104" t="inlineStr">
        <is>
          <t>SVC000011</t>
        </is>
      </c>
      <c r="G394" s="104" t="inlineStr">
        <is>
          <t>Charging Port Cleaning</t>
        </is>
      </c>
      <c r="H394" s="104" t="inlineStr">
        <is>
          <t>Charging</t>
        </is>
      </c>
      <c r="I394" s="104" t="n"/>
      <c r="J394" s="104" t="n"/>
      <c r="K394" s="104" t="n"/>
      <c r="L394" s="104" t="n"/>
      <c r="M394" s="104" t="n"/>
      <c r="N394" s="104" t="n"/>
      <c r="O394" s="104" t="n"/>
      <c r="P394" s="104" t="n"/>
      <c r="Q394" s="104" t="n"/>
      <c r="R394" s="104" t="n"/>
      <c r="S394" s="110" t="n"/>
      <c r="T394" s="110" t="n"/>
      <c r="U394" s="104" t="n"/>
    </row>
    <row r="395">
      <c r="A395" s="104" t="inlineStr">
        <is>
          <t>GUIDE000394</t>
        </is>
      </c>
      <c r="B395" s="101" t="inlineStr">
        <is>
          <t>DEV000030</t>
        </is>
      </c>
      <c r="C395" s="103" t="inlineStr">
        <is>
          <t>APL</t>
        </is>
      </c>
      <c r="D395" s="103" t="inlineStr">
        <is>
          <t>PHN</t>
        </is>
      </c>
      <c r="E395" s="60" t="inlineStr">
        <is>
          <t>iPhone 13 mini</t>
        </is>
      </c>
      <c r="F395" s="104" t="inlineStr">
        <is>
          <t>SVC000011</t>
        </is>
      </c>
      <c r="G395" s="104" t="inlineStr">
        <is>
          <t>Charging Port Cleaning</t>
        </is>
      </c>
      <c r="H395" s="104" t="inlineStr">
        <is>
          <t>Charging</t>
        </is>
      </c>
      <c r="I395" s="104" t="n"/>
      <c r="J395" s="104" t="n"/>
      <c r="K395" s="104" t="n"/>
      <c r="L395" s="104" t="n"/>
      <c r="M395" s="104" t="n"/>
      <c r="N395" s="104" t="n"/>
      <c r="O395" s="104" t="n"/>
      <c r="P395" s="104" t="n"/>
      <c r="Q395" s="104" t="n"/>
      <c r="R395" s="104" t="n"/>
      <c r="S395" s="110" t="n"/>
      <c r="T395" s="110" t="n"/>
      <c r="U395" s="104" t="n"/>
    </row>
    <row r="396">
      <c r="A396" s="104" t="inlineStr">
        <is>
          <t>GUIDE000395</t>
        </is>
      </c>
      <c r="B396" s="101" t="inlineStr">
        <is>
          <t>DEV000031</t>
        </is>
      </c>
      <c r="C396" s="103" t="inlineStr">
        <is>
          <t>APL</t>
        </is>
      </c>
      <c r="D396" s="103" t="inlineStr">
        <is>
          <t>PHN</t>
        </is>
      </c>
      <c r="E396" s="60" t="inlineStr">
        <is>
          <t>iPhone 13</t>
        </is>
      </c>
      <c r="F396" s="104" t="inlineStr">
        <is>
          <t>SVC000011</t>
        </is>
      </c>
      <c r="G396" s="104" t="inlineStr">
        <is>
          <t>Charging Port Cleaning</t>
        </is>
      </c>
      <c r="H396" s="104" t="inlineStr">
        <is>
          <t>Charging</t>
        </is>
      </c>
      <c r="I396" s="104" t="n"/>
      <c r="J396" s="104" t="n"/>
      <c r="K396" s="104" t="n"/>
      <c r="L396" s="104" t="n"/>
      <c r="M396" s="104" t="n"/>
      <c r="N396" s="104" t="n"/>
      <c r="O396" s="104" t="n"/>
      <c r="P396" s="104" t="n"/>
      <c r="Q396" s="104" t="n"/>
      <c r="R396" s="104" t="n"/>
      <c r="S396" s="110" t="n"/>
      <c r="T396" s="110" t="n"/>
      <c r="U396" s="104" t="n"/>
    </row>
    <row r="397">
      <c r="A397" s="104" t="inlineStr">
        <is>
          <t>GUIDE000396</t>
        </is>
      </c>
      <c r="B397" s="101" t="inlineStr">
        <is>
          <t>DEV000032</t>
        </is>
      </c>
      <c r="C397" s="103" t="inlineStr">
        <is>
          <t>APL</t>
        </is>
      </c>
      <c r="D397" s="103" t="inlineStr">
        <is>
          <t>PHN</t>
        </is>
      </c>
      <c r="E397" s="60" t="inlineStr">
        <is>
          <t>iPhone 13 Pro</t>
        </is>
      </c>
      <c r="F397" s="104" t="inlineStr">
        <is>
          <t>SVC000011</t>
        </is>
      </c>
      <c r="G397" s="104" t="inlineStr">
        <is>
          <t>Charging Port Cleaning</t>
        </is>
      </c>
      <c r="H397" s="104" t="inlineStr">
        <is>
          <t>Charging</t>
        </is>
      </c>
      <c r="I397" s="104" t="n"/>
      <c r="J397" s="104" t="n"/>
      <c r="K397" s="104" t="n"/>
      <c r="L397" s="104" t="n"/>
      <c r="M397" s="104" t="n"/>
      <c r="N397" s="104" t="n"/>
      <c r="O397" s="104" t="n"/>
      <c r="P397" s="104" t="n"/>
      <c r="Q397" s="104" t="n"/>
      <c r="R397" s="104" t="n"/>
      <c r="S397" s="110" t="n"/>
      <c r="T397" s="110" t="n"/>
      <c r="U397" s="104" t="n"/>
    </row>
    <row r="398">
      <c r="A398" s="104" t="inlineStr">
        <is>
          <t>GUIDE000397</t>
        </is>
      </c>
      <c r="B398" s="101" t="inlineStr">
        <is>
          <t>DEV000033</t>
        </is>
      </c>
      <c r="C398" s="103" t="inlineStr">
        <is>
          <t>APL</t>
        </is>
      </c>
      <c r="D398" s="103" t="inlineStr">
        <is>
          <t>PHN</t>
        </is>
      </c>
      <c r="E398" s="60" t="inlineStr">
        <is>
          <t>iPhone 13 Pro Max</t>
        </is>
      </c>
      <c r="F398" s="104" t="inlineStr">
        <is>
          <t>SVC000011</t>
        </is>
      </c>
      <c r="G398" s="104" t="inlineStr">
        <is>
          <t>Charging Port Cleaning</t>
        </is>
      </c>
      <c r="H398" s="104" t="inlineStr">
        <is>
          <t>Charging</t>
        </is>
      </c>
      <c r="I398" s="104" t="n"/>
      <c r="J398" s="104" t="n"/>
      <c r="K398" s="104" t="n"/>
      <c r="L398" s="104" t="n"/>
      <c r="M398" s="104" t="n"/>
      <c r="N398" s="104" t="n"/>
      <c r="O398" s="104" t="n"/>
      <c r="P398" s="104" t="n"/>
      <c r="Q398" s="104" t="n"/>
      <c r="R398" s="104" t="n"/>
      <c r="S398" s="110" t="n"/>
      <c r="T398" s="110" t="n"/>
      <c r="U398" s="104" t="n"/>
    </row>
    <row r="399">
      <c r="A399" s="105" t="inlineStr">
        <is>
          <t>GUIDE000398</t>
        </is>
      </c>
      <c r="B399" s="101" t="inlineStr">
        <is>
          <t>DEV000034</t>
        </is>
      </c>
      <c r="C399" s="103" t="inlineStr">
        <is>
          <t>APL</t>
        </is>
      </c>
      <c r="D399" s="103" t="inlineStr">
        <is>
          <t>PHN</t>
        </is>
      </c>
      <c r="E399" s="60" t="inlineStr">
        <is>
          <t>iPhone SE (3rd Generation)</t>
        </is>
      </c>
      <c r="F399" s="104" t="inlineStr">
        <is>
          <t>SVC000011</t>
        </is>
      </c>
      <c r="G399" s="104" t="inlineStr">
        <is>
          <t>Charging Port Cleaning</t>
        </is>
      </c>
      <c r="H399" s="104" t="inlineStr">
        <is>
          <t>Charging</t>
        </is>
      </c>
      <c r="I399" s="104" t="n"/>
      <c r="J399" s="104" t="n"/>
      <c r="K399" s="104" t="n"/>
      <c r="L399" s="104" t="n"/>
      <c r="M399" s="104" t="n"/>
      <c r="N399" s="104" t="n"/>
      <c r="O399" s="104" t="n"/>
      <c r="P399" s="104" t="n"/>
      <c r="Q399" s="104" t="n"/>
      <c r="R399" s="104" t="n"/>
      <c r="S399" s="110" t="n"/>
      <c r="T399" s="110" t="n"/>
      <c r="U399" s="104" t="n"/>
    </row>
    <row r="400">
      <c r="A400" s="104" t="inlineStr">
        <is>
          <t>GUIDE000399</t>
        </is>
      </c>
      <c r="B400" s="101" t="inlineStr">
        <is>
          <t>DEV000035</t>
        </is>
      </c>
      <c r="C400" s="103" t="inlineStr">
        <is>
          <t>APL</t>
        </is>
      </c>
      <c r="D400" s="103" t="inlineStr">
        <is>
          <t>PHN</t>
        </is>
      </c>
      <c r="E400" s="60" t="inlineStr">
        <is>
          <t>iPhone 14</t>
        </is>
      </c>
      <c r="F400" s="104" t="inlineStr">
        <is>
          <t>SVC000011</t>
        </is>
      </c>
      <c r="G400" s="104" t="inlineStr">
        <is>
          <t>Charging Port Cleaning</t>
        </is>
      </c>
      <c r="H400" s="104" t="inlineStr">
        <is>
          <t>Charging</t>
        </is>
      </c>
      <c r="I400" s="104" t="n"/>
      <c r="J400" s="104" t="n"/>
      <c r="K400" s="104" t="n"/>
      <c r="L400" s="104" t="n"/>
      <c r="M400" s="104" t="n"/>
      <c r="N400" s="104" t="n"/>
      <c r="O400" s="104" t="n"/>
      <c r="P400" s="104" t="n"/>
      <c r="Q400" s="104" t="n"/>
      <c r="R400" s="104" t="n"/>
      <c r="S400" s="110" t="n"/>
      <c r="T400" s="110" t="n"/>
      <c r="U400" s="104" t="n"/>
    </row>
    <row r="401">
      <c r="A401" s="104" t="inlineStr">
        <is>
          <t>GUIDE000400</t>
        </is>
      </c>
      <c r="B401" s="101" t="inlineStr">
        <is>
          <t>DEV000036</t>
        </is>
      </c>
      <c r="C401" s="103" t="inlineStr">
        <is>
          <t>APL</t>
        </is>
      </c>
      <c r="D401" s="103" t="inlineStr">
        <is>
          <t>PHN</t>
        </is>
      </c>
      <c r="E401" s="60" t="inlineStr">
        <is>
          <t>iPhone 14 Plus</t>
        </is>
      </c>
      <c r="F401" s="104" t="inlineStr">
        <is>
          <t>SVC000011</t>
        </is>
      </c>
      <c r="G401" s="104" t="inlineStr">
        <is>
          <t>Charging Port Cleaning</t>
        </is>
      </c>
      <c r="H401" s="104" t="inlineStr">
        <is>
          <t>Charging</t>
        </is>
      </c>
      <c r="I401" s="104" t="n"/>
      <c r="J401" s="104" t="n"/>
      <c r="K401" s="104" t="n"/>
      <c r="L401" s="104" t="n"/>
      <c r="M401" s="104" t="n"/>
      <c r="N401" s="104" t="n"/>
      <c r="O401" s="104" t="n"/>
      <c r="P401" s="104" t="n"/>
      <c r="Q401" s="104" t="n"/>
      <c r="R401" s="104" t="n"/>
      <c r="S401" s="110" t="n"/>
      <c r="T401" s="110" t="n"/>
      <c r="U401" s="104" t="n"/>
    </row>
    <row r="402">
      <c r="A402" s="104" t="inlineStr">
        <is>
          <t>GUIDE000401</t>
        </is>
      </c>
      <c r="B402" s="101" t="inlineStr">
        <is>
          <t>DEV000037</t>
        </is>
      </c>
      <c r="C402" s="103" t="inlineStr">
        <is>
          <t>APL</t>
        </is>
      </c>
      <c r="D402" s="103" t="inlineStr">
        <is>
          <t>PHN</t>
        </is>
      </c>
      <c r="E402" s="60" t="inlineStr">
        <is>
          <t>iPhone 14 Pro</t>
        </is>
      </c>
      <c r="F402" s="104" t="inlineStr">
        <is>
          <t>SVC000011</t>
        </is>
      </c>
      <c r="G402" s="104" t="inlineStr">
        <is>
          <t>Charging Port Cleaning</t>
        </is>
      </c>
      <c r="H402" s="104" t="inlineStr">
        <is>
          <t>Charging</t>
        </is>
      </c>
      <c r="I402" s="104" t="n"/>
      <c r="J402" s="104" t="n"/>
      <c r="K402" s="104" t="n"/>
      <c r="L402" s="104" t="n"/>
      <c r="M402" s="104" t="n"/>
      <c r="N402" s="104" t="n"/>
      <c r="O402" s="104" t="n"/>
      <c r="P402" s="104" t="n"/>
      <c r="Q402" s="104" t="n"/>
      <c r="R402" s="104" t="n"/>
      <c r="S402" s="110" t="n"/>
      <c r="T402" s="110" t="n"/>
      <c r="U402" s="104" t="n"/>
    </row>
    <row r="403">
      <c r="A403" s="105" t="inlineStr">
        <is>
          <t>GUIDE000402</t>
        </is>
      </c>
      <c r="B403" s="101" t="inlineStr">
        <is>
          <t>DEV000038</t>
        </is>
      </c>
      <c r="C403" s="103" t="inlineStr">
        <is>
          <t>APL</t>
        </is>
      </c>
      <c r="D403" s="103" t="inlineStr">
        <is>
          <t>PHN</t>
        </is>
      </c>
      <c r="E403" s="60" t="inlineStr">
        <is>
          <t>iPhone 14 Pro Max</t>
        </is>
      </c>
      <c r="F403" s="104" t="inlineStr">
        <is>
          <t>SVC000011</t>
        </is>
      </c>
      <c r="G403" s="104" t="inlineStr">
        <is>
          <t>Charging Port Cleaning</t>
        </is>
      </c>
      <c r="H403" s="104" t="inlineStr">
        <is>
          <t>Charging</t>
        </is>
      </c>
      <c r="I403" s="104" t="n"/>
      <c r="J403" s="104" t="n"/>
      <c r="K403" s="104" t="n"/>
      <c r="L403" s="104" t="n"/>
      <c r="M403" s="104" t="n"/>
      <c r="N403" s="104" t="n"/>
      <c r="O403" s="104" t="n"/>
      <c r="P403" s="104" t="n"/>
      <c r="Q403" s="104" t="n"/>
      <c r="R403" s="104" t="n"/>
      <c r="S403" s="110" t="n"/>
      <c r="T403" s="110" t="n"/>
      <c r="U403" s="104" t="n"/>
    </row>
    <row r="404">
      <c r="A404" s="104" t="inlineStr">
        <is>
          <t>GUIDE000403</t>
        </is>
      </c>
      <c r="B404" s="101" t="inlineStr">
        <is>
          <t>DEV000039</t>
        </is>
      </c>
      <c r="C404" s="103" t="inlineStr">
        <is>
          <t>APL</t>
        </is>
      </c>
      <c r="D404" s="103" t="inlineStr">
        <is>
          <t>PHN</t>
        </is>
      </c>
      <c r="E404" s="60" t="inlineStr">
        <is>
          <t>iPhone 15</t>
        </is>
      </c>
      <c r="F404" s="104" t="inlineStr">
        <is>
          <t>SVC000011</t>
        </is>
      </c>
      <c r="G404" s="104" t="inlineStr">
        <is>
          <t>Charging Port Cleaning</t>
        </is>
      </c>
      <c r="H404" s="104" t="inlineStr">
        <is>
          <t>Charging</t>
        </is>
      </c>
      <c r="I404" s="104" t="n"/>
      <c r="J404" s="104" t="n"/>
      <c r="K404" s="104" t="n"/>
      <c r="L404" s="104" t="n"/>
      <c r="M404" s="104" t="n"/>
      <c r="N404" s="104" t="n"/>
      <c r="O404" s="104" t="n"/>
      <c r="P404" s="104" t="n"/>
      <c r="Q404" s="104" t="n"/>
      <c r="R404" s="104" t="n"/>
      <c r="S404" s="110" t="n"/>
      <c r="T404" s="110" t="n"/>
      <c r="U404" s="104" t="n"/>
    </row>
    <row r="405">
      <c r="A405" s="104" t="inlineStr">
        <is>
          <t>GUIDE000404</t>
        </is>
      </c>
      <c r="B405" s="101" t="inlineStr">
        <is>
          <t>DEV000040</t>
        </is>
      </c>
      <c r="C405" s="103" t="inlineStr">
        <is>
          <t>APL</t>
        </is>
      </c>
      <c r="D405" s="103" t="inlineStr">
        <is>
          <t>PHN</t>
        </is>
      </c>
      <c r="E405" s="60" t="inlineStr">
        <is>
          <t>iPhone 15 Plus</t>
        </is>
      </c>
      <c r="F405" s="104" t="inlineStr">
        <is>
          <t>SVC000011</t>
        </is>
      </c>
      <c r="G405" s="104" t="inlineStr">
        <is>
          <t>Charging Port Cleaning</t>
        </is>
      </c>
      <c r="H405" s="104" t="inlineStr">
        <is>
          <t>Charging</t>
        </is>
      </c>
      <c r="I405" s="104" t="n"/>
      <c r="J405" s="104" t="n"/>
      <c r="K405" s="104" t="n"/>
      <c r="L405" s="104" t="n"/>
      <c r="M405" s="104" t="n"/>
      <c r="N405" s="104" t="n"/>
      <c r="O405" s="104" t="n"/>
      <c r="P405" s="104" t="n"/>
      <c r="Q405" s="104" t="n"/>
      <c r="R405" s="104" t="n"/>
      <c r="S405" s="110" t="n"/>
      <c r="T405" s="110" t="n"/>
      <c r="U405" s="104" t="n"/>
    </row>
    <row r="406">
      <c r="A406" s="104" t="inlineStr">
        <is>
          <t>GUIDE000405</t>
        </is>
      </c>
      <c r="B406" s="101" t="inlineStr">
        <is>
          <t>DEV000041</t>
        </is>
      </c>
      <c r="C406" s="103" t="inlineStr">
        <is>
          <t>APL</t>
        </is>
      </c>
      <c r="D406" s="103" t="inlineStr">
        <is>
          <t>PHN</t>
        </is>
      </c>
      <c r="E406" s="60" t="inlineStr">
        <is>
          <t>iPhone 15 Pro</t>
        </is>
      </c>
      <c r="F406" s="104" t="inlineStr">
        <is>
          <t>SVC000011</t>
        </is>
      </c>
      <c r="G406" s="104" t="inlineStr">
        <is>
          <t>Charging Port Cleaning</t>
        </is>
      </c>
      <c r="H406" s="104" t="inlineStr">
        <is>
          <t>Charging</t>
        </is>
      </c>
      <c r="I406" s="104" t="n"/>
      <c r="J406" s="104" t="n"/>
      <c r="K406" s="104" t="n"/>
      <c r="L406" s="104" t="n"/>
      <c r="M406" s="104" t="n"/>
      <c r="N406" s="104" t="n"/>
      <c r="O406" s="104" t="n"/>
      <c r="P406" s="104" t="n"/>
      <c r="Q406" s="104" t="n"/>
      <c r="R406" s="104" t="n"/>
      <c r="S406" s="110" t="n"/>
      <c r="T406" s="110" t="n"/>
      <c r="U406" s="104" t="n"/>
    </row>
    <row r="407">
      <c r="A407" s="104" t="inlineStr">
        <is>
          <t>GUIDE000406</t>
        </is>
      </c>
      <c r="B407" s="101" t="inlineStr">
        <is>
          <t>DEV000042</t>
        </is>
      </c>
      <c r="C407" s="103" t="inlineStr">
        <is>
          <t>APL</t>
        </is>
      </c>
      <c r="D407" s="103" t="inlineStr">
        <is>
          <t>PHN</t>
        </is>
      </c>
      <c r="E407" s="60" t="inlineStr">
        <is>
          <t>iPhone 15 Pro Max</t>
        </is>
      </c>
      <c r="F407" s="104" t="inlineStr">
        <is>
          <t>SVC000011</t>
        </is>
      </c>
      <c r="G407" s="104" t="inlineStr">
        <is>
          <t>Charging Port Cleaning</t>
        </is>
      </c>
      <c r="H407" s="104" t="inlineStr">
        <is>
          <t>Charging</t>
        </is>
      </c>
      <c r="I407" s="104" t="n"/>
      <c r="J407" s="104" t="n"/>
      <c r="K407" s="104" t="n"/>
      <c r="L407" s="104" t="n"/>
      <c r="M407" s="104" t="n"/>
      <c r="N407" s="104" t="n"/>
      <c r="O407" s="104" t="n"/>
      <c r="P407" s="104" t="n"/>
      <c r="Q407" s="104" t="n"/>
      <c r="R407" s="104" t="n"/>
      <c r="S407" s="110" t="n"/>
      <c r="T407" s="110" t="n"/>
      <c r="U407" s="104" t="n"/>
    </row>
    <row r="408">
      <c r="A408" s="105" t="inlineStr">
        <is>
          <t>GUIDE000407</t>
        </is>
      </c>
      <c r="B408" s="101" t="inlineStr">
        <is>
          <t>DEV000043</t>
        </is>
      </c>
      <c r="C408" s="103" t="inlineStr">
        <is>
          <t>APL</t>
        </is>
      </c>
      <c r="D408" s="103" t="inlineStr">
        <is>
          <t>PHN</t>
        </is>
      </c>
      <c r="E408" s="60" t="inlineStr">
        <is>
          <t>iPhone 16</t>
        </is>
      </c>
      <c r="F408" s="104" t="inlineStr">
        <is>
          <t>SVC000011</t>
        </is>
      </c>
      <c r="G408" s="104" t="inlineStr">
        <is>
          <t>Charging Port Cleaning</t>
        </is>
      </c>
      <c r="H408" s="104" t="inlineStr">
        <is>
          <t>Charging</t>
        </is>
      </c>
      <c r="I408" s="104" t="n"/>
      <c r="J408" s="104" t="n"/>
      <c r="K408" s="104" t="n"/>
      <c r="L408" s="104" t="n"/>
      <c r="M408" s="104" t="n"/>
      <c r="N408" s="104" t="n"/>
      <c r="O408" s="104" t="n"/>
      <c r="P408" s="104" t="n"/>
      <c r="Q408" s="104" t="n"/>
      <c r="R408" s="104" t="n"/>
      <c r="S408" s="110" t="n"/>
      <c r="T408" s="110" t="n"/>
      <c r="U408" s="104" t="n"/>
    </row>
    <row r="409">
      <c r="A409" s="104" t="inlineStr">
        <is>
          <t>GUIDE000408</t>
        </is>
      </c>
      <c r="B409" s="101" t="inlineStr">
        <is>
          <t>DEV000044</t>
        </is>
      </c>
      <c r="C409" s="103" t="inlineStr">
        <is>
          <t>APL</t>
        </is>
      </c>
      <c r="D409" s="103" t="inlineStr">
        <is>
          <t>PHN</t>
        </is>
      </c>
      <c r="E409" s="60" t="inlineStr">
        <is>
          <t>iPhone 16 Plus</t>
        </is>
      </c>
      <c r="F409" s="104" t="inlineStr">
        <is>
          <t>SVC000011</t>
        </is>
      </c>
      <c r="G409" s="104" t="inlineStr">
        <is>
          <t>Charging Port Cleaning</t>
        </is>
      </c>
      <c r="H409" s="104" t="inlineStr">
        <is>
          <t>Charging</t>
        </is>
      </c>
      <c r="I409" s="104" t="n"/>
      <c r="J409" s="104" t="n"/>
      <c r="K409" s="104" t="n"/>
      <c r="L409" s="104" t="n"/>
      <c r="M409" s="104" t="n"/>
      <c r="N409" s="104" t="n"/>
      <c r="O409" s="104" t="n"/>
      <c r="P409" s="104" t="n"/>
      <c r="Q409" s="104" t="n"/>
      <c r="R409" s="104" t="n"/>
      <c r="S409" s="110" t="n"/>
      <c r="T409" s="110" t="n"/>
      <c r="U409" s="104" t="n"/>
    </row>
    <row r="410">
      <c r="A410" s="104" t="inlineStr">
        <is>
          <t>GUIDE000409</t>
        </is>
      </c>
      <c r="B410" s="101" t="inlineStr">
        <is>
          <t>DEV000045</t>
        </is>
      </c>
      <c r="C410" s="103" t="inlineStr">
        <is>
          <t>APL</t>
        </is>
      </c>
      <c r="D410" s="103" t="inlineStr">
        <is>
          <t>PHN</t>
        </is>
      </c>
      <c r="E410" s="60" t="inlineStr">
        <is>
          <t>iPhone 16 Pro</t>
        </is>
      </c>
      <c r="F410" s="104" t="inlineStr">
        <is>
          <t>SVC000011</t>
        </is>
      </c>
      <c r="G410" s="104" t="inlineStr">
        <is>
          <t>Charging Port Cleaning</t>
        </is>
      </c>
      <c r="H410" s="104" t="inlineStr">
        <is>
          <t>Charging</t>
        </is>
      </c>
      <c r="I410" s="104" t="n"/>
      <c r="J410" s="104" t="n"/>
      <c r="K410" s="104" t="n"/>
      <c r="L410" s="104" t="n"/>
      <c r="M410" s="104" t="n"/>
      <c r="N410" s="104" t="n"/>
      <c r="O410" s="104" t="n"/>
      <c r="P410" s="104" t="n"/>
      <c r="Q410" s="104" t="n"/>
      <c r="R410" s="104" t="n"/>
      <c r="S410" s="110" t="n"/>
      <c r="T410" s="110" t="n"/>
      <c r="U410" s="104" t="n"/>
    </row>
    <row r="411">
      <c r="A411" s="104" t="inlineStr">
        <is>
          <t>GUIDE000410</t>
        </is>
      </c>
      <c r="B411" s="101" t="inlineStr">
        <is>
          <t>DEV000046</t>
        </is>
      </c>
      <c r="C411" s="103" t="inlineStr">
        <is>
          <t>APL</t>
        </is>
      </c>
      <c r="D411" s="103" t="inlineStr">
        <is>
          <t>PHN</t>
        </is>
      </c>
      <c r="E411" s="60" t="inlineStr">
        <is>
          <t>iPhone 16 Pro Max</t>
        </is>
      </c>
      <c r="F411" s="104" t="inlineStr">
        <is>
          <t>SVC000011</t>
        </is>
      </c>
      <c r="G411" s="104" t="inlineStr">
        <is>
          <t>Charging Port Cleaning</t>
        </is>
      </c>
      <c r="H411" s="104" t="inlineStr">
        <is>
          <t>Charging</t>
        </is>
      </c>
      <c r="I411" s="104" t="n"/>
      <c r="J411" s="104" t="n"/>
      <c r="K411" s="104" t="n"/>
      <c r="L411" s="104" t="n"/>
      <c r="M411" s="104" t="n"/>
      <c r="N411" s="104" t="n"/>
      <c r="O411" s="104" t="n"/>
      <c r="P411" s="104" t="n"/>
      <c r="Q411" s="104" t="n"/>
      <c r="R411" s="104" t="n"/>
      <c r="S411" s="110" t="n"/>
      <c r="T411" s="110" t="n"/>
      <c r="U411" s="104" t="n"/>
    </row>
    <row r="412">
      <c r="A412" s="105" t="inlineStr">
        <is>
          <t>GUIDE000411</t>
        </is>
      </c>
      <c r="B412" s="101" t="inlineStr">
        <is>
          <t>DEV000047</t>
        </is>
      </c>
      <c r="C412" s="103" t="inlineStr">
        <is>
          <t>APL</t>
        </is>
      </c>
      <c r="D412" s="103" t="inlineStr">
        <is>
          <t>PHN</t>
        </is>
      </c>
      <c r="E412" s="60" t="inlineStr">
        <is>
          <t>iPhone 16e</t>
        </is>
      </c>
      <c r="F412" s="104" t="inlineStr">
        <is>
          <t>SVC000011</t>
        </is>
      </c>
      <c r="G412" s="104" t="inlineStr">
        <is>
          <t>Charging Port Cleaning</t>
        </is>
      </c>
      <c r="H412" s="104" t="inlineStr">
        <is>
          <t>Charging</t>
        </is>
      </c>
      <c r="I412" s="104" t="n"/>
      <c r="J412" s="104" t="n"/>
      <c r="K412" s="104" t="n"/>
      <c r="L412" s="104" t="n"/>
      <c r="M412" s="104" t="n"/>
      <c r="N412" s="104" t="n"/>
      <c r="O412" s="104" t="n"/>
      <c r="P412" s="104" t="n"/>
      <c r="Q412" s="104" t="n"/>
      <c r="R412" s="104" t="n"/>
      <c r="S412" s="110" t="n"/>
      <c r="T412" s="110" t="n"/>
      <c r="U412" s="104" t="n"/>
    </row>
    <row r="413">
      <c r="A413" s="104" t="inlineStr">
        <is>
          <t>GUIDE000412</t>
        </is>
      </c>
      <c r="B413" s="101" t="inlineStr">
        <is>
          <t>DEV000048</t>
        </is>
      </c>
      <c r="C413" s="103" t="inlineStr">
        <is>
          <t>APL</t>
        </is>
      </c>
      <c r="D413" s="103" t="inlineStr">
        <is>
          <t>PHN</t>
        </is>
      </c>
      <c r="E413" s="60" t="inlineStr">
        <is>
          <t>iPhone 17</t>
        </is>
      </c>
      <c r="F413" s="104" t="inlineStr">
        <is>
          <t>SVC000011</t>
        </is>
      </c>
      <c r="G413" s="104" t="inlineStr">
        <is>
          <t>Charging Port Cleaning</t>
        </is>
      </c>
      <c r="H413" s="104" t="inlineStr">
        <is>
          <t>Charging</t>
        </is>
      </c>
      <c r="I413" s="104" t="n"/>
      <c r="J413" s="104" t="n"/>
      <c r="K413" s="104" t="n"/>
      <c r="L413" s="104" t="n"/>
      <c r="M413" s="104" t="n"/>
      <c r="N413" s="104" t="n"/>
      <c r="O413" s="104" t="n"/>
      <c r="P413" s="104" t="n"/>
      <c r="Q413" s="104" t="n"/>
      <c r="R413" s="104" t="n"/>
      <c r="S413" s="110" t="n"/>
      <c r="T413" s="110" t="n"/>
      <c r="U413" s="104" t="n"/>
    </row>
    <row r="414">
      <c r="A414" s="104" t="inlineStr">
        <is>
          <t>GUIDE000413</t>
        </is>
      </c>
      <c r="B414" s="101" t="inlineStr">
        <is>
          <t>DEV000049</t>
        </is>
      </c>
      <c r="C414" s="103" t="inlineStr">
        <is>
          <t>APL</t>
        </is>
      </c>
      <c r="D414" s="103" t="inlineStr">
        <is>
          <t>PHN</t>
        </is>
      </c>
      <c r="E414" s="60" t="inlineStr">
        <is>
          <t>iPhone 17 Pro</t>
        </is>
      </c>
      <c r="F414" s="104" t="inlineStr">
        <is>
          <t>SVC000011</t>
        </is>
      </c>
      <c r="G414" s="104" t="inlineStr">
        <is>
          <t>Charging Port Cleaning</t>
        </is>
      </c>
      <c r="H414" s="104" t="inlineStr">
        <is>
          <t>Charging</t>
        </is>
      </c>
      <c r="I414" s="104" t="n"/>
      <c r="J414" s="104" t="n"/>
      <c r="K414" s="104" t="n"/>
      <c r="L414" s="104" t="n"/>
      <c r="M414" s="104" t="n"/>
      <c r="N414" s="104" t="n"/>
      <c r="O414" s="104" t="n"/>
      <c r="P414" s="104" t="n"/>
      <c r="Q414" s="104" t="n"/>
      <c r="R414" s="104" t="n"/>
      <c r="S414" s="110" t="n"/>
      <c r="T414" s="110" t="n"/>
      <c r="U414" s="104" t="n"/>
    </row>
    <row r="415">
      <c r="A415" s="104" t="inlineStr">
        <is>
          <t>GUIDE000414</t>
        </is>
      </c>
      <c r="B415" s="101" t="inlineStr">
        <is>
          <t>DEV000050</t>
        </is>
      </c>
      <c r="C415" s="103" t="inlineStr">
        <is>
          <t>APL</t>
        </is>
      </c>
      <c r="D415" s="103" t="inlineStr">
        <is>
          <t>PHN</t>
        </is>
      </c>
      <c r="E415" s="60" t="inlineStr">
        <is>
          <t>iPhone 17 Pro Max</t>
        </is>
      </c>
      <c r="F415" s="104" t="inlineStr">
        <is>
          <t>SVC000011</t>
        </is>
      </c>
      <c r="G415" s="104" t="inlineStr">
        <is>
          <t>Charging Port Cleaning</t>
        </is>
      </c>
      <c r="H415" s="104" t="inlineStr">
        <is>
          <t>Charging</t>
        </is>
      </c>
      <c r="I415" s="104" t="n"/>
      <c r="J415" s="104" t="n"/>
      <c r="K415" s="104" t="n"/>
      <c r="L415" s="104" t="n"/>
      <c r="M415" s="104" t="n"/>
      <c r="N415" s="104" t="n"/>
      <c r="O415" s="104" t="n"/>
      <c r="P415" s="104" t="n"/>
      <c r="Q415" s="104" t="n"/>
      <c r="R415" s="104" t="n"/>
      <c r="S415" s="110" t="n"/>
      <c r="T415" s="110" t="n"/>
      <c r="U415" s="104" t="n"/>
    </row>
    <row r="416">
      <c r="A416" s="104" t="inlineStr">
        <is>
          <t>GUIDE000415</t>
        </is>
      </c>
      <c r="B416" s="101" t="inlineStr">
        <is>
          <t>DEV000051</t>
        </is>
      </c>
      <c r="C416" s="103" t="inlineStr">
        <is>
          <t>APL</t>
        </is>
      </c>
      <c r="D416" s="103" t="inlineStr">
        <is>
          <t>PHN</t>
        </is>
      </c>
      <c r="E416" s="60" t="inlineStr">
        <is>
          <t>iPhone Air</t>
        </is>
      </c>
      <c r="F416" s="104" t="inlineStr">
        <is>
          <t>SVC000011</t>
        </is>
      </c>
      <c r="G416" s="104" t="inlineStr">
        <is>
          <t>Charging Port Cleaning</t>
        </is>
      </c>
      <c r="H416" s="104" t="inlineStr">
        <is>
          <t>Charging</t>
        </is>
      </c>
      <c r="I416" s="104" t="n"/>
      <c r="J416" s="104" t="n"/>
      <c r="K416" s="104" t="n"/>
      <c r="L416" s="104" t="n"/>
      <c r="M416" s="104" t="n"/>
      <c r="N416" s="104" t="n"/>
      <c r="O416" s="104" t="n"/>
      <c r="P416" s="104" t="n"/>
      <c r="Q416" s="104" t="n"/>
      <c r="R416" s="104" t="n"/>
      <c r="S416" s="110" t="n"/>
      <c r="T416" s="110" t="n"/>
      <c r="U416" s="104" t="n"/>
    </row>
    <row r="417">
      <c r="A417" s="105" t="inlineStr">
        <is>
          <t>GUIDE000416</t>
        </is>
      </c>
      <c r="B417" s="101" t="inlineStr">
        <is>
          <t>DEV000052</t>
        </is>
      </c>
      <c r="C417" s="103" t="inlineStr">
        <is>
          <t>APL</t>
        </is>
      </c>
      <c r="D417" s="103" t="inlineStr">
        <is>
          <t>PHN</t>
        </is>
      </c>
      <c r="E417" s="60" t="inlineStr">
        <is>
          <t>iPhone 17e</t>
        </is>
      </c>
      <c r="F417" s="104" t="inlineStr">
        <is>
          <t>SVC000011</t>
        </is>
      </c>
      <c r="G417" s="104" t="inlineStr">
        <is>
          <t>Charging Port Cleaning</t>
        </is>
      </c>
      <c r="H417" s="104" t="inlineStr">
        <is>
          <t>Charging</t>
        </is>
      </c>
      <c r="I417" s="104" t="n"/>
      <c r="J417" s="104" t="n"/>
      <c r="K417" s="104" t="n"/>
      <c r="L417" s="104" t="n"/>
      <c r="M417" s="104" t="n"/>
      <c r="N417" s="104" t="n"/>
      <c r="O417" s="104" t="n"/>
      <c r="P417" s="104" t="n"/>
      <c r="Q417" s="104" t="n"/>
      <c r="R417" s="104" t="n"/>
      <c r="S417" s="110" t="n"/>
      <c r="T417" s="110" t="n"/>
      <c r="U417" s="104" t="n"/>
    </row>
    <row r="418">
      <c r="A418" s="104" t="inlineStr">
        <is>
          <t>GUIDE000417</t>
        </is>
      </c>
      <c r="B418" s="101" t="inlineStr">
        <is>
          <t>DEV000001</t>
        </is>
      </c>
      <c r="C418" s="103" t="inlineStr">
        <is>
          <t>APL</t>
        </is>
      </c>
      <c r="D418" s="103" t="inlineStr">
        <is>
          <t>PHN</t>
        </is>
      </c>
      <c r="E418" s="60" t="inlineStr">
        <is>
          <t>iPhone (2G)</t>
        </is>
      </c>
      <c r="F418" s="104" t="inlineStr">
        <is>
          <t>SVC000012</t>
        </is>
      </c>
      <c r="G418" s="104" t="inlineStr">
        <is>
          <t>Wireless Charging Repair</t>
        </is>
      </c>
      <c r="H418" s="104" t="inlineStr">
        <is>
          <t>Charging</t>
        </is>
      </c>
      <c r="I418" s="104" t="n"/>
      <c r="J418" s="104" t="n"/>
      <c r="K418" s="104" t="n"/>
      <c r="L418" s="104" t="n"/>
      <c r="M418" s="104" t="n"/>
      <c r="N418" s="104" t="n"/>
      <c r="O418" s="104" t="n"/>
      <c r="P418" s="104" t="n"/>
      <c r="Q418" s="104" t="n"/>
      <c r="R418" s="104" t="n"/>
      <c r="S418" s="110" t="n"/>
      <c r="T418" s="110" t="n"/>
      <c r="U418" s="104" t="n"/>
    </row>
    <row r="419">
      <c r="A419" s="104" t="inlineStr">
        <is>
          <t>GUIDE000418</t>
        </is>
      </c>
      <c r="B419" s="101" t="inlineStr">
        <is>
          <t>DEV000002</t>
        </is>
      </c>
      <c r="C419" s="103" t="inlineStr">
        <is>
          <t>APL</t>
        </is>
      </c>
      <c r="D419" s="103" t="inlineStr">
        <is>
          <t>PHN</t>
        </is>
      </c>
      <c r="E419" s="60" t="inlineStr">
        <is>
          <t>iPhone 3G</t>
        </is>
      </c>
      <c r="F419" s="104" t="inlineStr">
        <is>
          <t>SVC000012</t>
        </is>
      </c>
      <c r="G419" s="104" t="inlineStr">
        <is>
          <t>Wireless Charging Repair</t>
        </is>
      </c>
      <c r="H419" s="104" t="inlineStr">
        <is>
          <t>Charging</t>
        </is>
      </c>
      <c r="I419" s="104" t="n"/>
      <c r="J419" s="104" t="n"/>
      <c r="K419" s="104" t="n"/>
      <c r="L419" s="104" t="n"/>
      <c r="M419" s="104" t="n"/>
      <c r="N419" s="104" t="n"/>
      <c r="O419" s="104" t="n"/>
      <c r="P419" s="104" t="n"/>
      <c r="Q419" s="104" t="n"/>
      <c r="R419" s="104" t="n"/>
      <c r="S419" s="110" t="n"/>
      <c r="T419" s="110" t="n"/>
      <c r="U419" s="104" t="n"/>
    </row>
    <row r="420">
      <c r="A420" s="104" t="inlineStr">
        <is>
          <t>GUIDE000419</t>
        </is>
      </c>
      <c r="B420" s="101" t="inlineStr">
        <is>
          <t>DEV000003</t>
        </is>
      </c>
      <c r="C420" s="103" t="inlineStr">
        <is>
          <t>APL</t>
        </is>
      </c>
      <c r="D420" s="103" t="inlineStr">
        <is>
          <t>PHN</t>
        </is>
      </c>
      <c r="E420" s="60" t="inlineStr">
        <is>
          <t>iPhone 3GS</t>
        </is>
      </c>
      <c r="F420" s="104" t="inlineStr">
        <is>
          <t>SVC000012</t>
        </is>
      </c>
      <c r="G420" s="104" t="inlineStr">
        <is>
          <t>Wireless Charging Repair</t>
        </is>
      </c>
      <c r="H420" s="104" t="inlineStr">
        <is>
          <t>Charging</t>
        </is>
      </c>
      <c r="I420" s="104" t="n"/>
      <c r="J420" s="104" t="n"/>
      <c r="K420" s="104" t="n"/>
      <c r="L420" s="104" t="n"/>
      <c r="M420" s="104" t="n"/>
      <c r="N420" s="104" t="n"/>
      <c r="O420" s="104" t="n"/>
      <c r="P420" s="104" t="n"/>
      <c r="Q420" s="104" t="n"/>
      <c r="R420" s="104" t="n"/>
      <c r="S420" s="110" t="n"/>
      <c r="T420" s="110" t="n"/>
      <c r="U420" s="104" t="n"/>
    </row>
    <row r="421">
      <c r="A421" s="105" t="inlineStr">
        <is>
          <t>GUIDE000420</t>
        </is>
      </c>
      <c r="B421" s="101" t="inlineStr">
        <is>
          <t>DEV000004</t>
        </is>
      </c>
      <c r="C421" s="103" t="inlineStr">
        <is>
          <t>APL</t>
        </is>
      </c>
      <c r="D421" s="103" t="inlineStr">
        <is>
          <t>PHN</t>
        </is>
      </c>
      <c r="E421" s="60" t="inlineStr">
        <is>
          <t>iPhone 4</t>
        </is>
      </c>
      <c r="F421" s="104" t="inlineStr">
        <is>
          <t>SVC000012</t>
        </is>
      </c>
      <c r="G421" s="104" t="inlineStr">
        <is>
          <t>Wireless Charging Repair</t>
        </is>
      </c>
      <c r="H421" s="104" t="inlineStr">
        <is>
          <t>Charging</t>
        </is>
      </c>
      <c r="I421" s="104" t="n"/>
      <c r="J421" s="104" t="n"/>
      <c r="K421" s="104" t="n"/>
      <c r="L421" s="104" t="n"/>
      <c r="M421" s="104" t="n"/>
      <c r="N421" s="104" t="n"/>
      <c r="O421" s="104" t="n"/>
      <c r="P421" s="104" t="n"/>
      <c r="Q421" s="104" t="n"/>
      <c r="R421" s="104" t="n"/>
      <c r="S421" s="110" t="n"/>
      <c r="T421" s="110" t="n"/>
      <c r="U421" s="104" t="n"/>
    </row>
    <row r="422">
      <c r="A422" s="104" t="inlineStr">
        <is>
          <t>GUIDE000421</t>
        </is>
      </c>
      <c r="B422" s="101" t="inlineStr">
        <is>
          <t>DEV000005</t>
        </is>
      </c>
      <c r="C422" s="103" t="inlineStr">
        <is>
          <t>APL</t>
        </is>
      </c>
      <c r="D422" s="103" t="inlineStr">
        <is>
          <t>PHN</t>
        </is>
      </c>
      <c r="E422" s="60" t="inlineStr">
        <is>
          <t>iPhone 4s</t>
        </is>
      </c>
      <c r="F422" s="104" t="inlineStr">
        <is>
          <t>SVC000012</t>
        </is>
      </c>
      <c r="G422" s="104" t="inlineStr">
        <is>
          <t>Wireless Charging Repair</t>
        </is>
      </c>
      <c r="H422" s="104" t="inlineStr">
        <is>
          <t>Charging</t>
        </is>
      </c>
      <c r="I422" s="104" t="n"/>
      <c r="J422" s="104" t="n"/>
      <c r="K422" s="104" t="n"/>
      <c r="L422" s="104" t="n"/>
      <c r="M422" s="104" t="n"/>
      <c r="N422" s="104" t="n"/>
      <c r="O422" s="104" t="n"/>
      <c r="P422" s="104" t="n"/>
      <c r="Q422" s="104" t="n"/>
      <c r="R422" s="104" t="n"/>
      <c r="S422" s="110" t="n"/>
      <c r="T422" s="110" t="n"/>
      <c r="U422" s="104" t="n"/>
    </row>
    <row r="423">
      <c r="A423" s="104" t="inlineStr">
        <is>
          <t>GUIDE000422</t>
        </is>
      </c>
      <c r="B423" s="101" t="inlineStr">
        <is>
          <t>DEV000006</t>
        </is>
      </c>
      <c r="C423" s="103" t="inlineStr">
        <is>
          <t>APL</t>
        </is>
      </c>
      <c r="D423" s="103" t="inlineStr">
        <is>
          <t>PHN</t>
        </is>
      </c>
      <c r="E423" s="60" t="inlineStr">
        <is>
          <t>iPhone 5</t>
        </is>
      </c>
      <c r="F423" s="104" t="inlineStr">
        <is>
          <t>SVC000012</t>
        </is>
      </c>
      <c r="G423" s="104" t="inlineStr">
        <is>
          <t>Wireless Charging Repair</t>
        </is>
      </c>
      <c r="H423" s="104" t="inlineStr">
        <is>
          <t>Charging</t>
        </is>
      </c>
      <c r="I423" s="104" t="n"/>
      <c r="J423" s="104" t="n"/>
      <c r="K423" s="104" t="n"/>
      <c r="L423" s="104" t="n"/>
      <c r="M423" s="104" t="n"/>
      <c r="N423" s="104" t="n"/>
      <c r="O423" s="104" t="n"/>
      <c r="P423" s="104" t="n"/>
      <c r="Q423" s="104" t="n"/>
      <c r="R423" s="104" t="n"/>
      <c r="S423" s="110" t="n"/>
      <c r="T423" s="110" t="n"/>
      <c r="U423" s="104" t="n"/>
    </row>
    <row r="424">
      <c r="A424" s="104" t="inlineStr">
        <is>
          <t>GUIDE000423</t>
        </is>
      </c>
      <c r="B424" s="101" t="inlineStr">
        <is>
          <t>DEV000007</t>
        </is>
      </c>
      <c r="C424" s="103" t="inlineStr">
        <is>
          <t>APL</t>
        </is>
      </c>
      <c r="D424" s="103" t="inlineStr">
        <is>
          <t>PHN</t>
        </is>
      </c>
      <c r="E424" s="60" t="inlineStr">
        <is>
          <t>iPhone 5c</t>
        </is>
      </c>
      <c r="F424" s="104" t="inlineStr">
        <is>
          <t>SVC000012</t>
        </is>
      </c>
      <c r="G424" s="104" t="inlineStr">
        <is>
          <t>Wireless Charging Repair</t>
        </is>
      </c>
      <c r="H424" s="104" t="inlineStr">
        <is>
          <t>Charging</t>
        </is>
      </c>
      <c r="I424" s="104" t="n"/>
      <c r="J424" s="104" t="n"/>
      <c r="K424" s="104" t="n"/>
      <c r="L424" s="104" t="n"/>
      <c r="M424" s="104" t="n"/>
      <c r="N424" s="104" t="n"/>
      <c r="O424" s="104" t="n"/>
      <c r="P424" s="104" t="n"/>
      <c r="Q424" s="104" t="n"/>
      <c r="R424" s="104" t="n"/>
      <c r="S424" s="110" t="n"/>
      <c r="T424" s="110" t="n"/>
      <c r="U424" s="104" t="n"/>
    </row>
    <row r="425">
      <c r="A425" s="104" t="inlineStr">
        <is>
          <t>GUIDE000424</t>
        </is>
      </c>
      <c r="B425" s="101" t="inlineStr">
        <is>
          <t>DEV000008</t>
        </is>
      </c>
      <c r="C425" s="103" t="inlineStr">
        <is>
          <t>APL</t>
        </is>
      </c>
      <c r="D425" s="103" t="inlineStr">
        <is>
          <t>PHN</t>
        </is>
      </c>
      <c r="E425" s="60" t="inlineStr">
        <is>
          <t>iPhone 5s</t>
        </is>
      </c>
      <c r="F425" s="104" t="inlineStr">
        <is>
          <t>SVC000012</t>
        </is>
      </c>
      <c r="G425" s="104" t="inlineStr">
        <is>
          <t>Wireless Charging Repair</t>
        </is>
      </c>
      <c r="H425" s="104" t="inlineStr">
        <is>
          <t>Charging</t>
        </is>
      </c>
      <c r="I425" s="104" t="n"/>
      <c r="J425" s="104" t="n"/>
      <c r="K425" s="104" t="n"/>
      <c r="L425" s="104" t="n"/>
      <c r="M425" s="104" t="n"/>
      <c r="N425" s="104" t="n"/>
      <c r="O425" s="104" t="n"/>
      <c r="P425" s="104" t="n"/>
      <c r="Q425" s="104" t="n"/>
      <c r="R425" s="104" t="n"/>
      <c r="S425" s="110" t="n"/>
      <c r="T425" s="110" t="n"/>
      <c r="U425" s="104" t="n"/>
    </row>
    <row r="426">
      <c r="A426" s="105" t="inlineStr">
        <is>
          <t>GUIDE000425</t>
        </is>
      </c>
      <c r="B426" s="101" t="inlineStr">
        <is>
          <t>DEV000009</t>
        </is>
      </c>
      <c r="C426" s="103" t="inlineStr">
        <is>
          <t>APL</t>
        </is>
      </c>
      <c r="D426" s="103" t="inlineStr">
        <is>
          <t>PHN</t>
        </is>
      </c>
      <c r="E426" s="60" t="inlineStr">
        <is>
          <t>iPhone 6</t>
        </is>
      </c>
      <c r="F426" s="104" t="inlineStr">
        <is>
          <t>SVC000012</t>
        </is>
      </c>
      <c r="G426" s="104" t="inlineStr">
        <is>
          <t>Wireless Charging Repair</t>
        </is>
      </c>
      <c r="H426" s="104" t="inlineStr">
        <is>
          <t>Charging</t>
        </is>
      </c>
      <c r="I426" s="104" t="n"/>
      <c r="J426" s="104" t="n"/>
      <c r="K426" s="104" t="n"/>
      <c r="L426" s="104" t="n"/>
      <c r="M426" s="104" t="n"/>
      <c r="N426" s="104" t="n"/>
      <c r="O426" s="104" t="n"/>
      <c r="P426" s="104" t="n"/>
      <c r="Q426" s="104" t="n"/>
      <c r="R426" s="104" t="n"/>
      <c r="S426" s="110" t="n"/>
      <c r="T426" s="110" t="n"/>
      <c r="U426" s="104" t="n"/>
    </row>
    <row r="427">
      <c r="A427" s="104" t="inlineStr">
        <is>
          <t>GUIDE000426</t>
        </is>
      </c>
      <c r="B427" s="101" t="inlineStr">
        <is>
          <t>DEV000010</t>
        </is>
      </c>
      <c r="C427" s="103" t="inlineStr">
        <is>
          <t>APL</t>
        </is>
      </c>
      <c r="D427" s="103" t="inlineStr">
        <is>
          <t>PHN</t>
        </is>
      </c>
      <c r="E427" s="60" t="inlineStr">
        <is>
          <t>iPhone 6 Plus</t>
        </is>
      </c>
      <c r="F427" s="104" t="inlineStr">
        <is>
          <t>SVC000012</t>
        </is>
      </c>
      <c r="G427" s="104" t="inlineStr">
        <is>
          <t>Wireless Charging Repair</t>
        </is>
      </c>
      <c r="H427" s="104" t="inlineStr">
        <is>
          <t>Charging</t>
        </is>
      </c>
      <c r="I427" s="104" t="n"/>
      <c r="J427" s="104" t="n"/>
      <c r="K427" s="104" t="n"/>
      <c r="L427" s="104" t="n"/>
      <c r="M427" s="104" t="n"/>
      <c r="N427" s="104" t="n"/>
      <c r="O427" s="104" t="n"/>
      <c r="P427" s="104" t="n"/>
      <c r="Q427" s="104" t="n"/>
      <c r="R427" s="104" t="n"/>
      <c r="S427" s="110" t="n"/>
      <c r="T427" s="110" t="n"/>
      <c r="U427" s="104" t="n"/>
    </row>
    <row r="428">
      <c r="A428" s="104" t="inlineStr">
        <is>
          <t>GUIDE000427</t>
        </is>
      </c>
      <c r="B428" s="101" t="inlineStr">
        <is>
          <t>DEV000011</t>
        </is>
      </c>
      <c r="C428" s="103" t="inlineStr">
        <is>
          <t>APL</t>
        </is>
      </c>
      <c r="D428" s="103" t="inlineStr">
        <is>
          <t>PHN</t>
        </is>
      </c>
      <c r="E428" s="60" t="inlineStr">
        <is>
          <t>iPhone 6s</t>
        </is>
      </c>
      <c r="F428" s="104" t="inlineStr">
        <is>
          <t>SVC000012</t>
        </is>
      </c>
      <c r="G428" s="104" t="inlineStr">
        <is>
          <t>Wireless Charging Repair</t>
        </is>
      </c>
      <c r="H428" s="104" t="inlineStr">
        <is>
          <t>Charging</t>
        </is>
      </c>
      <c r="I428" s="104" t="n"/>
      <c r="J428" s="104" t="n"/>
      <c r="K428" s="104" t="n"/>
      <c r="L428" s="104" t="n"/>
      <c r="M428" s="104" t="n"/>
      <c r="N428" s="104" t="n"/>
      <c r="O428" s="104" t="n"/>
      <c r="P428" s="104" t="n"/>
      <c r="Q428" s="104" t="n"/>
      <c r="R428" s="104" t="n"/>
      <c r="S428" s="110" t="n"/>
      <c r="T428" s="110" t="n"/>
      <c r="U428" s="104" t="n"/>
    </row>
    <row r="429">
      <c r="A429" s="104" t="inlineStr">
        <is>
          <t>GUIDE000428</t>
        </is>
      </c>
      <c r="B429" s="101" t="inlineStr">
        <is>
          <t>DEV000012</t>
        </is>
      </c>
      <c r="C429" s="103" t="inlineStr">
        <is>
          <t>APL</t>
        </is>
      </c>
      <c r="D429" s="103" t="inlineStr">
        <is>
          <t>PHN</t>
        </is>
      </c>
      <c r="E429" s="60" t="inlineStr">
        <is>
          <t>iPhone 6s Plus</t>
        </is>
      </c>
      <c r="F429" s="104" t="inlineStr">
        <is>
          <t>SVC000012</t>
        </is>
      </c>
      <c r="G429" s="104" t="inlineStr">
        <is>
          <t>Wireless Charging Repair</t>
        </is>
      </c>
      <c r="H429" s="104" t="inlineStr">
        <is>
          <t>Charging</t>
        </is>
      </c>
      <c r="I429" s="104" t="n"/>
      <c r="J429" s="104" t="n"/>
      <c r="K429" s="104" t="n"/>
      <c r="L429" s="104" t="n"/>
      <c r="M429" s="104" t="n"/>
      <c r="N429" s="104" t="n"/>
      <c r="O429" s="104" t="n"/>
      <c r="P429" s="104" t="n"/>
      <c r="Q429" s="104" t="n"/>
      <c r="R429" s="104" t="n"/>
      <c r="S429" s="110" t="n"/>
      <c r="T429" s="110" t="n"/>
      <c r="U429" s="104" t="n"/>
    </row>
    <row r="430">
      <c r="A430" s="105" t="inlineStr">
        <is>
          <t>GUIDE000429</t>
        </is>
      </c>
      <c r="B430" s="101" t="inlineStr">
        <is>
          <t>DEV000013</t>
        </is>
      </c>
      <c r="C430" s="103" t="inlineStr">
        <is>
          <t>APL</t>
        </is>
      </c>
      <c r="D430" s="103" t="inlineStr">
        <is>
          <t>PHN</t>
        </is>
      </c>
      <c r="E430" s="60" t="inlineStr">
        <is>
          <t>iPhone SE (1st Gen)</t>
        </is>
      </c>
      <c r="F430" s="104" t="inlineStr">
        <is>
          <t>SVC000012</t>
        </is>
      </c>
      <c r="G430" s="104" t="inlineStr">
        <is>
          <t>Wireless Charging Repair</t>
        </is>
      </c>
      <c r="H430" s="104" t="inlineStr">
        <is>
          <t>Charging</t>
        </is>
      </c>
      <c r="I430" s="104" t="n"/>
      <c r="J430" s="104" t="n"/>
      <c r="K430" s="104" t="n"/>
      <c r="L430" s="104" t="n"/>
      <c r="M430" s="104" t="n"/>
      <c r="N430" s="104" t="n"/>
      <c r="O430" s="104" t="n"/>
      <c r="P430" s="104" t="n"/>
      <c r="Q430" s="104" t="n"/>
      <c r="R430" s="104" t="n"/>
      <c r="S430" s="110" t="n"/>
      <c r="T430" s="110" t="n"/>
      <c r="U430" s="104" t="n"/>
    </row>
    <row r="431">
      <c r="A431" s="104" t="inlineStr">
        <is>
          <t>GUIDE000430</t>
        </is>
      </c>
      <c r="B431" s="101" t="inlineStr">
        <is>
          <t>DEV000014</t>
        </is>
      </c>
      <c r="C431" s="103" t="inlineStr">
        <is>
          <t>APL</t>
        </is>
      </c>
      <c r="D431" s="103" t="inlineStr">
        <is>
          <t>PHN</t>
        </is>
      </c>
      <c r="E431" s="60" t="inlineStr">
        <is>
          <t>iPhone 7</t>
        </is>
      </c>
      <c r="F431" s="104" t="inlineStr">
        <is>
          <t>SVC000012</t>
        </is>
      </c>
      <c r="G431" s="104" t="inlineStr">
        <is>
          <t>Wireless Charging Repair</t>
        </is>
      </c>
      <c r="H431" s="104" t="inlineStr">
        <is>
          <t>Charging</t>
        </is>
      </c>
      <c r="I431" s="104" t="n"/>
      <c r="J431" s="104" t="n"/>
      <c r="K431" s="104" t="n"/>
      <c r="L431" s="104" t="n"/>
      <c r="M431" s="104" t="n"/>
      <c r="N431" s="104" t="n"/>
      <c r="O431" s="104" t="n"/>
      <c r="P431" s="104" t="n"/>
      <c r="Q431" s="104" t="n"/>
      <c r="R431" s="104" t="n"/>
      <c r="S431" s="110" t="n"/>
      <c r="T431" s="110" t="n"/>
      <c r="U431" s="104" t="n"/>
    </row>
    <row r="432">
      <c r="A432" s="104" t="inlineStr">
        <is>
          <t>GUIDE000431</t>
        </is>
      </c>
      <c r="B432" s="101" t="inlineStr">
        <is>
          <t>DEV000015</t>
        </is>
      </c>
      <c r="C432" s="103" t="inlineStr">
        <is>
          <t>APL</t>
        </is>
      </c>
      <c r="D432" s="103" t="inlineStr">
        <is>
          <t>PHN</t>
        </is>
      </c>
      <c r="E432" s="60" t="inlineStr">
        <is>
          <t>iPhone 7 Plus</t>
        </is>
      </c>
      <c r="F432" s="104" t="inlineStr">
        <is>
          <t>SVC000012</t>
        </is>
      </c>
      <c r="G432" s="104" t="inlineStr">
        <is>
          <t>Wireless Charging Repair</t>
        </is>
      </c>
      <c r="H432" s="104" t="inlineStr">
        <is>
          <t>Charging</t>
        </is>
      </c>
      <c r="I432" s="104" t="n"/>
      <c r="J432" s="104" t="n"/>
      <c r="K432" s="104" t="n"/>
      <c r="L432" s="104" t="n"/>
      <c r="M432" s="104" t="n"/>
      <c r="N432" s="104" t="n"/>
      <c r="O432" s="104" t="n"/>
      <c r="P432" s="104" t="n"/>
      <c r="Q432" s="104" t="n"/>
      <c r="R432" s="104" t="n"/>
      <c r="S432" s="110" t="n"/>
      <c r="T432" s="110" t="n"/>
      <c r="U432" s="104" t="n"/>
    </row>
    <row r="433">
      <c r="A433" s="104" t="inlineStr">
        <is>
          <t>GUIDE000432</t>
        </is>
      </c>
      <c r="B433" s="101" t="inlineStr">
        <is>
          <t>DEV000016</t>
        </is>
      </c>
      <c r="C433" s="103" t="inlineStr">
        <is>
          <t>APL</t>
        </is>
      </c>
      <c r="D433" s="103" t="inlineStr">
        <is>
          <t>PHN</t>
        </is>
      </c>
      <c r="E433" s="60" t="inlineStr">
        <is>
          <t>iPhone 8</t>
        </is>
      </c>
      <c r="F433" s="104" t="inlineStr">
        <is>
          <t>SVC000012</t>
        </is>
      </c>
      <c r="G433" s="104" t="inlineStr">
        <is>
          <t>Wireless Charging Repair</t>
        </is>
      </c>
      <c r="H433" s="104" t="inlineStr">
        <is>
          <t>Charging</t>
        </is>
      </c>
      <c r="I433" s="104" t="n"/>
      <c r="J433" s="104" t="n"/>
      <c r="K433" s="104" t="n"/>
      <c r="L433" s="104" t="n"/>
      <c r="M433" s="104" t="n"/>
      <c r="N433" s="104" t="n"/>
      <c r="O433" s="104" t="n"/>
      <c r="P433" s="104" t="n"/>
      <c r="Q433" s="104" t="n"/>
      <c r="R433" s="104" t="n"/>
      <c r="S433" s="110" t="n"/>
      <c r="T433" s="110" t="n"/>
      <c r="U433" s="104" t="n"/>
    </row>
    <row r="434">
      <c r="A434" s="104" t="inlineStr">
        <is>
          <t>GUIDE000433</t>
        </is>
      </c>
      <c r="B434" s="101" t="inlineStr">
        <is>
          <t>DEV000017</t>
        </is>
      </c>
      <c r="C434" s="103" t="inlineStr">
        <is>
          <t>APL</t>
        </is>
      </c>
      <c r="D434" s="103" t="inlineStr">
        <is>
          <t>PHN</t>
        </is>
      </c>
      <c r="E434" s="60" t="inlineStr">
        <is>
          <t>iPhone 8 Plus</t>
        </is>
      </c>
      <c r="F434" s="104" t="inlineStr">
        <is>
          <t>SVC000012</t>
        </is>
      </c>
      <c r="G434" s="104" t="inlineStr">
        <is>
          <t>Wireless Charging Repair</t>
        </is>
      </c>
      <c r="H434" s="104" t="inlineStr">
        <is>
          <t>Charging</t>
        </is>
      </c>
      <c r="I434" s="104" t="n"/>
      <c r="J434" s="104" t="n"/>
      <c r="K434" s="104" t="n"/>
      <c r="L434" s="104" t="n"/>
      <c r="M434" s="104" t="n"/>
      <c r="N434" s="104" t="n"/>
      <c r="O434" s="104" t="n"/>
      <c r="P434" s="104" t="n"/>
      <c r="Q434" s="104" t="n"/>
      <c r="R434" s="104" t="n"/>
      <c r="S434" s="110" t="n"/>
      <c r="T434" s="110" t="n"/>
      <c r="U434" s="104" t="n"/>
    </row>
    <row r="435">
      <c r="A435" s="105" t="inlineStr">
        <is>
          <t>GUIDE000434</t>
        </is>
      </c>
      <c r="B435" s="101" t="inlineStr">
        <is>
          <t>DEV000018</t>
        </is>
      </c>
      <c r="C435" s="103" t="inlineStr">
        <is>
          <t>APL</t>
        </is>
      </c>
      <c r="D435" s="103" t="inlineStr">
        <is>
          <t>PHN</t>
        </is>
      </c>
      <c r="E435" s="60" t="inlineStr">
        <is>
          <t>iPhone X</t>
        </is>
      </c>
      <c r="F435" s="104" t="inlineStr">
        <is>
          <t>SVC000012</t>
        </is>
      </c>
      <c r="G435" s="104" t="inlineStr">
        <is>
          <t>Wireless Charging Repair</t>
        </is>
      </c>
      <c r="H435" s="104" t="inlineStr">
        <is>
          <t>Charging</t>
        </is>
      </c>
      <c r="I435" s="104" t="n"/>
      <c r="J435" s="104" t="n"/>
      <c r="K435" s="104" t="n"/>
      <c r="L435" s="104" t="n"/>
      <c r="M435" s="104" t="n"/>
      <c r="N435" s="104" t="n"/>
      <c r="O435" s="104" t="n"/>
      <c r="P435" s="104" t="n"/>
      <c r="Q435" s="104" t="n"/>
      <c r="R435" s="104" t="n"/>
      <c r="S435" s="110" t="n"/>
      <c r="T435" s="110" t="n"/>
      <c r="U435" s="104" t="n"/>
    </row>
    <row r="436">
      <c r="A436" s="104" t="inlineStr">
        <is>
          <t>GUIDE000435</t>
        </is>
      </c>
      <c r="B436" s="101" t="inlineStr">
        <is>
          <t>DEV000019</t>
        </is>
      </c>
      <c r="C436" s="103" t="inlineStr">
        <is>
          <t>APL</t>
        </is>
      </c>
      <c r="D436" s="103" t="inlineStr">
        <is>
          <t>PHN</t>
        </is>
      </c>
      <c r="E436" s="60" t="inlineStr">
        <is>
          <t>iPhone XR</t>
        </is>
      </c>
      <c r="F436" s="104" t="inlineStr">
        <is>
          <t>SVC000012</t>
        </is>
      </c>
      <c r="G436" s="104" t="inlineStr">
        <is>
          <t>Wireless Charging Repair</t>
        </is>
      </c>
      <c r="H436" s="104" t="inlineStr">
        <is>
          <t>Charging</t>
        </is>
      </c>
      <c r="I436" s="104" t="n"/>
      <c r="J436" s="104" t="n"/>
      <c r="K436" s="104" t="n"/>
      <c r="L436" s="104" t="n"/>
      <c r="M436" s="104" t="n"/>
      <c r="N436" s="104" t="n"/>
      <c r="O436" s="104" t="n"/>
      <c r="P436" s="104" t="n"/>
      <c r="Q436" s="104" t="n"/>
      <c r="R436" s="104" t="n"/>
      <c r="S436" s="110" t="n"/>
      <c r="T436" s="110" t="n"/>
      <c r="U436" s="104" t="n"/>
    </row>
    <row r="437">
      <c r="A437" s="104" t="inlineStr">
        <is>
          <t>GUIDE000436</t>
        </is>
      </c>
      <c r="B437" s="101" t="inlineStr">
        <is>
          <t>DEV000020</t>
        </is>
      </c>
      <c r="C437" s="103" t="inlineStr">
        <is>
          <t>APL</t>
        </is>
      </c>
      <c r="D437" s="103" t="inlineStr">
        <is>
          <t>PHN</t>
        </is>
      </c>
      <c r="E437" s="60" t="inlineStr">
        <is>
          <t>iPhone XS</t>
        </is>
      </c>
      <c r="F437" s="104" t="inlineStr">
        <is>
          <t>SVC000012</t>
        </is>
      </c>
      <c r="G437" s="104" t="inlineStr">
        <is>
          <t>Wireless Charging Repair</t>
        </is>
      </c>
      <c r="H437" s="104" t="inlineStr">
        <is>
          <t>Charging</t>
        </is>
      </c>
      <c r="I437" s="104" t="n"/>
      <c r="J437" s="104" t="n"/>
      <c r="K437" s="104" t="n"/>
      <c r="L437" s="104" t="n"/>
      <c r="M437" s="104" t="n"/>
      <c r="N437" s="104" t="n"/>
      <c r="O437" s="104" t="n"/>
      <c r="P437" s="104" t="n"/>
      <c r="Q437" s="104" t="n"/>
      <c r="R437" s="104" t="n"/>
      <c r="S437" s="110" t="n"/>
      <c r="T437" s="110" t="n"/>
      <c r="U437" s="104" t="n"/>
    </row>
    <row r="438">
      <c r="A438" s="104" t="inlineStr">
        <is>
          <t>GUIDE000437</t>
        </is>
      </c>
      <c r="B438" s="101" t="inlineStr">
        <is>
          <t>DEV000021</t>
        </is>
      </c>
      <c r="C438" s="103" t="inlineStr">
        <is>
          <t>APL</t>
        </is>
      </c>
      <c r="D438" s="103" t="inlineStr">
        <is>
          <t>PHN</t>
        </is>
      </c>
      <c r="E438" s="60" t="inlineStr">
        <is>
          <t>iPhone XS Max</t>
        </is>
      </c>
      <c r="F438" s="104" t="inlineStr">
        <is>
          <t>SVC000012</t>
        </is>
      </c>
      <c r="G438" s="104" t="inlineStr">
        <is>
          <t>Wireless Charging Repair</t>
        </is>
      </c>
      <c r="H438" s="104" t="inlineStr">
        <is>
          <t>Charging</t>
        </is>
      </c>
      <c r="I438" s="104" t="n"/>
      <c r="J438" s="104" t="n"/>
      <c r="K438" s="104" t="n"/>
      <c r="L438" s="104" t="n"/>
      <c r="M438" s="104" t="n"/>
      <c r="N438" s="104" t="n"/>
      <c r="O438" s="104" t="n"/>
      <c r="P438" s="104" t="n"/>
      <c r="Q438" s="104" t="n"/>
      <c r="R438" s="104" t="n"/>
      <c r="S438" s="110" t="n"/>
      <c r="T438" s="110" t="n"/>
      <c r="U438" s="104" t="n"/>
    </row>
    <row r="439">
      <c r="A439" s="105" t="inlineStr">
        <is>
          <t>GUIDE000438</t>
        </is>
      </c>
      <c r="B439" s="101" t="inlineStr">
        <is>
          <t>DEV000022</t>
        </is>
      </c>
      <c r="C439" s="103" t="inlineStr">
        <is>
          <t>APL</t>
        </is>
      </c>
      <c r="D439" s="103" t="inlineStr">
        <is>
          <t>PHN</t>
        </is>
      </c>
      <c r="E439" s="60" t="inlineStr">
        <is>
          <t>iPhone 11</t>
        </is>
      </c>
      <c r="F439" s="104" t="inlineStr">
        <is>
          <t>SVC000012</t>
        </is>
      </c>
      <c r="G439" s="104" t="inlineStr">
        <is>
          <t>Wireless Charging Repair</t>
        </is>
      </c>
      <c r="H439" s="104" t="inlineStr">
        <is>
          <t>Charging</t>
        </is>
      </c>
      <c r="I439" s="104" t="n"/>
      <c r="J439" s="104" t="n"/>
      <c r="K439" s="104" t="n"/>
      <c r="L439" s="104" t="n"/>
      <c r="M439" s="104" t="n"/>
      <c r="N439" s="104" t="n"/>
      <c r="O439" s="104" t="n"/>
      <c r="P439" s="104" t="n"/>
      <c r="Q439" s="104" t="n"/>
      <c r="R439" s="104" t="n"/>
      <c r="S439" s="110" t="n"/>
      <c r="T439" s="110" t="n"/>
      <c r="U439" s="104" t="n"/>
    </row>
    <row r="440">
      <c r="A440" s="104" t="inlineStr">
        <is>
          <t>GUIDE000439</t>
        </is>
      </c>
      <c r="B440" s="101" t="inlineStr">
        <is>
          <t>DEV000023</t>
        </is>
      </c>
      <c r="C440" s="103" t="inlineStr">
        <is>
          <t>APL</t>
        </is>
      </c>
      <c r="D440" s="103" t="inlineStr">
        <is>
          <t>PHN</t>
        </is>
      </c>
      <c r="E440" s="60" t="inlineStr">
        <is>
          <t>iPhone 11 Pro</t>
        </is>
      </c>
      <c r="F440" s="104" t="inlineStr">
        <is>
          <t>SVC000012</t>
        </is>
      </c>
      <c r="G440" s="104" t="inlineStr">
        <is>
          <t>Wireless Charging Repair</t>
        </is>
      </c>
      <c r="H440" s="104" t="inlineStr">
        <is>
          <t>Charging</t>
        </is>
      </c>
      <c r="I440" s="104" t="n"/>
      <c r="J440" s="104" t="n"/>
      <c r="K440" s="104" t="n"/>
      <c r="L440" s="104" t="n"/>
      <c r="M440" s="104" t="n"/>
      <c r="N440" s="104" t="n"/>
      <c r="O440" s="104" t="n"/>
      <c r="P440" s="104" t="n"/>
      <c r="Q440" s="104" t="n"/>
      <c r="R440" s="104" t="n"/>
      <c r="S440" s="110" t="n"/>
      <c r="T440" s="110" t="n"/>
      <c r="U440" s="104" t="n"/>
    </row>
    <row r="441">
      <c r="A441" s="104" t="inlineStr">
        <is>
          <t>GUIDE000440</t>
        </is>
      </c>
      <c r="B441" s="101" t="inlineStr">
        <is>
          <t>DEV000024</t>
        </is>
      </c>
      <c r="C441" s="103" t="inlineStr">
        <is>
          <t>APL</t>
        </is>
      </c>
      <c r="D441" s="103" t="inlineStr">
        <is>
          <t>PHN</t>
        </is>
      </c>
      <c r="E441" s="60" t="inlineStr">
        <is>
          <t>iPhone 11 Pro Max</t>
        </is>
      </c>
      <c r="F441" s="104" t="inlineStr">
        <is>
          <t>SVC000012</t>
        </is>
      </c>
      <c r="G441" s="104" t="inlineStr">
        <is>
          <t>Wireless Charging Repair</t>
        </is>
      </c>
      <c r="H441" s="104" t="inlineStr">
        <is>
          <t>Charging</t>
        </is>
      </c>
      <c r="I441" s="104" t="n"/>
      <c r="J441" s="104" t="n"/>
      <c r="K441" s="104" t="n"/>
      <c r="L441" s="104" t="n"/>
      <c r="M441" s="104" t="n"/>
      <c r="N441" s="104" t="n"/>
      <c r="O441" s="104" t="n"/>
      <c r="P441" s="104" t="n"/>
      <c r="Q441" s="104" t="n"/>
      <c r="R441" s="104" t="n"/>
      <c r="S441" s="110" t="n"/>
      <c r="T441" s="110" t="n"/>
      <c r="U441" s="104" t="n"/>
    </row>
    <row r="442">
      <c r="A442" s="104" t="inlineStr">
        <is>
          <t>GUIDE000441</t>
        </is>
      </c>
      <c r="B442" s="101" t="inlineStr">
        <is>
          <t>DEV000025</t>
        </is>
      </c>
      <c r="C442" s="103" t="inlineStr">
        <is>
          <t>APL</t>
        </is>
      </c>
      <c r="D442" s="103" t="inlineStr">
        <is>
          <t>PHN</t>
        </is>
      </c>
      <c r="E442" s="60" t="inlineStr">
        <is>
          <t>iPhone SE (2nd Generation)</t>
        </is>
      </c>
      <c r="F442" s="104" t="inlineStr">
        <is>
          <t>SVC000012</t>
        </is>
      </c>
      <c r="G442" s="104" t="inlineStr">
        <is>
          <t>Wireless Charging Repair</t>
        </is>
      </c>
      <c r="H442" s="104" t="inlineStr">
        <is>
          <t>Charging</t>
        </is>
      </c>
      <c r="I442" s="104" t="n"/>
      <c r="J442" s="104" t="n"/>
      <c r="K442" s="104" t="n"/>
      <c r="L442" s="104" t="n"/>
      <c r="M442" s="104" t="n"/>
      <c r="N442" s="104" t="n"/>
      <c r="O442" s="104" t="n"/>
      <c r="P442" s="104" t="n"/>
      <c r="Q442" s="104" t="n"/>
      <c r="R442" s="104" t="n"/>
      <c r="S442" s="110" t="n"/>
      <c r="T442" s="110" t="n"/>
      <c r="U442" s="104" t="n"/>
    </row>
    <row r="443">
      <c r="A443" s="104" t="inlineStr">
        <is>
          <t>GUIDE000442</t>
        </is>
      </c>
      <c r="B443" s="101" t="inlineStr">
        <is>
          <t>DEV000026</t>
        </is>
      </c>
      <c r="C443" s="103" t="inlineStr">
        <is>
          <t>APL</t>
        </is>
      </c>
      <c r="D443" s="103" t="inlineStr">
        <is>
          <t>PHN</t>
        </is>
      </c>
      <c r="E443" s="60" t="inlineStr">
        <is>
          <t>iPhone 12 mini</t>
        </is>
      </c>
      <c r="F443" s="104" t="inlineStr">
        <is>
          <t>SVC000012</t>
        </is>
      </c>
      <c r="G443" s="104" t="inlineStr">
        <is>
          <t>Wireless Charging Repair</t>
        </is>
      </c>
      <c r="H443" s="104" t="inlineStr">
        <is>
          <t>Charging</t>
        </is>
      </c>
      <c r="I443" s="104" t="n"/>
      <c r="J443" s="104" t="n"/>
      <c r="K443" s="104" t="n"/>
      <c r="L443" s="104" t="n"/>
      <c r="M443" s="104" t="n"/>
      <c r="N443" s="104" t="n"/>
      <c r="O443" s="104" t="n"/>
      <c r="P443" s="104" t="n"/>
      <c r="Q443" s="104" t="n"/>
      <c r="R443" s="104" t="n"/>
      <c r="S443" s="110" t="n"/>
      <c r="T443" s="110" t="n"/>
      <c r="U443" s="104" t="n"/>
    </row>
    <row r="444">
      <c r="A444" s="105" t="inlineStr">
        <is>
          <t>GUIDE000443</t>
        </is>
      </c>
      <c r="B444" s="101" t="inlineStr">
        <is>
          <t>DEV000027</t>
        </is>
      </c>
      <c r="C444" s="103" t="inlineStr">
        <is>
          <t>APL</t>
        </is>
      </c>
      <c r="D444" s="103" t="inlineStr">
        <is>
          <t>PHN</t>
        </is>
      </c>
      <c r="E444" s="60" t="inlineStr">
        <is>
          <t>iPhone 12</t>
        </is>
      </c>
      <c r="F444" s="104" t="inlineStr">
        <is>
          <t>SVC000012</t>
        </is>
      </c>
      <c r="G444" s="104" t="inlineStr">
        <is>
          <t>Wireless Charging Repair</t>
        </is>
      </c>
      <c r="H444" s="104" t="inlineStr">
        <is>
          <t>Charging</t>
        </is>
      </c>
      <c r="I444" s="104" t="n"/>
      <c r="J444" s="104" t="n"/>
      <c r="K444" s="104" t="n"/>
      <c r="L444" s="104" t="n"/>
      <c r="M444" s="104" t="n"/>
      <c r="N444" s="104" t="n"/>
      <c r="O444" s="104" t="n"/>
      <c r="P444" s="104" t="n"/>
      <c r="Q444" s="104" t="n"/>
      <c r="R444" s="104" t="n"/>
      <c r="S444" s="110" t="n"/>
      <c r="T444" s="110" t="n"/>
      <c r="U444" s="104" t="n"/>
    </row>
    <row r="445">
      <c r="A445" s="104" t="inlineStr">
        <is>
          <t>GUIDE000444</t>
        </is>
      </c>
      <c r="B445" s="101" t="inlineStr">
        <is>
          <t>DEV000028</t>
        </is>
      </c>
      <c r="C445" s="103" t="inlineStr">
        <is>
          <t>APL</t>
        </is>
      </c>
      <c r="D445" s="103" t="inlineStr">
        <is>
          <t>PHN</t>
        </is>
      </c>
      <c r="E445" s="60" t="inlineStr">
        <is>
          <t>iPhone 12 Pro</t>
        </is>
      </c>
      <c r="F445" s="104" t="inlineStr">
        <is>
          <t>SVC000012</t>
        </is>
      </c>
      <c r="G445" s="104" t="inlineStr">
        <is>
          <t>Wireless Charging Repair</t>
        </is>
      </c>
      <c r="H445" s="104" t="inlineStr">
        <is>
          <t>Charging</t>
        </is>
      </c>
      <c r="I445" s="104" t="n"/>
      <c r="J445" s="104" t="n"/>
      <c r="K445" s="104" t="n"/>
      <c r="L445" s="104" t="n"/>
      <c r="M445" s="104" t="n"/>
      <c r="N445" s="104" t="n"/>
      <c r="O445" s="104" t="n"/>
      <c r="P445" s="104" t="n"/>
      <c r="Q445" s="104" t="n"/>
      <c r="R445" s="104" t="n"/>
      <c r="S445" s="110" t="n"/>
      <c r="T445" s="110" t="n"/>
      <c r="U445" s="104" t="n"/>
    </row>
    <row r="446">
      <c r="A446" s="104" t="inlineStr">
        <is>
          <t>GUIDE000445</t>
        </is>
      </c>
      <c r="B446" s="101" t="inlineStr">
        <is>
          <t>DEV000029</t>
        </is>
      </c>
      <c r="C446" s="103" t="inlineStr">
        <is>
          <t>APL</t>
        </is>
      </c>
      <c r="D446" s="103" t="inlineStr">
        <is>
          <t>PHN</t>
        </is>
      </c>
      <c r="E446" s="60" t="inlineStr">
        <is>
          <t>iPhone 12 Pro Max</t>
        </is>
      </c>
      <c r="F446" s="104" t="inlineStr">
        <is>
          <t>SVC000012</t>
        </is>
      </c>
      <c r="G446" s="104" t="inlineStr">
        <is>
          <t>Wireless Charging Repair</t>
        </is>
      </c>
      <c r="H446" s="104" t="inlineStr">
        <is>
          <t>Charging</t>
        </is>
      </c>
      <c r="I446" s="104" t="n"/>
      <c r="J446" s="104" t="n"/>
      <c r="K446" s="104" t="n"/>
      <c r="L446" s="104" t="n"/>
      <c r="M446" s="104" t="n"/>
      <c r="N446" s="104" t="n"/>
      <c r="O446" s="104" t="n"/>
      <c r="P446" s="104" t="n"/>
      <c r="Q446" s="104" t="n"/>
      <c r="R446" s="104" t="n"/>
      <c r="S446" s="110" t="n"/>
      <c r="T446" s="110" t="n"/>
      <c r="U446" s="104" t="n"/>
    </row>
    <row r="447">
      <c r="A447" s="104" t="inlineStr">
        <is>
          <t>GUIDE000446</t>
        </is>
      </c>
      <c r="B447" s="101" t="inlineStr">
        <is>
          <t>DEV000030</t>
        </is>
      </c>
      <c r="C447" s="103" t="inlineStr">
        <is>
          <t>APL</t>
        </is>
      </c>
      <c r="D447" s="103" t="inlineStr">
        <is>
          <t>PHN</t>
        </is>
      </c>
      <c r="E447" s="60" t="inlineStr">
        <is>
          <t>iPhone 13 mini</t>
        </is>
      </c>
      <c r="F447" s="104" t="inlineStr">
        <is>
          <t>SVC000012</t>
        </is>
      </c>
      <c r="G447" s="104" t="inlineStr">
        <is>
          <t>Wireless Charging Repair</t>
        </is>
      </c>
      <c r="H447" s="104" t="inlineStr">
        <is>
          <t>Charging</t>
        </is>
      </c>
      <c r="I447" s="104" t="n"/>
      <c r="J447" s="104" t="n"/>
      <c r="K447" s="104" t="n"/>
      <c r="L447" s="104" t="n"/>
      <c r="M447" s="104" t="n"/>
      <c r="N447" s="104" t="n"/>
      <c r="O447" s="104" t="n"/>
      <c r="P447" s="104" t="n"/>
      <c r="Q447" s="104" t="n"/>
      <c r="R447" s="104" t="n"/>
      <c r="S447" s="110" t="n"/>
      <c r="T447" s="110" t="n"/>
      <c r="U447" s="104" t="n"/>
    </row>
    <row r="448">
      <c r="A448" s="105" t="inlineStr">
        <is>
          <t>GUIDE000447</t>
        </is>
      </c>
      <c r="B448" s="101" t="inlineStr">
        <is>
          <t>DEV000031</t>
        </is>
      </c>
      <c r="C448" s="103" t="inlineStr">
        <is>
          <t>APL</t>
        </is>
      </c>
      <c r="D448" s="103" t="inlineStr">
        <is>
          <t>PHN</t>
        </is>
      </c>
      <c r="E448" s="60" t="inlineStr">
        <is>
          <t>iPhone 13</t>
        </is>
      </c>
      <c r="F448" s="104" t="inlineStr">
        <is>
          <t>SVC000012</t>
        </is>
      </c>
      <c r="G448" s="104" t="inlineStr">
        <is>
          <t>Wireless Charging Repair</t>
        </is>
      </c>
      <c r="H448" s="104" t="inlineStr">
        <is>
          <t>Charging</t>
        </is>
      </c>
      <c r="I448" s="104" t="n"/>
      <c r="J448" s="104" t="n"/>
      <c r="K448" s="104" t="n"/>
      <c r="L448" s="104" t="n"/>
      <c r="M448" s="104" t="n"/>
      <c r="N448" s="104" t="n"/>
      <c r="O448" s="104" t="n"/>
      <c r="P448" s="104" t="n"/>
      <c r="Q448" s="104" t="n"/>
      <c r="R448" s="104" t="n"/>
      <c r="S448" s="110" t="n"/>
      <c r="T448" s="110" t="n"/>
      <c r="U448" s="104" t="n"/>
    </row>
    <row r="449">
      <c r="A449" s="104" t="inlineStr">
        <is>
          <t>GUIDE000448</t>
        </is>
      </c>
      <c r="B449" s="101" t="inlineStr">
        <is>
          <t>DEV000032</t>
        </is>
      </c>
      <c r="C449" s="103" t="inlineStr">
        <is>
          <t>APL</t>
        </is>
      </c>
      <c r="D449" s="103" t="inlineStr">
        <is>
          <t>PHN</t>
        </is>
      </c>
      <c r="E449" s="60" t="inlineStr">
        <is>
          <t>iPhone 13 Pro</t>
        </is>
      </c>
      <c r="F449" s="104" t="inlineStr">
        <is>
          <t>SVC000012</t>
        </is>
      </c>
      <c r="G449" s="104" t="inlineStr">
        <is>
          <t>Wireless Charging Repair</t>
        </is>
      </c>
      <c r="H449" s="104" t="inlineStr">
        <is>
          <t>Charging</t>
        </is>
      </c>
      <c r="I449" s="104" t="n"/>
      <c r="J449" s="104" t="n"/>
      <c r="K449" s="104" t="n"/>
      <c r="L449" s="104" t="n"/>
      <c r="M449" s="104" t="n"/>
      <c r="N449" s="104" t="n"/>
      <c r="O449" s="104" t="n"/>
      <c r="P449" s="104" t="n"/>
      <c r="Q449" s="104" t="n"/>
      <c r="R449" s="104" t="n"/>
      <c r="S449" s="110" t="n"/>
      <c r="T449" s="110" t="n"/>
      <c r="U449" s="104" t="n"/>
    </row>
    <row r="450">
      <c r="A450" s="104" t="inlineStr">
        <is>
          <t>GUIDE000449</t>
        </is>
      </c>
      <c r="B450" s="101" t="inlineStr">
        <is>
          <t>DEV000033</t>
        </is>
      </c>
      <c r="C450" s="103" t="inlineStr">
        <is>
          <t>APL</t>
        </is>
      </c>
      <c r="D450" s="103" t="inlineStr">
        <is>
          <t>PHN</t>
        </is>
      </c>
      <c r="E450" s="60" t="inlineStr">
        <is>
          <t>iPhone 13 Pro Max</t>
        </is>
      </c>
      <c r="F450" s="104" t="inlineStr">
        <is>
          <t>SVC000012</t>
        </is>
      </c>
      <c r="G450" s="104" t="inlineStr">
        <is>
          <t>Wireless Charging Repair</t>
        </is>
      </c>
      <c r="H450" s="104" t="inlineStr">
        <is>
          <t>Charging</t>
        </is>
      </c>
      <c r="I450" s="104" t="n"/>
      <c r="J450" s="104" t="n"/>
      <c r="K450" s="104" t="n"/>
      <c r="L450" s="104" t="n"/>
      <c r="M450" s="104" t="n"/>
      <c r="N450" s="104" t="n"/>
      <c r="O450" s="104" t="n"/>
      <c r="P450" s="104" t="n"/>
      <c r="Q450" s="104" t="n"/>
      <c r="R450" s="104" t="n"/>
      <c r="S450" s="110" t="n"/>
      <c r="T450" s="110" t="n"/>
      <c r="U450" s="104" t="n"/>
    </row>
    <row r="451">
      <c r="A451" s="104" t="inlineStr">
        <is>
          <t>GUIDE000450</t>
        </is>
      </c>
      <c r="B451" s="101" t="inlineStr">
        <is>
          <t>DEV000034</t>
        </is>
      </c>
      <c r="C451" s="103" t="inlineStr">
        <is>
          <t>APL</t>
        </is>
      </c>
      <c r="D451" s="103" t="inlineStr">
        <is>
          <t>PHN</t>
        </is>
      </c>
      <c r="E451" s="60" t="inlineStr">
        <is>
          <t>iPhone SE (3rd Generation)</t>
        </is>
      </c>
      <c r="F451" s="104" t="inlineStr">
        <is>
          <t>SVC000012</t>
        </is>
      </c>
      <c r="G451" s="104" t="inlineStr">
        <is>
          <t>Wireless Charging Repair</t>
        </is>
      </c>
      <c r="H451" s="104" t="inlineStr">
        <is>
          <t>Charging</t>
        </is>
      </c>
      <c r="I451" s="104" t="n"/>
      <c r="J451" s="104" t="n"/>
      <c r="K451" s="104" t="n"/>
      <c r="L451" s="104" t="n"/>
      <c r="M451" s="104" t="n"/>
      <c r="N451" s="104" t="n"/>
      <c r="O451" s="104" t="n"/>
      <c r="P451" s="104" t="n"/>
      <c r="Q451" s="104" t="n"/>
      <c r="R451" s="104" t="n"/>
      <c r="S451" s="110" t="n"/>
      <c r="T451" s="110" t="n"/>
      <c r="U451" s="104" t="n"/>
    </row>
    <row r="452">
      <c r="A452" s="104" t="inlineStr">
        <is>
          <t>GUIDE000451</t>
        </is>
      </c>
      <c r="B452" s="101" t="inlineStr">
        <is>
          <t>DEV000035</t>
        </is>
      </c>
      <c r="C452" s="103" t="inlineStr">
        <is>
          <t>APL</t>
        </is>
      </c>
      <c r="D452" s="103" t="inlineStr">
        <is>
          <t>PHN</t>
        </is>
      </c>
      <c r="E452" s="60" t="inlineStr">
        <is>
          <t>iPhone 14</t>
        </is>
      </c>
      <c r="F452" s="104" t="inlineStr">
        <is>
          <t>SVC000012</t>
        </is>
      </c>
      <c r="G452" s="104" t="inlineStr">
        <is>
          <t>Wireless Charging Repair</t>
        </is>
      </c>
      <c r="H452" s="104" t="inlineStr">
        <is>
          <t>Charging</t>
        </is>
      </c>
      <c r="I452" s="104" t="n"/>
      <c r="J452" s="104" t="n"/>
      <c r="K452" s="104" t="n"/>
      <c r="L452" s="104" t="n"/>
      <c r="M452" s="104" t="n"/>
      <c r="N452" s="104" t="n"/>
      <c r="O452" s="104" t="n"/>
      <c r="P452" s="104" t="n"/>
      <c r="Q452" s="104" t="n"/>
      <c r="R452" s="104" t="n"/>
      <c r="S452" s="110" t="n"/>
      <c r="T452" s="110" t="n"/>
      <c r="U452" s="104" t="n"/>
    </row>
    <row r="453">
      <c r="A453" s="105" t="inlineStr">
        <is>
          <t>GUIDE000452</t>
        </is>
      </c>
      <c r="B453" s="101" t="inlineStr">
        <is>
          <t>DEV000036</t>
        </is>
      </c>
      <c r="C453" s="103" t="inlineStr">
        <is>
          <t>APL</t>
        </is>
      </c>
      <c r="D453" s="103" t="inlineStr">
        <is>
          <t>PHN</t>
        </is>
      </c>
      <c r="E453" s="60" t="inlineStr">
        <is>
          <t>iPhone 14 Plus</t>
        </is>
      </c>
      <c r="F453" s="104" t="inlineStr">
        <is>
          <t>SVC000012</t>
        </is>
      </c>
      <c r="G453" s="104" t="inlineStr">
        <is>
          <t>Wireless Charging Repair</t>
        </is>
      </c>
      <c r="H453" s="104" t="inlineStr">
        <is>
          <t>Charging</t>
        </is>
      </c>
      <c r="I453" s="104" t="n"/>
      <c r="J453" s="104" t="n"/>
      <c r="K453" s="104" t="n"/>
      <c r="L453" s="104" t="n"/>
      <c r="M453" s="104" t="n"/>
      <c r="N453" s="104" t="n"/>
      <c r="O453" s="104" t="n"/>
      <c r="P453" s="104" t="n"/>
      <c r="Q453" s="104" t="n"/>
      <c r="R453" s="104" t="n"/>
      <c r="S453" s="110" t="n"/>
      <c r="T453" s="110" t="n"/>
      <c r="U453" s="104" t="n"/>
    </row>
    <row r="454">
      <c r="A454" s="104" t="inlineStr">
        <is>
          <t>GUIDE000453</t>
        </is>
      </c>
      <c r="B454" s="101" t="inlineStr">
        <is>
          <t>DEV000037</t>
        </is>
      </c>
      <c r="C454" s="103" t="inlineStr">
        <is>
          <t>APL</t>
        </is>
      </c>
      <c r="D454" s="103" t="inlineStr">
        <is>
          <t>PHN</t>
        </is>
      </c>
      <c r="E454" s="60" t="inlineStr">
        <is>
          <t>iPhone 14 Pro</t>
        </is>
      </c>
      <c r="F454" s="104" t="inlineStr">
        <is>
          <t>SVC000012</t>
        </is>
      </c>
      <c r="G454" s="104" t="inlineStr">
        <is>
          <t>Wireless Charging Repair</t>
        </is>
      </c>
      <c r="H454" s="104" t="inlineStr">
        <is>
          <t>Charging</t>
        </is>
      </c>
      <c r="I454" s="104" t="n"/>
      <c r="J454" s="104" t="n"/>
      <c r="K454" s="104" t="n"/>
      <c r="L454" s="104" t="n"/>
      <c r="M454" s="104" t="n"/>
      <c r="N454" s="104" t="n"/>
      <c r="O454" s="104" t="n"/>
      <c r="P454" s="104" t="n"/>
      <c r="Q454" s="104" t="n"/>
      <c r="R454" s="104" t="n"/>
      <c r="S454" s="110" t="n"/>
      <c r="T454" s="110" t="n"/>
      <c r="U454" s="104" t="n"/>
    </row>
    <row r="455">
      <c r="A455" s="104" t="inlineStr">
        <is>
          <t>GUIDE000454</t>
        </is>
      </c>
      <c r="B455" s="101" t="inlineStr">
        <is>
          <t>DEV000038</t>
        </is>
      </c>
      <c r="C455" s="103" t="inlineStr">
        <is>
          <t>APL</t>
        </is>
      </c>
      <c r="D455" s="103" t="inlineStr">
        <is>
          <t>PHN</t>
        </is>
      </c>
      <c r="E455" s="60" t="inlineStr">
        <is>
          <t>iPhone 14 Pro Max</t>
        </is>
      </c>
      <c r="F455" s="104" t="inlineStr">
        <is>
          <t>SVC000012</t>
        </is>
      </c>
      <c r="G455" s="104" t="inlineStr">
        <is>
          <t>Wireless Charging Repair</t>
        </is>
      </c>
      <c r="H455" s="104" t="inlineStr">
        <is>
          <t>Charging</t>
        </is>
      </c>
      <c r="I455" s="104" t="n"/>
      <c r="J455" s="104" t="n"/>
      <c r="K455" s="104" t="n"/>
      <c r="L455" s="104" t="n"/>
      <c r="M455" s="104" t="n"/>
      <c r="N455" s="104" t="n"/>
      <c r="O455" s="104" t="n"/>
      <c r="P455" s="104" t="n"/>
      <c r="Q455" s="104" t="n"/>
      <c r="R455" s="104" t="n"/>
      <c r="S455" s="110" t="n"/>
      <c r="T455" s="110" t="n"/>
      <c r="U455" s="104" t="n"/>
    </row>
    <row r="456">
      <c r="A456" s="104" t="inlineStr">
        <is>
          <t>GUIDE000455</t>
        </is>
      </c>
      <c r="B456" s="101" t="inlineStr">
        <is>
          <t>DEV000039</t>
        </is>
      </c>
      <c r="C456" s="103" t="inlineStr">
        <is>
          <t>APL</t>
        </is>
      </c>
      <c r="D456" s="103" t="inlineStr">
        <is>
          <t>PHN</t>
        </is>
      </c>
      <c r="E456" s="60" t="inlineStr">
        <is>
          <t>iPhone 15</t>
        </is>
      </c>
      <c r="F456" s="104" t="inlineStr">
        <is>
          <t>SVC000012</t>
        </is>
      </c>
      <c r="G456" s="104" t="inlineStr">
        <is>
          <t>Wireless Charging Repair</t>
        </is>
      </c>
      <c r="H456" s="104" t="inlineStr">
        <is>
          <t>Charging</t>
        </is>
      </c>
      <c r="I456" s="104" t="n"/>
      <c r="J456" s="104" t="n"/>
      <c r="K456" s="104" t="n"/>
      <c r="L456" s="104" t="n"/>
      <c r="M456" s="104" t="n"/>
      <c r="N456" s="104" t="n"/>
      <c r="O456" s="104" t="n"/>
      <c r="P456" s="104" t="n"/>
      <c r="Q456" s="104" t="n"/>
      <c r="R456" s="104" t="n"/>
      <c r="S456" s="110" t="n"/>
      <c r="T456" s="110" t="n"/>
      <c r="U456" s="104" t="n"/>
    </row>
    <row r="457">
      <c r="A457" s="105" t="inlineStr">
        <is>
          <t>GUIDE000456</t>
        </is>
      </c>
      <c r="B457" s="101" t="inlineStr">
        <is>
          <t>DEV000040</t>
        </is>
      </c>
      <c r="C457" s="103" t="inlineStr">
        <is>
          <t>APL</t>
        </is>
      </c>
      <c r="D457" s="103" t="inlineStr">
        <is>
          <t>PHN</t>
        </is>
      </c>
      <c r="E457" s="60" t="inlineStr">
        <is>
          <t>iPhone 15 Plus</t>
        </is>
      </c>
      <c r="F457" s="104" t="inlineStr">
        <is>
          <t>SVC000012</t>
        </is>
      </c>
      <c r="G457" s="104" t="inlineStr">
        <is>
          <t>Wireless Charging Repair</t>
        </is>
      </c>
      <c r="H457" s="104" t="inlineStr">
        <is>
          <t>Charging</t>
        </is>
      </c>
      <c r="I457" s="104" t="n"/>
      <c r="J457" s="104" t="n"/>
      <c r="K457" s="104" t="n"/>
      <c r="L457" s="104" t="n"/>
      <c r="M457" s="104" t="n"/>
      <c r="N457" s="104" t="n"/>
      <c r="O457" s="104" t="n"/>
      <c r="P457" s="104" t="n"/>
      <c r="Q457" s="104" t="n"/>
      <c r="R457" s="104" t="n"/>
      <c r="S457" s="110" t="n"/>
      <c r="T457" s="110" t="n"/>
      <c r="U457" s="104" t="n"/>
    </row>
    <row r="458">
      <c r="A458" s="104" t="inlineStr">
        <is>
          <t>GUIDE000457</t>
        </is>
      </c>
      <c r="B458" s="101" t="inlineStr">
        <is>
          <t>DEV000041</t>
        </is>
      </c>
      <c r="C458" s="103" t="inlineStr">
        <is>
          <t>APL</t>
        </is>
      </c>
      <c r="D458" s="103" t="inlineStr">
        <is>
          <t>PHN</t>
        </is>
      </c>
      <c r="E458" s="60" t="inlineStr">
        <is>
          <t>iPhone 15 Pro</t>
        </is>
      </c>
      <c r="F458" s="104" t="inlineStr">
        <is>
          <t>SVC000012</t>
        </is>
      </c>
      <c r="G458" s="104" t="inlineStr">
        <is>
          <t>Wireless Charging Repair</t>
        </is>
      </c>
      <c r="H458" s="104" t="inlineStr">
        <is>
          <t>Charging</t>
        </is>
      </c>
      <c r="I458" s="104" t="n"/>
      <c r="J458" s="104" t="n"/>
      <c r="K458" s="104" t="n"/>
      <c r="L458" s="104" t="n"/>
      <c r="M458" s="104" t="n"/>
      <c r="N458" s="104" t="n"/>
      <c r="O458" s="104" t="n"/>
      <c r="P458" s="104" t="n"/>
      <c r="Q458" s="104" t="n"/>
      <c r="R458" s="104" t="n"/>
      <c r="S458" s="110" t="n"/>
      <c r="T458" s="110" t="n"/>
      <c r="U458" s="104" t="n"/>
    </row>
    <row r="459">
      <c r="A459" s="104" t="inlineStr">
        <is>
          <t>GUIDE000458</t>
        </is>
      </c>
      <c r="B459" s="101" t="inlineStr">
        <is>
          <t>DEV000042</t>
        </is>
      </c>
      <c r="C459" s="103" t="inlineStr">
        <is>
          <t>APL</t>
        </is>
      </c>
      <c r="D459" s="103" t="inlineStr">
        <is>
          <t>PHN</t>
        </is>
      </c>
      <c r="E459" s="60" t="inlineStr">
        <is>
          <t>iPhone 15 Pro Max</t>
        </is>
      </c>
      <c r="F459" s="104" t="inlineStr">
        <is>
          <t>SVC000012</t>
        </is>
      </c>
      <c r="G459" s="104" t="inlineStr">
        <is>
          <t>Wireless Charging Repair</t>
        </is>
      </c>
      <c r="H459" s="104" t="inlineStr">
        <is>
          <t>Charging</t>
        </is>
      </c>
      <c r="I459" s="104" t="n"/>
      <c r="J459" s="104" t="n"/>
      <c r="K459" s="104" t="n"/>
      <c r="L459" s="104" t="n"/>
      <c r="M459" s="104" t="n"/>
      <c r="N459" s="104" t="n"/>
      <c r="O459" s="104" t="n"/>
      <c r="P459" s="104" t="n"/>
      <c r="Q459" s="104" t="n"/>
      <c r="R459" s="104" t="n"/>
      <c r="S459" s="110" t="n"/>
      <c r="T459" s="110" t="n"/>
      <c r="U459" s="104" t="n"/>
    </row>
    <row r="460">
      <c r="A460" s="104" t="inlineStr">
        <is>
          <t>GUIDE000459</t>
        </is>
      </c>
      <c r="B460" s="101" t="inlineStr">
        <is>
          <t>DEV000043</t>
        </is>
      </c>
      <c r="C460" s="103" t="inlineStr">
        <is>
          <t>APL</t>
        </is>
      </c>
      <c r="D460" s="103" t="inlineStr">
        <is>
          <t>PHN</t>
        </is>
      </c>
      <c r="E460" s="60" t="inlineStr">
        <is>
          <t>iPhone 16</t>
        </is>
      </c>
      <c r="F460" s="104" t="inlineStr">
        <is>
          <t>SVC000012</t>
        </is>
      </c>
      <c r="G460" s="104" t="inlineStr">
        <is>
          <t>Wireless Charging Repair</t>
        </is>
      </c>
      <c r="H460" s="104" t="inlineStr">
        <is>
          <t>Charging</t>
        </is>
      </c>
      <c r="I460" s="104" t="n"/>
      <c r="J460" s="104" t="n"/>
      <c r="K460" s="104" t="n"/>
      <c r="L460" s="104" t="n"/>
      <c r="M460" s="104" t="n"/>
      <c r="N460" s="104" t="n"/>
      <c r="O460" s="104" t="n"/>
      <c r="P460" s="104" t="n"/>
      <c r="Q460" s="104" t="n"/>
      <c r="R460" s="104" t="n"/>
      <c r="S460" s="110" t="n"/>
      <c r="T460" s="110" t="n"/>
      <c r="U460" s="104" t="n"/>
    </row>
    <row r="461">
      <c r="A461" s="104" t="inlineStr">
        <is>
          <t>GUIDE000460</t>
        </is>
      </c>
      <c r="B461" s="101" t="inlineStr">
        <is>
          <t>DEV000044</t>
        </is>
      </c>
      <c r="C461" s="103" t="inlineStr">
        <is>
          <t>APL</t>
        </is>
      </c>
      <c r="D461" s="103" t="inlineStr">
        <is>
          <t>PHN</t>
        </is>
      </c>
      <c r="E461" s="60" t="inlineStr">
        <is>
          <t>iPhone 16 Plus</t>
        </is>
      </c>
      <c r="F461" s="104" t="inlineStr">
        <is>
          <t>SVC000012</t>
        </is>
      </c>
      <c r="G461" s="104" t="inlineStr">
        <is>
          <t>Wireless Charging Repair</t>
        </is>
      </c>
      <c r="H461" s="104" t="inlineStr">
        <is>
          <t>Charging</t>
        </is>
      </c>
      <c r="I461" s="104" t="n"/>
      <c r="J461" s="104" t="n"/>
      <c r="K461" s="104" t="n"/>
      <c r="L461" s="104" t="n"/>
      <c r="M461" s="104" t="n"/>
      <c r="N461" s="104" t="n"/>
      <c r="O461" s="104" t="n"/>
      <c r="P461" s="104" t="n"/>
      <c r="Q461" s="104" t="n"/>
      <c r="R461" s="104" t="n"/>
      <c r="S461" s="110" t="n"/>
      <c r="T461" s="110" t="n"/>
      <c r="U461" s="104" t="n"/>
    </row>
    <row r="462">
      <c r="A462" s="105" t="inlineStr">
        <is>
          <t>GUIDE000461</t>
        </is>
      </c>
      <c r="B462" s="101" t="inlineStr">
        <is>
          <t>DEV000045</t>
        </is>
      </c>
      <c r="C462" s="103" t="inlineStr">
        <is>
          <t>APL</t>
        </is>
      </c>
      <c r="D462" s="103" t="inlineStr">
        <is>
          <t>PHN</t>
        </is>
      </c>
      <c r="E462" s="60" t="inlineStr">
        <is>
          <t>iPhone 16 Pro</t>
        </is>
      </c>
      <c r="F462" s="104" t="inlineStr">
        <is>
          <t>SVC000012</t>
        </is>
      </c>
      <c r="G462" s="104" t="inlineStr">
        <is>
          <t>Wireless Charging Repair</t>
        </is>
      </c>
      <c r="H462" s="104" t="inlineStr">
        <is>
          <t>Charging</t>
        </is>
      </c>
      <c r="I462" s="104" t="n"/>
      <c r="J462" s="104" t="n"/>
      <c r="K462" s="104" t="n"/>
      <c r="L462" s="104" t="n"/>
      <c r="M462" s="104" t="n"/>
      <c r="N462" s="104" t="n"/>
      <c r="O462" s="104" t="n"/>
      <c r="P462" s="104" t="n"/>
      <c r="Q462" s="104" t="n"/>
      <c r="R462" s="104" t="n"/>
      <c r="S462" s="110" t="n"/>
      <c r="T462" s="110" t="n"/>
      <c r="U462" s="104" t="n"/>
    </row>
    <row r="463">
      <c r="A463" s="104" t="inlineStr">
        <is>
          <t>GUIDE000462</t>
        </is>
      </c>
      <c r="B463" s="101" t="inlineStr">
        <is>
          <t>DEV000046</t>
        </is>
      </c>
      <c r="C463" s="103" t="inlineStr">
        <is>
          <t>APL</t>
        </is>
      </c>
      <c r="D463" s="103" t="inlineStr">
        <is>
          <t>PHN</t>
        </is>
      </c>
      <c r="E463" s="60" t="inlineStr">
        <is>
          <t>iPhone 16 Pro Max</t>
        </is>
      </c>
      <c r="F463" s="104" t="inlineStr">
        <is>
          <t>SVC000012</t>
        </is>
      </c>
      <c r="G463" s="104" t="inlineStr">
        <is>
          <t>Wireless Charging Repair</t>
        </is>
      </c>
      <c r="H463" s="104" t="inlineStr">
        <is>
          <t>Charging</t>
        </is>
      </c>
      <c r="I463" s="104" t="n"/>
      <c r="J463" s="104" t="n"/>
      <c r="K463" s="104" t="n"/>
      <c r="L463" s="104" t="n"/>
      <c r="M463" s="104" t="n"/>
      <c r="N463" s="104" t="n"/>
      <c r="O463" s="104" t="n"/>
      <c r="P463" s="104" t="n"/>
      <c r="Q463" s="104" t="n"/>
      <c r="R463" s="104" t="n"/>
      <c r="S463" s="110" t="n"/>
      <c r="T463" s="110" t="n"/>
      <c r="U463" s="104" t="n"/>
    </row>
    <row r="464">
      <c r="A464" s="104" t="inlineStr">
        <is>
          <t>GUIDE000463</t>
        </is>
      </c>
      <c r="B464" s="101" t="inlineStr">
        <is>
          <t>DEV000047</t>
        </is>
      </c>
      <c r="C464" s="103" t="inlineStr">
        <is>
          <t>APL</t>
        </is>
      </c>
      <c r="D464" s="103" t="inlineStr">
        <is>
          <t>PHN</t>
        </is>
      </c>
      <c r="E464" s="60" t="inlineStr">
        <is>
          <t>iPhone 16e</t>
        </is>
      </c>
      <c r="F464" s="104" t="inlineStr">
        <is>
          <t>SVC000012</t>
        </is>
      </c>
      <c r="G464" s="104" t="inlineStr">
        <is>
          <t>Wireless Charging Repair</t>
        </is>
      </c>
      <c r="H464" s="104" t="inlineStr">
        <is>
          <t>Charging</t>
        </is>
      </c>
      <c r="I464" s="104" t="n"/>
      <c r="J464" s="104" t="n"/>
      <c r="K464" s="104" t="n"/>
      <c r="L464" s="104" t="n"/>
      <c r="M464" s="104" t="n"/>
      <c r="N464" s="104" t="n"/>
      <c r="O464" s="104" t="n"/>
      <c r="P464" s="104" t="n"/>
      <c r="Q464" s="104" t="n"/>
      <c r="R464" s="104" t="n"/>
      <c r="S464" s="110" t="n"/>
      <c r="T464" s="110" t="n"/>
      <c r="U464" s="104" t="n"/>
    </row>
    <row r="465">
      <c r="A465" s="104" t="inlineStr">
        <is>
          <t>GUIDE000464</t>
        </is>
      </c>
      <c r="B465" s="101" t="inlineStr">
        <is>
          <t>DEV000048</t>
        </is>
      </c>
      <c r="C465" s="103" t="inlineStr">
        <is>
          <t>APL</t>
        </is>
      </c>
      <c r="D465" s="103" t="inlineStr">
        <is>
          <t>PHN</t>
        </is>
      </c>
      <c r="E465" s="60" t="inlineStr">
        <is>
          <t>iPhone 17</t>
        </is>
      </c>
      <c r="F465" s="104" t="inlineStr">
        <is>
          <t>SVC000012</t>
        </is>
      </c>
      <c r="G465" s="104" t="inlineStr">
        <is>
          <t>Wireless Charging Repair</t>
        </is>
      </c>
      <c r="H465" s="104" t="inlineStr">
        <is>
          <t>Charging</t>
        </is>
      </c>
      <c r="I465" s="104" t="n"/>
      <c r="J465" s="104" t="n"/>
      <c r="K465" s="104" t="n"/>
      <c r="L465" s="104" t="n"/>
      <c r="M465" s="104" t="n"/>
      <c r="N465" s="104" t="n"/>
      <c r="O465" s="104" t="n"/>
      <c r="P465" s="104" t="n"/>
      <c r="Q465" s="104" t="n"/>
      <c r="R465" s="104" t="n"/>
      <c r="S465" s="110" t="n"/>
      <c r="T465" s="110" t="n"/>
      <c r="U465" s="104" t="n"/>
    </row>
    <row r="466">
      <c r="A466" s="105" t="inlineStr">
        <is>
          <t>GUIDE000465</t>
        </is>
      </c>
      <c r="B466" s="101" t="inlineStr">
        <is>
          <t>DEV000049</t>
        </is>
      </c>
      <c r="C466" s="103" t="inlineStr">
        <is>
          <t>APL</t>
        </is>
      </c>
      <c r="D466" s="103" t="inlineStr">
        <is>
          <t>PHN</t>
        </is>
      </c>
      <c r="E466" s="60" t="inlineStr">
        <is>
          <t>iPhone 17 Pro</t>
        </is>
      </c>
      <c r="F466" s="104" t="inlineStr">
        <is>
          <t>SVC000012</t>
        </is>
      </c>
      <c r="G466" s="104" t="inlineStr">
        <is>
          <t>Wireless Charging Repair</t>
        </is>
      </c>
      <c r="H466" s="104" t="inlineStr">
        <is>
          <t>Charging</t>
        </is>
      </c>
      <c r="I466" s="104" t="n"/>
      <c r="J466" s="104" t="n"/>
      <c r="K466" s="104" t="n"/>
      <c r="L466" s="104" t="n"/>
      <c r="M466" s="104" t="n"/>
      <c r="N466" s="104" t="n"/>
      <c r="O466" s="104" t="n"/>
      <c r="P466" s="104" t="n"/>
      <c r="Q466" s="104" t="n"/>
      <c r="R466" s="104" t="n"/>
      <c r="S466" s="110" t="n"/>
      <c r="T466" s="110" t="n"/>
      <c r="U466" s="104" t="n"/>
    </row>
    <row r="467">
      <c r="A467" s="104" t="inlineStr">
        <is>
          <t>GUIDE000466</t>
        </is>
      </c>
      <c r="B467" s="101" t="inlineStr">
        <is>
          <t>DEV000050</t>
        </is>
      </c>
      <c r="C467" s="103" t="inlineStr">
        <is>
          <t>APL</t>
        </is>
      </c>
      <c r="D467" s="103" t="inlineStr">
        <is>
          <t>PHN</t>
        </is>
      </c>
      <c r="E467" s="60" t="inlineStr">
        <is>
          <t>iPhone 17 Pro Max</t>
        </is>
      </c>
      <c r="F467" s="104" t="inlineStr">
        <is>
          <t>SVC000012</t>
        </is>
      </c>
      <c r="G467" s="104" t="inlineStr">
        <is>
          <t>Wireless Charging Repair</t>
        </is>
      </c>
      <c r="H467" s="104" t="inlineStr">
        <is>
          <t>Charging</t>
        </is>
      </c>
      <c r="I467" s="104" t="n"/>
      <c r="J467" s="104" t="n"/>
      <c r="K467" s="104" t="n"/>
      <c r="L467" s="104" t="n"/>
      <c r="M467" s="104" t="n"/>
      <c r="N467" s="104" t="n"/>
      <c r="O467" s="104" t="n"/>
      <c r="P467" s="104" t="n"/>
      <c r="Q467" s="104" t="n"/>
      <c r="R467" s="104" t="n"/>
      <c r="S467" s="110" t="n"/>
      <c r="T467" s="110" t="n"/>
      <c r="U467" s="104" t="n"/>
    </row>
    <row r="468">
      <c r="A468" s="104" t="inlineStr">
        <is>
          <t>GUIDE000467</t>
        </is>
      </c>
      <c r="B468" s="101" t="inlineStr">
        <is>
          <t>DEV000051</t>
        </is>
      </c>
      <c r="C468" s="103" t="inlineStr">
        <is>
          <t>APL</t>
        </is>
      </c>
      <c r="D468" s="103" t="inlineStr">
        <is>
          <t>PHN</t>
        </is>
      </c>
      <c r="E468" s="60" t="inlineStr">
        <is>
          <t>iPhone Air</t>
        </is>
      </c>
      <c r="F468" s="104" t="inlineStr">
        <is>
          <t>SVC000012</t>
        </is>
      </c>
      <c r="G468" s="104" t="inlineStr">
        <is>
          <t>Wireless Charging Repair</t>
        </is>
      </c>
      <c r="H468" s="104" t="inlineStr">
        <is>
          <t>Charging</t>
        </is>
      </c>
      <c r="I468" s="104" t="n"/>
      <c r="J468" s="104" t="n"/>
      <c r="K468" s="104" t="n"/>
      <c r="L468" s="104" t="n"/>
      <c r="M468" s="104" t="n"/>
      <c r="N468" s="104" t="n"/>
      <c r="O468" s="104" t="n"/>
      <c r="P468" s="104" t="n"/>
      <c r="Q468" s="104" t="n"/>
      <c r="R468" s="104" t="n"/>
      <c r="S468" s="110" t="n"/>
      <c r="T468" s="110" t="n"/>
      <c r="U468" s="104" t="n"/>
    </row>
    <row r="469">
      <c r="A469" s="104" t="inlineStr">
        <is>
          <t>GUIDE000468</t>
        </is>
      </c>
      <c r="B469" s="101" t="inlineStr">
        <is>
          <t>DEV000052</t>
        </is>
      </c>
      <c r="C469" s="103" t="inlineStr">
        <is>
          <t>APL</t>
        </is>
      </c>
      <c r="D469" s="103" t="inlineStr">
        <is>
          <t>PHN</t>
        </is>
      </c>
      <c r="E469" s="60" t="inlineStr">
        <is>
          <t>iPhone 17e</t>
        </is>
      </c>
      <c r="F469" s="104" t="inlineStr">
        <is>
          <t>SVC000012</t>
        </is>
      </c>
      <c r="G469" s="104" t="inlineStr">
        <is>
          <t>Wireless Charging Repair</t>
        </is>
      </c>
      <c r="H469" s="104" t="inlineStr">
        <is>
          <t>Charging</t>
        </is>
      </c>
      <c r="I469" s="104" t="n"/>
      <c r="J469" s="104" t="n"/>
      <c r="K469" s="104" t="n"/>
      <c r="L469" s="104" t="n"/>
      <c r="M469" s="104" t="n"/>
      <c r="N469" s="104" t="n"/>
      <c r="O469" s="104" t="n"/>
      <c r="P469" s="104" t="n"/>
      <c r="Q469" s="104" t="n"/>
      <c r="R469" s="104" t="n"/>
      <c r="S469" s="110" t="n"/>
      <c r="T469" s="110" t="n"/>
      <c r="U469" s="104" t="n"/>
    </row>
    <row r="470">
      <c r="A470" s="104" t="inlineStr">
        <is>
          <t>GUIDE000469</t>
        </is>
      </c>
      <c r="B470" s="101" t="inlineStr">
        <is>
          <t>DEV000001</t>
        </is>
      </c>
      <c r="C470" s="103" t="inlineStr">
        <is>
          <t>APL</t>
        </is>
      </c>
      <c r="D470" s="103" t="inlineStr">
        <is>
          <t>PHN</t>
        </is>
      </c>
      <c r="E470" s="60" t="inlineStr">
        <is>
          <t>iPhone (2G)</t>
        </is>
      </c>
      <c r="F470" s="104" t="inlineStr">
        <is>
          <t>SVC000013</t>
        </is>
      </c>
      <c r="G470" s="104" t="inlineStr">
        <is>
          <t>Rear Camera Replacement</t>
        </is>
      </c>
      <c r="H470" s="104" t="inlineStr">
        <is>
          <t>Camera</t>
        </is>
      </c>
      <c r="I470" s="104" t="n"/>
      <c r="J470" s="104" t="n"/>
      <c r="K470" s="104" t="n"/>
      <c r="L470" s="104" t="n"/>
      <c r="M470" s="104" t="n"/>
      <c r="N470" s="104" t="n"/>
      <c r="O470" s="104" t="n"/>
      <c r="P470" s="104" t="n"/>
      <c r="Q470" s="104" t="n"/>
      <c r="R470" s="104" t="n"/>
      <c r="S470" s="110" t="n"/>
      <c r="T470" s="110" t="n"/>
      <c r="U470" s="104" t="n"/>
    </row>
    <row r="471">
      <c r="A471" s="105" t="inlineStr">
        <is>
          <t>GUIDE000470</t>
        </is>
      </c>
      <c r="B471" s="101" t="inlineStr">
        <is>
          <t>DEV000002</t>
        </is>
      </c>
      <c r="C471" s="103" t="inlineStr">
        <is>
          <t>APL</t>
        </is>
      </c>
      <c r="D471" s="103" t="inlineStr">
        <is>
          <t>PHN</t>
        </is>
      </c>
      <c r="E471" s="60" t="inlineStr">
        <is>
          <t>iPhone 3G</t>
        </is>
      </c>
      <c r="F471" s="104" t="inlineStr">
        <is>
          <t>SVC000013</t>
        </is>
      </c>
      <c r="G471" s="104" t="inlineStr">
        <is>
          <t>Rear Camera Replacement</t>
        </is>
      </c>
      <c r="H471" s="104" t="inlineStr">
        <is>
          <t>Camera</t>
        </is>
      </c>
      <c r="I471" s="104" t="n"/>
      <c r="J471" s="104" t="n"/>
      <c r="K471" s="104" t="n"/>
      <c r="L471" s="104" t="n"/>
      <c r="M471" s="104" t="n"/>
      <c r="N471" s="104" t="n"/>
      <c r="O471" s="104" t="n"/>
      <c r="P471" s="104" t="n"/>
      <c r="Q471" s="104" t="n"/>
      <c r="R471" s="104" t="n"/>
      <c r="S471" s="110" t="n"/>
      <c r="T471" s="110" t="n"/>
      <c r="U471" s="104" t="n"/>
    </row>
    <row r="472">
      <c r="A472" s="104" t="inlineStr">
        <is>
          <t>GUIDE000471</t>
        </is>
      </c>
      <c r="B472" s="101" t="inlineStr">
        <is>
          <t>DEV000003</t>
        </is>
      </c>
      <c r="C472" s="103" t="inlineStr">
        <is>
          <t>APL</t>
        </is>
      </c>
      <c r="D472" s="103" t="inlineStr">
        <is>
          <t>PHN</t>
        </is>
      </c>
      <c r="E472" s="60" t="inlineStr">
        <is>
          <t>iPhone 3GS</t>
        </is>
      </c>
      <c r="F472" s="104" t="inlineStr">
        <is>
          <t>SVC000013</t>
        </is>
      </c>
      <c r="G472" s="104" t="inlineStr">
        <is>
          <t>Rear Camera Replacement</t>
        </is>
      </c>
      <c r="H472" s="104" t="inlineStr">
        <is>
          <t>Camera</t>
        </is>
      </c>
      <c r="I472" s="104" t="n"/>
      <c r="J472" s="104" t="n"/>
      <c r="K472" s="104" t="n"/>
      <c r="L472" s="104" t="n"/>
      <c r="M472" s="104" t="n"/>
      <c r="N472" s="104" t="n"/>
      <c r="O472" s="104" t="n"/>
      <c r="P472" s="104" t="n"/>
      <c r="Q472" s="104" t="n"/>
      <c r="R472" s="104" t="n"/>
      <c r="S472" s="110" t="n"/>
      <c r="T472" s="110" t="n"/>
      <c r="U472" s="104" t="n"/>
    </row>
    <row r="473">
      <c r="A473" s="104" t="inlineStr">
        <is>
          <t>GUIDE000472</t>
        </is>
      </c>
      <c r="B473" s="101" t="inlineStr">
        <is>
          <t>DEV000004</t>
        </is>
      </c>
      <c r="C473" s="103" t="inlineStr">
        <is>
          <t>APL</t>
        </is>
      </c>
      <c r="D473" s="103" t="inlineStr">
        <is>
          <t>PHN</t>
        </is>
      </c>
      <c r="E473" s="60" t="inlineStr">
        <is>
          <t>iPhone 4</t>
        </is>
      </c>
      <c r="F473" s="104" t="inlineStr">
        <is>
          <t>SVC000013</t>
        </is>
      </c>
      <c r="G473" s="104" t="inlineStr">
        <is>
          <t>Rear Camera Replacement</t>
        </is>
      </c>
      <c r="H473" s="104" t="inlineStr">
        <is>
          <t>Camera</t>
        </is>
      </c>
      <c r="I473" s="104" t="n"/>
      <c r="J473" s="104" t="n"/>
      <c r="K473" s="104" t="n"/>
      <c r="L473" s="104" t="n"/>
      <c r="M473" s="104" t="n"/>
      <c r="N473" s="104" t="n"/>
      <c r="O473" s="104" t="n"/>
      <c r="P473" s="104" t="n"/>
      <c r="Q473" s="104" t="n"/>
      <c r="R473" s="104" t="n"/>
      <c r="S473" s="110" t="n"/>
      <c r="T473" s="110" t="n"/>
      <c r="U473" s="104" t="n"/>
    </row>
    <row r="474">
      <c r="A474" s="104" t="inlineStr">
        <is>
          <t>GUIDE000473</t>
        </is>
      </c>
      <c r="B474" s="101" t="inlineStr">
        <is>
          <t>DEV000005</t>
        </is>
      </c>
      <c r="C474" s="103" t="inlineStr">
        <is>
          <t>APL</t>
        </is>
      </c>
      <c r="D474" s="103" t="inlineStr">
        <is>
          <t>PHN</t>
        </is>
      </c>
      <c r="E474" s="60" t="inlineStr">
        <is>
          <t>iPhone 4s</t>
        </is>
      </c>
      <c r="F474" s="104" t="inlineStr">
        <is>
          <t>SVC000013</t>
        </is>
      </c>
      <c r="G474" s="104" t="inlineStr">
        <is>
          <t>Rear Camera Replacement</t>
        </is>
      </c>
      <c r="H474" s="104" t="inlineStr">
        <is>
          <t>Camera</t>
        </is>
      </c>
      <c r="I474" s="104" t="n"/>
      <c r="J474" s="104" t="n"/>
      <c r="K474" s="104" t="n"/>
      <c r="L474" s="104" t="n"/>
      <c r="M474" s="104" t="n"/>
      <c r="N474" s="104" t="n"/>
      <c r="O474" s="104" t="n"/>
      <c r="P474" s="104" t="n"/>
      <c r="Q474" s="104" t="n"/>
      <c r="R474" s="104" t="n"/>
      <c r="S474" s="110" t="n"/>
      <c r="T474" s="110" t="n"/>
      <c r="U474" s="104" t="n"/>
    </row>
    <row r="475">
      <c r="A475" s="105" t="inlineStr">
        <is>
          <t>GUIDE000474</t>
        </is>
      </c>
      <c r="B475" s="101" t="inlineStr">
        <is>
          <t>DEV000006</t>
        </is>
      </c>
      <c r="C475" s="103" t="inlineStr">
        <is>
          <t>APL</t>
        </is>
      </c>
      <c r="D475" s="103" t="inlineStr">
        <is>
          <t>PHN</t>
        </is>
      </c>
      <c r="E475" s="60" t="inlineStr">
        <is>
          <t>iPhone 5</t>
        </is>
      </c>
      <c r="F475" s="104" t="inlineStr">
        <is>
          <t>SVC000013</t>
        </is>
      </c>
      <c r="G475" s="104" t="inlineStr">
        <is>
          <t>Rear Camera Replacement</t>
        </is>
      </c>
      <c r="H475" s="104" t="inlineStr">
        <is>
          <t>Camera</t>
        </is>
      </c>
      <c r="I475" s="104" t="n"/>
      <c r="J475" s="104" t="n"/>
      <c r="K475" s="104" t="n"/>
      <c r="L475" s="104" t="n"/>
      <c r="M475" s="104" t="n"/>
      <c r="N475" s="104" t="n"/>
      <c r="O475" s="104" t="n"/>
      <c r="P475" s="104" t="n"/>
      <c r="Q475" s="104" t="n"/>
      <c r="R475" s="104" t="n"/>
      <c r="S475" s="110" t="n"/>
      <c r="T475" s="110" t="n"/>
      <c r="U475" s="104" t="n"/>
    </row>
    <row r="476">
      <c r="A476" s="104" t="inlineStr">
        <is>
          <t>GUIDE000475</t>
        </is>
      </c>
      <c r="B476" s="101" t="inlineStr">
        <is>
          <t>DEV000007</t>
        </is>
      </c>
      <c r="C476" s="103" t="inlineStr">
        <is>
          <t>APL</t>
        </is>
      </c>
      <c r="D476" s="103" t="inlineStr">
        <is>
          <t>PHN</t>
        </is>
      </c>
      <c r="E476" s="60" t="inlineStr">
        <is>
          <t>iPhone 5c</t>
        </is>
      </c>
      <c r="F476" s="104" t="inlineStr">
        <is>
          <t>SVC000013</t>
        </is>
      </c>
      <c r="G476" s="104" t="inlineStr">
        <is>
          <t>Rear Camera Replacement</t>
        </is>
      </c>
      <c r="H476" s="104" t="inlineStr">
        <is>
          <t>Camera</t>
        </is>
      </c>
      <c r="I476" s="104" t="n"/>
      <c r="J476" s="104" t="n"/>
      <c r="K476" s="104" t="n"/>
      <c r="L476" s="104" t="n"/>
      <c r="M476" s="104" t="n"/>
      <c r="N476" s="104" t="n"/>
      <c r="O476" s="104" t="n"/>
      <c r="P476" s="104" t="n"/>
      <c r="Q476" s="104" t="n"/>
      <c r="R476" s="104" t="n"/>
      <c r="S476" s="110" t="n"/>
      <c r="T476" s="110" t="n"/>
      <c r="U476" s="104" t="n"/>
    </row>
    <row r="477">
      <c r="A477" s="104" t="inlineStr">
        <is>
          <t>GUIDE000476</t>
        </is>
      </c>
      <c r="B477" s="101" t="inlineStr">
        <is>
          <t>DEV000008</t>
        </is>
      </c>
      <c r="C477" s="103" t="inlineStr">
        <is>
          <t>APL</t>
        </is>
      </c>
      <c r="D477" s="103" t="inlineStr">
        <is>
          <t>PHN</t>
        </is>
      </c>
      <c r="E477" s="60" t="inlineStr">
        <is>
          <t>iPhone 5s</t>
        </is>
      </c>
      <c r="F477" s="104" t="inlineStr">
        <is>
          <t>SVC000013</t>
        </is>
      </c>
      <c r="G477" s="104" t="inlineStr">
        <is>
          <t>Rear Camera Replacement</t>
        </is>
      </c>
      <c r="H477" s="104" t="inlineStr">
        <is>
          <t>Camera</t>
        </is>
      </c>
      <c r="I477" s="104" t="n"/>
      <c r="J477" s="104" t="n"/>
      <c r="K477" s="104" t="n"/>
      <c r="L477" s="104" t="n"/>
      <c r="M477" s="104" t="n"/>
      <c r="N477" s="104" t="n"/>
      <c r="O477" s="104" t="n"/>
      <c r="P477" s="104" t="n"/>
      <c r="Q477" s="104" t="n"/>
      <c r="R477" s="104" t="n"/>
      <c r="S477" s="110" t="n"/>
      <c r="T477" s="110" t="n"/>
      <c r="U477" s="104" t="n"/>
    </row>
    <row r="478">
      <c r="A478" s="104" t="inlineStr">
        <is>
          <t>GUIDE000477</t>
        </is>
      </c>
      <c r="B478" s="101" t="inlineStr">
        <is>
          <t>DEV000009</t>
        </is>
      </c>
      <c r="C478" s="103" t="inlineStr">
        <is>
          <t>APL</t>
        </is>
      </c>
      <c r="D478" s="103" t="inlineStr">
        <is>
          <t>PHN</t>
        </is>
      </c>
      <c r="E478" s="60" t="inlineStr">
        <is>
          <t>iPhone 6</t>
        </is>
      </c>
      <c r="F478" s="104" t="inlineStr">
        <is>
          <t>SVC000013</t>
        </is>
      </c>
      <c r="G478" s="104" t="inlineStr">
        <is>
          <t>Rear Camera Replacement</t>
        </is>
      </c>
      <c r="H478" s="104" t="inlineStr">
        <is>
          <t>Camera</t>
        </is>
      </c>
      <c r="I478" s="104" t="n"/>
      <c r="J478" s="104" t="n"/>
      <c r="K478" s="104" t="n"/>
      <c r="L478" s="104" t="n"/>
      <c r="M478" s="104" t="n"/>
      <c r="N478" s="104" t="n"/>
      <c r="O478" s="104" t="n"/>
      <c r="P478" s="104" t="n"/>
      <c r="Q478" s="104" t="n"/>
      <c r="R478" s="104" t="n"/>
      <c r="S478" s="110" t="n"/>
      <c r="T478" s="110" t="n"/>
      <c r="U478" s="104" t="n"/>
    </row>
    <row r="479">
      <c r="A479" s="104" t="inlineStr">
        <is>
          <t>GUIDE000478</t>
        </is>
      </c>
      <c r="B479" s="101" t="inlineStr">
        <is>
          <t>DEV000010</t>
        </is>
      </c>
      <c r="C479" s="103" t="inlineStr">
        <is>
          <t>APL</t>
        </is>
      </c>
      <c r="D479" s="103" t="inlineStr">
        <is>
          <t>PHN</t>
        </is>
      </c>
      <c r="E479" s="60" t="inlineStr">
        <is>
          <t>iPhone 6 Plus</t>
        </is>
      </c>
      <c r="F479" s="104" t="inlineStr">
        <is>
          <t>SVC000013</t>
        </is>
      </c>
      <c r="G479" s="104" t="inlineStr">
        <is>
          <t>Rear Camera Replacement</t>
        </is>
      </c>
      <c r="H479" s="104" t="inlineStr">
        <is>
          <t>Camera</t>
        </is>
      </c>
      <c r="I479" s="104" t="n"/>
      <c r="J479" s="104" t="n"/>
      <c r="K479" s="104" t="n"/>
      <c r="L479" s="104" t="n"/>
      <c r="M479" s="104" t="n"/>
      <c r="N479" s="104" t="n"/>
      <c r="O479" s="104" t="n"/>
      <c r="P479" s="104" t="n"/>
      <c r="Q479" s="104" t="n"/>
      <c r="R479" s="104" t="n"/>
      <c r="S479" s="110" t="n"/>
      <c r="T479" s="110" t="n"/>
      <c r="U479" s="104" t="n"/>
    </row>
    <row r="480">
      <c r="A480" s="105" t="inlineStr">
        <is>
          <t>GUIDE000479</t>
        </is>
      </c>
      <c r="B480" s="101" t="inlineStr">
        <is>
          <t>DEV000011</t>
        </is>
      </c>
      <c r="C480" s="103" t="inlineStr">
        <is>
          <t>APL</t>
        </is>
      </c>
      <c r="D480" s="103" t="inlineStr">
        <is>
          <t>PHN</t>
        </is>
      </c>
      <c r="E480" s="60" t="inlineStr">
        <is>
          <t>iPhone 6s</t>
        </is>
      </c>
      <c r="F480" s="104" t="inlineStr">
        <is>
          <t>SVC000013</t>
        </is>
      </c>
      <c r="G480" s="104" t="inlineStr">
        <is>
          <t>Rear Camera Replacement</t>
        </is>
      </c>
      <c r="H480" s="104" t="inlineStr">
        <is>
          <t>Camera</t>
        </is>
      </c>
      <c r="I480" s="104" t="n"/>
      <c r="J480" s="104" t="n"/>
      <c r="K480" s="104" t="n"/>
      <c r="L480" s="104" t="n"/>
      <c r="M480" s="104" t="n"/>
      <c r="N480" s="104" t="n"/>
      <c r="O480" s="104" t="n"/>
      <c r="P480" s="104" t="n"/>
      <c r="Q480" s="104" t="n"/>
      <c r="R480" s="104" t="n"/>
      <c r="S480" s="110" t="n"/>
      <c r="T480" s="110" t="n"/>
      <c r="U480" s="104" t="n"/>
    </row>
    <row r="481">
      <c r="A481" s="104" t="inlineStr">
        <is>
          <t>GUIDE000480</t>
        </is>
      </c>
      <c r="B481" s="101" t="inlineStr">
        <is>
          <t>DEV000012</t>
        </is>
      </c>
      <c r="C481" s="103" t="inlineStr">
        <is>
          <t>APL</t>
        </is>
      </c>
      <c r="D481" s="103" t="inlineStr">
        <is>
          <t>PHN</t>
        </is>
      </c>
      <c r="E481" s="60" t="inlineStr">
        <is>
          <t>iPhone 6s Plus</t>
        </is>
      </c>
      <c r="F481" s="104" t="inlineStr">
        <is>
          <t>SVC000013</t>
        </is>
      </c>
      <c r="G481" s="104" t="inlineStr">
        <is>
          <t>Rear Camera Replacement</t>
        </is>
      </c>
      <c r="H481" s="104" t="inlineStr">
        <is>
          <t>Camera</t>
        </is>
      </c>
      <c r="I481" s="104" t="n"/>
      <c r="J481" s="104" t="n"/>
      <c r="K481" s="104" t="n"/>
      <c r="L481" s="104" t="n"/>
      <c r="M481" s="104" t="n"/>
      <c r="N481" s="104" t="n"/>
      <c r="O481" s="104" t="n"/>
      <c r="P481" s="104" t="n"/>
      <c r="Q481" s="104" t="n"/>
      <c r="R481" s="104" t="n"/>
      <c r="S481" s="110" t="n"/>
      <c r="T481" s="110" t="n"/>
      <c r="U481" s="104" t="n"/>
    </row>
    <row r="482">
      <c r="A482" s="104" t="inlineStr">
        <is>
          <t>GUIDE000481</t>
        </is>
      </c>
      <c r="B482" s="101" t="inlineStr">
        <is>
          <t>DEV000013</t>
        </is>
      </c>
      <c r="C482" s="103" t="inlineStr">
        <is>
          <t>APL</t>
        </is>
      </c>
      <c r="D482" s="103" t="inlineStr">
        <is>
          <t>PHN</t>
        </is>
      </c>
      <c r="E482" s="60" t="inlineStr">
        <is>
          <t>iPhone SE (1st Gen)</t>
        </is>
      </c>
      <c r="F482" s="104" t="inlineStr">
        <is>
          <t>SVC000013</t>
        </is>
      </c>
      <c r="G482" s="104" t="inlineStr">
        <is>
          <t>Rear Camera Replacement</t>
        </is>
      </c>
      <c r="H482" s="104" t="inlineStr">
        <is>
          <t>Camera</t>
        </is>
      </c>
      <c r="I482" s="104" t="n"/>
      <c r="J482" s="104" t="n"/>
      <c r="K482" s="104" t="n"/>
      <c r="L482" s="104" t="n"/>
      <c r="M482" s="104" t="n"/>
      <c r="N482" s="104" t="n"/>
      <c r="O482" s="104" t="n"/>
      <c r="P482" s="104" t="n"/>
      <c r="Q482" s="104" t="n"/>
      <c r="R482" s="104" t="n"/>
      <c r="S482" s="110" t="n"/>
      <c r="T482" s="110" t="n"/>
      <c r="U482" s="104" t="n"/>
    </row>
    <row r="483">
      <c r="A483" s="104" t="inlineStr">
        <is>
          <t>GUIDE000482</t>
        </is>
      </c>
      <c r="B483" s="101" t="inlineStr">
        <is>
          <t>DEV000014</t>
        </is>
      </c>
      <c r="C483" s="103" t="inlineStr">
        <is>
          <t>APL</t>
        </is>
      </c>
      <c r="D483" s="103" t="inlineStr">
        <is>
          <t>PHN</t>
        </is>
      </c>
      <c r="E483" s="60" t="inlineStr">
        <is>
          <t>iPhone 7</t>
        </is>
      </c>
      <c r="F483" s="104" t="inlineStr">
        <is>
          <t>SVC000013</t>
        </is>
      </c>
      <c r="G483" s="104" t="inlineStr">
        <is>
          <t>Rear Camera Replacement</t>
        </is>
      </c>
      <c r="H483" s="104" t="inlineStr">
        <is>
          <t>Camera</t>
        </is>
      </c>
      <c r="I483" s="104" t="n"/>
      <c r="J483" s="104" t="n"/>
      <c r="K483" s="104" t="n"/>
      <c r="L483" s="104" t="n"/>
      <c r="M483" s="104" t="n"/>
      <c r="N483" s="104" t="n"/>
      <c r="O483" s="104" t="n"/>
      <c r="P483" s="104" t="n"/>
      <c r="Q483" s="104" t="n"/>
      <c r="R483" s="104" t="n"/>
      <c r="S483" s="110" t="n"/>
      <c r="T483" s="110" t="n"/>
      <c r="U483" s="104" t="n"/>
    </row>
    <row r="484">
      <c r="A484" s="105" t="inlineStr">
        <is>
          <t>GUIDE000483</t>
        </is>
      </c>
      <c r="B484" s="101" t="inlineStr">
        <is>
          <t>DEV000015</t>
        </is>
      </c>
      <c r="C484" s="103" t="inlineStr">
        <is>
          <t>APL</t>
        </is>
      </c>
      <c r="D484" s="103" t="inlineStr">
        <is>
          <t>PHN</t>
        </is>
      </c>
      <c r="E484" s="60" t="inlineStr">
        <is>
          <t>iPhone 7 Plus</t>
        </is>
      </c>
      <c r="F484" s="104" t="inlineStr">
        <is>
          <t>SVC000013</t>
        </is>
      </c>
      <c r="G484" s="104" t="inlineStr">
        <is>
          <t>Rear Camera Replacement</t>
        </is>
      </c>
      <c r="H484" s="104" t="inlineStr">
        <is>
          <t>Camera</t>
        </is>
      </c>
      <c r="I484" s="104" t="n"/>
      <c r="J484" s="104" t="n"/>
      <c r="K484" s="104" t="n"/>
      <c r="L484" s="104" t="n"/>
      <c r="M484" s="104" t="n"/>
      <c r="N484" s="104" t="n"/>
      <c r="O484" s="104" t="n"/>
      <c r="P484" s="104" t="n"/>
      <c r="Q484" s="104" t="n"/>
      <c r="R484" s="104" t="n"/>
      <c r="S484" s="110" t="n"/>
      <c r="T484" s="110" t="n"/>
      <c r="U484" s="104" t="n"/>
    </row>
    <row r="485">
      <c r="A485" s="104" t="inlineStr">
        <is>
          <t>GUIDE000484</t>
        </is>
      </c>
      <c r="B485" s="101" t="inlineStr">
        <is>
          <t>DEV000016</t>
        </is>
      </c>
      <c r="C485" s="103" t="inlineStr">
        <is>
          <t>APL</t>
        </is>
      </c>
      <c r="D485" s="103" t="inlineStr">
        <is>
          <t>PHN</t>
        </is>
      </c>
      <c r="E485" s="60" t="inlineStr">
        <is>
          <t>iPhone 8</t>
        </is>
      </c>
      <c r="F485" s="104" t="inlineStr">
        <is>
          <t>SVC000013</t>
        </is>
      </c>
      <c r="G485" s="104" t="inlineStr">
        <is>
          <t>Rear Camera Replacement</t>
        </is>
      </c>
      <c r="H485" s="104" t="inlineStr">
        <is>
          <t>Camera</t>
        </is>
      </c>
      <c r="I485" s="104" t="n"/>
      <c r="J485" s="104" t="n"/>
      <c r="K485" s="104" t="n"/>
      <c r="L485" s="104" t="n"/>
      <c r="M485" s="104" t="n"/>
      <c r="N485" s="104" t="n"/>
      <c r="O485" s="104" t="n"/>
      <c r="P485" s="104" t="n"/>
      <c r="Q485" s="104" t="n"/>
      <c r="R485" s="104" t="n"/>
      <c r="S485" s="110" t="n"/>
      <c r="T485" s="110" t="n"/>
      <c r="U485" s="104" t="n"/>
    </row>
    <row r="486">
      <c r="A486" s="104" t="inlineStr">
        <is>
          <t>GUIDE000485</t>
        </is>
      </c>
      <c r="B486" s="101" t="inlineStr">
        <is>
          <t>DEV000017</t>
        </is>
      </c>
      <c r="C486" s="103" t="inlineStr">
        <is>
          <t>APL</t>
        </is>
      </c>
      <c r="D486" s="103" t="inlineStr">
        <is>
          <t>PHN</t>
        </is>
      </c>
      <c r="E486" s="60" t="inlineStr">
        <is>
          <t>iPhone 8 Plus</t>
        </is>
      </c>
      <c r="F486" s="104" t="inlineStr">
        <is>
          <t>SVC000013</t>
        </is>
      </c>
      <c r="G486" s="104" t="inlineStr">
        <is>
          <t>Rear Camera Replacement</t>
        </is>
      </c>
      <c r="H486" s="104" t="inlineStr">
        <is>
          <t>Camera</t>
        </is>
      </c>
      <c r="I486" s="104" t="n"/>
      <c r="J486" s="104" t="n"/>
      <c r="K486" s="104" t="n"/>
      <c r="L486" s="104" t="n"/>
      <c r="M486" s="104" t="n"/>
      <c r="N486" s="104" t="n"/>
      <c r="O486" s="104" t="n"/>
      <c r="P486" s="104" t="n"/>
      <c r="Q486" s="104" t="n"/>
      <c r="R486" s="104" t="n"/>
      <c r="S486" s="110" t="n"/>
      <c r="T486" s="110" t="n"/>
      <c r="U486" s="104" t="n"/>
    </row>
    <row r="487">
      <c r="A487" s="104" t="inlineStr">
        <is>
          <t>GUIDE000486</t>
        </is>
      </c>
      <c r="B487" s="101" t="inlineStr">
        <is>
          <t>DEV000018</t>
        </is>
      </c>
      <c r="C487" s="103" t="inlineStr">
        <is>
          <t>APL</t>
        </is>
      </c>
      <c r="D487" s="103" t="inlineStr">
        <is>
          <t>PHN</t>
        </is>
      </c>
      <c r="E487" s="60" t="inlineStr">
        <is>
          <t>iPhone X</t>
        </is>
      </c>
      <c r="F487" s="104" t="inlineStr">
        <is>
          <t>SVC000013</t>
        </is>
      </c>
      <c r="G487" s="104" t="inlineStr">
        <is>
          <t>Rear Camera Replacement</t>
        </is>
      </c>
      <c r="H487" s="104" t="inlineStr">
        <is>
          <t>Camera</t>
        </is>
      </c>
      <c r="I487" s="104" t="n"/>
      <c r="J487" s="104" t="n"/>
      <c r="K487" s="104" t="n"/>
      <c r="L487" s="104" t="n"/>
      <c r="M487" s="104" t="n"/>
      <c r="N487" s="104" t="n"/>
      <c r="O487" s="104" t="n"/>
      <c r="P487" s="104" t="n"/>
      <c r="Q487" s="104" t="n"/>
      <c r="R487" s="104" t="n"/>
      <c r="S487" s="110" t="n"/>
      <c r="T487" s="110" t="n"/>
      <c r="U487" s="104" t="n"/>
    </row>
    <row r="488">
      <c r="A488" s="104" t="inlineStr">
        <is>
          <t>GUIDE000487</t>
        </is>
      </c>
      <c r="B488" s="101" t="inlineStr">
        <is>
          <t>DEV000019</t>
        </is>
      </c>
      <c r="C488" s="103" t="inlineStr">
        <is>
          <t>APL</t>
        </is>
      </c>
      <c r="D488" s="103" t="inlineStr">
        <is>
          <t>PHN</t>
        </is>
      </c>
      <c r="E488" s="60" t="inlineStr">
        <is>
          <t>iPhone XR</t>
        </is>
      </c>
      <c r="F488" s="104" t="inlineStr">
        <is>
          <t>SVC000013</t>
        </is>
      </c>
      <c r="G488" s="104" t="inlineStr">
        <is>
          <t>Rear Camera Replacement</t>
        </is>
      </c>
      <c r="H488" s="104" t="inlineStr">
        <is>
          <t>Camera</t>
        </is>
      </c>
      <c r="I488" s="104" t="n"/>
      <c r="J488" s="104" t="n"/>
      <c r="K488" s="104" t="n"/>
      <c r="L488" s="104" t="n"/>
      <c r="M488" s="104" t="n"/>
      <c r="N488" s="104" t="n"/>
      <c r="O488" s="104" t="n"/>
      <c r="P488" s="104" t="n"/>
      <c r="Q488" s="104" t="n"/>
      <c r="R488" s="104" t="n"/>
      <c r="S488" s="110" t="n"/>
      <c r="T488" s="110" t="n"/>
      <c r="U488" s="104" t="n"/>
    </row>
    <row r="489">
      <c r="A489" s="105" t="inlineStr">
        <is>
          <t>GUIDE000488</t>
        </is>
      </c>
      <c r="B489" s="101" t="inlineStr">
        <is>
          <t>DEV000020</t>
        </is>
      </c>
      <c r="C489" s="103" t="inlineStr">
        <is>
          <t>APL</t>
        </is>
      </c>
      <c r="D489" s="103" t="inlineStr">
        <is>
          <t>PHN</t>
        </is>
      </c>
      <c r="E489" s="60" t="inlineStr">
        <is>
          <t>iPhone XS</t>
        </is>
      </c>
      <c r="F489" s="104" t="inlineStr">
        <is>
          <t>SVC000013</t>
        </is>
      </c>
      <c r="G489" s="104" t="inlineStr">
        <is>
          <t>Rear Camera Replacement</t>
        </is>
      </c>
      <c r="H489" s="104" t="inlineStr">
        <is>
          <t>Camera</t>
        </is>
      </c>
      <c r="I489" s="104" t="n"/>
      <c r="J489" s="104" t="n"/>
      <c r="K489" s="104" t="n"/>
      <c r="L489" s="104" t="n"/>
      <c r="M489" s="104" t="n"/>
      <c r="N489" s="104" t="n"/>
      <c r="O489" s="104" t="n"/>
      <c r="P489" s="104" t="n"/>
      <c r="Q489" s="104" t="n"/>
      <c r="R489" s="104" t="n"/>
      <c r="S489" s="110" t="n"/>
      <c r="T489" s="110" t="n"/>
      <c r="U489" s="104" t="n"/>
    </row>
    <row r="490">
      <c r="A490" s="104" t="inlineStr">
        <is>
          <t>GUIDE000489</t>
        </is>
      </c>
      <c r="B490" s="101" t="inlineStr">
        <is>
          <t>DEV000021</t>
        </is>
      </c>
      <c r="C490" s="103" t="inlineStr">
        <is>
          <t>APL</t>
        </is>
      </c>
      <c r="D490" s="103" t="inlineStr">
        <is>
          <t>PHN</t>
        </is>
      </c>
      <c r="E490" s="60" t="inlineStr">
        <is>
          <t>iPhone XS Max</t>
        </is>
      </c>
      <c r="F490" s="104" t="inlineStr">
        <is>
          <t>SVC000013</t>
        </is>
      </c>
      <c r="G490" s="104" t="inlineStr">
        <is>
          <t>Rear Camera Replacement</t>
        </is>
      </c>
      <c r="H490" s="104" t="inlineStr">
        <is>
          <t>Camera</t>
        </is>
      </c>
      <c r="I490" s="104" t="n"/>
      <c r="J490" s="104" t="n"/>
      <c r="K490" s="104" t="n"/>
      <c r="L490" s="104" t="n"/>
      <c r="M490" s="104" t="n"/>
      <c r="N490" s="104" t="n"/>
      <c r="O490" s="104" t="n"/>
      <c r="P490" s="104" t="n"/>
      <c r="Q490" s="104" t="n"/>
      <c r="R490" s="104" t="n"/>
      <c r="S490" s="110" t="n"/>
      <c r="T490" s="110" t="n"/>
      <c r="U490" s="104" t="n"/>
    </row>
    <row r="491">
      <c r="A491" s="104" t="inlineStr">
        <is>
          <t>GUIDE000490</t>
        </is>
      </c>
      <c r="B491" s="101" t="inlineStr">
        <is>
          <t>DEV000022</t>
        </is>
      </c>
      <c r="C491" s="103" t="inlineStr">
        <is>
          <t>APL</t>
        </is>
      </c>
      <c r="D491" s="103" t="inlineStr">
        <is>
          <t>PHN</t>
        </is>
      </c>
      <c r="E491" s="60" t="inlineStr">
        <is>
          <t>iPhone 11</t>
        </is>
      </c>
      <c r="F491" s="104" t="inlineStr">
        <is>
          <t>SVC000013</t>
        </is>
      </c>
      <c r="G491" s="104" t="inlineStr">
        <is>
          <t>Rear Camera Replacement</t>
        </is>
      </c>
      <c r="H491" s="104" t="inlineStr">
        <is>
          <t>Camera</t>
        </is>
      </c>
      <c r="I491" s="104" t="n"/>
      <c r="J491" s="104" t="n"/>
      <c r="K491" s="104" t="n"/>
      <c r="L491" s="104" t="n"/>
      <c r="M491" s="104" t="n"/>
      <c r="N491" s="104" t="n"/>
      <c r="O491" s="104" t="n"/>
      <c r="P491" s="104" t="n"/>
      <c r="Q491" s="104" t="n"/>
      <c r="R491" s="104" t="n"/>
      <c r="S491" s="110" t="n"/>
      <c r="T491" s="110" t="n"/>
      <c r="U491" s="104" t="n"/>
    </row>
    <row r="492">
      <c r="A492" s="104" t="inlineStr">
        <is>
          <t>GUIDE000491</t>
        </is>
      </c>
      <c r="B492" s="101" t="inlineStr">
        <is>
          <t>DEV000023</t>
        </is>
      </c>
      <c r="C492" s="103" t="inlineStr">
        <is>
          <t>APL</t>
        </is>
      </c>
      <c r="D492" s="103" t="inlineStr">
        <is>
          <t>PHN</t>
        </is>
      </c>
      <c r="E492" s="60" t="inlineStr">
        <is>
          <t>iPhone 11 Pro</t>
        </is>
      </c>
      <c r="F492" s="104" t="inlineStr">
        <is>
          <t>SVC000013</t>
        </is>
      </c>
      <c r="G492" s="104" t="inlineStr">
        <is>
          <t>Rear Camera Replacement</t>
        </is>
      </c>
      <c r="H492" s="104" t="inlineStr">
        <is>
          <t>Camera</t>
        </is>
      </c>
      <c r="I492" s="104" t="n"/>
      <c r="J492" s="104" t="n"/>
      <c r="K492" s="104" t="n"/>
      <c r="L492" s="104" t="n"/>
      <c r="M492" s="104" t="n"/>
      <c r="N492" s="104" t="n"/>
      <c r="O492" s="104" t="n"/>
      <c r="P492" s="104" t="n"/>
      <c r="Q492" s="104" t="n"/>
      <c r="R492" s="104" t="n"/>
      <c r="S492" s="110" t="n"/>
      <c r="T492" s="110" t="n"/>
      <c r="U492" s="104" t="n"/>
    </row>
    <row r="493">
      <c r="A493" s="105" t="inlineStr">
        <is>
          <t>GUIDE000492</t>
        </is>
      </c>
      <c r="B493" s="101" t="inlineStr">
        <is>
          <t>DEV000024</t>
        </is>
      </c>
      <c r="C493" s="103" t="inlineStr">
        <is>
          <t>APL</t>
        </is>
      </c>
      <c r="D493" s="103" t="inlineStr">
        <is>
          <t>PHN</t>
        </is>
      </c>
      <c r="E493" s="60" t="inlineStr">
        <is>
          <t>iPhone 11 Pro Max</t>
        </is>
      </c>
      <c r="F493" s="104" t="inlineStr">
        <is>
          <t>SVC000013</t>
        </is>
      </c>
      <c r="G493" s="104" t="inlineStr">
        <is>
          <t>Rear Camera Replacement</t>
        </is>
      </c>
      <c r="H493" s="104" t="inlineStr">
        <is>
          <t>Camera</t>
        </is>
      </c>
      <c r="I493" s="104" t="n"/>
      <c r="J493" s="104" t="n"/>
      <c r="K493" s="104" t="n"/>
      <c r="L493" s="104" t="n"/>
      <c r="M493" s="104" t="n"/>
      <c r="N493" s="104" t="n"/>
      <c r="O493" s="104" t="n"/>
      <c r="P493" s="104" t="n"/>
      <c r="Q493" s="104" t="n"/>
      <c r="R493" s="104" t="n"/>
      <c r="S493" s="110" t="n"/>
      <c r="T493" s="110" t="n"/>
      <c r="U493" s="104" t="n"/>
    </row>
    <row r="494">
      <c r="A494" s="104" t="inlineStr">
        <is>
          <t>GUIDE000493</t>
        </is>
      </c>
      <c r="B494" s="101" t="inlineStr">
        <is>
          <t>DEV000025</t>
        </is>
      </c>
      <c r="C494" s="103" t="inlineStr">
        <is>
          <t>APL</t>
        </is>
      </c>
      <c r="D494" s="103" t="inlineStr">
        <is>
          <t>PHN</t>
        </is>
      </c>
      <c r="E494" s="60" t="inlineStr">
        <is>
          <t>iPhone SE (2nd Generation)</t>
        </is>
      </c>
      <c r="F494" s="104" t="inlineStr">
        <is>
          <t>SVC000013</t>
        </is>
      </c>
      <c r="G494" s="104" t="inlineStr">
        <is>
          <t>Rear Camera Replacement</t>
        </is>
      </c>
      <c r="H494" s="104" t="inlineStr">
        <is>
          <t>Camera</t>
        </is>
      </c>
      <c r="I494" s="104" t="n"/>
      <c r="J494" s="104" t="n"/>
      <c r="K494" s="104" t="n"/>
      <c r="L494" s="104" t="n"/>
      <c r="M494" s="104" t="n"/>
      <c r="N494" s="104" t="n"/>
      <c r="O494" s="104" t="n"/>
      <c r="P494" s="104" t="n"/>
      <c r="Q494" s="104" t="n"/>
      <c r="R494" s="104" t="n"/>
      <c r="S494" s="110" t="n"/>
      <c r="T494" s="110" t="n"/>
      <c r="U494" s="104" t="n"/>
    </row>
    <row r="495">
      <c r="A495" s="104" t="inlineStr">
        <is>
          <t>GUIDE000494</t>
        </is>
      </c>
      <c r="B495" s="101" t="inlineStr">
        <is>
          <t>DEV000026</t>
        </is>
      </c>
      <c r="C495" s="103" t="inlineStr">
        <is>
          <t>APL</t>
        </is>
      </c>
      <c r="D495" s="103" t="inlineStr">
        <is>
          <t>PHN</t>
        </is>
      </c>
      <c r="E495" s="60" t="inlineStr">
        <is>
          <t>iPhone 12 mini</t>
        </is>
      </c>
      <c r="F495" s="104" t="inlineStr">
        <is>
          <t>SVC000013</t>
        </is>
      </c>
      <c r="G495" s="104" t="inlineStr">
        <is>
          <t>Rear Camera Replacement</t>
        </is>
      </c>
      <c r="H495" s="104" t="inlineStr">
        <is>
          <t>Camera</t>
        </is>
      </c>
      <c r="I495" s="104" t="n"/>
      <c r="J495" s="104" t="n"/>
      <c r="K495" s="104" t="n"/>
      <c r="L495" s="104" t="n"/>
      <c r="M495" s="104" t="n"/>
      <c r="N495" s="104" t="n"/>
      <c r="O495" s="104" t="n"/>
      <c r="P495" s="104" t="n"/>
      <c r="Q495" s="104" t="n"/>
      <c r="R495" s="104" t="n"/>
      <c r="S495" s="110" t="n"/>
      <c r="T495" s="110" t="n"/>
      <c r="U495" s="104" t="n"/>
    </row>
    <row r="496">
      <c r="A496" s="104" t="inlineStr">
        <is>
          <t>GUIDE000495</t>
        </is>
      </c>
      <c r="B496" s="101" t="inlineStr">
        <is>
          <t>DEV000027</t>
        </is>
      </c>
      <c r="C496" s="103" t="inlineStr">
        <is>
          <t>APL</t>
        </is>
      </c>
      <c r="D496" s="103" t="inlineStr">
        <is>
          <t>PHN</t>
        </is>
      </c>
      <c r="E496" s="60" t="inlineStr">
        <is>
          <t>iPhone 12</t>
        </is>
      </c>
      <c r="F496" s="104" t="inlineStr">
        <is>
          <t>SVC000013</t>
        </is>
      </c>
      <c r="G496" s="104" t="inlineStr">
        <is>
          <t>Rear Camera Replacement</t>
        </is>
      </c>
      <c r="H496" s="104" t="inlineStr">
        <is>
          <t>Camera</t>
        </is>
      </c>
      <c r="I496" s="104" t="n"/>
      <c r="J496" s="104" t="n"/>
      <c r="K496" s="104" t="n"/>
      <c r="L496" s="104" t="n"/>
      <c r="M496" s="104" t="n"/>
      <c r="N496" s="104" t="n"/>
      <c r="O496" s="104" t="n"/>
      <c r="P496" s="104" t="n"/>
      <c r="Q496" s="104" t="n"/>
      <c r="R496" s="104" t="n"/>
      <c r="S496" s="110" t="n"/>
      <c r="T496" s="110" t="n"/>
      <c r="U496" s="104" t="n"/>
    </row>
    <row r="497">
      <c r="A497" s="104" t="inlineStr">
        <is>
          <t>GUIDE000496</t>
        </is>
      </c>
      <c r="B497" s="101" t="inlineStr">
        <is>
          <t>DEV000028</t>
        </is>
      </c>
      <c r="C497" s="103" t="inlineStr">
        <is>
          <t>APL</t>
        </is>
      </c>
      <c r="D497" s="103" t="inlineStr">
        <is>
          <t>PHN</t>
        </is>
      </c>
      <c r="E497" s="60" t="inlineStr">
        <is>
          <t>iPhone 12 Pro</t>
        </is>
      </c>
      <c r="F497" s="104" t="inlineStr">
        <is>
          <t>SVC000013</t>
        </is>
      </c>
      <c r="G497" s="104" t="inlineStr">
        <is>
          <t>Rear Camera Replacement</t>
        </is>
      </c>
      <c r="H497" s="104" t="inlineStr">
        <is>
          <t>Camera</t>
        </is>
      </c>
      <c r="I497" s="104" t="n"/>
      <c r="J497" s="104" t="n"/>
      <c r="K497" s="104" t="n"/>
      <c r="L497" s="104" t="n"/>
      <c r="M497" s="104" t="n"/>
      <c r="N497" s="104" t="n"/>
      <c r="O497" s="104" t="n"/>
      <c r="P497" s="104" t="n"/>
      <c r="Q497" s="104" t="n"/>
      <c r="R497" s="104" t="n"/>
      <c r="S497" s="110" t="n"/>
      <c r="T497" s="110" t="n"/>
      <c r="U497" s="104" t="n"/>
    </row>
    <row r="498">
      <c r="A498" s="105" t="inlineStr">
        <is>
          <t>GUIDE000497</t>
        </is>
      </c>
      <c r="B498" s="101" t="inlineStr">
        <is>
          <t>DEV000029</t>
        </is>
      </c>
      <c r="C498" s="103" t="inlineStr">
        <is>
          <t>APL</t>
        </is>
      </c>
      <c r="D498" s="103" t="inlineStr">
        <is>
          <t>PHN</t>
        </is>
      </c>
      <c r="E498" s="60" t="inlineStr">
        <is>
          <t>iPhone 12 Pro Max</t>
        </is>
      </c>
      <c r="F498" s="104" t="inlineStr">
        <is>
          <t>SVC000013</t>
        </is>
      </c>
      <c r="G498" s="104" t="inlineStr">
        <is>
          <t>Rear Camera Replacement</t>
        </is>
      </c>
      <c r="H498" s="104" t="inlineStr">
        <is>
          <t>Camera</t>
        </is>
      </c>
      <c r="I498" s="104" t="n"/>
      <c r="J498" s="104" t="n"/>
      <c r="K498" s="104" t="n"/>
      <c r="L498" s="104" t="n"/>
      <c r="M498" s="104" t="n"/>
      <c r="N498" s="104" t="n"/>
      <c r="O498" s="104" t="n"/>
      <c r="P498" s="104" t="n"/>
      <c r="Q498" s="104" t="n"/>
      <c r="R498" s="104" t="n"/>
      <c r="S498" s="110" t="n"/>
      <c r="T498" s="110" t="n"/>
      <c r="U498" s="104" t="n"/>
    </row>
    <row r="499">
      <c r="A499" s="104" t="inlineStr">
        <is>
          <t>GUIDE000498</t>
        </is>
      </c>
      <c r="B499" s="101" t="inlineStr">
        <is>
          <t>DEV000030</t>
        </is>
      </c>
      <c r="C499" s="103" t="inlineStr">
        <is>
          <t>APL</t>
        </is>
      </c>
      <c r="D499" s="103" t="inlineStr">
        <is>
          <t>PHN</t>
        </is>
      </c>
      <c r="E499" s="60" t="inlineStr">
        <is>
          <t>iPhone 13 mini</t>
        </is>
      </c>
      <c r="F499" s="104" t="inlineStr">
        <is>
          <t>SVC000013</t>
        </is>
      </c>
      <c r="G499" s="104" t="inlineStr">
        <is>
          <t>Rear Camera Replacement</t>
        </is>
      </c>
      <c r="H499" s="104" t="inlineStr">
        <is>
          <t>Camera</t>
        </is>
      </c>
      <c r="I499" s="104" t="n"/>
      <c r="J499" s="104" t="n"/>
      <c r="K499" s="104" t="n"/>
      <c r="L499" s="104" t="n"/>
      <c r="M499" s="104" t="n"/>
      <c r="N499" s="104" t="n"/>
      <c r="O499" s="104" t="n"/>
      <c r="P499" s="104" t="n"/>
      <c r="Q499" s="104" t="n"/>
      <c r="R499" s="104" t="n"/>
      <c r="S499" s="110" t="n"/>
      <c r="T499" s="110" t="n"/>
      <c r="U499" s="104" t="n"/>
    </row>
    <row r="500">
      <c r="A500" s="104" t="inlineStr">
        <is>
          <t>GUIDE000499</t>
        </is>
      </c>
      <c r="B500" s="101" t="inlineStr">
        <is>
          <t>DEV000031</t>
        </is>
      </c>
      <c r="C500" s="103" t="inlineStr">
        <is>
          <t>APL</t>
        </is>
      </c>
      <c r="D500" s="103" t="inlineStr">
        <is>
          <t>PHN</t>
        </is>
      </c>
      <c r="E500" s="60" t="inlineStr">
        <is>
          <t>iPhone 13</t>
        </is>
      </c>
      <c r="F500" s="104" t="inlineStr">
        <is>
          <t>SVC000013</t>
        </is>
      </c>
      <c r="G500" s="104" t="inlineStr">
        <is>
          <t>Rear Camera Replacement</t>
        </is>
      </c>
      <c r="H500" s="104" t="inlineStr">
        <is>
          <t>Camera</t>
        </is>
      </c>
      <c r="I500" s="104" t="n"/>
      <c r="J500" s="104" t="n"/>
      <c r="K500" s="104" t="n"/>
      <c r="L500" s="104" t="n"/>
      <c r="M500" s="104" t="n"/>
      <c r="N500" s="104" t="n"/>
      <c r="O500" s="104" t="n"/>
      <c r="P500" s="104" t="n"/>
      <c r="Q500" s="104" t="n"/>
      <c r="R500" s="104" t="n"/>
      <c r="S500" s="110" t="n"/>
      <c r="T500" s="110" t="n"/>
      <c r="U500" s="104" t="n"/>
    </row>
    <row r="501">
      <c r="A501" s="104" t="inlineStr">
        <is>
          <t>GUIDE000500</t>
        </is>
      </c>
      <c r="B501" s="101" t="inlineStr">
        <is>
          <t>DEV000032</t>
        </is>
      </c>
      <c r="C501" s="103" t="inlineStr">
        <is>
          <t>APL</t>
        </is>
      </c>
      <c r="D501" s="103" t="inlineStr">
        <is>
          <t>PHN</t>
        </is>
      </c>
      <c r="E501" s="60" t="inlineStr">
        <is>
          <t>iPhone 13 Pro</t>
        </is>
      </c>
      <c r="F501" s="104" t="inlineStr">
        <is>
          <t>SVC000013</t>
        </is>
      </c>
      <c r="G501" s="104" t="inlineStr">
        <is>
          <t>Rear Camera Replacement</t>
        </is>
      </c>
      <c r="H501" s="104" t="inlineStr">
        <is>
          <t>Camera</t>
        </is>
      </c>
      <c r="I501" s="104" t="n"/>
      <c r="J501" s="104" t="n"/>
      <c r="K501" s="104" t="n"/>
      <c r="L501" s="104" t="n"/>
      <c r="M501" s="104" t="n"/>
      <c r="N501" s="104" t="n"/>
      <c r="O501" s="104" t="n"/>
      <c r="P501" s="104" t="n"/>
      <c r="Q501" s="104" t="n"/>
      <c r="R501" s="104" t="n"/>
      <c r="S501" s="110" t="n"/>
      <c r="T501" s="110" t="n"/>
      <c r="U501" s="104" t="n"/>
    </row>
    <row r="502">
      <c r="A502" s="105" t="inlineStr">
        <is>
          <t>GUIDE000501</t>
        </is>
      </c>
      <c r="B502" s="101" t="inlineStr">
        <is>
          <t>DEV000033</t>
        </is>
      </c>
      <c r="C502" s="103" t="inlineStr">
        <is>
          <t>APL</t>
        </is>
      </c>
      <c r="D502" s="103" t="inlineStr">
        <is>
          <t>PHN</t>
        </is>
      </c>
      <c r="E502" s="60" t="inlineStr">
        <is>
          <t>iPhone 13 Pro Max</t>
        </is>
      </c>
      <c r="F502" s="104" t="inlineStr">
        <is>
          <t>SVC000013</t>
        </is>
      </c>
      <c r="G502" s="104" t="inlineStr">
        <is>
          <t>Rear Camera Replacement</t>
        </is>
      </c>
      <c r="H502" s="104" t="inlineStr">
        <is>
          <t>Camera</t>
        </is>
      </c>
      <c r="I502" s="104" t="n"/>
      <c r="J502" s="104" t="n"/>
      <c r="K502" s="104" t="n"/>
      <c r="L502" s="104" t="n"/>
      <c r="M502" s="104" t="n"/>
      <c r="N502" s="104" t="n"/>
      <c r="O502" s="104" t="n"/>
      <c r="P502" s="104" t="n"/>
      <c r="Q502" s="104" t="n"/>
      <c r="R502" s="104" t="n"/>
      <c r="S502" s="110" t="n"/>
      <c r="T502" s="110" t="n"/>
      <c r="U502" s="104" t="n"/>
    </row>
    <row r="503">
      <c r="A503" s="104" t="inlineStr">
        <is>
          <t>GUIDE000502</t>
        </is>
      </c>
      <c r="B503" s="101" t="inlineStr">
        <is>
          <t>DEV000034</t>
        </is>
      </c>
      <c r="C503" s="103" t="inlineStr">
        <is>
          <t>APL</t>
        </is>
      </c>
      <c r="D503" s="103" t="inlineStr">
        <is>
          <t>PHN</t>
        </is>
      </c>
      <c r="E503" s="60" t="inlineStr">
        <is>
          <t>iPhone SE (3rd Generation)</t>
        </is>
      </c>
      <c r="F503" s="104" t="inlineStr">
        <is>
          <t>SVC000013</t>
        </is>
      </c>
      <c r="G503" s="104" t="inlineStr">
        <is>
          <t>Rear Camera Replacement</t>
        </is>
      </c>
      <c r="H503" s="104" t="inlineStr">
        <is>
          <t>Camera</t>
        </is>
      </c>
      <c r="I503" s="104" t="n"/>
      <c r="J503" s="104" t="n"/>
      <c r="K503" s="104" t="n"/>
      <c r="L503" s="104" t="n"/>
      <c r="M503" s="104" t="n"/>
      <c r="N503" s="104" t="n"/>
      <c r="O503" s="104" t="n"/>
      <c r="P503" s="104" t="n"/>
      <c r="Q503" s="104" t="n"/>
      <c r="R503" s="104" t="n"/>
      <c r="S503" s="110" t="n"/>
      <c r="T503" s="110" t="n"/>
      <c r="U503" s="104" t="n"/>
    </row>
    <row r="504">
      <c r="A504" s="104" t="inlineStr">
        <is>
          <t>GUIDE000503</t>
        </is>
      </c>
      <c r="B504" s="101" t="inlineStr">
        <is>
          <t>DEV000035</t>
        </is>
      </c>
      <c r="C504" s="103" t="inlineStr">
        <is>
          <t>APL</t>
        </is>
      </c>
      <c r="D504" s="103" t="inlineStr">
        <is>
          <t>PHN</t>
        </is>
      </c>
      <c r="E504" s="60" t="inlineStr">
        <is>
          <t>iPhone 14</t>
        </is>
      </c>
      <c r="F504" s="104" t="inlineStr">
        <is>
          <t>SVC000013</t>
        </is>
      </c>
      <c r="G504" s="104" t="inlineStr">
        <is>
          <t>Rear Camera Replacement</t>
        </is>
      </c>
      <c r="H504" s="104" t="inlineStr">
        <is>
          <t>Camera</t>
        </is>
      </c>
      <c r="I504" s="104" t="n"/>
      <c r="J504" s="104" t="n"/>
      <c r="K504" s="104" t="n"/>
      <c r="L504" s="104" t="n"/>
      <c r="M504" s="104" t="n"/>
      <c r="N504" s="104" t="n"/>
      <c r="O504" s="104" t="n"/>
      <c r="P504" s="104" t="n"/>
      <c r="Q504" s="104" t="n"/>
      <c r="R504" s="104" t="n"/>
      <c r="S504" s="110" t="n"/>
      <c r="T504" s="110" t="n"/>
      <c r="U504" s="104" t="n"/>
    </row>
    <row r="505">
      <c r="A505" s="104" t="inlineStr">
        <is>
          <t>GUIDE000504</t>
        </is>
      </c>
      <c r="B505" s="101" t="inlineStr">
        <is>
          <t>DEV000036</t>
        </is>
      </c>
      <c r="C505" s="103" t="inlineStr">
        <is>
          <t>APL</t>
        </is>
      </c>
      <c r="D505" s="103" t="inlineStr">
        <is>
          <t>PHN</t>
        </is>
      </c>
      <c r="E505" s="60" t="inlineStr">
        <is>
          <t>iPhone 14 Plus</t>
        </is>
      </c>
      <c r="F505" s="104" t="inlineStr">
        <is>
          <t>SVC000013</t>
        </is>
      </c>
      <c r="G505" s="104" t="inlineStr">
        <is>
          <t>Rear Camera Replacement</t>
        </is>
      </c>
      <c r="H505" s="104" t="inlineStr">
        <is>
          <t>Camera</t>
        </is>
      </c>
      <c r="I505" s="104" t="n"/>
      <c r="J505" s="104" t="n"/>
      <c r="K505" s="104" t="n"/>
      <c r="L505" s="104" t="n"/>
      <c r="M505" s="104" t="n"/>
      <c r="N505" s="104" t="n"/>
      <c r="O505" s="104" t="n"/>
      <c r="P505" s="104" t="n"/>
      <c r="Q505" s="104" t="n"/>
      <c r="R505" s="104" t="n"/>
      <c r="S505" s="110" t="n"/>
      <c r="T505" s="110" t="n"/>
      <c r="U505" s="104" t="n"/>
    </row>
    <row r="506">
      <c r="A506" s="104" t="inlineStr">
        <is>
          <t>GUIDE000505</t>
        </is>
      </c>
      <c r="B506" s="101" t="inlineStr">
        <is>
          <t>DEV000037</t>
        </is>
      </c>
      <c r="C506" s="103" t="inlineStr">
        <is>
          <t>APL</t>
        </is>
      </c>
      <c r="D506" s="103" t="inlineStr">
        <is>
          <t>PHN</t>
        </is>
      </c>
      <c r="E506" s="60" t="inlineStr">
        <is>
          <t>iPhone 14 Pro</t>
        </is>
      </c>
      <c r="F506" s="104" t="inlineStr">
        <is>
          <t>SVC000013</t>
        </is>
      </c>
      <c r="G506" s="104" t="inlineStr">
        <is>
          <t>Rear Camera Replacement</t>
        </is>
      </c>
      <c r="H506" s="104" t="inlineStr">
        <is>
          <t>Camera</t>
        </is>
      </c>
      <c r="I506" s="104" t="n"/>
      <c r="J506" s="104" t="n"/>
      <c r="K506" s="104" t="n"/>
      <c r="L506" s="104" t="n"/>
      <c r="M506" s="104" t="n"/>
      <c r="N506" s="104" t="n"/>
      <c r="O506" s="104" t="n"/>
      <c r="P506" s="104" t="n"/>
      <c r="Q506" s="104" t="n"/>
      <c r="R506" s="104" t="n"/>
      <c r="S506" s="110" t="n"/>
      <c r="T506" s="110" t="n"/>
      <c r="U506" s="104" t="n"/>
    </row>
    <row r="507">
      <c r="A507" s="105" t="inlineStr">
        <is>
          <t>GUIDE000506</t>
        </is>
      </c>
      <c r="B507" s="101" t="inlineStr">
        <is>
          <t>DEV000038</t>
        </is>
      </c>
      <c r="C507" s="103" t="inlineStr">
        <is>
          <t>APL</t>
        </is>
      </c>
      <c r="D507" s="103" t="inlineStr">
        <is>
          <t>PHN</t>
        </is>
      </c>
      <c r="E507" s="60" t="inlineStr">
        <is>
          <t>iPhone 14 Pro Max</t>
        </is>
      </c>
      <c r="F507" s="104" t="inlineStr">
        <is>
          <t>SVC000013</t>
        </is>
      </c>
      <c r="G507" s="104" t="inlineStr">
        <is>
          <t>Rear Camera Replacement</t>
        </is>
      </c>
      <c r="H507" s="104" t="inlineStr">
        <is>
          <t>Camera</t>
        </is>
      </c>
      <c r="I507" s="104" t="n"/>
      <c r="J507" s="104" t="n"/>
      <c r="K507" s="104" t="n"/>
      <c r="L507" s="104" t="n"/>
      <c r="M507" s="104" t="n"/>
      <c r="N507" s="104" t="n"/>
      <c r="O507" s="104" t="n"/>
      <c r="P507" s="104" t="n"/>
      <c r="Q507" s="104" t="n"/>
      <c r="R507" s="104" t="n"/>
      <c r="S507" s="110" t="n"/>
      <c r="T507" s="110" t="n"/>
      <c r="U507" s="104" t="n"/>
    </row>
    <row r="508">
      <c r="A508" s="104" t="inlineStr">
        <is>
          <t>GUIDE000507</t>
        </is>
      </c>
      <c r="B508" s="101" t="inlineStr">
        <is>
          <t>DEV000039</t>
        </is>
      </c>
      <c r="C508" s="103" t="inlineStr">
        <is>
          <t>APL</t>
        </is>
      </c>
      <c r="D508" s="103" t="inlineStr">
        <is>
          <t>PHN</t>
        </is>
      </c>
      <c r="E508" s="60" t="inlineStr">
        <is>
          <t>iPhone 15</t>
        </is>
      </c>
      <c r="F508" s="104" t="inlineStr">
        <is>
          <t>SVC000013</t>
        </is>
      </c>
      <c r="G508" s="104" t="inlineStr">
        <is>
          <t>Rear Camera Replacement</t>
        </is>
      </c>
      <c r="H508" s="104" t="inlineStr">
        <is>
          <t>Camera</t>
        </is>
      </c>
      <c r="I508" s="104" t="n"/>
      <c r="J508" s="104" t="n"/>
      <c r="K508" s="104" t="n"/>
      <c r="L508" s="104" t="n"/>
      <c r="M508" s="104" t="n"/>
      <c r="N508" s="104" t="n"/>
      <c r="O508" s="104" t="n"/>
      <c r="P508" s="104" t="n"/>
      <c r="Q508" s="104" t="n"/>
      <c r="R508" s="104" t="n"/>
      <c r="S508" s="110" t="n"/>
      <c r="T508" s="110" t="n"/>
      <c r="U508" s="104" t="n"/>
    </row>
    <row r="509">
      <c r="A509" s="104" t="inlineStr">
        <is>
          <t>GUIDE000508</t>
        </is>
      </c>
      <c r="B509" s="101" t="inlineStr">
        <is>
          <t>DEV000040</t>
        </is>
      </c>
      <c r="C509" s="103" t="inlineStr">
        <is>
          <t>APL</t>
        </is>
      </c>
      <c r="D509" s="103" t="inlineStr">
        <is>
          <t>PHN</t>
        </is>
      </c>
      <c r="E509" s="60" t="inlineStr">
        <is>
          <t>iPhone 15 Plus</t>
        </is>
      </c>
      <c r="F509" s="104" t="inlineStr">
        <is>
          <t>SVC000013</t>
        </is>
      </c>
      <c r="G509" s="104" t="inlineStr">
        <is>
          <t>Rear Camera Replacement</t>
        </is>
      </c>
      <c r="H509" s="104" t="inlineStr">
        <is>
          <t>Camera</t>
        </is>
      </c>
      <c r="I509" s="104" t="n"/>
      <c r="J509" s="104" t="n"/>
      <c r="K509" s="104" t="n"/>
      <c r="L509" s="104" t="n"/>
      <c r="M509" s="104" t="n"/>
      <c r="N509" s="104" t="n"/>
      <c r="O509" s="104" t="n"/>
      <c r="P509" s="104" t="n"/>
      <c r="Q509" s="104" t="n"/>
      <c r="R509" s="104" t="n"/>
      <c r="S509" s="110" t="n"/>
      <c r="T509" s="110" t="n"/>
      <c r="U509" s="104" t="n"/>
    </row>
    <row r="510">
      <c r="A510" s="104" t="inlineStr">
        <is>
          <t>GUIDE000509</t>
        </is>
      </c>
      <c r="B510" s="101" t="inlineStr">
        <is>
          <t>DEV000041</t>
        </is>
      </c>
      <c r="C510" s="103" t="inlineStr">
        <is>
          <t>APL</t>
        </is>
      </c>
      <c r="D510" s="103" t="inlineStr">
        <is>
          <t>PHN</t>
        </is>
      </c>
      <c r="E510" s="60" t="inlineStr">
        <is>
          <t>iPhone 15 Pro</t>
        </is>
      </c>
      <c r="F510" s="104" t="inlineStr">
        <is>
          <t>SVC000013</t>
        </is>
      </c>
      <c r="G510" s="104" t="inlineStr">
        <is>
          <t>Rear Camera Replacement</t>
        </is>
      </c>
      <c r="H510" s="104" t="inlineStr">
        <is>
          <t>Camera</t>
        </is>
      </c>
      <c r="I510" s="104" t="n"/>
      <c r="J510" s="104" t="n"/>
      <c r="K510" s="104" t="n"/>
      <c r="L510" s="104" t="n"/>
      <c r="M510" s="104" t="n"/>
      <c r="N510" s="104" t="n"/>
      <c r="O510" s="104" t="n"/>
      <c r="P510" s="104" t="n"/>
      <c r="Q510" s="104" t="n"/>
      <c r="R510" s="104" t="n"/>
      <c r="S510" s="110" t="n"/>
      <c r="T510" s="110" t="n"/>
      <c r="U510" s="104" t="n"/>
    </row>
    <row r="511">
      <c r="A511" s="105" t="inlineStr">
        <is>
          <t>GUIDE000510</t>
        </is>
      </c>
      <c r="B511" s="101" t="inlineStr">
        <is>
          <t>DEV000042</t>
        </is>
      </c>
      <c r="C511" s="103" t="inlineStr">
        <is>
          <t>APL</t>
        </is>
      </c>
      <c r="D511" s="103" t="inlineStr">
        <is>
          <t>PHN</t>
        </is>
      </c>
      <c r="E511" s="60" t="inlineStr">
        <is>
          <t>iPhone 15 Pro Max</t>
        </is>
      </c>
      <c r="F511" s="104" t="inlineStr">
        <is>
          <t>SVC000013</t>
        </is>
      </c>
      <c r="G511" s="104" t="inlineStr">
        <is>
          <t>Rear Camera Replacement</t>
        </is>
      </c>
      <c r="H511" s="104" t="inlineStr">
        <is>
          <t>Camera</t>
        </is>
      </c>
      <c r="I511" s="104" t="n"/>
      <c r="J511" s="104" t="n"/>
      <c r="K511" s="104" t="n"/>
      <c r="L511" s="104" t="n"/>
      <c r="M511" s="104" t="n"/>
      <c r="N511" s="104" t="n"/>
      <c r="O511" s="104" t="n"/>
      <c r="P511" s="104" t="n"/>
      <c r="Q511" s="104" t="n"/>
      <c r="R511" s="104" t="n"/>
      <c r="S511" s="110" t="n"/>
      <c r="T511" s="110" t="n"/>
      <c r="U511" s="104" t="n"/>
    </row>
    <row r="512">
      <c r="A512" s="104" t="inlineStr">
        <is>
          <t>GUIDE000511</t>
        </is>
      </c>
      <c r="B512" s="101" t="inlineStr">
        <is>
          <t>DEV000043</t>
        </is>
      </c>
      <c r="C512" s="103" t="inlineStr">
        <is>
          <t>APL</t>
        </is>
      </c>
      <c r="D512" s="103" t="inlineStr">
        <is>
          <t>PHN</t>
        </is>
      </c>
      <c r="E512" s="60" t="inlineStr">
        <is>
          <t>iPhone 16</t>
        </is>
      </c>
      <c r="F512" s="104" t="inlineStr">
        <is>
          <t>SVC000013</t>
        </is>
      </c>
      <c r="G512" s="104" t="inlineStr">
        <is>
          <t>Rear Camera Replacement</t>
        </is>
      </c>
      <c r="H512" s="104" t="inlineStr">
        <is>
          <t>Camera</t>
        </is>
      </c>
      <c r="I512" s="104" t="n"/>
      <c r="J512" s="104" t="n"/>
      <c r="K512" s="104" t="n"/>
      <c r="L512" s="104" t="n"/>
      <c r="M512" s="104" t="n"/>
      <c r="N512" s="104" t="n"/>
      <c r="O512" s="104" t="n"/>
      <c r="P512" s="104" t="n"/>
      <c r="Q512" s="104" t="n"/>
      <c r="R512" s="104" t="n"/>
      <c r="S512" s="110" t="n"/>
      <c r="T512" s="110" t="n"/>
      <c r="U512" s="104" t="n"/>
    </row>
    <row r="513">
      <c r="A513" s="104" t="inlineStr">
        <is>
          <t>GUIDE000512</t>
        </is>
      </c>
      <c r="B513" s="101" t="inlineStr">
        <is>
          <t>DEV000044</t>
        </is>
      </c>
      <c r="C513" s="103" t="inlineStr">
        <is>
          <t>APL</t>
        </is>
      </c>
      <c r="D513" s="103" t="inlineStr">
        <is>
          <t>PHN</t>
        </is>
      </c>
      <c r="E513" s="60" t="inlineStr">
        <is>
          <t>iPhone 16 Plus</t>
        </is>
      </c>
      <c r="F513" s="104" t="inlineStr">
        <is>
          <t>SVC000013</t>
        </is>
      </c>
      <c r="G513" s="104" t="inlineStr">
        <is>
          <t>Rear Camera Replacement</t>
        </is>
      </c>
      <c r="H513" s="104" t="inlineStr">
        <is>
          <t>Camera</t>
        </is>
      </c>
      <c r="I513" s="104" t="n"/>
      <c r="J513" s="104" t="n"/>
      <c r="K513" s="104" t="n"/>
      <c r="L513" s="104" t="n"/>
      <c r="M513" s="104" t="n"/>
      <c r="N513" s="104" t="n"/>
      <c r="O513" s="104" t="n"/>
      <c r="P513" s="104" t="n"/>
      <c r="Q513" s="104" t="n"/>
      <c r="R513" s="104" t="n"/>
      <c r="S513" s="110" t="n"/>
      <c r="T513" s="110" t="n"/>
      <c r="U513" s="104" t="n"/>
    </row>
    <row r="514">
      <c r="A514" s="104" t="inlineStr">
        <is>
          <t>GUIDE000513</t>
        </is>
      </c>
      <c r="B514" s="101" t="inlineStr">
        <is>
          <t>DEV000045</t>
        </is>
      </c>
      <c r="C514" s="103" t="inlineStr">
        <is>
          <t>APL</t>
        </is>
      </c>
      <c r="D514" s="103" t="inlineStr">
        <is>
          <t>PHN</t>
        </is>
      </c>
      <c r="E514" s="60" t="inlineStr">
        <is>
          <t>iPhone 16 Pro</t>
        </is>
      </c>
      <c r="F514" s="104" t="inlineStr">
        <is>
          <t>SVC000013</t>
        </is>
      </c>
      <c r="G514" s="104" t="inlineStr">
        <is>
          <t>Rear Camera Replacement</t>
        </is>
      </c>
      <c r="H514" s="104" t="inlineStr">
        <is>
          <t>Camera</t>
        </is>
      </c>
      <c r="I514" s="104" t="n"/>
      <c r="J514" s="104" t="n"/>
      <c r="K514" s="104" t="n"/>
      <c r="L514" s="104" t="n"/>
      <c r="M514" s="104" t="n"/>
      <c r="N514" s="104" t="n"/>
      <c r="O514" s="104" t="n"/>
      <c r="P514" s="104" t="n"/>
      <c r="Q514" s="104" t="n"/>
      <c r="R514" s="104" t="n"/>
      <c r="S514" s="110" t="n"/>
      <c r="T514" s="110" t="n"/>
      <c r="U514" s="104" t="n"/>
    </row>
    <row r="515">
      <c r="A515" s="104" t="inlineStr">
        <is>
          <t>GUIDE000514</t>
        </is>
      </c>
      <c r="B515" s="101" t="inlineStr">
        <is>
          <t>DEV000046</t>
        </is>
      </c>
      <c r="C515" s="103" t="inlineStr">
        <is>
          <t>APL</t>
        </is>
      </c>
      <c r="D515" s="103" t="inlineStr">
        <is>
          <t>PHN</t>
        </is>
      </c>
      <c r="E515" s="60" t="inlineStr">
        <is>
          <t>iPhone 16 Pro Max</t>
        </is>
      </c>
      <c r="F515" s="104" t="inlineStr">
        <is>
          <t>SVC000013</t>
        </is>
      </c>
      <c r="G515" s="104" t="inlineStr">
        <is>
          <t>Rear Camera Replacement</t>
        </is>
      </c>
      <c r="H515" s="104" t="inlineStr">
        <is>
          <t>Camera</t>
        </is>
      </c>
      <c r="I515" s="104" t="n"/>
      <c r="J515" s="104" t="n"/>
      <c r="K515" s="104" t="n"/>
      <c r="L515" s="104" t="n"/>
      <c r="M515" s="104" t="n"/>
      <c r="N515" s="104" t="n"/>
      <c r="O515" s="104" t="n"/>
      <c r="P515" s="104" t="n"/>
      <c r="Q515" s="104" t="n"/>
      <c r="R515" s="104" t="n"/>
      <c r="S515" s="110" t="n"/>
      <c r="T515" s="110" t="n"/>
      <c r="U515" s="104" t="n"/>
    </row>
    <row r="516">
      <c r="A516" s="105" t="inlineStr">
        <is>
          <t>GUIDE000515</t>
        </is>
      </c>
      <c r="B516" s="101" t="inlineStr">
        <is>
          <t>DEV000047</t>
        </is>
      </c>
      <c r="C516" s="103" t="inlineStr">
        <is>
          <t>APL</t>
        </is>
      </c>
      <c r="D516" s="103" t="inlineStr">
        <is>
          <t>PHN</t>
        </is>
      </c>
      <c r="E516" s="60" t="inlineStr">
        <is>
          <t>iPhone 16e</t>
        </is>
      </c>
      <c r="F516" s="104" t="inlineStr">
        <is>
          <t>SVC000013</t>
        </is>
      </c>
      <c r="G516" s="104" t="inlineStr">
        <is>
          <t>Rear Camera Replacement</t>
        </is>
      </c>
      <c r="H516" s="104" t="inlineStr">
        <is>
          <t>Camera</t>
        </is>
      </c>
      <c r="I516" s="104" t="n"/>
      <c r="J516" s="104" t="n"/>
      <c r="K516" s="104" t="n"/>
      <c r="L516" s="104" t="n"/>
      <c r="M516" s="104" t="n"/>
      <c r="N516" s="104" t="n"/>
      <c r="O516" s="104" t="n"/>
      <c r="P516" s="104" t="n"/>
      <c r="Q516" s="104" t="n"/>
      <c r="R516" s="104" t="n"/>
      <c r="S516" s="110" t="n"/>
      <c r="T516" s="110" t="n"/>
      <c r="U516" s="104" t="n"/>
    </row>
    <row r="517">
      <c r="A517" s="104" t="inlineStr">
        <is>
          <t>GUIDE000516</t>
        </is>
      </c>
      <c r="B517" s="101" t="inlineStr">
        <is>
          <t>DEV000048</t>
        </is>
      </c>
      <c r="C517" s="103" t="inlineStr">
        <is>
          <t>APL</t>
        </is>
      </c>
      <c r="D517" s="103" t="inlineStr">
        <is>
          <t>PHN</t>
        </is>
      </c>
      <c r="E517" s="60" t="inlineStr">
        <is>
          <t>iPhone 17</t>
        </is>
      </c>
      <c r="F517" s="104" t="inlineStr">
        <is>
          <t>SVC000013</t>
        </is>
      </c>
      <c r="G517" s="104" t="inlineStr">
        <is>
          <t>Rear Camera Replacement</t>
        </is>
      </c>
      <c r="H517" s="104" t="inlineStr">
        <is>
          <t>Camera</t>
        </is>
      </c>
      <c r="I517" s="104" t="n"/>
      <c r="J517" s="104" t="n"/>
      <c r="K517" s="104" t="n"/>
      <c r="L517" s="104" t="n"/>
      <c r="M517" s="104" t="n"/>
      <c r="N517" s="104" t="n"/>
      <c r="O517" s="104" t="n"/>
      <c r="P517" s="104" t="n"/>
      <c r="Q517" s="104" t="n"/>
      <c r="R517" s="104" t="n"/>
      <c r="S517" s="110" t="n"/>
      <c r="T517" s="110" t="n"/>
      <c r="U517" s="104" t="n"/>
    </row>
    <row r="518">
      <c r="A518" s="104" t="inlineStr">
        <is>
          <t>GUIDE000517</t>
        </is>
      </c>
      <c r="B518" s="101" t="inlineStr">
        <is>
          <t>DEV000049</t>
        </is>
      </c>
      <c r="C518" s="103" t="inlineStr">
        <is>
          <t>APL</t>
        </is>
      </c>
      <c r="D518" s="103" t="inlineStr">
        <is>
          <t>PHN</t>
        </is>
      </c>
      <c r="E518" s="60" t="inlineStr">
        <is>
          <t>iPhone 17 Pro</t>
        </is>
      </c>
      <c r="F518" s="104" t="inlineStr">
        <is>
          <t>SVC000013</t>
        </is>
      </c>
      <c r="G518" s="104" t="inlineStr">
        <is>
          <t>Rear Camera Replacement</t>
        </is>
      </c>
      <c r="H518" s="104" t="inlineStr">
        <is>
          <t>Camera</t>
        </is>
      </c>
      <c r="I518" s="104" t="n"/>
      <c r="J518" s="104" t="n"/>
      <c r="K518" s="104" t="n"/>
      <c r="L518" s="104" t="n"/>
      <c r="M518" s="104" t="n"/>
      <c r="N518" s="104" t="n"/>
      <c r="O518" s="104" t="n"/>
      <c r="P518" s="104" t="n"/>
      <c r="Q518" s="104" t="n"/>
      <c r="R518" s="104" t="n"/>
      <c r="S518" s="110" t="n"/>
      <c r="T518" s="110" t="n"/>
      <c r="U518" s="104" t="n"/>
    </row>
    <row r="519">
      <c r="A519" s="104" t="inlineStr">
        <is>
          <t>GUIDE000518</t>
        </is>
      </c>
      <c r="B519" s="101" t="inlineStr">
        <is>
          <t>DEV000050</t>
        </is>
      </c>
      <c r="C519" s="103" t="inlineStr">
        <is>
          <t>APL</t>
        </is>
      </c>
      <c r="D519" s="103" t="inlineStr">
        <is>
          <t>PHN</t>
        </is>
      </c>
      <c r="E519" s="60" t="inlineStr">
        <is>
          <t>iPhone 17 Pro Max</t>
        </is>
      </c>
      <c r="F519" s="104" t="inlineStr">
        <is>
          <t>SVC000013</t>
        </is>
      </c>
      <c r="G519" s="104" t="inlineStr">
        <is>
          <t>Rear Camera Replacement</t>
        </is>
      </c>
      <c r="H519" s="104" t="inlineStr">
        <is>
          <t>Camera</t>
        </is>
      </c>
      <c r="I519" s="104" t="n"/>
      <c r="J519" s="104" t="n"/>
      <c r="K519" s="104" t="n"/>
      <c r="L519" s="104" t="n"/>
      <c r="M519" s="104" t="n"/>
      <c r="N519" s="104" t="n"/>
      <c r="O519" s="104" t="n"/>
      <c r="P519" s="104" t="n"/>
      <c r="Q519" s="104" t="n"/>
      <c r="R519" s="104" t="n"/>
      <c r="S519" s="110" t="n"/>
      <c r="T519" s="110" t="n"/>
      <c r="U519" s="104" t="n"/>
    </row>
    <row r="520">
      <c r="A520" s="105" t="inlineStr">
        <is>
          <t>GUIDE000519</t>
        </is>
      </c>
      <c r="B520" s="101" t="inlineStr">
        <is>
          <t>DEV000051</t>
        </is>
      </c>
      <c r="C520" s="103" t="inlineStr">
        <is>
          <t>APL</t>
        </is>
      </c>
      <c r="D520" s="103" t="inlineStr">
        <is>
          <t>PHN</t>
        </is>
      </c>
      <c r="E520" s="60" t="inlineStr">
        <is>
          <t>iPhone Air</t>
        </is>
      </c>
      <c r="F520" s="104" t="inlineStr">
        <is>
          <t>SVC000013</t>
        </is>
      </c>
      <c r="G520" s="104" t="inlineStr">
        <is>
          <t>Rear Camera Replacement</t>
        </is>
      </c>
      <c r="H520" s="104" t="inlineStr">
        <is>
          <t>Camera</t>
        </is>
      </c>
      <c r="I520" s="104" t="n"/>
      <c r="J520" s="104" t="n"/>
      <c r="K520" s="104" t="n"/>
      <c r="L520" s="104" t="n"/>
      <c r="M520" s="104" t="n"/>
      <c r="N520" s="104" t="n"/>
      <c r="O520" s="104" t="n"/>
      <c r="P520" s="104" t="n"/>
      <c r="Q520" s="104" t="n"/>
      <c r="R520" s="104" t="n"/>
      <c r="S520" s="110" t="n"/>
      <c r="T520" s="110" t="n"/>
      <c r="U520" s="104" t="n"/>
    </row>
    <row r="521">
      <c r="A521" s="104" t="inlineStr">
        <is>
          <t>GUIDE000520</t>
        </is>
      </c>
      <c r="B521" s="101" t="inlineStr">
        <is>
          <t>DEV000052</t>
        </is>
      </c>
      <c r="C521" s="103" t="inlineStr">
        <is>
          <t>APL</t>
        </is>
      </c>
      <c r="D521" s="103" t="inlineStr">
        <is>
          <t>PHN</t>
        </is>
      </c>
      <c r="E521" s="60" t="inlineStr">
        <is>
          <t>iPhone 17e</t>
        </is>
      </c>
      <c r="F521" s="104" t="inlineStr">
        <is>
          <t>SVC000013</t>
        </is>
      </c>
      <c r="G521" s="104" t="inlineStr">
        <is>
          <t>Rear Camera Replacement</t>
        </is>
      </c>
      <c r="H521" s="104" t="inlineStr">
        <is>
          <t>Camera</t>
        </is>
      </c>
      <c r="I521" s="104" t="n"/>
      <c r="J521" s="104" t="n"/>
      <c r="K521" s="104" t="n"/>
      <c r="L521" s="104" t="n"/>
      <c r="M521" s="104" t="n"/>
      <c r="N521" s="104" t="n"/>
      <c r="O521" s="104" t="n"/>
      <c r="P521" s="104" t="n"/>
      <c r="Q521" s="104" t="n"/>
      <c r="R521" s="104" t="n"/>
      <c r="S521" s="110" t="n"/>
      <c r="T521" s="110" t="n"/>
      <c r="U521" s="104" t="n"/>
    </row>
    <row r="522">
      <c r="A522" s="104" t="inlineStr">
        <is>
          <t>GUIDE000521</t>
        </is>
      </c>
      <c r="B522" s="101" t="inlineStr">
        <is>
          <t>DEV000001</t>
        </is>
      </c>
      <c r="C522" s="103" t="inlineStr">
        <is>
          <t>APL</t>
        </is>
      </c>
      <c r="D522" s="103" t="inlineStr">
        <is>
          <t>PHN</t>
        </is>
      </c>
      <c r="E522" s="60" t="inlineStr">
        <is>
          <t>iPhone (2G)</t>
        </is>
      </c>
      <c r="F522" s="104" t="inlineStr">
        <is>
          <t>SVC000014</t>
        </is>
      </c>
      <c r="G522" s="104" t="inlineStr">
        <is>
          <t>Front Camera Replacement</t>
        </is>
      </c>
      <c r="H522" s="104" t="inlineStr">
        <is>
          <t>Camera</t>
        </is>
      </c>
      <c r="I522" s="104" t="n"/>
      <c r="J522" s="104" t="n"/>
      <c r="K522" s="104" t="n"/>
      <c r="L522" s="104" t="n"/>
      <c r="M522" s="104" t="n"/>
      <c r="N522" s="104" t="n"/>
      <c r="O522" s="104" t="n"/>
      <c r="P522" s="104" t="n"/>
      <c r="Q522" s="104" t="n"/>
      <c r="R522" s="104" t="n"/>
      <c r="S522" s="110" t="n"/>
      <c r="T522" s="110" t="n"/>
      <c r="U522" s="104" t="n"/>
    </row>
    <row r="523">
      <c r="A523" s="104" t="inlineStr">
        <is>
          <t>GUIDE000522</t>
        </is>
      </c>
      <c r="B523" s="101" t="inlineStr">
        <is>
          <t>DEV000002</t>
        </is>
      </c>
      <c r="C523" s="103" t="inlineStr">
        <is>
          <t>APL</t>
        </is>
      </c>
      <c r="D523" s="103" t="inlineStr">
        <is>
          <t>PHN</t>
        </is>
      </c>
      <c r="E523" s="60" t="inlineStr">
        <is>
          <t>iPhone 3G</t>
        </is>
      </c>
      <c r="F523" s="104" t="inlineStr">
        <is>
          <t>SVC000014</t>
        </is>
      </c>
      <c r="G523" s="104" t="inlineStr">
        <is>
          <t>Front Camera Replacement</t>
        </is>
      </c>
      <c r="H523" s="104" t="inlineStr">
        <is>
          <t>Camera</t>
        </is>
      </c>
      <c r="I523" s="104" t="n"/>
      <c r="J523" s="104" t="n"/>
      <c r="K523" s="104" t="n"/>
      <c r="L523" s="104" t="n"/>
      <c r="M523" s="104" t="n"/>
      <c r="N523" s="104" t="n"/>
      <c r="O523" s="104" t="n"/>
      <c r="P523" s="104" t="n"/>
      <c r="Q523" s="104" t="n"/>
      <c r="R523" s="104" t="n"/>
      <c r="S523" s="110" t="n"/>
      <c r="T523" s="110" t="n"/>
      <c r="U523" s="104" t="n"/>
    </row>
    <row r="524">
      <c r="A524" s="104" t="inlineStr">
        <is>
          <t>GUIDE000523</t>
        </is>
      </c>
      <c r="B524" s="101" t="inlineStr">
        <is>
          <t>DEV000003</t>
        </is>
      </c>
      <c r="C524" s="103" t="inlineStr">
        <is>
          <t>APL</t>
        </is>
      </c>
      <c r="D524" s="103" t="inlineStr">
        <is>
          <t>PHN</t>
        </is>
      </c>
      <c r="E524" s="60" t="inlineStr">
        <is>
          <t>iPhone 3GS</t>
        </is>
      </c>
      <c r="F524" s="104" t="inlineStr">
        <is>
          <t>SVC000014</t>
        </is>
      </c>
      <c r="G524" s="104" t="inlineStr">
        <is>
          <t>Front Camera Replacement</t>
        </is>
      </c>
      <c r="H524" s="104" t="inlineStr">
        <is>
          <t>Camera</t>
        </is>
      </c>
      <c r="I524" s="104" t="n"/>
      <c r="J524" s="104" t="n"/>
      <c r="K524" s="104" t="n"/>
      <c r="L524" s="104" t="n"/>
      <c r="M524" s="104" t="n"/>
      <c r="N524" s="104" t="n"/>
      <c r="O524" s="104" t="n"/>
      <c r="P524" s="104" t="n"/>
      <c r="Q524" s="104" t="n"/>
      <c r="R524" s="104" t="n"/>
      <c r="S524" s="110" t="n"/>
      <c r="T524" s="110" t="n"/>
      <c r="U524" s="104" t="n"/>
    </row>
    <row r="525">
      <c r="A525" s="105" t="inlineStr">
        <is>
          <t>GUIDE000524</t>
        </is>
      </c>
      <c r="B525" s="101" t="inlineStr">
        <is>
          <t>DEV000004</t>
        </is>
      </c>
      <c r="C525" s="103" t="inlineStr">
        <is>
          <t>APL</t>
        </is>
      </c>
      <c r="D525" s="103" t="inlineStr">
        <is>
          <t>PHN</t>
        </is>
      </c>
      <c r="E525" s="60" t="inlineStr">
        <is>
          <t>iPhone 4</t>
        </is>
      </c>
      <c r="F525" s="104" t="inlineStr">
        <is>
          <t>SVC000014</t>
        </is>
      </c>
      <c r="G525" s="104" t="inlineStr">
        <is>
          <t>Front Camera Replacement</t>
        </is>
      </c>
      <c r="H525" s="104" t="inlineStr">
        <is>
          <t>Camera</t>
        </is>
      </c>
      <c r="I525" s="104" t="n"/>
      <c r="J525" s="104" t="n"/>
      <c r="K525" s="104" t="n"/>
      <c r="L525" s="104" t="n"/>
      <c r="M525" s="104" t="n"/>
      <c r="N525" s="104" t="n"/>
      <c r="O525" s="104" t="n"/>
      <c r="P525" s="104" t="n"/>
      <c r="Q525" s="104" t="n"/>
      <c r="R525" s="104" t="n"/>
      <c r="S525" s="110" t="n"/>
      <c r="T525" s="110" t="n"/>
      <c r="U525" s="104" t="n"/>
    </row>
    <row r="526">
      <c r="A526" s="104" t="inlineStr">
        <is>
          <t>GUIDE000525</t>
        </is>
      </c>
      <c r="B526" s="101" t="inlineStr">
        <is>
          <t>DEV000005</t>
        </is>
      </c>
      <c r="C526" s="103" t="inlineStr">
        <is>
          <t>APL</t>
        </is>
      </c>
      <c r="D526" s="103" t="inlineStr">
        <is>
          <t>PHN</t>
        </is>
      </c>
      <c r="E526" s="60" t="inlineStr">
        <is>
          <t>iPhone 4s</t>
        </is>
      </c>
      <c r="F526" s="104" t="inlineStr">
        <is>
          <t>SVC000014</t>
        </is>
      </c>
      <c r="G526" s="104" t="inlineStr">
        <is>
          <t>Front Camera Replacement</t>
        </is>
      </c>
      <c r="H526" s="104" t="inlineStr">
        <is>
          <t>Camera</t>
        </is>
      </c>
      <c r="I526" s="104" t="n"/>
      <c r="J526" s="104" t="n"/>
      <c r="K526" s="104" t="n"/>
      <c r="L526" s="104" t="n"/>
      <c r="M526" s="104" t="n"/>
      <c r="N526" s="104" t="n"/>
      <c r="O526" s="104" t="n"/>
      <c r="P526" s="104" t="n"/>
      <c r="Q526" s="104" t="n"/>
      <c r="R526" s="104" t="n"/>
      <c r="S526" s="110" t="n"/>
      <c r="T526" s="110" t="n"/>
      <c r="U526" s="104" t="n"/>
    </row>
    <row r="527">
      <c r="A527" s="104" t="inlineStr">
        <is>
          <t>GUIDE000526</t>
        </is>
      </c>
      <c r="B527" s="101" t="inlineStr">
        <is>
          <t>DEV000006</t>
        </is>
      </c>
      <c r="C527" s="103" t="inlineStr">
        <is>
          <t>APL</t>
        </is>
      </c>
      <c r="D527" s="103" t="inlineStr">
        <is>
          <t>PHN</t>
        </is>
      </c>
      <c r="E527" s="60" t="inlineStr">
        <is>
          <t>iPhone 5</t>
        </is>
      </c>
      <c r="F527" s="104" t="inlineStr">
        <is>
          <t>SVC000014</t>
        </is>
      </c>
      <c r="G527" s="104" t="inlineStr">
        <is>
          <t>Front Camera Replacement</t>
        </is>
      </c>
      <c r="H527" s="104" t="inlineStr">
        <is>
          <t>Camera</t>
        </is>
      </c>
      <c r="I527" s="104" t="n"/>
      <c r="J527" s="104" t="n"/>
      <c r="K527" s="104" t="n"/>
      <c r="L527" s="104" t="n"/>
      <c r="M527" s="104" t="n"/>
      <c r="N527" s="104" t="n"/>
      <c r="O527" s="104" t="n"/>
      <c r="P527" s="104" t="n"/>
      <c r="Q527" s="104" t="n"/>
      <c r="R527" s="104" t="n"/>
      <c r="S527" s="110" t="n"/>
      <c r="T527" s="110" t="n"/>
      <c r="U527" s="104" t="n"/>
    </row>
    <row r="528">
      <c r="A528" s="104" t="inlineStr">
        <is>
          <t>GUIDE000527</t>
        </is>
      </c>
      <c r="B528" s="101" t="inlineStr">
        <is>
          <t>DEV000007</t>
        </is>
      </c>
      <c r="C528" s="103" t="inlineStr">
        <is>
          <t>APL</t>
        </is>
      </c>
      <c r="D528" s="103" t="inlineStr">
        <is>
          <t>PHN</t>
        </is>
      </c>
      <c r="E528" s="60" t="inlineStr">
        <is>
          <t>iPhone 5c</t>
        </is>
      </c>
      <c r="F528" s="104" t="inlineStr">
        <is>
          <t>SVC000014</t>
        </is>
      </c>
      <c r="G528" s="104" t="inlineStr">
        <is>
          <t>Front Camera Replacement</t>
        </is>
      </c>
      <c r="H528" s="104" t="inlineStr">
        <is>
          <t>Camera</t>
        </is>
      </c>
      <c r="I528" s="104" t="n"/>
      <c r="J528" s="104" t="n"/>
      <c r="K528" s="104" t="n"/>
      <c r="L528" s="104" t="n"/>
      <c r="M528" s="104" t="n"/>
      <c r="N528" s="104" t="n"/>
      <c r="O528" s="104" t="n"/>
      <c r="P528" s="104" t="n"/>
      <c r="Q528" s="104" t="n"/>
      <c r="R528" s="104" t="n"/>
      <c r="S528" s="110" t="n"/>
      <c r="T528" s="110" t="n"/>
      <c r="U528" s="104" t="n"/>
    </row>
    <row r="529">
      <c r="A529" s="105" t="inlineStr">
        <is>
          <t>GUIDE000528</t>
        </is>
      </c>
      <c r="B529" s="101" t="inlineStr">
        <is>
          <t>DEV000008</t>
        </is>
      </c>
      <c r="C529" s="103" t="inlineStr">
        <is>
          <t>APL</t>
        </is>
      </c>
      <c r="D529" s="103" t="inlineStr">
        <is>
          <t>PHN</t>
        </is>
      </c>
      <c r="E529" s="60" t="inlineStr">
        <is>
          <t>iPhone 5s</t>
        </is>
      </c>
      <c r="F529" s="104" t="inlineStr">
        <is>
          <t>SVC000014</t>
        </is>
      </c>
      <c r="G529" s="104" t="inlineStr">
        <is>
          <t>Front Camera Replacement</t>
        </is>
      </c>
      <c r="H529" s="104" t="inlineStr">
        <is>
          <t>Camera</t>
        </is>
      </c>
      <c r="I529" s="104" t="n"/>
      <c r="J529" s="104" t="n"/>
      <c r="K529" s="104" t="n"/>
      <c r="L529" s="104" t="n"/>
      <c r="M529" s="104" t="n"/>
      <c r="N529" s="104" t="n"/>
      <c r="O529" s="104" t="n"/>
      <c r="P529" s="104" t="n"/>
      <c r="Q529" s="104" t="n"/>
      <c r="R529" s="104" t="n"/>
      <c r="S529" s="110" t="n"/>
      <c r="T529" s="110" t="n"/>
      <c r="U529" s="104" t="n"/>
    </row>
    <row r="530">
      <c r="A530" s="104" t="inlineStr">
        <is>
          <t>GUIDE000529</t>
        </is>
      </c>
      <c r="B530" s="101" t="inlineStr">
        <is>
          <t>DEV000009</t>
        </is>
      </c>
      <c r="C530" s="103" t="inlineStr">
        <is>
          <t>APL</t>
        </is>
      </c>
      <c r="D530" s="103" t="inlineStr">
        <is>
          <t>PHN</t>
        </is>
      </c>
      <c r="E530" s="60" t="inlineStr">
        <is>
          <t>iPhone 6</t>
        </is>
      </c>
      <c r="F530" s="104" t="inlineStr">
        <is>
          <t>SVC000014</t>
        </is>
      </c>
      <c r="G530" s="104" t="inlineStr">
        <is>
          <t>Front Camera Replacement</t>
        </is>
      </c>
      <c r="H530" s="104" t="inlineStr">
        <is>
          <t>Camera</t>
        </is>
      </c>
      <c r="I530" s="104" t="n"/>
      <c r="J530" s="104" t="n"/>
      <c r="K530" s="104" t="n"/>
      <c r="L530" s="104" t="n"/>
      <c r="M530" s="104" t="n"/>
      <c r="N530" s="104" t="n"/>
      <c r="O530" s="104" t="n"/>
      <c r="P530" s="104" t="n"/>
      <c r="Q530" s="104" t="n"/>
      <c r="R530" s="104" t="n"/>
      <c r="S530" s="110" t="n"/>
      <c r="T530" s="110" t="n"/>
      <c r="U530" s="104" t="n"/>
    </row>
    <row r="531">
      <c r="A531" s="104" t="inlineStr">
        <is>
          <t>GUIDE000530</t>
        </is>
      </c>
      <c r="B531" s="101" t="inlineStr">
        <is>
          <t>DEV000010</t>
        </is>
      </c>
      <c r="C531" s="103" t="inlineStr">
        <is>
          <t>APL</t>
        </is>
      </c>
      <c r="D531" s="103" t="inlineStr">
        <is>
          <t>PHN</t>
        </is>
      </c>
      <c r="E531" s="60" t="inlineStr">
        <is>
          <t>iPhone 6 Plus</t>
        </is>
      </c>
      <c r="F531" s="104" t="inlineStr">
        <is>
          <t>SVC000014</t>
        </is>
      </c>
      <c r="G531" s="104" t="inlineStr">
        <is>
          <t>Front Camera Replacement</t>
        </is>
      </c>
      <c r="H531" s="104" t="inlineStr">
        <is>
          <t>Camera</t>
        </is>
      </c>
      <c r="I531" s="104" t="n"/>
      <c r="J531" s="104" t="n"/>
      <c r="K531" s="104" t="n"/>
      <c r="L531" s="104" t="n"/>
      <c r="M531" s="104" t="n"/>
      <c r="N531" s="104" t="n"/>
      <c r="O531" s="104" t="n"/>
      <c r="P531" s="104" t="n"/>
      <c r="Q531" s="104" t="n"/>
      <c r="R531" s="104" t="n"/>
      <c r="S531" s="110" t="n"/>
      <c r="T531" s="110" t="n"/>
      <c r="U531" s="104" t="n"/>
    </row>
    <row r="532">
      <c r="A532" s="104" t="inlineStr">
        <is>
          <t>GUIDE000531</t>
        </is>
      </c>
      <c r="B532" s="101" t="inlineStr">
        <is>
          <t>DEV000011</t>
        </is>
      </c>
      <c r="C532" s="103" t="inlineStr">
        <is>
          <t>APL</t>
        </is>
      </c>
      <c r="D532" s="103" t="inlineStr">
        <is>
          <t>PHN</t>
        </is>
      </c>
      <c r="E532" s="60" t="inlineStr">
        <is>
          <t>iPhone 6s</t>
        </is>
      </c>
      <c r="F532" s="104" t="inlineStr">
        <is>
          <t>SVC000014</t>
        </is>
      </c>
      <c r="G532" s="104" t="inlineStr">
        <is>
          <t>Front Camera Replacement</t>
        </is>
      </c>
      <c r="H532" s="104" t="inlineStr">
        <is>
          <t>Camera</t>
        </is>
      </c>
      <c r="I532" s="104" t="n"/>
      <c r="J532" s="104" t="n"/>
      <c r="K532" s="104" t="n"/>
      <c r="L532" s="104" t="n"/>
      <c r="M532" s="104" t="n"/>
      <c r="N532" s="104" t="n"/>
      <c r="O532" s="104" t="n"/>
      <c r="P532" s="104" t="n"/>
      <c r="Q532" s="104" t="n"/>
      <c r="R532" s="104" t="n"/>
      <c r="S532" s="110" t="n"/>
      <c r="T532" s="110" t="n"/>
      <c r="U532" s="104" t="n"/>
    </row>
    <row r="533">
      <c r="A533" s="104" t="inlineStr">
        <is>
          <t>GUIDE000532</t>
        </is>
      </c>
      <c r="B533" s="101" t="inlineStr">
        <is>
          <t>DEV000012</t>
        </is>
      </c>
      <c r="C533" s="103" t="inlineStr">
        <is>
          <t>APL</t>
        </is>
      </c>
      <c r="D533" s="103" t="inlineStr">
        <is>
          <t>PHN</t>
        </is>
      </c>
      <c r="E533" s="60" t="inlineStr">
        <is>
          <t>iPhone 6s Plus</t>
        </is>
      </c>
      <c r="F533" s="104" t="inlineStr">
        <is>
          <t>SVC000014</t>
        </is>
      </c>
      <c r="G533" s="104" t="inlineStr">
        <is>
          <t>Front Camera Replacement</t>
        </is>
      </c>
      <c r="H533" s="104" t="inlineStr">
        <is>
          <t>Camera</t>
        </is>
      </c>
      <c r="I533" s="104" t="n"/>
      <c r="J533" s="104" t="n"/>
      <c r="K533" s="104" t="n"/>
      <c r="L533" s="104" t="n"/>
      <c r="M533" s="104" t="n"/>
      <c r="N533" s="104" t="n"/>
      <c r="O533" s="104" t="n"/>
      <c r="P533" s="104" t="n"/>
      <c r="Q533" s="104" t="n"/>
      <c r="R533" s="104" t="n"/>
      <c r="S533" s="110" t="n"/>
      <c r="T533" s="110" t="n"/>
      <c r="U533" s="104" t="n"/>
    </row>
    <row r="534">
      <c r="A534" s="105" t="inlineStr">
        <is>
          <t>GUIDE000533</t>
        </is>
      </c>
      <c r="B534" s="101" t="inlineStr">
        <is>
          <t>DEV000013</t>
        </is>
      </c>
      <c r="C534" s="103" t="inlineStr">
        <is>
          <t>APL</t>
        </is>
      </c>
      <c r="D534" s="103" t="inlineStr">
        <is>
          <t>PHN</t>
        </is>
      </c>
      <c r="E534" s="60" t="inlineStr">
        <is>
          <t>iPhone SE (1st Gen)</t>
        </is>
      </c>
      <c r="F534" s="104" t="inlineStr">
        <is>
          <t>SVC000014</t>
        </is>
      </c>
      <c r="G534" s="104" t="inlineStr">
        <is>
          <t>Front Camera Replacement</t>
        </is>
      </c>
      <c r="H534" s="104" t="inlineStr">
        <is>
          <t>Camera</t>
        </is>
      </c>
      <c r="I534" s="104" t="n"/>
      <c r="J534" s="104" t="n"/>
      <c r="K534" s="104" t="n"/>
      <c r="L534" s="104" t="n"/>
      <c r="M534" s="104" t="n"/>
      <c r="N534" s="104" t="n"/>
      <c r="O534" s="104" t="n"/>
      <c r="P534" s="104" t="n"/>
      <c r="Q534" s="104" t="n"/>
      <c r="R534" s="104" t="n"/>
      <c r="S534" s="110" t="n"/>
      <c r="T534" s="110" t="n"/>
      <c r="U534" s="104" t="n"/>
    </row>
    <row r="535">
      <c r="A535" s="104" t="inlineStr">
        <is>
          <t>GUIDE000534</t>
        </is>
      </c>
      <c r="B535" s="101" t="inlineStr">
        <is>
          <t>DEV000014</t>
        </is>
      </c>
      <c r="C535" s="103" t="inlineStr">
        <is>
          <t>APL</t>
        </is>
      </c>
      <c r="D535" s="103" t="inlineStr">
        <is>
          <t>PHN</t>
        </is>
      </c>
      <c r="E535" s="60" t="inlineStr">
        <is>
          <t>iPhone 7</t>
        </is>
      </c>
      <c r="F535" s="104" t="inlineStr">
        <is>
          <t>SVC000014</t>
        </is>
      </c>
      <c r="G535" s="104" t="inlineStr">
        <is>
          <t>Front Camera Replacement</t>
        </is>
      </c>
      <c r="H535" s="104" t="inlineStr">
        <is>
          <t>Camera</t>
        </is>
      </c>
      <c r="I535" s="104" t="n"/>
      <c r="J535" s="104" t="n"/>
      <c r="K535" s="104" t="n"/>
      <c r="L535" s="104" t="n"/>
      <c r="M535" s="104" t="n"/>
      <c r="N535" s="104" t="n"/>
      <c r="O535" s="104" t="n"/>
      <c r="P535" s="104" t="n"/>
      <c r="Q535" s="104" t="n"/>
      <c r="R535" s="104" t="n"/>
      <c r="S535" s="110" t="n"/>
      <c r="T535" s="110" t="n"/>
      <c r="U535" s="104" t="n"/>
    </row>
    <row r="536">
      <c r="A536" s="104" t="inlineStr">
        <is>
          <t>GUIDE000535</t>
        </is>
      </c>
      <c r="B536" s="101" t="inlineStr">
        <is>
          <t>DEV000015</t>
        </is>
      </c>
      <c r="C536" s="103" t="inlineStr">
        <is>
          <t>APL</t>
        </is>
      </c>
      <c r="D536" s="103" t="inlineStr">
        <is>
          <t>PHN</t>
        </is>
      </c>
      <c r="E536" s="60" t="inlineStr">
        <is>
          <t>iPhone 7 Plus</t>
        </is>
      </c>
      <c r="F536" s="104" t="inlineStr">
        <is>
          <t>SVC000014</t>
        </is>
      </c>
      <c r="G536" s="104" t="inlineStr">
        <is>
          <t>Front Camera Replacement</t>
        </is>
      </c>
      <c r="H536" s="104" t="inlineStr">
        <is>
          <t>Camera</t>
        </is>
      </c>
      <c r="I536" s="104" t="n"/>
      <c r="J536" s="104" t="n"/>
      <c r="K536" s="104" t="n"/>
      <c r="L536" s="104" t="n"/>
      <c r="M536" s="104" t="n"/>
      <c r="N536" s="104" t="n"/>
      <c r="O536" s="104" t="n"/>
      <c r="P536" s="104" t="n"/>
      <c r="Q536" s="104" t="n"/>
      <c r="R536" s="104" t="n"/>
      <c r="S536" s="110" t="n"/>
      <c r="T536" s="110" t="n"/>
      <c r="U536" s="104" t="n"/>
    </row>
    <row r="537">
      <c r="A537" s="104" t="inlineStr">
        <is>
          <t>GUIDE000536</t>
        </is>
      </c>
      <c r="B537" s="101" t="inlineStr">
        <is>
          <t>DEV000016</t>
        </is>
      </c>
      <c r="C537" s="103" t="inlineStr">
        <is>
          <t>APL</t>
        </is>
      </c>
      <c r="D537" s="103" t="inlineStr">
        <is>
          <t>PHN</t>
        </is>
      </c>
      <c r="E537" s="60" t="inlineStr">
        <is>
          <t>iPhone 8</t>
        </is>
      </c>
      <c r="F537" s="104" t="inlineStr">
        <is>
          <t>SVC000014</t>
        </is>
      </c>
      <c r="G537" s="104" t="inlineStr">
        <is>
          <t>Front Camera Replacement</t>
        </is>
      </c>
      <c r="H537" s="104" t="inlineStr">
        <is>
          <t>Camera</t>
        </is>
      </c>
      <c r="I537" s="104" t="n"/>
      <c r="J537" s="104" t="n"/>
      <c r="K537" s="104" t="n"/>
      <c r="L537" s="104" t="n"/>
      <c r="M537" s="104" t="n"/>
      <c r="N537" s="104" t="n"/>
      <c r="O537" s="104" t="n"/>
      <c r="P537" s="104" t="n"/>
      <c r="Q537" s="104" t="n"/>
      <c r="R537" s="104" t="n"/>
      <c r="S537" s="110" t="n"/>
      <c r="T537" s="110" t="n"/>
      <c r="U537" s="104" t="n"/>
    </row>
    <row r="538">
      <c r="A538" s="105" t="inlineStr">
        <is>
          <t>GUIDE000537</t>
        </is>
      </c>
      <c r="B538" s="101" t="inlineStr">
        <is>
          <t>DEV000017</t>
        </is>
      </c>
      <c r="C538" s="103" t="inlineStr">
        <is>
          <t>APL</t>
        </is>
      </c>
      <c r="D538" s="103" t="inlineStr">
        <is>
          <t>PHN</t>
        </is>
      </c>
      <c r="E538" s="60" t="inlineStr">
        <is>
          <t>iPhone 8 Plus</t>
        </is>
      </c>
      <c r="F538" s="104" t="inlineStr">
        <is>
          <t>SVC000014</t>
        </is>
      </c>
      <c r="G538" s="104" t="inlineStr">
        <is>
          <t>Front Camera Replacement</t>
        </is>
      </c>
      <c r="H538" s="104" t="inlineStr">
        <is>
          <t>Camera</t>
        </is>
      </c>
      <c r="I538" s="104" t="n"/>
      <c r="J538" s="104" t="n"/>
      <c r="K538" s="104" t="n"/>
      <c r="L538" s="104" t="n"/>
      <c r="M538" s="104" t="n"/>
      <c r="N538" s="104" t="n"/>
      <c r="O538" s="104" t="n"/>
      <c r="P538" s="104" t="n"/>
      <c r="Q538" s="104" t="n"/>
      <c r="R538" s="104" t="n"/>
      <c r="S538" s="110" t="n"/>
      <c r="T538" s="110" t="n"/>
      <c r="U538" s="104" t="n"/>
    </row>
    <row r="539">
      <c r="A539" s="104" t="inlineStr">
        <is>
          <t>GUIDE000538</t>
        </is>
      </c>
      <c r="B539" s="101" t="inlineStr">
        <is>
          <t>DEV000018</t>
        </is>
      </c>
      <c r="C539" s="103" t="inlineStr">
        <is>
          <t>APL</t>
        </is>
      </c>
      <c r="D539" s="103" t="inlineStr">
        <is>
          <t>PHN</t>
        </is>
      </c>
      <c r="E539" s="60" t="inlineStr">
        <is>
          <t>iPhone X</t>
        </is>
      </c>
      <c r="F539" s="104" t="inlineStr">
        <is>
          <t>SVC000014</t>
        </is>
      </c>
      <c r="G539" s="104" t="inlineStr">
        <is>
          <t>Front Camera Replacement</t>
        </is>
      </c>
      <c r="H539" s="104" t="inlineStr">
        <is>
          <t>Camera</t>
        </is>
      </c>
      <c r="I539" s="104" t="n"/>
      <c r="J539" s="104" t="n"/>
      <c r="K539" s="104" t="n"/>
      <c r="L539" s="104" t="n"/>
      <c r="M539" s="104" t="n"/>
      <c r="N539" s="104" t="n"/>
      <c r="O539" s="104" t="n"/>
      <c r="P539" s="104" t="n"/>
      <c r="Q539" s="104" t="n"/>
      <c r="R539" s="104" t="n"/>
      <c r="S539" s="110" t="n"/>
      <c r="T539" s="110" t="n"/>
      <c r="U539" s="104" t="n"/>
    </row>
    <row r="540">
      <c r="A540" s="104" t="inlineStr">
        <is>
          <t>GUIDE000539</t>
        </is>
      </c>
      <c r="B540" s="101" t="inlineStr">
        <is>
          <t>DEV000019</t>
        </is>
      </c>
      <c r="C540" s="103" t="inlineStr">
        <is>
          <t>APL</t>
        </is>
      </c>
      <c r="D540" s="103" t="inlineStr">
        <is>
          <t>PHN</t>
        </is>
      </c>
      <c r="E540" s="60" t="inlineStr">
        <is>
          <t>iPhone XR</t>
        </is>
      </c>
      <c r="F540" s="104" t="inlineStr">
        <is>
          <t>SVC000014</t>
        </is>
      </c>
      <c r="G540" s="104" t="inlineStr">
        <is>
          <t>Front Camera Replacement</t>
        </is>
      </c>
      <c r="H540" s="104" t="inlineStr">
        <is>
          <t>Camera</t>
        </is>
      </c>
      <c r="I540" s="104" t="n"/>
      <c r="J540" s="104" t="n"/>
      <c r="K540" s="104" t="n"/>
      <c r="L540" s="104" t="n"/>
      <c r="M540" s="104" t="n"/>
      <c r="N540" s="104" t="n"/>
      <c r="O540" s="104" t="n"/>
      <c r="P540" s="104" t="n"/>
      <c r="Q540" s="104" t="n"/>
      <c r="R540" s="104" t="n"/>
      <c r="S540" s="110" t="n"/>
      <c r="T540" s="110" t="n"/>
      <c r="U540" s="104" t="n"/>
    </row>
    <row r="541">
      <c r="A541" s="104" t="inlineStr">
        <is>
          <t>GUIDE000540</t>
        </is>
      </c>
      <c r="B541" s="101" t="inlineStr">
        <is>
          <t>DEV000020</t>
        </is>
      </c>
      <c r="C541" s="103" t="inlineStr">
        <is>
          <t>APL</t>
        </is>
      </c>
      <c r="D541" s="103" t="inlineStr">
        <is>
          <t>PHN</t>
        </is>
      </c>
      <c r="E541" s="60" t="inlineStr">
        <is>
          <t>iPhone XS</t>
        </is>
      </c>
      <c r="F541" s="104" t="inlineStr">
        <is>
          <t>SVC000014</t>
        </is>
      </c>
      <c r="G541" s="104" t="inlineStr">
        <is>
          <t>Front Camera Replacement</t>
        </is>
      </c>
      <c r="H541" s="104" t="inlineStr">
        <is>
          <t>Camera</t>
        </is>
      </c>
      <c r="I541" s="104" t="n"/>
      <c r="J541" s="104" t="n"/>
      <c r="K541" s="104" t="n"/>
      <c r="L541" s="104" t="n"/>
      <c r="M541" s="104" t="n"/>
      <c r="N541" s="104" t="n"/>
      <c r="O541" s="104" t="n"/>
      <c r="P541" s="104" t="n"/>
      <c r="Q541" s="104" t="n"/>
      <c r="R541" s="104" t="n"/>
      <c r="S541" s="110" t="n"/>
      <c r="T541" s="110" t="n"/>
      <c r="U541" s="104" t="n"/>
    </row>
    <row r="542">
      <c r="A542" s="104" t="inlineStr">
        <is>
          <t>GUIDE000541</t>
        </is>
      </c>
      <c r="B542" s="101" t="inlineStr">
        <is>
          <t>DEV000021</t>
        </is>
      </c>
      <c r="C542" s="103" t="inlineStr">
        <is>
          <t>APL</t>
        </is>
      </c>
      <c r="D542" s="103" t="inlineStr">
        <is>
          <t>PHN</t>
        </is>
      </c>
      <c r="E542" s="60" t="inlineStr">
        <is>
          <t>iPhone XS Max</t>
        </is>
      </c>
      <c r="F542" s="104" t="inlineStr">
        <is>
          <t>SVC000014</t>
        </is>
      </c>
      <c r="G542" s="104" t="inlineStr">
        <is>
          <t>Front Camera Replacement</t>
        </is>
      </c>
      <c r="H542" s="104" t="inlineStr">
        <is>
          <t>Camera</t>
        </is>
      </c>
      <c r="I542" s="104" t="n"/>
      <c r="J542" s="104" t="n"/>
      <c r="K542" s="104" t="n"/>
      <c r="L542" s="104" t="n"/>
      <c r="M542" s="104" t="n"/>
      <c r="N542" s="104" t="n"/>
      <c r="O542" s="104" t="n"/>
      <c r="P542" s="104" t="n"/>
      <c r="Q542" s="104" t="n"/>
      <c r="R542" s="104" t="n"/>
      <c r="S542" s="110" t="n"/>
      <c r="T542" s="110" t="n"/>
      <c r="U542" s="104" t="n"/>
    </row>
    <row r="543">
      <c r="A543" s="105" t="inlineStr">
        <is>
          <t>GUIDE000542</t>
        </is>
      </c>
      <c r="B543" s="101" t="inlineStr">
        <is>
          <t>DEV000022</t>
        </is>
      </c>
      <c r="C543" s="103" t="inlineStr">
        <is>
          <t>APL</t>
        </is>
      </c>
      <c r="D543" s="103" t="inlineStr">
        <is>
          <t>PHN</t>
        </is>
      </c>
      <c r="E543" s="60" t="inlineStr">
        <is>
          <t>iPhone 11</t>
        </is>
      </c>
      <c r="F543" s="104" t="inlineStr">
        <is>
          <t>SVC000014</t>
        </is>
      </c>
      <c r="G543" s="104" t="inlineStr">
        <is>
          <t>Front Camera Replacement</t>
        </is>
      </c>
      <c r="H543" s="104" t="inlineStr">
        <is>
          <t>Camera</t>
        </is>
      </c>
      <c r="I543" s="104" t="n"/>
      <c r="J543" s="104" t="n"/>
      <c r="K543" s="104" t="n"/>
      <c r="L543" s="104" t="n"/>
      <c r="M543" s="104" t="n"/>
      <c r="N543" s="104" t="n"/>
      <c r="O543" s="104" t="n"/>
      <c r="P543" s="104" t="n"/>
      <c r="Q543" s="104" t="n"/>
      <c r="R543" s="104" t="n"/>
      <c r="S543" s="110" t="n"/>
      <c r="T543" s="110" t="n"/>
      <c r="U543" s="104" t="n"/>
    </row>
    <row r="544">
      <c r="A544" s="104" t="inlineStr">
        <is>
          <t>GUIDE000543</t>
        </is>
      </c>
      <c r="B544" s="101" t="inlineStr">
        <is>
          <t>DEV000023</t>
        </is>
      </c>
      <c r="C544" s="103" t="inlineStr">
        <is>
          <t>APL</t>
        </is>
      </c>
      <c r="D544" s="103" t="inlineStr">
        <is>
          <t>PHN</t>
        </is>
      </c>
      <c r="E544" s="60" t="inlineStr">
        <is>
          <t>iPhone 11 Pro</t>
        </is>
      </c>
      <c r="F544" s="104" t="inlineStr">
        <is>
          <t>SVC000014</t>
        </is>
      </c>
      <c r="G544" s="104" t="inlineStr">
        <is>
          <t>Front Camera Replacement</t>
        </is>
      </c>
      <c r="H544" s="104" t="inlineStr">
        <is>
          <t>Camera</t>
        </is>
      </c>
      <c r="I544" s="104" t="n"/>
      <c r="J544" s="104" t="n"/>
      <c r="K544" s="104" t="n"/>
      <c r="L544" s="104" t="n"/>
      <c r="M544" s="104" t="n"/>
      <c r="N544" s="104" t="n"/>
      <c r="O544" s="104" t="n"/>
      <c r="P544" s="104" t="n"/>
      <c r="Q544" s="104" t="n"/>
      <c r="R544" s="104" t="n"/>
      <c r="S544" s="110" t="n"/>
      <c r="T544" s="110" t="n"/>
      <c r="U544" s="104" t="n"/>
    </row>
    <row r="545">
      <c r="A545" s="104" t="inlineStr">
        <is>
          <t>GUIDE000544</t>
        </is>
      </c>
      <c r="B545" s="101" t="inlineStr">
        <is>
          <t>DEV000024</t>
        </is>
      </c>
      <c r="C545" s="103" t="inlineStr">
        <is>
          <t>APL</t>
        </is>
      </c>
      <c r="D545" s="103" t="inlineStr">
        <is>
          <t>PHN</t>
        </is>
      </c>
      <c r="E545" s="60" t="inlineStr">
        <is>
          <t>iPhone 11 Pro Max</t>
        </is>
      </c>
      <c r="F545" s="104" t="inlineStr">
        <is>
          <t>SVC000014</t>
        </is>
      </c>
      <c r="G545" s="104" t="inlineStr">
        <is>
          <t>Front Camera Replacement</t>
        </is>
      </c>
      <c r="H545" s="104" t="inlineStr">
        <is>
          <t>Camera</t>
        </is>
      </c>
      <c r="I545" s="104" t="n"/>
      <c r="J545" s="104" t="n"/>
      <c r="K545" s="104" t="n"/>
      <c r="L545" s="104" t="n"/>
      <c r="M545" s="104" t="n"/>
      <c r="N545" s="104" t="n"/>
      <c r="O545" s="104" t="n"/>
      <c r="P545" s="104" t="n"/>
      <c r="Q545" s="104" t="n"/>
      <c r="R545" s="104" t="n"/>
      <c r="S545" s="110" t="n"/>
      <c r="T545" s="110" t="n"/>
      <c r="U545" s="104" t="n"/>
    </row>
    <row r="546">
      <c r="A546" s="104" t="inlineStr">
        <is>
          <t>GUIDE000545</t>
        </is>
      </c>
      <c r="B546" s="101" t="inlineStr">
        <is>
          <t>DEV000025</t>
        </is>
      </c>
      <c r="C546" s="103" t="inlineStr">
        <is>
          <t>APL</t>
        </is>
      </c>
      <c r="D546" s="103" t="inlineStr">
        <is>
          <t>PHN</t>
        </is>
      </c>
      <c r="E546" s="60" t="inlineStr">
        <is>
          <t>iPhone SE (2nd Generation)</t>
        </is>
      </c>
      <c r="F546" s="104" t="inlineStr">
        <is>
          <t>SVC000014</t>
        </is>
      </c>
      <c r="G546" s="104" t="inlineStr">
        <is>
          <t>Front Camera Replacement</t>
        </is>
      </c>
      <c r="H546" s="104" t="inlineStr">
        <is>
          <t>Camera</t>
        </is>
      </c>
      <c r="I546" s="104" t="n"/>
      <c r="J546" s="104" t="n"/>
      <c r="K546" s="104" t="n"/>
      <c r="L546" s="104" t="n"/>
      <c r="M546" s="104" t="n"/>
      <c r="N546" s="104" t="n"/>
      <c r="O546" s="104" t="n"/>
      <c r="P546" s="104" t="n"/>
      <c r="Q546" s="104" t="n"/>
      <c r="R546" s="104" t="n"/>
      <c r="S546" s="110" t="n"/>
      <c r="T546" s="110" t="n"/>
      <c r="U546" s="104" t="n"/>
    </row>
    <row r="547">
      <c r="A547" s="105" t="inlineStr">
        <is>
          <t>GUIDE000546</t>
        </is>
      </c>
      <c r="B547" s="101" t="inlineStr">
        <is>
          <t>DEV000026</t>
        </is>
      </c>
      <c r="C547" s="103" t="inlineStr">
        <is>
          <t>APL</t>
        </is>
      </c>
      <c r="D547" s="103" t="inlineStr">
        <is>
          <t>PHN</t>
        </is>
      </c>
      <c r="E547" s="60" t="inlineStr">
        <is>
          <t>iPhone 12 mini</t>
        </is>
      </c>
      <c r="F547" s="104" t="inlineStr">
        <is>
          <t>SVC000014</t>
        </is>
      </c>
      <c r="G547" s="104" t="inlineStr">
        <is>
          <t>Front Camera Replacement</t>
        </is>
      </c>
      <c r="H547" s="104" t="inlineStr">
        <is>
          <t>Camera</t>
        </is>
      </c>
      <c r="I547" s="104" t="n"/>
      <c r="J547" s="104" t="n"/>
      <c r="K547" s="104" t="n"/>
      <c r="L547" s="104" t="n"/>
      <c r="M547" s="104" t="n"/>
      <c r="N547" s="104" t="n"/>
      <c r="O547" s="104" t="n"/>
      <c r="P547" s="104" t="n"/>
      <c r="Q547" s="104" t="n"/>
      <c r="R547" s="104" t="n"/>
      <c r="S547" s="110" t="n"/>
      <c r="T547" s="110" t="n"/>
      <c r="U547" s="104" t="n"/>
    </row>
    <row r="548">
      <c r="A548" s="104" t="inlineStr">
        <is>
          <t>GUIDE000547</t>
        </is>
      </c>
      <c r="B548" s="101" t="inlineStr">
        <is>
          <t>DEV000027</t>
        </is>
      </c>
      <c r="C548" s="103" t="inlineStr">
        <is>
          <t>APL</t>
        </is>
      </c>
      <c r="D548" s="103" t="inlineStr">
        <is>
          <t>PHN</t>
        </is>
      </c>
      <c r="E548" s="60" t="inlineStr">
        <is>
          <t>iPhone 12</t>
        </is>
      </c>
      <c r="F548" s="104" t="inlineStr">
        <is>
          <t>SVC000014</t>
        </is>
      </c>
      <c r="G548" s="104" t="inlineStr">
        <is>
          <t>Front Camera Replacement</t>
        </is>
      </c>
      <c r="H548" s="104" t="inlineStr">
        <is>
          <t>Camera</t>
        </is>
      </c>
      <c r="I548" s="104" t="n"/>
      <c r="J548" s="104" t="n"/>
      <c r="K548" s="104" t="n"/>
      <c r="L548" s="104" t="n"/>
      <c r="M548" s="104" t="n"/>
      <c r="N548" s="104" t="n"/>
      <c r="O548" s="104" t="n"/>
      <c r="P548" s="104" t="n"/>
      <c r="Q548" s="104" t="n"/>
      <c r="R548" s="104" t="n"/>
      <c r="S548" s="110" t="n"/>
      <c r="T548" s="110" t="n"/>
      <c r="U548" s="104" t="n"/>
    </row>
    <row r="549">
      <c r="A549" s="104" t="inlineStr">
        <is>
          <t>GUIDE000548</t>
        </is>
      </c>
      <c r="B549" s="101" t="inlineStr">
        <is>
          <t>DEV000028</t>
        </is>
      </c>
      <c r="C549" s="103" t="inlineStr">
        <is>
          <t>APL</t>
        </is>
      </c>
      <c r="D549" s="103" t="inlineStr">
        <is>
          <t>PHN</t>
        </is>
      </c>
      <c r="E549" s="60" t="inlineStr">
        <is>
          <t>iPhone 12 Pro</t>
        </is>
      </c>
      <c r="F549" s="104" t="inlineStr">
        <is>
          <t>SVC000014</t>
        </is>
      </c>
      <c r="G549" s="104" t="inlineStr">
        <is>
          <t>Front Camera Replacement</t>
        </is>
      </c>
      <c r="H549" s="104" t="inlineStr">
        <is>
          <t>Camera</t>
        </is>
      </c>
      <c r="I549" s="104" t="n"/>
      <c r="J549" s="104" t="n"/>
      <c r="K549" s="104" t="n"/>
      <c r="L549" s="104" t="n"/>
      <c r="M549" s="104" t="n"/>
      <c r="N549" s="104" t="n"/>
      <c r="O549" s="104" t="n"/>
      <c r="P549" s="104" t="n"/>
      <c r="Q549" s="104" t="n"/>
      <c r="R549" s="104" t="n"/>
      <c r="S549" s="110" t="n"/>
      <c r="T549" s="110" t="n"/>
      <c r="U549" s="104" t="n"/>
    </row>
    <row r="550">
      <c r="A550" s="104" t="inlineStr">
        <is>
          <t>GUIDE000549</t>
        </is>
      </c>
      <c r="B550" s="101" t="inlineStr">
        <is>
          <t>DEV000029</t>
        </is>
      </c>
      <c r="C550" s="103" t="inlineStr">
        <is>
          <t>APL</t>
        </is>
      </c>
      <c r="D550" s="103" t="inlineStr">
        <is>
          <t>PHN</t>
        </is>
      </c>
      <c r="E550" s="60" t="inlineStr">
        <is>
          <t>iPhone 12 Pro Max</t>
        </is>
      </c>
      <c r="F550" s="104" t="inlineStr">
        <is>
          <t>SVC000014</t>
        </is>
      </c>
      <c r="G550" s="104" t="inlineStr">
        <is>
          <t>Front Camera Replacement</t>
        </is>
      </c>
      <c r="H550" s="104" t="inlineStr">
        <is>
          <t>Camera</t>
        </is>
      </c>
      <c r="I550" s="104" t="n"/>
      <c r="J550" s="104" t="n"/>
      <c r="K550" s="104" t="n"/>
      <c r="L550" s="104" t="n"/>
      <c r="M550" s="104" t="n"/>
      <c r="N550" s="104" t="n"/>
      <c r="O550" s="104" t="n"/>
      <c r="P550" s="104" t="n"/>
      <c r="Q550" s="104" t="n"/>
      <c r="R550" s="104" t="n"/>
      <c r="S550" s="110" t="n"/>
      <c r="T550" s="110" t="n"/>
      <c r="U550" s="104" t="n"/>
    </row>
    <row r="551">
      <c r="A551" s="104" t="inlineStr">
        <is>
          <t>GUIDE000550</t>
        </is>
      </c>
      <c r="B551" s="101" t="inlineStr">
        <is>
          <t>DEV000030</t>
        </is>
      </c>
      <c r="C551" s="103" t="inlineStr">
        <is>
          <t>APL</t>
        </is>
      </c>
      <c r="D551" s="103" t="inlineStr">
        <is>
          <t>PHN</t>
        </is>
      </c>
      <c r="E551" s="60" t="inlineStr">
        <is>
          <t>iPhone 13 mini</t>
        </is>
      </c>
      <c r="F551" s="104" t="inlineStr">
        <is>
          <t>SVC000014</t>
        </is>
      </c>
      <c r="G551" s="104" t="inlineStr">
        <is>
          <t>Front Camera Replacement</t>
        </is>
      </c>
      <c r="H551" s="104" t="inlineStr">
        <is>
          <t>Camera</t>
        </is>
      </c>
      <c r="I551" s="104" t="n"/>
      <c r="J551" s="104" t="n"/>
      <c r="K551" s="104" t="n"/>
      <c r="L551" s="104" t="n"/>
      <c r="M551" s="104" t="n"/>
      <c r="N551" s="104" t="n"/>
      <c r="O551" s="104" t="n"/>
      <c r="P551" s="104" t="n"/>
      <c r="Q551" s="104" t="n"/>
      <c r="R551" s="104" t="n"/>
      <c r="S551" s="110" t="n"/>
      <c r="T551" s="110" t="n"/>
      <c r="U551" s="104" t="n"/>
    </row>
    <row r="552">
      <c r="A552" s="105" t="inlineStr">
        <is>
          <t>GUIDE000551</t>
        </is>
      </c>
      <c r="B552" s="101" t="inlineStr">
        <is>
          <t>DEV000031</t>
        </is>
      </c>
      <c r="C552" s="103" t="inlineStr">
        <is>
          <t>APL</t>
        </is>
      </c>
      <c r="D552" s="103" t="inlineStr">
        <is>
          <t>PHN</t>
        </is>
      </c>
      <c r="E552" s="60" t="inlineStr">
        <is>
          <t>iPhone 13</t>
        </is>
      </c>
      <c r="F552" s="104" t="inlineStr">
        <is>
          <t>SVC000014</t>
        </is>
      </c>
      <c r="G552" s="104" t="inlineStr">
        <is>
          <t>Front Camera Replacement</t>
        </is>
      </c>
      <c r="H552" s="104" t="inlineStr">
        <is>
          <t>Camera</t>
        </is>
      </c>
      <c r="I552" s="104" t="n"/>
      <c r="J552" s="104" t="n"/>
      <c r="K552" s="104" t="n"/>
      <c r="L552" s="104" t="n"/>
      <c r="M552" s="104" t="n"/>
      <c r="N552" s="104" t="n"/>
      <c r="O552" s="104" t="n"/>
      <c r="P552" s="104" t="n"/>
      <c r="Q552" s="104" t="n"/>
      <c r="R552" s="104" t="n"/>
      <c r="S552" s="110" t="n"/>
      <c r="T552" s="110" t="n"/>
      <c r="U552" s="104" t="n"/>
    </row>
    <row r="553">
      <c r="A553" s="104" t="inlineStr">
        <is>
          <t>GUIDE000552</t>
        </is>
      </c>
      <c r="B553" s="101" t="inlineStr">
        <is>
          <t>DEV000032</t>
        </is>
      </c>
      <c r="C553" s="103" t="inlineStr">
        <is>
          <t>APL</t>
        </is>
      </c>
      <c r="D553" s="103" t="inlineStr">
        <is>
          <t>PHN</t>
        </is>
      </c>
      <c r="E553" s="60" t="inlineStr">
        <is>
          <t>iPhone 13 Pro</t>
        </is>
      </c>
      <c r="F553" s="104" t="inlineStr">
        <is>
          <t>SVC000014</t>
        </is>
      </c>
      <c r="G553" s="104" t="inlineStr">
        <is>
          <t>Front Camera Replacement</t>
        </is>
      </c>
      <c r="H553" s="104" t="inlineStr">
        <is>
          <t>Camera</t>
        </is>
      </c>
      <c r="I553" s="104" t="n"/>
      <c r="J553" s="104" t="n"/>
      <c r="K553" s="104" t="n"/>
      <c r="L553" s="104" t="n"/>
      <c r="M553" s="104" t="n"/>
      <c r="N553" s="104" t="n"/>
      <c r="O553" s="104" t="n"/>
      <c r="P553" s="104" t="n"/>
      <c r="Q553" s="104" t="n"/>
      <c r="R553" s="104" t="n"/>
      <c r="S553" s="110" t="n"/>
      <c r="T553" s="110" t="n"/>
      <c r="U553" s="104" t="n"/>
    </row>
    <row r="554">
      <c r="A554" s="104" t="inlineStr">
        <is>
          <t>GUIDE000553</t>
        </is>
      </c>
      <c r="B554" s="101" t="inlineStr">
        <is>
          <t>DEV000033</t>
        </is>
      </c>
      <c r="C554" s="103" t="inlineStr">
        <is>
          <t>APL</t>
        </is>
      </c>
      <c r="D554" s="103" t="inlineStr">
        <is>
          <t>PHN</t>
        </is>
      </c>
      <c r="E554" s="60" t="inlineStr">
        <is>
          <t>iPhone 13 Pro Max</t>
        </is>
      </c>
      <c r="F554" s="104" t="inlineStr">
        <is>
          <t>SVC000014</t>
        </is>
      </c>
      <c r="G554" s="104" t="inlineStr">
        <is>
          <t>Front Camera Replacement</t>
        </is>
      </c>
      <c r="H554" s="104" t="inlineStr">
        <is>
          <t>Camera</t>
        </is>
      </c>
      <c r="I554" s="104" t="n"/>
      <c r="J554" s="104" t="n"/>
      <c r="K554" s="104" t="n"/>
      <c r="L554" s="104" t="n"/>
      <c r="M554" s="104" t="n"/>
      <c r="N554" s="104" t="n"/>
      <c r="O554" s="104" t="n"/>
      <c r="P554" s="104" t="n"/>
      <c r="Q554" s="104" t="n"/>
      <c r="R554" s="104" t="n"/>
      <c r="S554" s="110" t="n"/>
      <c r="T554" s="110" t="n"/>
      <c r="U554" s="104" t="n"/>
    </row>
    <row r="555">
      <c r="A555" s="104" t="inlineStr">
        <is>
          <t>GUIDE000554</t>
        </is>
      </c>
      <c r="B555" s="101" t="inlineStr">
        <is>
          <t>DEV000034</t>
        </is>
      </c>
      <c r="C555" s="103" t="inlineStr">
        <is>
          <t>APL</t>
        </is>
      </c>
      <c r="D555" s="103" t="inlineStr">
        <is>
          <t>PHN</t>
        </is>
      </c>
      <c r="E555" s="60" t="inlineStr">
        <is>
          <t>iPhone SE (3rd Generation)</t>
        </is>
      </c>
      <c r="F555" s="104" t="inlineStr">
        <is>
          <t>SVC000014</t>
        </is>
      </c>
      <c r="G555" s="104" t="inlineStr">
        <is>
          <t>Front Camera Replacement</t>
        </is>
      </c>
      <c r="H555" s="104" t="inlineStr">
        <is>
          <t>Camera</t>
        </is>
      </c>
      <c r="I555" s="104" t="n"/>
      <c r="J555" s="104" t="n"/>
      <c r="K555" s="104" t="n"/>
      <c r="L555" s="104" t="n"/>
      <c r="M555" s="104" t="n"/>
      <c r="N555" s="104" t="n"/>
      <c r="O555" s="104" t="n"/>
      <c r="P555" s="104" t="n"/>
      <c r="Q555" s="104" t="n"/>
      <c r="R555" s="104" t="n"/>
      <c r="S555" s="110" t="n"/>
      <c r="T555" s="110" t="n"/>
      <c r="U555" s="104" t="n"/>
    </row>
    <row r="556">
      <c r="A556" s="105" t="inlineStr">
        <is>
          <t>GUIDE000555</t>
        </is>
      </c>
      <c r="B556" s="101" t="inlineStr">
        <is>
          <t>DEV000035</t>
        </is>
      </c>
      <c r="C556" s="103" t="inlineStr">
        <is>
          <t>APL</t>
        </is>
      </c>
      <c r="D556" s="103" t="inlineStr">
        <is>
          <t>PHN</t>
        </is>
      </c>
      <c r="E556" s="60" t="inlineStr">
        <is>
          <t>iPhone 14</t>
        </is>
      </c>
      <c r="F556" s="104" t="inlineStr">
        <is>
          <t>SVC000014</t>
        </is>
      </c>
      <c r="G556" s="104" t="inlineStr">
        <is>
          <t>Front Camera Replacement</t>
        </is>
      </c>
      <c r="H556" s="104" t="inlineStr">
        <is>
          <t>Camera</t>
        </is>
      </c>
      <c r="I556" s="104" t="n"/>
      <c r="J556" s="104" t="n"/>
      <c r="K556" s="104" t="n"/>
      <c r="L556" s="104" t="n"/>
      <c r="M556" s="104" t="n"/>
      <c r="N556" s="104" t="n"/>
      <c r="O556" s="104" t="n"/>
      <c r="P556" s="104" t="n"/>
      <c r="Q556" s="104" t="n"/>
      <c r="R556" s="104" t="n"/>
      <c r="S556" s="110" t="n"/>
      <c r="T556" s="110" t="n"/>
      <c r="U556" s="104" t="n"/>
    </row>
    <row r="557">
      <c r="A557" s="104" t="inlineStr">
        <is>
          <t>GUIDE000556</t>
        </is>
      </c>
      <c r="B557" s="101" t="inlineStr">
        <is>
          <t>DEV000036</t>
        </is>
      </c>
      <c r="C557" s="103" t="inlineStr">
        <is>
          <t>APL</t>
        </is>
      </c>
      <c r="D557" s="103" t="inlineStr">
        <is>
          <t>PHN</t>
        </is>
      </c>
      <c r="E557" s="60" t="inlineStr">
        <is>
          <t>iPhone 14 Plus</t>
        </is>
      </c>
      <c r="F557" s="104" t="inlineStr">
        <is>
          <t>SVC000014</t>
        </is>
      </c>
      <c r="G557" s="104" t="inlineStr">
        <is>
          <t>Front Camera Replacement</t>
        </is>
      </c>
      <c r="H557" s="104" t="inlineStr">
        <is>
          <t>Camera</t>
        </is>
      </c>
      <c r="I557" s="104" t="n"/>
      <c r="J557" s="104" t="n"/>
      <c r="K557" s="104" t="n"/>
      <c r="L557" s="104" t="n"/>
      <c r="M557" s="104" t="n"/>
      <c r="N557" s="104" t="n"/>
      <c r="O557" s="104" t="n"/>
      <c r="P557" s="104" t="n"/>
      <c r="Q557" s="104" t="n"/>
      <c r="R557" s="104" t="n"/>
      <c r="S557" s="110" t="n"/>
      <c r="T557" s="110" t="n"/>
      <c r="U557" s="104" t="n"/>
    </row>
    <row r="558">
      <c r="A558" s="104" t="inlineStr">
        <is>
          <t>GUIDE000557</t>
        </is>
      </c>
      <c r="B558" s="101" t="inlineStr">
        <is>
          <t>DEV000037</t>
        </is>
      </c>
      <c r="C558" s="103" t="inlineStr">
        <is>
          <t>APL</t>
        </is>
      </c>
      <c r="D558" s="103" t="inlineStr">
        <is>
          <t>PHN</t>
        </is>
      </c>
      <c r="E558" s="60" t="inlineStr">
        <is>
          <t>iPhone 14 Pro</t>
        </is>
      </c>
      <c r="F558" s="104" t="inlineStr">
        <is>
          <t>SVC000014</t>
        </is>
      </c>
      <c r="G558" s="104" t="inlineStr">
        <is>
          <t>Front Camera Replacement</t>
        </is>
      </c>
      <c r="H558" s="104" t="inlineStr">
        <is>
          <t>Camera</t>
        </is>
      </c>
      <c r="I558" s="104" t="n"/>
      <c r="J558" s="104" t="n"/>
      <c r="K558" s="104" t="n"/>
      <c r="L558" s="104" t="n"/>
      <c r="M558" s="104" t="n"/>
      <c r="N558" s="104" t="n"/>
      <c r="O558" s="104" t="n"/>
      <c r="P558" s="104" t="n"/>
      <c r="Q558" s="104" t="n"/>
      <c r="R558" s="104" t="n"/>
      <c r="S558" s="110" t="n"/>
      <c r="T558" s="110" t="n"/>
      <c r="U558" s="104" t="n"/>
    </row>
    <row r="559">
      <c r="A559" s="104" t="inlineStr">
        <is>
          <t>GUIDE000558</t>
        </is>
      </c>
      <c r="B559" s="101" t="inlineStr">
        <is>
          <t>DEV000038</t>
        </is>
      </c>
      <c r="C559" s="103" t="inlineStr">
        <is>
          <t>APL</t>
        </is>
      </c>
      <c r="D559" s="103" t="inlineStr">
        <is>
          <t>PHN</t>
        </is>
      </c>
      <c r="E559" s="60" t="inlineStr">
        <is>
          <t>iPhone 14 Pro Max</t>
        </is>
      </c>
      <c r="F559" s="104" t="inlineStr">
        <is>
          <t>SVC000014</t>
        </is>
      </c>
      <c r="G559" s="104" t="inlineStr">
        <is>
          <t>Front Camera Replacement</t>
        </is>
      </c>
      <c r="H559" s="104" t="inlineStr">
        <is>
          <t>Camera</t>
        </is>
      </c>
      <c r="I559" s="104" t="n"/>
      <c r="J559" s="104" t="n"/>
      <c r="K559" s="104" t="n"/>
      <c r="L559" s="104" t="n"/>
      <c r="M559" s="104" t="n"/>
      <c r="N559" s="104" t="n"/>
      <c r="O559" s="104" t="n"/>
      <c r="P559" s="104" t="n"/>
      <c r="Q559" s="104" t="n"/>
      <c r="R559" s="104" t="n"/>
      <c r="S559" s="110" t="n"/>
      <c r="T559" s="110" t="n"/>
      <c r="U559" s="104" t="n"/>
    </row>
    <row r="560">
      <c r="A560" s="104" t="inlineStr">
        <is>
          <t>GUIDE000559</t>
        </is>
      </c>
      <c r="B560" s="101" t="inlineStr">
        <is>
          <t>DEV000039</t>
        </is>
      </c>
      <c r="C560" s="103" t="inlineStr">
        <is>
          <t>APL</t>
        </is>
      </c>
      <c r="D560" s="103" t="inlineStr">
        <is>
          <t>PHN</t>
        </is>
      </c>
      <c r="E560" s="60" t="inlineStr">
        <is>
          <t>iPhone 15</t>
        </is>
      </c>
      <c r="F560" s="104" t="inlineStr">
        <is>
          <t>SVC000014</t>
        </is>
      </c>
      <c r="G560" s="104" t="inlineStr">
        <is>
          <t>Front Camera Replacement</t>
        </is>
      </c>
      <c r="H560" s="104" t="inlineStr">
        <is>
          <t>Camera</t>
        </is>
      </c>
      <c r="I560" s="104" t="n"/>
      <c r="J560" s="104" t="n"/>
      <c r="K560" s="104" t="n"/>
      <c r="L560" s="104" t="n"/>
      <c r="M560" s="104" t="n"/>
      <c r="N560" s="104" t="n"/>
      <c r="O560" s="104" t="n"/>
      <c r="P560" s="104" t="n"/>
      <c r="Q560" s="104" t="n"/>
      <c r="R560" s="104" t="n"/>
      <c r="S560" s="110" t="n"/>
      <c r="T560" s="110" t="n"/>
      <c r="U560" s="104" t="n"/>
    </row>
    <row r="561">
      <c r="A561" s="105" t="inlineStr">
        <is>
          <t>GUIDE000560</t>
        </is>
      </c>
      <c r="B561" s="101" t="inlineStr">
        <is>
          <t>DEV000040</t>
        </is>
      </c>
      <c r="C561" s="103" t="inlineStr">
        <is>
          <t>APL</t>
        </is>
      </c>
      <c r="D561" s="103" t="inlineStr">
        <is>
          <t>PHN</t>
        </is>
      </c>
      <c r="E561" s="60" t="inlineStr">
        <is>
          <t>iPhone 15 Plus</t>
        </is>
      </c>
      <c r="F561" s="104" t="inlineStr">
        <is>
          <t>SVC000014</t>
        </is>
      </c>
      <c r="G561" s="104" t="inlineStr">
        <is>
          <t>Front Camera Replacement</t>
        </is>
      </c>
      <c r="H561" s="104" t="inlineStr">
        <is>
          <t>Camera</t>
        </is>
      </c>
      <c r="I561" s="104" t="n"/>
      <c r="J561" s="104" t="n"/>
      <c r="K561" s="104" t="n"/>
      <c r="L561" s="104" t="n"/>
      <c r="M561" s="104" t="n"/>
      <c r="N561" s="104" t="n"/>
      <c r="O561" s="104" t="n"/>
      <c r="P561" s="104" t="n"/>
      <c r="Q561" s="104" t="n"/>
      <c r="R561" s="104" t="n"/>
      <c r="S561" s="110" t="n"/>
      <c r="T561" s="110" t="n"/>
      <c r="U561" s="104" t="n"/>
    </row>
    <row r="562">
      <c r="A562" s="104" t="inlineStr">
        <is>
          <t>GUIDE000561</t>
        </is>
      </c>
      <c r="B562" s="101" t="inlineStr">
        <is>
          <t>DEV000041</t>
        </is>
      </c>
      <c r="C562" s="103" t="inlineStr">
        <is>
          <t>APL</t>
        </is>
      </c>
      <c r="D562" s="103" t="inlineStr">
        <is>
          <t>PHN</t>
        </is>
      </c>
      <c r="E562" s="60" t="inlineStr">
        <is>
          <t>iPhone 15 Pro</t>
        </is>
      </c>
      <c r="F562" s="104" t="inlineStr">
        <is>
          <t>SVC000014</t>
        </is>
      </c>
      <c r="G562" s="104" t="inlineStr">
        <is>
          <t>Front Camera Replacement</t>
        </is>
      </c>
      <c r="H562" s="104" t="inlineStr">
        <is>
          <t>Camera</t>
        </is>
      </c>
      <c r="I562" s="104" t="n"/>
      <c r="J562" s="104" t="n"/>
      <c r="K562" s="104" t="n"/>
      <c r="L562" s="104" t="n"/>
      <c r="M562" s="104" t="n"/>
      <c r="N562" s="104" t="n"/>
      <c r="O562" s="104" t="n"/>
      <c r="P562" s="104" t="n"/>
      <c r="Q562" s="104" t="n"/>
      <c r="R562" s="104" t="n"/>
      <c r="S562" s="110" t="n"/>
      <c r="T562" s="110" t="n"/>
      <c r="U562" s="104" t="n"/>
    </row>
    <row r="563">
      <c r="A563" s="104" t="inlineStr">
        <is>
          <t>GUIDE000562</t>
        </is>
      </c>
      <c r="B563" s="101" t="inlineStr">
        <is>
          <t>DEV000042</t>
        </is>
      </c>
      <c r="C563" s="103" t="inlineStr">
        <is>
          <t>APL</t>
        </is>
      </c>
      <c r="D563" s="103" t="inlineStr">
        <is>
          <t>PHN</t>
        </is>
      </c>
      <c r="E563" s="60" t="inlineStr">
        <is>
          <t>iPhone 15 Pro Max</t>
        </is>
      </c>
      <c r="F563" s="104" t="inlineStr">
        <is>
          <t>SVC000014</t>
        </is>
      </c>
      <c r="G563" s="104" t="inlineStr">
        <is>
          <t>Front Camera Replacement</t>
        </is>
      </c>
      <c r="H563" s="104" t="inlineStr">
        <is>
          <t>Camera</t>
        </is>
      </c>
      <c r="I563" s="104" t="n"/>
      <c r="J563" s="104" t="n"/>
      <c r="K563" s="104" t="n"/>
      <c r="L563" s="104" t="n"/>
      <c r="M563" s="104" t="n"/>
      <c r="N563" s="104" t="n"/>
      <c r="O563" s="104" t="n"/>
      <c r="P563" s="104" t="n"/>
      <c r="Q563" s="104" t="n"/>
      <c r="R563" s="104" t="n"/>
      <c r="S563" s="110" t="n"/>
      <c r="T563" s="110" t="n"/>
      <c r="U563" s="104" t="n"/>
    </row>
    <row r="564">
      <c r="A564" s="104" t="inlineStr">
        <is>
          <t>GUIDE000563</t>
        </is>
      </c>
      <c r="B564" s="101" t="inlineStr">
        <is>
          <t>DEV000043</t>
        </is>
      </c>
      <c r="C564" s="103" t="inlineStr">
        <is>
          <t>APL</t>
        </is>
      </c>
      <c r="D564" s="103" t="inlineStr">
        <is>
          <t>PHN</t>
        </is>
      </c>
      <c r="E564" s="60" t="inlineStr">
        <is>
          <t>iPhone 16</t>
        </is>
      </c>
      <c r="F564" s="104" t="inlineStr">
        <is>
          <t>SVC000014</t>
        </is>
      </c>
      <c r="G564" s="104" t="inlineStr">
        <is>
          <t>Front Camera Replacement</t>
        </is>
      </c>
      <c r="H564" s="104" t="inlineStr">
        <is>
          <t>Camera</t>
        </is>
      </c>
      <c r="I564" s="104" t="n"/>
      <c r="J564" s="104" t="n"/>
      <c r="K564" s="104" t="n"/>
      <c r="L564" s="104" t="n"/>
      <c r="M564" s="104" t="n"/>
      <c r="N564" s="104" t="n"/>
      <c r="O564" s="104" t="n"/>
      <c r="P564" s="104" t="n"/>
      <c r="Q564" s="104" t="n"/>
      <c r="R564" s="104" t="n"/>
      <c r="S564" s="110" t="n"/>
      <c r="T564" s="110" t="n"/>
      <c r="U564" s="104" t="n"/>
    </row>
    <row r="565">
      <c r="A565" s="105" t="inlineStr">
        <is>
          <t>GUIDE000564</t>
        </is>
      </c>
      <c r="B565" s="101" t="inlineStr">
        <is>
          <t>DEV000044</t>
        </is>
      </c>
      <c r="C565" s="103" t="inlineStr">
        <is>
          <t>APL</t>
        </is>
      </c>
      <c r="D565" s="103" t="inlineStr">
        <is>
          <t>PHN</t>
        </is>
      </c>
      <c r="E565" s="60" t="inlineStr">
        <is>
          <t>iPhone 16 Plus</t>
        </is>
      </c>
      <c r="F565" s="104" t="inlineStr">
        <is>
          <t>SVC000014</t>
        </is>
      </c>
      <c r="G565" s="104" t="inlineStr">
        <is>
          <t>Front Camera Replacement</t>
        </is>
      </c>
      <c r="H565" s="104" t="inlineStr">
        <is>
          <t>Camera</t>
        </is>
      </c>
      <c r="I565" s="104" t="n"/>
      <c r="J565" s="104" t="n"/>
      <c r="K565" s="104" t="n"/>
      <c r="L565" s="104" t="n"/>
      <c r="M565" s="104" t="n"/>
      <c r="N565" s="104" t="n"/>
      <c r="O565" s="104" t="n"/>
      <c r="P565" s="104" t="n"/>
      <c r="Q565" s="104" t="n"/>
      <c r="R565" s="104" t="n"/>
      <c r="S565" s="110" t="n"/>
      <c r="T565" s="110" t="n"/>
      <c r="U565" s="104" t="n"/>
    </row>
    <row r="566">
      <c r="A566" s="104" t="inlineStr">
        <is>
          <t>GUIDE000565</t>
        </is>
      </c>
      <c r="B566" s="101" t="inlineStr">
        <is>
          <t>DEV000045</t>
        </is>
      </c>
      <c r="C566" s="103" t="inlineStr">
        <is>
          <t>APL</t>
        </is>
      </c>
      <c r="D566" s="103" t="inlineStr">
        <is>
          <t>PHN</t>
        </is>
      </c>
      <c r="E566" s="60" t="inlineStr">
        <is>
          <t>iPhone 16 Pro</t>
        </is>
      </c>
      <c r="F566" s="104" t="inlineStr">
        <is>
          <t>SVC000014</t>
        </is>
      </c>
      <c r="G566" s="104" t="inlineStr">
        <is>
          <t>Front Camera Replacement</t>
        </is>
      </c>
      <c r="H566" s="104" t="inlineStr">
        <is>
          <t>Camera</t>
        </is>
      </c>
      <c r="I566" s="104" t="n"/>
      <c r="J566" s="104" t="n"/>
      <c r="K566" s="104" t="n"/>
      <c r="L566" s="104" t="n"/>
      <c r="M566" s="104" t="n"/>
      <c r="N566" s="104" t="n"/>
      <c r="O566" s="104" t="n"/>
      <c r="P566" s="104" t="n"/>
      <c r="Q566" s="104" t="n"/>
      <c r="R566" s="104" t="n"/>
      <c r="S566" s="110" t="n"/>
      <c r="T566" s="110" t="n"/>
      <c r="U566" s="104" t="n"/>
    </row>
    <row r="567">
      <c r="A567" s="104" t="inlineStr">
        <is>
          <t>GUIDE000566</t>
        </is>
      </c>
      <c r="B567" s="101" t="inlineStr">
        <is>
          <t>DEV000046</t>
        </is>
      </c>
      <c r="C567" s="103" t="inlineStr">
        <is>
          <t>APL</t>
        </is>
      </c>
      <c r="D567" s="103" t="inlineStr">
        <is>
          <t>PHN</t>
        </is>
      </c>
      <c r="E567" s="60" t="inlineStr">
        <is>
          <t>iPhone 16 Pro Max</t>
        </is>
      </c>
      <c r="F567" s="104" t="inlineStr">
        <is>
          <t>SVC000014</t>
        </is>
      </c>
      <c r="G567" s="104" t="inlineStr">
        <is>
          <t>Front Camera Replacement</t>
        </is>
      </c>
      <c r="H567" s="104" t="inlineStr">
        <is>
          <t>Camera</t>
        </is>
      </c>
      <c r="I567" s="104" t="n"/>
      <c r="J567" s="104" t="n"/>
      <c r="K567" s="104" t="n"/>
      <c r="L567" s="104" t="n"/>
      <c r="M567" s="104" t="n"/>
      <c r="N567" s="104" t="n"/>
      <c r="O567" s="104" t="n"/>
      <c r="P567" s="104" t="n"/>
      <c r="Q567" s="104" t="n"/>
      <c r="R567" s="104" t="n"/>
      <c r="S567" s="110" t="n"/>
      <c r="T567" s="110" t="n"/>
      <c r="U567" s="104" t="n"/>
    </row>
    <row r="568">
      <c r="A568" s="104" t="inlineStr">
        <is>
          <t>GUIDE000567</t>
        </is>
      </c>
      <c r="B568" s="101" t="inlineStr">
        <is>
          <t>DEV000047</t>
        </is>
      </c>
      <c r="C568" s="103" t="inlineStr">
        <is>
          <t>APL</t>
        </is>
      </c>
      <c r="D568" s="103" t="inlineStr">
        <is>
          <t>PHN</t>
        </is>
      </c>
      <c r="E568" s="60" t="inlineStr">
        <is>
          <t>iPhone 16e</t>
        </is>
      </c>
      <c r="F568" s="104" t="inlineStr">
        <is>
          <t>SVC000014</t>
        </is>
      </c>
      <c r="G568" s="104" t="inlineStr">
        <is>
          <t>Front Camera Replacement</t>
        </is>
      </c>
      <c r="H568" s="104" t="inlineStr">
        <is>
          <t>Camera</t>
        </is>
      </c>
      <c r="I568" s="104" t="n"/>
      <c r="J568" s="104" t="n"/>
      <c r="K568" s="104" t="n"/>
      <c r="L568" s="104" t="n"/>
      <c r="M568" s="104" t="n"/>
      <c r="N568" s="104" t="n"/>
      <c r="O568" s="104" t="n"/>
      <c r="P568" s="104" t="n"/>
      <c r="Q568" s="104" t="n"/>
      <c r="R568" s="104" t="n"/>
      <c r="S568" s="110" t="n"/>
      <c r="T568" s="110" t="n"/>
      <c r="U568" s="104" t="n"/>
    </row>
    <row r="569">
      <c r="A569" s="104" t="inlineStr">
        <is>
          <t>GUIDE000568</t>
        </is>
      </c>
      <c r="B569" s="101" t="inlineStr">
        <is>
          <t>DEV000048</t>
        </is>
      </c>
      <c r="C569" s="103" t="inlineStr">
        <is>
          <t>APL</t>
        </is>
      </c>
      <c r="D569" s="103" t="inlineStr">
        <is>
          <t>PHN</t>
        </is>
      </c>
      <c r="E569" s="60" t="inlineStr">
        <is>
          <t>iPhone 17</t>
        </is>
      </c>
      <c r="F569" s="104" t="inlineStr">
        <is>
          <t>SVC000014</t>
        </is>
      </c>
      <c r="G569" s="104" t="inlineStr">
        <is>
          <t>Front Camera Replacement</t>
        </is>
      </c>
      <c r="H569" s="104" t="inlineStr">
        <is>
          <t>Camera</t>
        </is>
      </c>
      <c r="I569" s="104" t="n"/>
      <c r="J569" s="104" t="n"/>
      <c r="K569" s="104" t="n"/>
      <c r="L569" s="104" t="n"/>
      <c r="M569" s="104" t="n"/>
      <c r="N569" s="104" t="n"/>
      <c r="O569" s="104" t="n"/>
      <c r="P569" s="104" t="n"/>
      <c r="Q569" s="104" t="n"/>
      <c r="R569" s="104" t="n"/>
      <c r="S569" s="110" t="n"/>
      <c r="T569" s="110" t="n"/>
      <c r="U569" s="104" t="n"/>
    </row>
    <row r="570">
      <c r="A570" s="105" t="inlineStr">
        <is>
          <t>GUIDE000569</t>
        </is>
      </c>
      <c r="B570" s="101" t="inlineStr">
        <is>
          <t>DEV000049</t>
        </is>
      </c>
      <c r="C570" s="103" t="inlineStr">
        <is>
          <t>APL</t>
        </is>
      </c>
      <c r="D570" s="103" t="inlineStr">
        <is>
          <t>PHN</t>
        </is>
      </c>
      <c r="E570" s="60" t="inlineStr">
        <is>
          <t>iPhone 17 Pro</t>
        </is>
      </c>
      <c r="F570" s="104" t="inlineStr">
        <is>
          <t>SVC000014</t>
        </is>
      </c>
      <c r="G570" s="104" t="inlineStr">
        <is>
          <t>Front Camera Replacement</t>
        </is>
      </c>
      <c r="H570" s="104" t="inlineStr">
        <is>
          <t>Camera</t>
        </is>
      </c>
      <c r="I570" s="104" t="n"/>
      <c r="J570" s="104" t="n"/>
      <c r="K570" s="104" t="n"/>
      <c r="L570" s="104" t="n"/>
      <c r="M570" s="104" t="n"/>
      <c r="N570" s="104" t="n"/>
      <c r="O570" s="104" t="n"/>
      <c r="P570" s="104" t="n"/>
      <c r="Q570" s="104" t="n"/>
      <c r="R570" s="104" t="n"/>
      <c r="S570" s="110" t="n"/>
      <c r="T570" s="110" t="n"/>
      <c r="U570" s="104" t="n"/>
    </row>
    <row r="571">
      <c r="A571" s="104" t="inlineStr">
        <is>
          <t>GUIDE000570</t>
        </is>
      </c>
      <c r="B571" s="101" t="inlineStr">
        <is>
          <t>DEV000050</t>
        </is>
      </c>
      <c r="C571" s="103" t="inlineStr">
        <is>
          <t>APL</t>
        </is>
      </c>
      <c r="D571" s="103" t="inlineStr">
        <is>
          <t>PHN</t>
        </is>
      </c>
      <c r="E571" s="60" t="inlineStr">
        <is>
          <t>iPhone 17 Pro Max</t>
        </is>
      </c>
      <c r="F571" s="104" t="inlineStr">
        <is>
          <t>SVC000014</t>
        </is>
      </c>
      <c r="G571" s="104" t="inlineStr">
        <is>
          <t>Front Camera Replacement</t>
        </is>
      </c>
      <c r="H571" s="104" t="inlineStr">
        <is>
          <t>Camera</t>
        </is>
      </c>
      <c r="I571" s="104" t="n"/>
      <c r="J571" s="104" t="n"/>
      <c r="K571" s="104" t="n"/>
      <c r="L571" s="104" t="n"/>
      <c r="M571" s="104" t="n"/>
      <c r="N571" s="104" t="n"/>
      <c r="O571" s="104" t="n"/>
      <c r="P571" s="104" t="n"/>
      <c r="Q571" s="104" t="n"/>
      <c r="R571" s="104" t="n"/>
      <c r="S571" s="110" t="n"/>
      <c r="T571" s="110" t="n"/>
      <c r="U571" s="104" t="n"/>
    </row>
    <row r="572">
      <c r="A572" s="104" t="inlineStr">
        <is>
          <t>GUIDE000571</t>
        </is>
      </c>
      <c r="B572" s="101" t="inlineStr">
        <is>
          <t>DEV000051</t>
        </is>
      </c>
      <c r="C572" s="103" t="inlineStr">
        <is>
          <t>APL</t>
        </is>
      </c>
      <c r="D572" s="103" t="inlineStr">
        <is>
          <t>PHN</t>
        </is>
      </c>
      <c r="E572" s="60" t="inlineStr">
        <is>
          <t>iPhone Air</t>
        </is>
      </c>
      <c r="F572" s="104" t="inlineStr">
        <is>
          <t>SVC000014</t>
        </is>
      </c>
      <c r="G572" s="104" t="inlineStr">
        <is>
          <t>Front Camera Replacement</t>
        </is>
      </c>
      <c r="H572" s="104" t="inlineStr">
        <is>
          <t>Camera</t>
        </is>
      </c>
      <c r="I572" s="104" t="n"/>
      <c r="J572" s="104" t="n"/>
      <c r="K572" s="104" t="n"/>
      <c r="L572" s="104" t="n"/>
      <c r="M572" s="104" t="n"/>
      <c r="N572" s="104" t="n"/>
      <c r="O572" s="104" t="n"/>
      <c r="P572" s="104" t="n"/>
      <c r="Q572" s="104" t="n"/>
      <c r="R572" s="104" t="n"/>
      <c r="S572" s="110" t="n"/>
      <c r="T572" s="110" t="n"/>
      <c r="U572" s="104" t="n"/>
    </row>
    <row r="573">
      <c r="A573" s="104" t="inlineStr">
        <is>
          <t>GUIDE000572</t>
        </is>
      </c>
      <c r="B573" s="101" t="inlineStr">
        <is>
          <t>DEV000052</t>
        </is>
      </c>
      <c r="C573" s="103" t="inlineStr">
        <is>
          <t>APL</t>
        </is>
      </c>
      <c r="D573" s="103" t="inlineStr">
        <is>
          <t>PHN</t>
        </is>
      </c>
      <c r="E573" s="60" t="inlineStr">
        <is>
          <t>iPhone 17e</t>
        </is>
      </c>
      <c r="F573" s="104" t="inlineStr">
        <is>
          <t>SVC000014</t>
        </is>
      </c>
      <c r="G573" s="104" t="inlineStr">
        <is>
          <t>Front Camera Replacement</t>
        </is>
      </c>
      <c r="H573" s="104" t="inlineStr">
        <is>
          <t>Camera</t>
        </is>
      </c>
      <c r="I573" s="104" t="n"/>
      <c r="J573" s="104" t="n"/>
      <c r="K573" s="104" t="n"/>
      <c r="L573" s="104" t="n"/>
      <c r="M573" s="104" t="n"/>
      <c r="N573" s="104" t="n"/>
      <c r="O573" s="104" t="n"/>
      <c r="P573" s="104" t="n"/>
      <c r="Q573" s="104" t="n"/>
      <c r="R573" s="104" t="n"/>
      <c r="S573" s="110" t="n"/>
      <c r="T573" s="110" t="n"/>
      <c r="U573" s="104" t="n"/>
    </row>
    <row r="574">
      <c r="A574" s="105" t="inlineStr">
        <is>
          <t>GUIDE000573</t>
        </is>
      </c>
      <c r="B574" s="101" t="inlineStr">
        <is>
          <t>DEV000001</t>
        </is>
      </c>
      <c r="C574" s="103" t="inlineStr">
        <is>
          <t>APL</t>
        </is>
      </c>
      <c r="D574" s="103" t="inlineStr">
        <is>
          <t>PHN</t>
        </is>
      </c>
      <c r="E574" s="60" t="inlineStr">
        <is>
          <t>iPhone (2G)</t>
        </is>
      </c>
      <c r="F574" s="104" t="inlineStr">
        <is>
          <t>SVC000015</t>
        </is>
      </c>
      <c r="G574" s="104" t="inlineStr">
        <is>
          <t>Camera Lens Replacement</t>
        </is>
      </c>
      <c r="H574" s="104" t="inlineStr">
        <is>
          <t>Camera</t>
        </is>
      </c>
      <c r="I574" s="104" t="n"/>
      <c r="J574" s="104" t="n"/>
      <c r="K574" s="104" t="n"/>
      <c r="L574" s="104" t="n"/>
      <c r="M574" s="104" t="n"/>
      <c r="N574" s="104" t="n"/>
      <c r="O574" s="104" t="n"/>
      <c r="P574" s="104" t="n"/>
      <c r="Q574" s="104" t="n"/>
      <c r="R574" s="104" t="n"/>
      <c r="S574" s="110" t="n"/>
      <c r="T574" s="110" t="n"/>
      <c r="U574" s="104" t="n"/>
    </row>
    <row r="575">
      <c r="A575" s="104" t="inlineStr">
        <is>
          <t>GUIDE000574</t>
        </is>
      </c>
      <c r="B575" s="101" t="inlineStr">
        <is>
          <t>DEV000002</t>
        </is>
      </c>
      <c r="C575" s="103" t="inlineStr">
        <is>
          <t>APL</t>
        </is>
      </c>
      <c r="D575" s="103" t="inlineStr">
        <is>
          <t>PHN</t>
        </is>
      </c>
      <c r="E575" s="60" t="inlineStr">
        <is>
          <t>iPhone 3G</t>
        </is>
      </c>
      <c r="F575" s="104" t="inlineStr">
        <is>
          <t>SVC000015</t>
        </is>
      </c>
      <c r="G575" s="104" t="inlineStr">
        <is>
          <t>Camera Lens Replacement</t>
        </is>
      </c>
      <c r="H575" s="104" t="inlineStr">
        <is>
          <t>Camera</t>
        </is>
      </c>
      <c r="I575" s="104" t="n"/>
      <c r="J575" s="104" t="n"/>
      <c r="K575" s="104" t="n"/>
      <c r="L575" s="104" t="n"/>
      <c r="M575" s="104" t="n"/>
      <c r="N575" s="104" t="n"/>
      <c r="O575" s="104" t="n"/>
      <c r="P575" s="104" t="n"/>
      <c r="Q575" s="104" t="n"/>
      <c r="R575" s="104" t="n"/>
      <c r="S575" s="110" t="n"/>
      <c r="T575" s="110" t="n"/>
      <c r="U575" s="104" t="n"/>
    </row>
    <row r="576">
      <c r="A576" s="104" t="inlineStr">
        <is>
          <t>GUIDE000575</t>
        </is>
      </c>
      <c r="B576" s="101" t="inlineStr">
        <is>
          <t>DEV000003</t>
        </is>
      </c>
      <c r="C576" s="103" t="inlineStr">
        <is>
          <t>APL</t>
        </is>
      </c>
      <c r="D576" s="103" t="inlineStr">
        <is>
          <t>PHN</t>
        </is>
      </c>
      <c r="E576" s="60" t="inlineStr">
        <is>
          <t>iPhone 3GS</t>
        </is>
      </c>
      <c r="F576" s="104" t="inlineStr">
        <is>
          <t>SVC000015</t>
        </is>
      </c>
      <c r="G576" s="104" t="inlineStr">
        <is>
          <t>Camera Lens Replacement</t>
        </is>
      </c>
      <c r="H576" s="104" t="inlineStr">
        <is>
          <t>Camera</t>
        </is>
      </c>
      <c r="I576" s="104" t="n"/>
      <c r="J576" s="104" t="n"/>
      <c r="K576" s="104" t="n"/>
      <c r="L576" s="104" t="n"/>
      <c r="M576" s="104" t="n"/>
      <c r="N576" s="104" t="n"/>
      <c r="O576" s="104" t="n"/>
      <c r="P576" s="104" t="n"/>
      <c r="Q576" s="104" t="n"/>
      <c r="R576" s="104" t="n"/>
      <c r="S576" s="110" t="n"/>
      <c r="T576" s="110" t="n"/>
      <c r="U576" s="104" t="n"/>
    </row>
    <row r="577">
      <c r="A577" s="104" t="inlineStr">
        <is>
          <t>GUIDE000576</t>
        </is>
      </c>
      <c r="B577" s="101" t="inlineStr">
        <is>
          <t>DEV000004</t>
        </is>
      </c>
      <c r="C577" s="103" t="inlineStr">
        <is>
          <t>APL</t>
        </is>
      </c>
      <c r="D577" s="103" t="inlineStr">
        <is>
          <t>PHN</t>
        </is>
      </c>
      <c r="E577" s="60" t="inlineStr">
        <is>
          <t>iPhone 4</t>
        </is>
      </c>
      <c r="F577" s="104" t="inlineStr">
        <is>
          <t>SVC000015</t>
        </is>
      </c>
      <c r="G577" s="104" t="inlineStr">
        <is>
          <t>Camera Lens Replacement</t>
        </is>
      </c>
      <c r="H577" s="104" t="inlineStr">
        <is>
          <t>Camera</t>
        </is>
      </c>
      <c r="I577" s="104" t="n"/>
      <c r="J577" s="104" t="n"/>
      <c r="K577" s="104" t="n"/>
      <c r="L577" s="104" t="n"/>
      <c r="M577" s="104" t="n"/>
      <c r="N577" s="104" t="n"/>
      <c r="O577" s="104" t="n"/>
      <c r="P577" s="104" t="n"/>
      <c r="Q577" s="104" t="n"/>
      <c r="R577" s="104" t="n"/>
      <c r="S577" s="110" t="n"/>
      <c r="T577" s="110" t="n"/>
      <c r="U577" s="104" t="n"/>
    </row>
    <row r="578">
      <c r="A578" s="104" t="inlineStr">
        <is>
          <t>GUIDE000577</t>
        </is>
      </c>
      <c r="B578" s="101" t="inlineStr">
        <is>
          <t>DEV000005</t>
        </is>
      </c>
      <c r="C578" s="103" t="inlineStr">
        <is>
          <t>APL</t>
        </is>
      </c>
      <c r="D578" s="103" t="inlineStr">
        <is>
          <t>PHN</t>
        </is>
      </c>
      <c r="E578" s="60" t="inlineStr">
        <is>
          <t>iPhone 4s</t>
        </is>
      </c>
      <c r="F578" s="104" t="inlineStr">
        <is>
          <t>SVC000015</t>
        </is>
      </c>
      <c r="G578" s="104" t="inlineStr">
        <is>
          <t>Camera Lens Replacement</t>
        </is>
      </c>
      <c r="H578" s="104" t="inlineStr">
        <is>
          <t>Camera</t>
        </is>
      </c>
      <c r="I578" s="104" t="n"/>
      <c r="J578" s="104" t="n"/>
      <c r="K578" s="104" t="n"/>
      <c r="L578" s="104" t="n"/>
      <c r="M578" s="104" t="n"/>
      <c r="N578" s="104" t="n"/>
      <c r="O578" s="104" t="n"/>
      <c r="P578" s="104" t="n"/>
      <c r="Q578" s="104" t="n"/>
      <c r="R578" s="104" t="n"/>
      <c r="S578" s="110" t="n"/>
      <c r="T578" s="110" t="n"/>
      <c r="U578" s="104" t="n"/>
    </row>
    <row r="579">
      <c r="A579" s="105" t="inlineStr">
        <is>
          <t>GUIDE000578</t>
        </is>
      </c>
      <c r="B579" s="101" t="inlineStr">
        <is>
          <t>DEV000006</t>
        </is>
      </c>
      <c r="C579" s="103" t="inlineStr">
        <is>
          <t>APL</t>
        </is>
      </c>
      <c r="D579" s="103" t="inlineStr">
        <is>
          <t>PHN</t>
        </is>
      </c>
      <c r="E579" s="60" t="inlineStr">
        <is>
          <t>iPhone 5</t>
        </is>
      </c>
      <c r="F579" s="104" t="inlineStr">
        <is>
          <t>SVC000015</t>
        </is>
      </c>
      <c r="G579" s="104" t="inlineStr">
        <is>
          <t>Camera Lens Replacement</t>
        </is>
      </c>
      <c r="H579" s="104" t="inlineStr">
        <is>
          <t>Camera</t>
        </is>
      </c>
      <c r="I579" s="104" t="n"/>
      <c r="J579" s="104" t="n"/>
      <c r="K579" s="104" t="n"/>
      <c r="L579" s="104" t="n"/>
      <c r="M579" s="104" t="n"/>
      <c r="N579" s="104" t="n"/>
      <c r="O579" s="104" t="n"/>
      <c r="P579" s="104" t="n"/>
      <c r="Q579" s="104" t="n"/>
      <c r="R579" s="104" t="n"/>
      <c r="S579" s="110" t="n"/>
      <c r="T579" s="110" t="n"/>
      <c r="U579" s="104" t="n"/>
    </row>
    <row r="580">
      <c r="A580" s="104" t="inlineStr">
        <is>
          <t>GUIDE000579</t>
        </is>
      </c>
      <c r="B580" s="101" t="inlineStr">
        <is>
          <t>DEV000007</t>
        </is>
      </c>
      <c r="C580" s="103" t="inlineStr">
        <is>
          <t>APL</t>
        </is>
      </c>
      <c r="D580" s="103" t="inlineStr">
        <is>
          <t>PHN</t>
        </is>
      </c>
      <c r="E580" s="60" t="inlineStr">
        <is>
          <t>iPhone 5c</t>
        </is>
      </c>
      <c r="F580" s="104" t="inlineStr">
        <is>
          <t>SVC000015</t>
        </is>
      </c>
      <c r="G580" s="104" t="inlineStr">
        <is>
          <t>Camera Lens Replacement</t>
        </is>
      </c>
      <c r="H580" s="104" t="inlineStr">
        <is>
          <t>Camera</t>
        </is>
      </c>
      <c r="I580" s="104" t="n"/>
      <c r="J580" s="104" t="n"/>
      <c r="K580" s="104" t="n"/>
      <c r="L580" s="104" t="n"/>
      <c r="M580" s="104" t="n"/>
      <c r="N580" s="104" t="n"/>
      <c r="O580" s="104" t="n"/>
      <c r="P580" s="104" t="n"/>
      <c r="Q580" s="104" t="n"/>
      <c r="R580" s="104" t="n"/>
      <c r="S580" s="110" t="n"/>
      <c r="T580" s="110" t="n"/>
      <c r="U580" s="104" t="n"/>
    </row>
    <row r="581">
      <c r="A581" s="104" t="inlineStr">
        <is>
          <t>GUIDE000580</t>
        </is>
      </c>
      <c r="B581" s="101" t="inlineStr">
        <is>
          <t>DEV000008</t>
        </is>
      </c>
      <c r="C581" s="103" t="inlineStr">
        <is>
          <t>APL</t>
        </is>
      </c>
      <c r="D581" s="103" t="inlineStr">
        <is>
          <t>PHN</t>
        </is>
      </c>
      <c r="E581" s="60" t="inlineStr">
        <is>
          <t>iPhone 5s</t>
        </is>
      </c>
      <c r="F581" s="104" t="inlineStr">
        <is>
          <t>SVC000015</t>
        </is>
      </c>
      <c r="G581" s="104" t="inlineStr">
        <is>
          <t>Camera Lens Replacement</t>
        </is>
      </c>
      <c r="H581" s="104" t="inlineStr">
        <is>
          <t>Camera</t>
        </is>
      </c>
      <c r="I581" s="104" t="n"/>
      <c r="J581" s="104" t="n"/>
      <c r="K581" s="104" t="n"/>
      <c r="L581" s="104" t="n"/>
      <c r="M581" s="104" t="n"/>
      <c r="N581" s="104" t="n"/>
      <c r="O581" s="104" t="n"/>
      <c r="P581" s="104" t="n"/>
      <c r="Q581" s="104" t="n"/>
      <c r="R581" s="104" t="n"/>
      <c r="S581" s="110" t="n"/>
      <c r="T581" s="110" t="n"/>
      <c r="U581" s="104" t="n"/>
    </row>
    <row r="582">
      <c r="A582" s="104" t="inlineStr">
        <is>
          <t>GUIDE000581</t>
        </is>
      </c>
      <c r="B582" s="101" t="inlineStr">
        <is>
          <t>DEV000009</t>
        </is>
      </c>
      <c r="C582" s="103" t="inlineStr">
        <is>
          <t>APL</t>
        </is>
      </c>
      <c r="D582" s="103" t="inlineStr">
        <is>
          <t>PHN</t>
        </is>
      </c>
      <c r="E582" s="60" t="inlineStr">
        <is>
          <t>iPhone 6</t>
        </is>
      </c>
      <c r="F582" s="104" t="inlineStr">
        <is>
          <t>SVC000015</t>
        </is>
      </c>
      <c r="G582" s="104" t="inlineStr">
        <is>
          <t>Camera Lens Replacement</t>
        </is>
      </c>
      <c r="H582" s="104" t="inlineStr">
        <is>
          <t>Camera</t>
        </is>
      </c>
      <c r="I582" s="104" t="n"/>
      <c r="J582" s="104" t="n"/>
      <c r="K582" s="104" t="n"/>
      <c r="L582" s="104" t="n"/>
      <c r="M582" s="104" t="n"/>
      <c r="N582" s="104" t="n"/>
      <c r="O582" s="104" t="n"/>
      <c r="P582" s="104" t="n"/>
      <c r="Q582" s="104" t="n"/>
      <c r="R582" s="104" t="n"/>
      <c r="S582" s="110" t="n"/>
      <c r="T582" s="110" t="n"/>
      <c r="U582" s="104" t="n"/>
    </row>
    <row r="583">
      <c r="A583" s="105" t="inlineStr">
        <is>
          <t>GUIDE000582</t>
        </is>
      </c>
      <c r="B583" s="101" t="inlineStr">
        <is>
          <t>DEV000010</t>
        </is>
      </c>
      <c r="C583" s="103" t="inlineStr">
        <is>
          <t>APL</t>
        </is>
      </c>
      <c r="D583" s="103" t="inlineStr">
        <is>
          <t>PHN</t>
        </is>
      </c>
      <c r="E583" s="60" t="inlineStr">
        <is>
          <t>iPhone 6 Plus</t>
        </is>
      </c>
      <c r="F583" s="104" t="inlineStr">
        <is>
          <t>SVC000015</t>
        </is>
      </c>
      <c r="G583" s="104" t="inlineStr">
        <is>
          <t>Camera Lens Replacement</t>
        </is>
      </c>
      <c r="H583" s="104" t="inlineStr">
        <is>
          <t>Camera</t>
        </is>
      </c>
      <c r="I583" s="104" t="n"/>
      <c r="J583" s="104" t="n"/>
      <c r="K583" s="104" t="n"/>
      <c r="L583" s="104" t="n"/>
      <c r="M583" s="104" t="n"/>
      <c r="N583" s="104" t="n"/>
      <c r="O583" s="104" t="n"/>
      <c r="P583" s="104" t="n"/>
      <c r="Q583" s="104" t="n"/>
      <c r="R583" s="104" t="n"/>
      <c r="S583" s="110" t="n"/>
      <c r="T583" s="110" t="n"/>
      <c r="U583" s="104" t="n"/>
    </row>
    <row r="584">
      <c r="A584" s="104" t="inlineStr">
        <is>
          <t>GUIDE000583</t>
        </is>
      </c>
      <c r="B584" s="101" t="inlineStr">
        <is>
          <t>DEV000011</t>
        </is>
      </c>
      <c r="C584" s="103" t="inlineStr">
        <is>
          <t>APL</t>
        </is>
      </c>
      <c r="D584" s="103" t="inlineStr">
        <is>
          <t>PHN</t>
        </is>
      </c>
      <c r="E584" s="60" t="inlineStr">
        <is>
          <t>iPhone 6s</t>
        </is>
      </c>
      <c r="F584" s="104" t="inlineStr">
        <is>
          <t>SVC000015</t>
        </is>
      </c>
      <c r="G584" s="104" t="inlineStr">
        <is>
          <t>Camera Lens Replacement</t>
        </is>
      </c>
      <c r="H584" s="104" t="inlineStr">
        <is>
          <t>Camera</t>
        </is>
      </c>
      <c r="I584" s="104" t="n"/>
      <c r="J584" s="104" t="n"/>
      <c r="K584" s="104" t="n"/>
      <c r="L584" s="104" t="n"/>
      <c r="M584" s="104" t="n"/>
      <c r="N584" s="104" t="n"/>
      <c r="O584" s="104" t="n"/>
      <c r="P584" s="104" t="n"/>
      <c r="Q584" s="104" t="n"/>
      <c r="R584" s="104" t="n"/>
      <c r="S584" s="110" t="n"/>
      <c r="T584" s="110" t="n"/>
      <c r="U584" s="104" t="n"/>
    </row>
    <row r="585">
      <c r="A585" s="104" t="inlineStr">
        <is>
          <t>GUIDE000584</t>
        </is>
      </c>
      <c r="B585" s="101" t="inlineStr">
        <is>
          <t>DEV000012</t>
        </is>
      </c>
      <c r="C585" s="103" t="inlineStr">
        <is>
          <t>APL</t>
        </is>
      </c>
      <c r="D585" s="103" t="inlineStr">
        <is>
          <t>PHN</t>
        </is>
      </c>
      <c r="E585" s="60" t="inlineStr">
        <is>
          <t>iPhone 6s Plus</t>
        </is>
      </c>
      <c r="F585" s="104" t="inlineStr">
        <is>
          <t>SVC000015</t>
        </is>
      </c>
      <c r="G585" s="104" t="inlineStr">
        <is>
          <t>Camera Lens Replacement</t>
        </is>
      </c>
      <c r="H585" s="104" t="inlineStr">
        <is>
          <t>Camera</t>
        </is>
      </c>
      <c r="I585" s="104" t="n"/>
      <c r="J585" s="104" t="n"/>
      <c r="K585" s="104" t="n"/>
      <c r="L585" s="104" t="n"/>
      <c r="M585" s="104" t="n"/>
      <c r="N585" s="104" t="n"/>
      <c r="O585" s="104" t="n"/>
      <c r="P585" s="104" t="n"/>
      <c r="Q585" s="104" t="n"/>
      <c r="R585" s="104" t="n"/>
      <c r="S585" s="110" t="n"/>
      <c r="T585" s="110" t="n"/>
      <c r="U585" s="104" t="n"/>
    </row>
    <row r="586">
      <c r="A586" s="104" t="inlineStr">
        <is>
          <t>GUIDE000585</t>
        </is>
      </c>
      <c r="B586" s="101" t="inlineStr">
        <is>
          <t>DEV000013</t>
        </is>
      </c>
      <c r="C586" s="103" t="inlineStr">
        <is>
          <t>APL</t>
        </is>
      </c>
      <c r="D586" s="103" t="inlineStr">
        <is>
          <t>PHN</t>
        </is>
      </c>
      <c r="E586" s="60" t="inlineStr">
        <is>
          <t>iPhone SE (1st Gen)</t>
        </is>
      </c>
      <c r="F586" s="104" t="inlineStr">
        <is>
          <t>SVC000015</t>
        </is>
      </c>
      <c r="G586" s="104" t="inlineStr">
        <is>
          <t>Camera Lens Replacement</t>
        </is>
      </c>
      <c r="H586" s="104" t="inlineStr">
        <is>
          <t>Camera</t>
        </is>
      </c>
      <c r="I586" s="104" t="n"/>
      <c r="J586" s="104" t="n"/>
      <c r="K586" s="104" t="n"/>
      <c r="L586" s="104" t="n"/>
      <c r="M586" s="104" t="n"/>
      <c r="N586" s="104" t="n"/>
      <c r="O586" s="104" t="n"/>
      <c r="P586" s="104" t="n"/>
      <c r="Q586" s="104" t="n"/>
      <c r="R586" s="104" t="n"/>
      <c r="S586" s="110" t="n"/>
      <c r="T586" s="110" t="n"/>
      <c r="U586" s="104" t="n"/>
    </row>
    <row r="587">
      <c r="A587" s="104" t="inlineStr">
        <is>
          <t>GUIDE000586</t>
        </is>
      </c>
      <c r="B587" s="101" t="inlineStr">
        <is>
          <t>DEV000014</t>
        </is>
      </c>
      <c r="C587" s="103" t="inlineStr">
        <is>
          <t>APL</t>
        </is>
      </c>
      <c r="D587" s="103" t="inlineStr">
        <is>
          <t>PHN</t>
        </is>
      </c>
      <c r="E587" s="60" t="inlineStr">
        <is>
          <t>iPhone 7</t>
        </is>
      </c>
      <c r="F587" s="104" t="inlineStr">
        <is>
          <t>SVC000015</t>
        </is>
      </c>
      <c r="G587" s="104" t="inlineStr">
        <is>
          <t>Camera Lens Replacement</t>
        </is>
      </c>
      <c r="H587" s="104" t="inlineStr">
        <is>
          <t>Camera</t>
        </is>
      </c>
      <c r="I587" s="104" t="n"/>
      <c r="J587" s="104" t="n"/>
      <c r="K587" s="104" t="n"/>
      <c r="L587" s="104" t="n"/>
      <c r="M587" s="104" t="n"/>
      <c r="N587" s="104" t="n"/>
      <c r="O587" s="104" t="n"/>
      <c r="P587" s="104" t="n"/>
      <c r="Q587" s="104" t="n"/>
      <c r="R587" s="104" t="n"/>
      <c r="S587" s="110" t="n"/>
      <c r="T587" s="110" t="n"/>
      <c r="U587" s="104" t="n"/>
    </row>
    <row r="588">
      <c r="A588" s="105" t="inlineStr">
        <is>
          <t>GUIDE000587</t>
        </is>
      </c>
      <c r="B588" s="101" t="inlineStr">
        <is>
          <t>DEV000015</t>
        </is>
      </c>
      <c r="C588" s="103" t="inlineStr">
        <is>
          <t>APL</t>
        </is>
      </c>
      <c r="D588" s="103" t="inlineStr">
        <is>
          <t>PHN</t>
        </is>
      </c>
      <c r="E588" s="60" t="inlineStr">
        <is>
          <t>iPhone 7 Plus</t>
        </is>
      </c>
      <c r="F588" s="104" t="inlineStr">
        <is>
          <t>SVC000015</t>
        </is>
      </c>
      <c r="G588" s="104" t="inlineStr">
        <is>
          <t>Camera Lens Replacement</t>
        </is>
      </c>
      <c r="H588" s="104" t="inlineStr">
        <is>
          <t>Camera</t>
        </is>
      </c>
      <c r="I588" s="104" t="n"/>
      <c r="J588" s="104" t="n"/>
      <c r="K588" s="104" t="n"/>
      <c r="L588" s="104" t="n"/>
      <c r="M588" s="104" t="n"/>
      <c r="N588" s="104" t="n"/>
      <c r="O588" s="104" t="n"/>
      <c r="P588" s="104" t="n"/>
      <c r="Q588" s="104" t="n"/>
      <c r="R588" s="104" t="n"/>
      <c r="S588" s="110" t="n"/>
      <c r="T588" s="110" t="n"/>
      <c r="U588" s="104" t="n"/>
    </row>
    <row r="589">
      <c r="A589" s="104" t="inlineStr">
        <is>
          <t>GUIDE000588</t>
        </is>
      </c>
      <c r="B589" s="101" t="inlineStr">
        <is>
          <t>DEV000016</t>
        </is>
      </c>
      <c r="C589" s="103" t="inlineStr">
        <is>
          <t>APL</t>
        </is>
      </c>
      <c r="D589" s="103" t="inlineStr">
        <is>
          <t>PHN</t>
        </is>
      </c>
      <c r="E589" s="60" t="inlineStr">
        <is>
          <t>iPhone 8</t>
        </is>
      </c>
      <c r="F589" s="104" t="inlineStr">
        <is>
          <t>SVC000015</t>
        </is>
      </c>
      <c r="G589" s="104" t="inlineStr">
        <is>
          <t>Camera Lens Replacement</t>
        </is>
      </c>
      <c r="H589" s="104" t="inlineStr">
        <is>
          <t>Camera</t>
        </is>
      </c>
      <c r="I589" s="104" t="n"/>
      <c r="J589" s="104" t="n"/>
      <c r="K589" s="104" t="n"/>
      <c r="L589" s="104" t="n"/>
      <c r="M589" s="104" t="n"/>
      <c r="N589" s="104" t="n"/>
      <c r="O589" s="104" t="n"/>
      <c r="P589" s="104" t="n"/>
      <c r="Q589" s="104" t="n"/>
      <c r="R589" s="104" t="n"/>
      <c r="S589" s="110" t="n"/>
      <c r="T589" s="110" t="n"/>
      <c r="U589" s="104" t="n"/>
    </row>
    <row r="590">
      <c r="A590" s="104" t="inlineStr">
        <is>
          <t>GUIDE000589</t>
        </is>
      </c>
      <c r="B590" s="101" t="inlineStr">
        <is>
          <t>DEV000017</t>
        </is>
      </c>
      <c r="C590" s="103" t="inlineStr">
        <is>
          <t>APL</t>
        </is>
      </c>
      <c r="D590" s="103" t="inlineStr">
        <is>
          <t>PHN</t>
        </is>
      </c>
      <c r="E590" s="60" t="inlineStr">
        <is>
          <t>iPhone 8 Plus</t>
        </is>
      </c>
      <c r="F590" s="104" t="inlineStr">
        <is>
          <t>SVC000015</t>
        </is>
      </c>
      <c r="G590" s="104" t="inlineStr">
        <is>
          <t>Camera Lens Replacement</t>
        </is>
      </c>
      <c r="H590" s="104" t="inlineStr">
        <is>
          <t>Camera</t>
        </is>
      </c>
      <c r="I590" s="104" t="n"/>
      <c r="J590" s="104" t="n"/>
      <c r="K590" s="104" t="n"/>
      <c r="L590" s="104" t="n"/>
      <c r="M590" s="104" t="n"/>
      <c r="N590" s="104" t="n"/>
      <c r="O590" s="104" t="n"/>
      <c r="P590" s="104" t="n"/>
      <c r="Q590" s="104" t="n"/>
      <c r="R590" s="104" t="n"/>
      <c r="S590" s="110" t="n"/>
      <c r="T590" s="110" t="n"/>
      <c r="U590" s="104" t="n"/>
    </row>
    <row r="591">
      <c r="A591" s="104" t="inlineStr">
        <is>
          <t>GUIDE000590</t>
        </is>
      </c>
      <c r="B591" s="101" t="inlineStr">
        <is>
          <t>DEV000018</t>
        </is>
      </c>
      <c r="C591" s="103" t="inlineStr">
        <is>
          <t>APL</t>
        </is>
      </c>
      <c r="D591" s="103" t="inlineStr">
        <is>
          <t>PHN</t>
        </is>
      </c>
      <c r="E591" s="60" t="inlineStr">
        <is>
          <t>iPhone X</t>
        </is>
      </c>
      <c r="F591" s="104" t="inlineStr">
        <is>
          <t>SVC000015</t>
        </is>
      </c>
      <c r="G591" s="104" t="inlineStr">
        <is>
          <t>Camera Lens Replacement</t>
        </is>
      </c>
      <c r="H591" s="104" t="inlineStr">
        <is>
          <t>Camera</t>
        </is>
      </c>
      <c r="I591" s="104" t="n"/>
      <c r="J591" s="104" t="n"/>
      <c r="K591" s="104" t="n"/>
      <c r="L591" s="104" t="n"/>
      <c r="M591" s="104" t="n"/>
      <c r="N591" s="104" t="n"/>
      <c r="O591" s="104" t="n"/>
      <c r="P591" s="104" t="n"/>
      <c r="Q591" s="104" t="n"/>
      <c r="R591" s="104" t="n"/>
      <c r="S591" s="110" t="n"/>
      <c r="T591" s="110" t="n"/>
      <c r="U591" s="104" t="n"/>
    </row>
    <row r="592">
      <c r="A592" s="105" t="inlineStr">
        <is>
          <t>GUIDE000591</t>
        </is>
      </c>
      <c r="B592" s="101" t="inlineStr">
        <is>
          <t>DEV000019</t>
        </is>
      </c>
      <c r="C592" s="103" t="inlineStr">
        <is>
          <t>APL</t>
        </is>
      </c>
      <c r="D592" s="103" t="inlineStr">
        <is>
          <t>PHN</t>
        </is>
      </c>
      <c r="E592" s="60" t="inlineStr">
        <is>
          <t>iPhone XR</t>
        </is>
      </c>
      <c r="F592" s="104" t="inlineStr">
        <is>
          <t>SVC000015</t>
        </is>
      </c>
      <c r="G592" s="104" t="inlineStr">
        <is>
          <t>Camera Lens Replacement</t>
        </is>
      </c>
      <c r="H592" s="104" t="inlineStr">
        <is>
          <t>Camera</t>
        </is>
      </c>
      <c r="I592" s="104" t="n"/>
      <c r="J592" s="104" t="n"/>
      <c r="K592" s="104" t="n"/>
      <c r="L592" s="104" t="n"/>
      <c r="M592" s="104" t="n"/>
      <c r="N592" s="104" t="n"/>
      <c r="O592" s="104" t="n"/>
      <c r="P592" s="104" t="n"/>
      <c r="Q592" s="104" t="n"/>
      <c r="R592" s="104" t="n"/>
      <c r="S592" s="110" t="n"/>
      <c r="T592" s="110" t="n"/>
      <c r="U592" s="104" t="n"/>
    </row>
    <row r="593">
      <c r="A593" s="104" t="inlineStr">
        <is>
          <t>GUIDE000592</t>
        </is>
      </c>
      <c r="B593" s="101" t="inlineStr">
        <is>
          <t>DEV000020</t>
        </is>
      </c>
      <c r="C593" s="103" t="inlineStr">
        <is>
          <t>APL</t>
        </is>
      </c>
      <c r="D593" s="103" t="inlineStr">
        <is>
          <t>PHN</t>
        </is>
      </c>
      <c r="E593" s="60" t="inlineStr">
        <is>
          <t>iPhone XS</t>
        </is>
      </c>
      <c r="F593" s="104" t="inlineStr">
        <is>
          <t>SVC000015</t>
        </is>
      </c>
      <c r="G593" s="104" t="inlineStr">
        <is>
          <t>Camera Lens Replacement</t>
        </is>
      </c>
      <c r="H593" s="104" t="inlineStr">
        <is>
          <t>Camera</t>
        </is>
      </c>
      <c r="I593" s="104" t="n"/>
      <c r="J593" s="104" t="n"/>
      <c r="K593" s="104" t="n"/>
      <c r="L593" s="104" t="n"/>
      <c r="M593" s="104" t="n"/>
      <c r="N593" s="104" t="n"/>
      <c r="O593" s="104" t="n"/>
      <c r="P593" s="104" t="n"/>
      <c r="Q593" s="104" t="n"/>
      <c r="R593" s="104" t="n"/>
      <c r="S593" s="110" t="n"/>
      <c r="T593" s="110" t="n"/>
      <c r="U593" s="104" t="n"/>
    </row>
    <row r="594">
      <c r="A594" s="104" t="inlineStr">
        <is>
          <t>GUIDE000593</t>
        </is>
      </c>
      <c r="B594" s="101" t="inlineStr">
        <is>
          <t>DEV000021</t>
        </is>
      </c>
      <c r="C594" s="103" t="inlineStr">
        <is>
          <t>APL</t>
        </is>
      </c>
      <c r="D594" s="103" t="inlineStr">
        <is>
          <t>PHN</t>
        </is>
      </c>
      <c r="E594" s="60" t="inlineStr">
        <is>
          <t>iPhone XS Max</t>
        </is>
      </c>
      <c r="F594" s="104" t="inlineStr">
        <is>
          <t>SVC000015</t>
        </is>
      </c>
      <c r="G594" s="104" t="inlineStr">
        <is>
          <t>Camera Lens Replacement</t>
        </is>
      </c>
      <c r="H594" s="104" t="inlineStr">
        <is>
          <t>Camera</t>
        </is>
      </c>
      <c r="I594" s="104" t="n"/>
      <c r="J594" s="104" t="n"/>
      <c r="K594" s="104" t="n"/>
      <c r="L594" s="104" t="n"/>
      <c r="M594" s="104" t="n"/>
      <c r="N594" s="104" t="n"/>
      <c r="O594" s="104" t="n"/>
      <c r="P594" s="104" t="n"/>
      <c r="Q594" s="104" t="n"/>
      <c r="R594" s="104" t="n"/>
      <c r="S594" s="110" t="n"/>
      <c r="T594" s="110" t="n"/>
      <c r="U594" s="104" t="n"/>
    </row>
    <row r="595">
      <c r="A595" s="104" t="inlineStr">
        <is>
          <t>GUIDE000594</t>
        </is>
      </c>
      <c r="B595" s="101" t="inlineStr">
        <is>
          <t>DEV000022</t>
        </is>
      </c>
      <c r="C595" s="103" t="inlineStr">
        <is>
          <t>APL</t>
        </is>
      </c>
      <c r="D595" s="103" t="inlineStr">
        <is>
          <t>PHN</t>
        </is>
      </c>
      <c r="E595" s="60" t="inlineStr">
        <is>
          <t>iPhone 11</t>
        </is>
      </c>
      <c r="F595" s="104" t="inlineStr">
        <is>
          <t>SVC000015</t>
        </is>
      </c>
      <c r="G595" s="104" t="inlineStr">
        <is>
          <t>Camera Lens Replacement</t>
        </is>
      </c>
      <c r="H595" s="104" t="inlineStr">
        <is>
          <t>Camera</t>
        </is>
      </c>
      <c r="I595" s="104" t="n"/>
      <c r="J595" s="104" t="n"/>
      <c r="K595" s="104" t="n"/>
      <c r="L595" s="104" t="n"/>
      <c r="M595" s="104" t="n"/>
      <c r="N595" s="104" t="n"/>
      <c r="O595" s="104" t="n"/>
      <c r="P595" s="104" t="n"/>
      <c r="Q595" s="104" t="n"/>
      <c r="R595" s="104" t="n"/>
      <c r="S595" s="110" t="n"/>
      <c r="T595" s="110" t="n"/>
      <c r="U595" s="104" t="n"/>
    </row>
    <row r="596">
      <c r="A596" s="104" t="inlineStr">
        <is>
          <t>GUIDE000595</t>
        </is>
      </c>
      <c r="B596" s="101" t="inlineStr">
        <is>
          <t>DEV000023</t>
        </is>
      </c>
      <c r="C596" s="103" t="inlineStr">
        <is>
          <t>APL</t>
        </is>
      </c>
      <c r="D596" s="103" t="inlineStr">
        <is>
          <t>PHN</t>
        </is>
      </c>
      <c r="E596" s="60" t="inlineStr">
        <is>
          <t>iPhone 11 Pro</t>
        </is>
      </c>
      <c r="F596" s="104" t="inlineStr">
        <is>
          <t>SVC000015</t>
        </is>
      </c>
      <c r="G596" s="104" t="inlineStr">
        <is>
          <t>Camera Lens Replacement</t>
        </is>
      </c>
      <c r="H596" s="104" t="inlineStr">
        <is>
          <t>Camera</t>
        </is>
      </c>
      <c r="I596" s="104" t="n"/>
      <c r="J596" s="104" t="n"/>
      <c r="K596" s="104" t="n"/>
      <c r="L596" s="104" t="n"/>
      <c r="M596" s="104" t="n"/>
      <c r="N596" s="104" t="n"/>
      <c r="O596" s="104" t="n"/>
      <c r="P596" s="104" t="n"/>
      <c r="Q596" s="104" t="n"/>
      <c r="R596" s="104" t="n"/>
      <c r="S596" s="110" t="n"/>
      <c r="T596" s="110" t="n"/>
      <c r="U596" s="104" t="n"/>
    </row>
    <row r="597">
      <c r="A597" s="105" t="inlineStr">
        <is>
          <t>GUIDE000596</t>
        </is>
      </c>
      <c r="B597" s="101" t="inlineStr">
        <is>
          <t>DEV000024</t>
        </is>
      </c>
      <c r="C597" s="103" t="inlineStr">
        <is>
          <t>APL</t>
        </is>
      </c>
      <c r="D597" s="103" t="inlineStr">
        <is>
          <t>PHN</t>
        </is>
      </c>
      <c r="E597" s="60" t="inlineStr">
        <is>
          <t>iPhone 11 Pro Max</t>
        </is>
      </c>
      <c r="F597" s="104" t="inlineStr">
        <is>
          <t>SVC000015</t>
        </is>
      </c>
      <c r="G597" s="104" t="inlineStr">
        <is>
          <t>Camera Lens Replacement</t>
        </is>
      </c>
      <c r="H597" s="104" t="inlineStr">
        <is>
          <t>Camera</t>
        </is>
      </c>
      <c r="I597" s="104" t="n"/>
      <c r="J597" s="104" t="n"/>
      <c r="K597" s="104" t="n"/>
      <c r="L597" s="104" t="n"/>
      <c r="M597" s="104" t="n"/>
      <c r="N597" s="104" t="n"/>
      <c r="O597" s="104" t="n"/>
      <c r="P597" s="104" t="n"/>
      <c r="Q597" s="104" t="n"/>
      <c r="R597" s="104" t="n"/>
      <c r="S597" s="110" t="n"/>
      <c r="T597" s="110" t="n"/>
      <c r="U597" s="104" t="n"/>
    </row>
    <row r="598">
      <c r="A598" s="104" t="inlineStr">
        <is>
          <t>GUIDE000597</t>
        </is>
      </c>
      <c r="B598" s="101" t="inlineStr">
        <is>
          <t>DEV000025</t>
        </is>
      </c>
      <c r="C598" s="103" t="inlineStr">
        <is>
          <t>APL</t>
        </is>
      </c>
      <c r="D598" s="103" t="inlineStr">
        <is>
          <t>PHN</t>
        </is>
      </c>
      <c r="E598" s="60" t="inlineStr">
        <is>
          <t>iPhone SE (2nd Generation)</t>
        </is>
      </c>
      <c r="F598" s="104" t="inlineStr">
        <is>
          <t>SVC000015</t>
        </is>
      </c>
      <c r="G598" s="104" t="inlineStr">
        <is>
          <t>Camera Lens Replacement</t>
        </is>
      </c>
      <c r="H598" s="104" t="inlineStr">
        <is>
          <t>Camera</t>
        </is>
      </c>
      <c r="I598" s="104" t="n"/>
      <c r="J598" s="104" t="n"/>
      <c r="K598" s="104" t="n"/>
      <c r="L598" s="104" t="n"/>
      <c r="M598" s="104" t="n"/>
      <c r="N598" s="104" t="n"/>
      <c r="O598" s="104" t="n"/>
      <c r="P598" s="104" t="n"/>
      <c r="Q598" s="104" t="n"/>
      <c r="R598" s="104" t="n"/>
      <c r="S598" s="110" t="n"/>
      <c r="T598" s="110" t="n"/>
      <c r="U598" s="104" t="n"/>
    </row>
    <row r="599">
      <c r="A599" s="104" t="inlineStr">
        <is>
          <t>GUIDE000598</t>
        </is>
      </c>
      <c r="B599" s="101" t="inlineStr">
        <is>
          <t>DEV000026</t>
        </is>
      </c>
      <c r="C599" s="103" t="inlineStr">
        <is>
          <t>APL</t>
        </is>
      </c>
      <c r="D599" s="103" t="inlineStr">
        <is>
          <t>PHN</t>
        </is>
      </c>
      <c r="E599" s="60" t="inlineStr">
        <is>
          <t>iPhone 12 mini</t>
        </is>
      </c>
      <c r="F599" s="104" t="inlineStr">
        <is>
          <t>SVC000015</t>
        </is>
      </c>
      <c r="G599" s="104" t="inlineStr">
        <is>
          <t>Camera Lens Replacement</t>
        </is>
      </c>
      <c r="H599" s="104" t="inlineStr">
        <is>
          <t>Camera</t>
        </is>
      </c>
      <c r="I599" s="104" t="n"/>
      <c r="J599" s="104" t="n"/>
      <c r="K599" s="104" t="n"/>
      <c r="L599" s="104" t="n"/>
      <c r="M599" s="104" t="n"/>
      <c r="N599" s="104" t="n"/>
      <c r="O599" s="104" t="n"/>
      <c r="P599" s="104" t="n"/>
      <c r="Q599" s="104" t="n"/>
      <c r="R599" s="104" t="n"/>
      <c r="S599" s="110" t="n"/>
      <c r="T599" s="110" t="n"/>
      <c r="U599" s="104" t="n"/>
    </row>
    <row r="600">
      <c r="A600" s="104" t="inlineStr">
        <is>
          <t>GUIDE000599</t>
        </is>
      </c>
      <c r="B600" s="101" t="inlineStr">
        <is>
          <t>DEV000027</t>
        </is>
      </c>
      <c r="C600" s="103" t="inlineStr">
        <is>
          <t>APL</t>
        </is>
      </c>
      <c r="D600" s="103" t="inlineStr">
        <is>
          <t>PHN</t>
        </is>
      </c>
      <c r="E600" s="60" t="inlineStr">
        <is>
          <t>iPhone 12</t>
        </is>
      </c>
      <c r="F600" s="104" t="inlineStr">
        <is>
          <t>SVC000015</t>
        </is>
      </c>
      <c r="G600" s="104" t="inlineStr">
        <is>
          <t>Camera Lens Replacement</t>
        </is>
      </c>
      <c r="H600" s="104" t="inlineStr">
        <is>
          <t>Camera</t>
        </is>
      </c>
      <c r="I600" s="104" t="n"/>
      <c r="J600" s="104" t="n"/>
      <c r="K600" s="104" t="n"/>
      <c r="L600" s="104" t="n"/>
      <c r="M600" s="104" t="n"/>
      <c r="N600" s="104" t="n"/>
      <c r="O600" s="104" t="n"/>
      <c r="P600" s="104" t="n"/>
      <c r="Q600" s="104" t="n"/>
      <c r="R600" s="104" t="n"/>
      <c r="S600" s="110" t="n"/>
      <c r="T600" s="110" t="n"/>
      <c r="U600" s="104" t="n"/>
    </row>
    <row r="601">
      <c r="A601" s="105" t="inlineStr">
        <is>
          <t>GUIDE000600</t>
        </is>
      </c>
      <c r="B601" s="101" t="inlineStr">
        <is>
          <t>DEV000028</t>
        </is>
      </c>
      <c r="C601" s="103" t="inlineStr">
        <is>
          <t>APL</t>
        </is>
      </c>
      <c r="D601" s="103" t="inlineStr">
        <is>
          <t>PHN</t>
        </is>
      </c>
      <c r="E601" s="60" t="inlineStr">
        <is>
          <t>iPhone 12 Pro</t>
        </is>
      </c>
      <c r="F601" s="104" t="inlineStr">
        <is>
          <t>SVC000015</t>
        </is>
      </c>
      <c r="G601" s="104" t="inlineStr">
        <is>
          <t>Camera Lens Replacement</t>
        </is>
      </c>
      <c r="H601" s="104" t="inlineStr">
        <is>
          <t>Camera</t>
        </is>
      </c>
      <c r="I601" s="104" t="n"/>
      <c r="J601" s="104" t="n"/>
      <c r="K601" s="104" t="n"/>
      <c r="L601" s="104" t="n"/>
      <c r="M601" s="104" t="n"/>
      <c r="N601" s="104" t="n"/>
      <c r="O601" s="104" t="n"/>
      <c r="P601" s="104" t="n"/>
      <c r="Q601" s="104" t="n"/>
      <c r="R601" s="104" t="n"/>
      <c r="S601" s="110" t="n"/>
      <c r="T601" s="110" t="n"/>
      <c r="U601" s="104" t="n"/>
    </row>
    <row r="602">
      <c r="A602" s="104" t="inlineStr">
        <is>
          <t>GUIDE000601</t>
        </is>
      </c>
      <c r="B602" s="101" t="inlineStr">
        <is>
          <t>DEV000029</t>
        </is>
      </c>
      <c r="C602" s="103" t="inlineStr">
        <is>
          <t>APL</t>
        </is>
      </c>
      <c r="D602" s="103" t="inlineStr">
        <is>
          <t>PHN</t>
        </is>
      </c>
      <c r="E602" s="60" t="inlineStr">
        <is>
          <t>iPhone 12 Pro Max</t>
        </is>
      </c>
      <c r="F602" s="104" t="inlineStr">
        <is>
          <t>SVC000015</t>
        </is>
      </c>
      <c r="G602" s="104" t="inlineStr">
        <is>
          <t>Camera Lens Replacement</t>
        </is>
      </c>
      <c r="H602" s="104" t="inlineStr">
        <is>
          <t>Camera</t>
        </is>
      </c>
      <c r="I602" s="104" t="n"/>
      <c r="J602" s="104" t="n"/>
      <c r="K602" s="104" t="n"/>
      <c r="L602" s="104" t="n"/>
      <c r="M602" s="104" t="n"/>
      <c r="N602" s="104" t="n"/>
      <c r="O602" s="104" t="n"/>
      <c r="P602" s="104" t="n"/>
      <c r="Q602" s="104" t="n"/>
      <c r="R602" s="104" t="n"/>
      <c r="S602" s="110" t="n"/>
      <c r="T602" s="110" t="n"/>
      <c r="U602" s="104" t="n"/>
    </row>
    <row r="603">
      <c r="A603" s="104" t="inlineStr">
        <is>
          <t>GUIDE000602</t>
        </is>
      </c>
      <c r="B603" s="101" t="inlineStr">
        <is>
          <t>DEV000030</t>
        </is>
      </c>
      <c r="C603" s="103" t="inlineStr">
        <is>
          <t>APL</t>
        </is>
      </c>
      <c r="D603" s="103" t="inlineStr">
        <is>
          <t>PHN</t>
        </is>
      </c>
      <c r="E603" s="60" t="inlineStr">
        <is>
          <t>iPhone 13 mini</t>
        </is>
      </c>
      <c r="F603" s="104" t="inlineStr">
        <is>
          <t>SVC000015</t>
        </is>
      </c>
      <c r="G603" s="104" t="inlineStr">
        <is>
          <t>Camera Lens Replacement</t>
        </is>
      </c>
      <c r="H603" s="104" t="inlineStr">
        <is>
          <t>Camera</t>
        </is>
      </c>
      <c r="I603" s="104" t="n"/>
      <c r="J603" s="104" t="n"/>
      <c r="K603" s="104" t="n"/>
      <c r="L603" s="104" t="n"/>
      <c r="M603" s="104" t="n"/>
      <c r="N603" s="104" t="n"/>
      <c r="O603" s="104" t="n"/>
      <c r="P603" s="104" t="n"/>
      <c r="Q603" s="104" t="n"/>
      <c r="R603" s="104" t="n"/>
      <c r="S603" s="110" t="n"/>
      <c r="T603" s="110" t="n"/>
      <c r="U603" s="104" t="n"/>
    </row>
    <row r="604">
      <c r="A604" s="104" t="inlineStr">
        <is>
          <t>GUIDE000603</t>
        </is>
      </c>
      <c r="B604" s="101" t="inlineStr">
        <is>
          <t>DEV000031</t>
        </is>
      </c>
      <c r="C604" s="103" t="inlineStr">
        <is>
          <t>APL</t>
        </is>
      </c>
      <c r="D604" s="103" t="inlineStr">
        <is>
          <t>PHN</t>
        </is>
      </c>
      <c r="E604" s="60" t="inlineStr">
        <is>
          <t>iPhone 13</t>
        </is>
      </c>
      <c r="F604" s="104" t="inlineStr">
        <is>
          <t>SVC000015</t>
        </is>
      </c>
      <c r="G604" s="104" t="inlineStr">
        <is>
          <t>Camera Lens Replacement</t>
        </is>
      </c>
      <c r="H604" s="104" t="inlineStr">
        <is>
          <t>Camera</t>
        </is>
      </c>
      <c r="I604" s="104" t="n"/>
      <c r="J604" s="104" t="n"/>
      <c r="K604" s="104" t="n"/>
      <c r="L604" s="104" t="n"/>
      <c r="M604" s="104" t="n"/>
      <c r="N604" s="104" t="n"/>
      <c r="O604" s="104" t="n"/>
      <c r="P604" s="104" t="n"/>
      <c r="Q604" s="104" t="n"/>
      <c r="R604" s="104" t="n"/>
      <c r="S604" s="110" t="n"/>
      <c r="T604" s="110" t="n"/>
      <c r="U604" s="104" t="n"/>
    </row>
    <row r="605">
      <c r="A605" s="104" t="inlineStr">
        <is>
          <t>GUIDE000604</t>
        </is>
      </c>
      <c r="B605" s="101" t="inlineStr">
        <is>
          <t>DEV000032</t>
        </is>
      </c>
      <c r="C605" s="103" t="inlineStr">
        <is>
          <t>APL</t>
        </is>
      </c>
      <c r="D605" s="103" t="inlineStr">
        <is>
          <t>PHN</t>
        </is>
      </c>
      <c r="E605" s="60" t="inlineStr">
        <is>
          <t>iPhone 13 Pro</t>
        </is>
      </c>
      <c r="F605" s="104" t="inlineStr">
        <is>
          <t>SVC000015</t>
        </is>
      </c>
      <c r="G605" s="104" t="inlineStr">
        <is>
          <t>Camera Lens Replacement</t>
        </is>
      </c>
      <c r="H605" s="104" t="inlineStr">
        <is>
          <t>Camera</t>
        </is>
      </c>
      <c r="I605" s="104" t="n"/>
      <c r="J605" s="104" t="n"/>
      <c r="K605" s="104" t="n"/>
      <c r="L605" s="104" t="n"/>
      <c r="M605" s="104" t="n"/>
      <c r="N605" s="104" t="n"/>
      <c r="O605" s="104" t="n"/>
      <c r="P605" s="104" t="n"/>
      <c r="Q605" s="104" t="n"/>
      <c r="R605" s="104" t="n"/>
      <c r="S605" s="110" t="n"/>
      <c r="T605" s="110" t="n"/>
      <c r="U605" s="104" t="n"/>
    </row>
    <row r="606">
      <c r="A606" s="105" t="inlineStr">
        <is>
          <t>GUIDE000605</t>
        </is>
      </c>
      <c r="B606" s="101" t="inlineStr">
        <is>
          <t>DEV000033</t>
        </is>
      </c>
      <c r="C606" s="103" t="inlineStr">
        <is>
          <t>APL</t>
        </is>
      </c>
      <c r="D606" s="103" t="inlineStr">
        <is>
          <t>PHN</t>
        </is>
      </c>
      <c r="E606" s="60" t="inlineStr">
        <is>
          <t>iPhone 13 Pro Max</t>
        </is>
      </c>
      <c r="F606" s="104" t="inlineStr">
        <is>
          <t>SVC000015</t>
        </is>
      </c>
      <c r="G606" s="104" t="inlineStr">
        <is>
          <t>Camera Lens Replacement</t>
        </is>
      </c>
      <c r="H606" s="104" t="inlineStr">
        <is>
          <t>Camera</t>
        </is>
      </c>
      <c r="I606" s="104" t="n"/>
      <c r="J606" s="104" t="n"/>
      <c r="K606" s="104" t="n"/>
      <c r="L606" s="104" t="n"/>
      <c r="M606" s="104" t="n"/>
      <c r="N606" s="104" t="n"/>
      <c r="O606" s="104" t="n"/>
      <c r="P606" s="104" t="n"/>
      <c r="Q606" s="104" t="n"/>
      <c r="R606" s="104" t="n"/>
      <c r="S606" s="110" t="n"/>
      <c r="T606" s="110" t="n"/>
      <c r="U606" s="104" t="n"/>
    </row>
    <row r="607">
      <c r="A607" s="104" t="inlineStr">
        <is>
          <t>GUIDE000606</t>
        </is>
      </c>
      <c r="B607" s="101" t="inlineStr">
        <is>
          <t>DEV000034</t>
        </is>
      </c>
      <c r="C607" s="103" t="inlineStr">
        <is>
          <t>APL</t>
        </is>
      </c>
      <c r="D607" s="103" t="inlineStr">
        <is>
          <t>PHN</t>
        </is>
      </c>
      <c r="E607" s="60" t="inlineStr">
        <is>
          <t>iPhone SE (3rd Generation)</t>
        </is>
      </c>
      <c r="F607" s="104" t="inlineStr">
        <is>
          <t>SVC000015</t>
        </is>
      </c>
      <c r="G607" s="104" t="inlineStr">
        <is>
          <t>Camera Lens Replacement</t>
        </is>
      </c>
      <c r="H607" s="104" t="inlineStr">
        <is>
          <t>Camera</t>
        </is>
      </c>
      <c r="I607" s="104" t="n"/>
      <c r="J607" s="104" t="n"/>
      <c r="K607" s="104" t="n"/>
      <c r="L607" s="104" t="n"/>
      <c r="M607" s="104" t="n"/>
      <c r="N607" s="104" t="n"/>
      <c r="O607" s="104" t="n"/>
      <c r="P607" s="104" t="n"/>
      <c r="Q607" s="104" t="n"/>
      <c r="R607" s="104" t="n"/>
      <c r="S607" s="110" t="n"/>
      <c r="T607" s="110" t="n"/>
      <c r="U607" s="104" t="n"/>
    </row>
    <row r="608">
      <c r="A608" s="104" t="inlineStr">
        <is>
          <t>GUIDE000607</t>
        </is>
      </c>
      <c r="B608" s="101" t="inlineStr">
        <is>
          <t>DEV000035</t>
        </is>
      </c>
      <c r="C608" s="103" t="inlineStr">
        <is>
          <t>APL</t>
        </is>
      </c>
      <c r="D608" s="103" t="inlineStr">
        <is>
          <t>PHN</t>
        </is>
      </c>
      <c r="E608" s="60" t="inlineStr">
        <is>
          <t>iPhone 14</t>
        </is>
      </c>
      <c r="F608" s="104" t="inlineStr">
        <is>
          <t>SVC000015</t>
        </is>
      </c>
      <c r="G608" s="104" t="inlineStr">
        <is>
          <t>Camera Lens Replacement</t>
        </is>
      </c>
      <c r="H608" s="104" t="inlineStr">
        <is>
          <t>Camera</t>
        </is>
      </c>
      <c r="I608" s="104" t="n"/>
      <c r="J608" s="104" t="n"/>
      <c r="K608" s="104" t="n"/>
      <c r="L608" s="104" t="n"/>
      <c r="M608" s="104" t="n"/>
      <c r="N608" s="104" t="n"/>
      <c r="O608" s="104" t="n"/>
      <c r="P608" s="104" t="n"/>
      <c r="Q608" s="104" t="n"/>
      <c r="R608" s="104" t="n"/>
      <c r="S608" s="110" t="n"/>
      <c r="T608" s="110" t="n"/>
      <c r="U608" s="104" t="n"/>
    </row>
    <row r="609">
      <c r="A609" s="104" t="inlineStr">
        <is>
          <t>GUIDE000608</t>
        </is>
      </c>
      <c r="B609" s="101" t="inlineStr">
        <is>
          <t>DEV000036</t>
        </is>
      </c>
      <c r="C609" s="103" t="inlineStr">
        <is>
          <t>APL</t>
        </is>
      </c>
      <c r="D609" s="103" t="inlineStr">
        <is>
          <t>PHN</t>
        </is>
      </c>
      <c r="E609" s="60" t="inlineStr">
        <is>
          <t>iPhone 14 Plus</t>
        </is>
      </c>
      <c r="F609" s="104" t="inlineStr">
        <is>
          <t>SVC000015</t>
        </is>
      </c>
      <c r="G609" s="104" t="inlineStr">
        <is>
          <t>Camera Lens Replacement</t>
        </is>
      </c>
      <c r="H609" s="104" t="inlineStr">
        <is>
          <t>Camera</t>
        </is>
      </c>
      <c r="I609" s="104" t="n"/>
      <c r="J609" s="104" t="n"/>
      <c r="K609" s="104" t="n"/>
      <c r="L609" s="104" t="n"/>
      <c r="M609" s="104" t="n"/>
      <c r="N609" s="104" t="n"/>
      <c r="O609" s="104" t="n"/>
      <c r="P609" s="104" t="n"/>
      <c r="Q609" s="104" t="n"/>
      <c r="R609" s="104" t="n"/>
      <c r="S609" s="110" t="n"/>
      <c r="T609" s="110" t="n"/>
      <c r="U609" s="104" t="n"/>
    </row>
    <row r="610">
      <c r="A610" s="105" t="inlineStr">
        <is>
          <t>GUIDE000609</t>
        </is>
      </c>
      <c r="B610" s="101" t="inlineStr">
        <is>
          <t>DEV000037</t>
        </is>
      </c>
      <c r="C610" s="103" t="inlineStr">
        <is>
          <t>APL</t>
        </is>
      </c>
      <c r="D610" s="103" t="inlineStr">
        <is>
          <t>PHN</t>
        </is>
      </c>
      <c r="E610" s="60" t="inlineStr">
        <is>
          <t>iPhone 14 Pro</t>
        </is>
      </c>
      <c r="F610" s="104" t="inlineStr">
        <is>
          <t>SVC000015</t>
        </is>
      </c>
      <c r="G610" s="104" t="inlineStr">
        <is>
          <t>Camera Lens Replacement</t>
        </is>
      </c>
      <c r="H610" s="104" t="inlineStr">
        <is>
          <t>Camera</t>
        </is>
      </c>
      <c r="I610" s="104" t="n"/>
      <c r="J610" s="104" t="n"/>
      <c r="K610" s="104" t="n"/>
      <c r="L610" s="104" t="n"/>
      <c r="M610" s="104" t="n"/>
      <c r="N610" s="104" t="n"/>
      <c r="O610" s="104" t="n"/>
      <c r="P610" s="104" t="n"/>
      <c r="Q610" s="104" t="n"/>
      <c r="R610" s="104" t="n"/>
      <c r="S610" s="110" t="n"/>
      <c r="T610" s="110" t="n"/>
      <c r="U610" s="104" t="n"/>
    </row>
    <row r="611">
      <c r="A611" s="104" t="inlineStr">
        <is>
          <t>GUIDE000610</t>
        </is>
      </c>
      <c r="B611" s="101" t="inlineStr">
        <is>
          <t>DEV000038</t>
        </is>
      </c>
      <c r="C611" s="103" t="inlineStr">
        <is>
          <t>APL</t>
        </is>
      </c>
      <c r="D611" s="103" t="inlineStr">
        <is>
          <t>PHN</t>
        </is>
      </c>
      <c r="E611" s="60" t="inlineStr">
        <is>
          <t>iPhone 14 Pro Max</t>
        </is>
      </c>
      <c r="F611" s="104" t="inlineStr">
        <is>
          <t>SVC000015</t>
        </is>
      </c>
      <c r="G611" s="104" t="inlineStr">
        <is>
          <t>Camera Lens Replacement</t>
        </is>
      </c>
      <c r="H611" s="104" t="inlineStr">
        <is>
          <t>Camera</t>
        </is>
      </c>
      <c r="I611" s="104" t="n"/>
      <c r="J611" s="104" t="n"/>
      <c r="K611" s="104" t="n"/>
      <c r="L611" s="104" t="n"/>
      <c r="M611" s="104" t="n"/>
      <c r="N611" s="104" t="n"/>
      <c r="O611" s="104" t="n"/>
      <c r="P611" s="104" t="n"/>
      <c r="Q611" s="104" t="n"/>
      <c r="R611" s="104" t="n"/>
      <c r="S611" s="110" t="n"/>
      <c r="T611" s="110" t="n"/>
      <c r="U611" s="104" t="n"/>
    </row>
    <row r="612">
      <c r="A612" s="104" t="inlineStr">
        <is>
          <t>GUIDE000611</t>
        </is>
      </c>
      <c r="B612" s="101" t="inlineStr">
        <is>
          <t>DEV000039</t>
        </is>
      </c>
      <c r="C612" s="103" t="inlineStr">
        <is>
          <t>APL</t>
        </is>
      </c>
      <c r="D612" s="103" t="inlineStr">
        <is>
          <t>PHN</t>
        </is>
      </c>
      <c r="E612" s="60" t="inlineStr">
        <is>
          <t>iPhone 15</t>
        </is>
      </c>
      <c r="F612" s="104" t="inlineStr">
        <is>
          <t>SVC000015</t>
        </is>
      </c>
      <c r="G612" s="104" t="inlineStr">
        <is>
          <t>Camera Lens Replacement</t>
        </is>
      </c>
      <c r="H612" s="104" t="inlineStr">
        <is>
          <t>Camera</t>
        </is>
      </c>
      <c r="I612" s="104" t="n"/>
      <c r="J612" s="104" t="n"/>
      <c r="K612" s="104" t="n"/>
      <c r="L612" s="104" t="n"/>
      <c r="M612" s="104" t="n"/>
      <c r="N612" s="104" t="n"/>
      <c r="O612" s="104" t="n"/>
      <c r="P612" s="104" t="n"/>
      <c r="Q612" s="104" t="n"/>
      <c r="R612" s="104" t="n"/>
      <c r="S612" s="110" t="n"/>
      <c r="T612" s="110" t="n"/>
      <c r="U612" s="104" t="n"/>
    </row>
    <row r="613">
      <c r="A613" s="104" t="inlineStr">
        <is>
          <t>GUIDE000612</t>
        </is>
      </c>
      <c r="B613" s="101" t="inlineStr">
        <is>
          <t>DEV000040</t>
        </is>
      </c>
      <c r="C613" s="103" t="inlineStr">
        <is>
          <t>APL</t>
        </is>
      </c>
      <c r="D613" s="103" t="inlineStr">
        <is>
          <t>PHN</t>
        </is>
      </c>
      <c r="E613" s="60" t="inlineStr">
        <is>
          <t>iPhone 15 Plus</t>
        </is>
      </c>
      <c r="F613" s="104" t="inlineStr">
        <is>
          <t>SVC000015</t>
        </is>
      </c>
      <c r="G613" s="104" t="inlineStr">
        <is>
          <t>Camera Lens Replacement</t>
        </is>
      </c>
      <c r="H613" s="104" t="inlineStr">
        <is>
          <t>Camera</t>
        </is>
      </c>
      <c r="I613" s="104" t="n"/>
      <c r="J613" s="104" t="n"/>
      <c r="K613" s="104" t="n"/>
      <c r="L613" s="104" t="n"/>
      <c r="M613" s="104" t="n"/>
      <c r="N613" s="104" t="n"/>
      <c r="O613" s="104" t="n"/>
      <c r="P613" s="104" t="n"/>
      <c r="Q613" s="104" t="n"/>
      <c r="R613" s="104" t="n"/>
      <c r="S613" s="110" t="n"/>
      <c r="T613" s="110" t="n"/>
      <c r="U613" s="104" t="n"/>
    </row>
    <row r="614">
      <c r="A614" s="104" t="inlineStr">
        <is>
          <t>GUIDE000613</t>
        </is>
      </c>
      <c r="B614" s="101" t="inlineStr">
        <is>
          <t>DEV000041</t>
        </is>
      </c>
      <c r="C614" s="103" t="inlineStr">
        <is>
          <t>APL</t>
        </is>
      </c>
      <c r="D614" s="103" t="inlineStr">
        <is>
          <t>PHN</t>
        </is>
      </c>
      <c r="E614" s="60" t="inlineStr">
        <is>
          <t>iPhone 15 Pro</t>
        </is>
      </c>
      <c r="F614" s="104" t="inlineStr">
        <is>
          <t>SVC000015</t>
        </is>
      </c>
      <c r="G614" s="104" t="inlineStr">
        <is>
          <t>Camera Lens Replacement</t>
        </is>
      </c>
      <c r="H614" s="104" t="inlineStr">
        <is>
          <t>Camera</t>
        </is>
      </c>
      <c r="I614" s="104" t="n"/>
      <c r="J614" s="104" t="n"/>
      <c r="K614" s="104" t="n"/>
      <c r="L614" s="104" t="n"/>
      <c r="M614" s="104" t="n"/>
      <c r="N614" s="104" t="n"/>
      <c r="O614" s="104" t="n"/>
      <c r="P614" s="104" t="n"/>
      <c r="Q614" s="104" t="n"/>
      <c r="R614" s="104" t="n"/>
      <c r="S614" s="110" t="n"/>
      <c r="T614" s="110" t="n"/>
      <c r="U614" s="104" t="n"/>
    </row>
    <row r="615">
      <c r="A615" s="105" t="inlineStr">
        <is>
          <t>GUIDE000614</t>
        </is>
      </c>
      <c r="B615" s="101" t="inlineStr">
        <is>
          <t>DEV000042</t>
        </is>
      </c>
      <c r="C615" s="103" t="inlineStr">
        <is>
          <t>APL</t>
        </is>
      </c>
      <c r="D615" s="103" t="inlineStr">
        <is>
          <t>PHN</t>
        </is>
      </c>
      <c r="E615" s="60" t="inlineStr">
        <is>
          <t>iPhone 15 Pro Max</t>
        </is>
      </c>
      <c r="F615" s="104" t="inlineStr">
        <is>
          <t>SVC000015</t>
        </is>
      </c>
      <c r="G615" s="104" t="inlineStr">
        <is>
          <t>Camera Lens Replacement</t>
        </is>
      </c>
      <c r="H615" s="104" t="inlineStr">
        <is>
          <t>Camera</t>
        </is>
      </c>
      <c r="I615" s="104" t="n"/>
      <c r="J615" s="104" t="n"/>
      <c r="K615" s="104" t="n"/>
      <c r="L615" s="104" t="n"/>
      <c r="M615" s="104" t="n"/>
      <c r="N615" s="104" t="n"/>
      <c r="O615" s="104" t="n"/>
      <c r="P615" s="104" t="n"/>
      <c r="Q615" s="104" t="n"/>
      <c r="R615" s="104" t="n"/>
      <c r="S615" s="110" t="n"/>
      <c r="T615" s="110" t="n"/>
      <c r="U615" s="104" t="n"/>
    </row>
    <row r="616">
      <c r="A616" s="104" t="inlineStr">
        <is>
          <t>GUIDE000615</t>
        </is>
      </c>
      <c r="B616" s="101" t="inlineStr">
        <is>
          <t>DEV000043</t>
        </is>
      </c>
      <c r="C616" s="103" t="inlineStr">
        <is>
          <t>APL</t>
        </is>
      </c>
      <c r="D616" s="103" t="inlineStr">
        <is>
          <t>PHN</t>
        </is>
      </c>
      <c r="E616" s="60" t="inlineStr">
        <is>
          <t>iPhone 16</t>
        </is>
      </c>
      <c r="F616" s="104" t="inlineStr">
        <is>
          <t>SVC000015</t>
        </is>
      </c>
      <c r="G616" s="104" t="inlineStr">
        <is>
          <t>Camera Lens Replacement</t>
        </is>
      </c>
      <c r="H616" s="104" t="inlineStr">
        <is>
          <t>Camera</t>
        </is>
      </c>
      <c r="I616" s="104" t="n"/>
      <c r="J616" s="104" t="n"/>
      <c r="K616" s="104" t="n"/>
      <c r="L616" s="104" t="n"/>
      <c r="M616" s="104" t="n"/>
      <c r="N616" s="104" t="n"/>
      <c r="O616" s="104" t="n"/>
      <c r="P616" s="104" t="n"/>
      <c r="Q616" s="104" t="n"/>
      <c r="R616" s="104" t="n"/>
      <c r="S616" s="110" t="n"/>
      <c r="T616" s="110" t="n"/>
      <c r="U616" s="104" t="n"/>
    </row>
    <row r="617">
      <c r="A617" s="104" t="inlineStr">
        <is>
          <t>GUIDE000616</t>
        </is>
      </c>
      <c r="B617" s="101" t="inlineStr">
        <is>
          <t>DEV000044</t>
        </is>
      </c>
      <c r="C617" s="103" t="inlineStr">
        <is>
          <t>APL</t>
        </is>
      </c>
      <c r="D617" s="103" t="inlineStr">
        <is>
          <t>PHN</t>
        </is>
      </c>
      <c r="E617" s="60" t="inlineStr">
        <is>
          <t>iPhone 16 Plus</t>
        </is>
      </c>
      <c r="F617" s="104" t="inlineStr">
        <is>
          <t>SVC000015</t>
        </is>
      </c>
      <c r="G617" s="104" t="inlineStr">
        <is>
          <t>Camera Lens Replacement</t>
        </is>
      </c>
      <c r="H617" s="104" t="inlineStr">
        <is>
          <t>Camera</t>
        </is>
      </c>
      <c r="I617" s="104" t="n"/>
      <c r="J617" s="104" t="n"/>
      <c r="K617" s="104" t="n"/>
      <c r="L617" s="104" t="n"/>
      <c r="M617" s="104" t="n"/>
      <c r="N617" s="104" t="n"/>
      <c r="O617" s="104" t="n"/>
      <c r="P617" s="104" t="n"/>
      <c r="Q617" s="104" t="n"/>
      <c r="R617" s="104" t="n"/>
      <c r="S617" s="110" t="n"/>
      <c r="T617" s="110" t="n"/>
      <c r="U617" s="104" t="n"/>
    </row>
    <row r="618">
      <c r="A618" s="104" t="inlineStr">
        <is>
          <t>GUIDE000617</t>
        </is>
      </c>
      <c r="B618" s="101" t="inlineStr">
        <is>
          <t>DEV000045</t>
        </is>
      </c>
      <c r="C618" s="103" t="inlineStr">
        <is>
          <t>APL</t>
        </is>
      </c>
      <c r="D618" s="103" t="inlineStr">
        <is>
          <t>PHN</t>
        </is>
      </c>
      <c r="E618" s="60" t="inlineStr">
        <is>
          <t>iPhone 16 Pro</t>
        </is>
      </c>
      <c r="F618" s="104" t="inlineStr">
        <is>
          <t>SVC000015</t>
        </is>
      </c>
      <c r="G618" s="104" t="inlineStr">
        <is>
          <t>Camera Lens Replacement</t>
        </is>
      </c>
      <c r="H618" s="104" t="inlineStr">
        <is>
          <t>Camera</t>
        </is>
      </c>
      <c r="I618" s="104" t="n"/>
      <c r="J618" s="104" t="n"/>
      <c r="K618" s="104" t="n"/>
      <c r="L618" s="104" t="n"/>
      <c r="M618" s="104" t="n"/>
      <c r="N618" s="104" t="n"/>
      <c r="O618" s="104" t="n"/>
      <c r="P618" s="104" t="n"/>
      <c r="Q618" s="104" t="n"/>
      <c r="R618" s="104" t="n"/>
      <c r="S618" s="110" t="n"/>
      <c r="T618" s="110" t="n"/>
      <c r="U618" s="104" t="n"/>
    </row>
    <row r="619">
      <c r="A619" s="105" t="inlineStr">
        <is>
          <t>GUIDE000618</t>
        </is>
      </c>
      <c r="B619" s="101" t="inlineStr">
        <is>
          <t>DEV000046</t>
        </is>
      </c>
      <c r="C619" s="103" t="inlineStr">
        <is>
          <t>APL</t>
        </is>
      </c>
      <c r="D619" s="103" t="inlineStr">
        <is>
          <t>PHN</t>
        </is>
      </c>
      <c r="E619" s="60" t="inlineStr">
        <is>
          <t>iPhone 16 Pro Max</t>
        </is>
      </c>
      <c r="F619" s="104" t="inlineStr">
        <is>
          <t>SVC000015</t>
        </is>
      </c>
      <c r="G619" s="104" t="inlineStr">
        <is>
          <t>Camera Lens Replacement</t>
        </is>
      </c>
      <c r="H619" s="104" t="inlineStr">
        <is>
          <t>Camera</t>
        </is>
      </c>
      <c r="I619" s="104" t="n"/>
      <c r="J619" s="104" t="n"/>
      <c r="K619" s="104" t="n"/>
      <c r="L619" s="104" t="n"/>
      <c r="M619" s="104" t="n"/>
      <c r="N619" s="104" t="n"/>
      <c r="O619" s="104" t="n"/>
      <c r="P619" s="104" t="n"/>
      <c r="Q619" s="104" t="n"/>
      <c r="R619" s="104" t="n"/>
      <c r="S619" s="110" t="n"/>
      <c r="T619" s="110" t="n"/>
      <c r="U619" s="104" t="n"/>
    </row>
    <row r="620">
      <c r="A620" s="104" t="inlineStr">
        <is>
          <t>GUIDE000619</t>
        </is>
      </c>
      <c r="B620" s="101" t="inlineStr">
        <is>
          <t>DEV000047</t>
        </is>
      </c>
      <c r="C620" s="103" t="inlineStr">
        <is>
          <t>APL</t>
        </is>
      </c>
      <c r="D620" s="103" t="inlineStr">
        <is>
          <t>PHN</t>
        </is>
      </c>
      <c r="E620" s="60" t="inlineStr">
        <is>
          <t>iPhone 16e</t>
        </is>
      </c>
      <c r="F620" s="104" t="inlineStr">
        <is>
          <t>SVC000015</t>
        </is>
      </c>
      <c r="G620" s="104" t="inlineStr">
        <is>
          <t>Camera Lens Replacement</t>
        </is>
      </c>
      <c r="H620" s="104" t="inlineStr">
        <is>
          <t>Camera</t>
        </is>
      </c>
      <c r="I620" s="104" t="n"/>
      <c r="J620" s="104" t="n"/>
      <c r="K620" s="104" t="n"/>
      <c r="L620" s="104" t="n"/>
      <c r="M620" s="104" t="n"/>
      <c r="N620" s="104" t="n"/>
      <c r="O620" s="104" t="n"/>
      <c r="P620" s="104" t="n"/>
      <c r="Q620" s="104" t="n"/>
      <c r="R620" s="104" t="n"/>
      <c r="S620" s="110" t="n"/>
      <c r="T620" s="110" t="n"/>
      <c r="U620" s="104" t="n"/>
    </row>
    <row r="621">
      <c r="A621" s="104" t="inlineStr">
        <is>
          <t>GUIDE000620</t>
        </is>
      </c>
      <c r="B621" s="101" t="inlineStr">
        <is>
          <t>DEV000048</t>
        </is>
      </c>
      <c r="C621" s="103" t="inlineStr">
        <is>
          <t>APL</t>
        </is>
      </c>
      <c r="D621" s="103" t="inlineStr">
        <is>
          <t>PHN</t>
        </is>
      </c>
      <c r="E621" s="60" t="inlineStr">
        <is>
          <t>iPhone 17</t>
        </is>
      </c>
      <c r="F621" s="104" t="inlineStr">
        <is>
          <t>SVC000015</t>
        </is>
      </c>
      <c r="G621" s="104" t="inlineStr">
        <is>
          <t>Camera Lens Replacement</t>
        </is>
      </c>
      <c r="H621" s="104" t="inlineStr">
        <is>
          <t>Camera</t>
        </is>
      </c>
      <c r="I621" s="104" t="n"/>
      <c r="J621" s="104" t="n"/>
      <c r="K621" s="104" t="n"/>
      <c r="L621" s="104" t="n"/>
      <c r="M621" s="104" t="n"/>
      <c r="N621" s="104" t="n"/>
      <c r="O621" s="104" t="n"/>
      <c r="P621" s="104" t="n"/>
      <c r="Q621" s="104" t="n"/>
      <c r="R621" s="104" t="n"/>
      <c r="S621" s="110" t="n"/>
      <c r="T621" s="110" t="n"/>
      <c r="U621" s="104" t="n"/>
    </row>
    <row r="622">
      <c r="A622" s="104" t="inlineStr">
        <is>
          <t>GUIDE000621</t>
        </is>
      </c>
      <c r="B622" s="101" t="inlineStr">
        <is>
          <t>DEV000049</t>
        </is>
      </c>
      <c r="C622" s="103" t="inlineStr">
        <is>
          <t>APL</t>
        </is>
      </c>
      <c r="D622" s="103" t="inlineStr">
        <is>
          <t>PHN</t>
        </is>
      </c>
      <c r="E622" s="60" t="inlineStr">
        <is>
          <t>iPhone 17 Pro</t>
        </is>
      </c>
      <c r="F622" s="104" t="inlineStr">
        <is>
          <t>SVC000015</t>
        </is>
      </c>
      <c r="G622" s="104" t="inlineStr">
        <is>
          <t>Camera Lens Replacement</t>
        </is>
      </c>
      <c r="H622" s="104" t="inlineStr">
        <is>
          <t>Camera</t>
        </is>
      </c>
      <c r="I622" s="104" t="n"/>
      <c r="J622" s="104" t="n"/>
      <c r="K622" s="104" t="n"/>
      <c r="L622" s="104" t="n"/>
      <c r="M622" s="104" t="n"/>
      <c r="N622" s="104" t="n"/>
      <c r="O622" s="104" t="n"/>
      <c r="P622" s="104" t="n"/>
      <c r="Q622" s="104" t="n"/>
      <c r="R622" s="104" t="n"/>
      <c r="S622" s="110" t="n"/>
      <c r="T622" s="110" t="n"/>
      <c r="U622" s="104" t="n"/>
    </row>
    <row r="623">
      <c r="A623" s="104" t="inlineStr">
        <is>
          <t>GUIDE000622</t>
        </is>
      </c>
      <c r="B623" s="101" t="inlineStr">
        <is>
          <t>DEV000050</t>
        </is>
      </c>
      <c r="C623" s="103" t="inlineStr">
        <is>
          <t>APL</t>
        </is>
      </c>
      <c r="D623" s="103" t="inlineStr">
        <is>
          <t>PHN</t>
        </is>
      </c>
      <c r="E623" s="60" t="inlineStr">
        <is>
          <t>iPhone 17 Pro Max</t>
        </is>
      </c>
      <c r="F623" s="104" t="inlineStr">
        <is>
          <t>SVC000015</t>
        </is>
      </c>
      <c r="G623" s="104" t="inlineStr">
        <is>
          <t>Camera Lens Replacement</t>
        </is>
      </c>
      <c r="H623" s="104" t="inlineStr">
        <is>
          <t>Camera</t>
        </is>
      </c>
      <c r="I623" s="104" t="n"/>
      <c r="J623" s="104" t="n"/>
      <c r="K623" s="104" t="n"/>
      <c r="L623" s="104" t="n"/>
      <c r="M623" s="104" t="n"/>
      <c r="N623" s="104" t="n"/>
      <c r="O623" s="104" t="n"/>
      <c r="P623" s="104" t="n"/>
      <c r="Q623" s="104" t="n"/>
      <c r="R623" s="104" t="n"/>
      <c r="S623" s="110" t="n"/>
      <c r="T623" s="110" t="n"/>
      <c r="U623" s="104" t="n"/>
    </row>
    <row r="624">
      <c r="A624" s="105" t="inlineStr">
        <is>
          <t>GUIDE000623</t>
        </is>
      </c>
      <c r="B624" s="101" t="inlineStr">
        <is>
          <t>DEV000051</t>
        </is>
      </c>
      <c r="C624" s="103" t="inlineStr">
        <is>
          <t>APL</t>
        </is>
      </c>
      <c r="D624" s="103" t="inlineStr">
        <is>
          <t>PHN</t>
        </is>
      </c>
      <c r="E624" s="60" t="inlineStr">
        <is>
          <t>iPhone Air</t>
        </is>
      </c>
      <c r="F624" s="104" t="inlineStr">
        <is>
          <t>SVC000015</t>
        </is>
      </c>
      <c r="G624" s="104" t="inlineStr">
        <is>
          <t>Camera Lens Replacement</t>
        </is>
      </c>
      <c r="H624" s="104" t="inlineStr">
        <is>
          <t>Camera</t>
        </is>
      </c>
      <c r="I624" s="104" t="n"/>
      <c r="J624" s="104" t="n"/>
      <c r="K624" s="104" t="n"/>
      <c r="L624" s="104" t="n"/>
      <c r="M624" s="104" t="n"/>
      <c r="N624" s="104" t="n"/>
      <c r="O624" s="104" t="n"/>
      <c r="P624" s="104" t="n"/>
      <c r="Q624" s="104" t="n"/>
      <c r="R624" s="104" t="n"/>
      <c r="S624" s="110" t="n"/>
      <c r="T624" s="110" t="n"/>
      <c r="U624" s="104" t="n"/>
    </row>
    <row r="625">
      <c r="A625" s="104" t="inlineStr">
        <is>
          <t>GUIDE000624</t>
        </is>
      </c>
      <c r="B625" s="101" t="inlineStr">
        <is>
          <t>DEV000052</t>
        </is>
      </c>
      <c r="C625" s="103" t="inlineStr">
        <is>
          <t>APL</t>
        </is>
      </c>
      <c r="D625" s="103" t="inlineStr">
        <is>
          <t>PHN</t>
        </is>
      </c>
      <c r="E625" s="60" t="inlineStr">
        <is>
          <t>iPhone 17e</t>
        </is>
      </c>
      <c r="F625" s="104" t="inlineStr">
        <is>
          <t>SVC000015</t>
        </is>
      </c>
      <c r="G625" s="104" t="inlineStr">
        <is>
          <t>Camera Lens Replacement</t>
        </is>
      </c>
      <c r="H625" s="104" t="inlineStr">
        <is>
          <t>Camera</t>
        </is>
      </c>
      <c r="I625" s="104" t="n"/>
      <c r="J625" s="104" t="n"/>
      <c r="K625" s="104" t="n"/>
      <c r="L625" s="104" t="n"/>
      <c r="M625" s="104" t="n"/>
      <c r="N625" s="104" t="n"/>
      <c r="O625" s="104" t="n"/>
      <c r="P625" s="104" t="n"/>
      <c r="Q625" s="104" t="n"/>
      <c r="R625" s="104" t="n"/>
      <c r="S625" s="110" t="n"/>
      <c r="T625" s="110" t="n"/>
      <c r="U625" s="104" t="n"/>
    </row>
    <row r="626">
      <c r="A626" s="104" t="inlineStr">
        <is>
          <t>GUIDE000625</t>
        </is>
      </c>
      <c r="B626" s="101" t="inlineStr">
        <is>
          <t>DEV000001</t>
        </is>
      </c>
      <c r="C626" s="103" t="inlineStr">
        <is>
          <t>APL</t>
        </is>
      </c>
      <c r="D626" s="103" t="inlineStr">
        <is>
          <t>PHN</t>
        </is>
      </c>
      <c r="E626" s="60" t="inlineStr">
        <is>
          <t>iPhone (2G)</t>
        </is>
      </c>
      <c r="F626" s="104" t="inlineStr">
        <is>
          <t>SVC000016</t>
        </is>
      </c>
      <c r="G626" s="104" t="inlineStr">
        <is>
          <t>Camera Calibration</t>
        </is>
      </c>
      <c r="H626" s="104" t="inlineStr">
        <is>
          <t>Camera</t>
        </is>
      </c>
      <c r="I626" s="104" t="n"/>
      <c r="J626" s="104" t="n"/>
      <c r="K626" s="104" t="n"/>
      <c r="L626" s="104" t="n"/>
      <c r="M626" s="104" t="n"/>
      <c r="N626" s="104" t="n"/>
      <c r="O626" s="104" t="n"/>
      <c r="P626" s="104" t="n"/>
      <c r="Q626" s="104" t="n"/>
      <c r="R626" s="104" t="n"/>
      <c r="S626" s="110" t="n"/>
      <c r="T626" s="110" t="n"/>
      <c r="U626" s="104" t="n"/>
    </row>
    <row r="627">
      <c r="A627" s="104" t="inlineStr">
        <is>
          <t>GUIDE000626</t>
        </is>
      </c>
      <c r="B627" s="101" t="inlineStr">
        <is>
          <t>DEV000002</t>
        </is>
      </c>
      <c r="C627" s="103" t="inlineStr">
        <is>
          <t>APL</t>
        </is>
      </c>
      <c r="D627" s="103" t="inlineStr">
        <is>
          <t>PHN</t>
        </is>
      </c>
      <c r="E627" s="60" t="inlineStr">
        <is>
          <t>iPhone 3G</t>
        </is>
      </c>
      <c r="F627" s="104" t="inlineStr">
        <is>
          <t>SVC000016</t>
        </is>
      </c>
      <c r="G627" s="104" t="inlineStr">
        <is>
          <t>Camera Calibration</t>
        </is>
      </c>
      <c r="H627" s="104" t="inlineStr">
        <is>
          <t>Camera</t>
        </is>
      </c>
      <c r="I627" s="104" t="n"/>
      <c r="J627" s="104" t="n"/>
      <c r="K627" s="104" t="n"/>
      <c r="L627" s="104" t="n"/>
      <c r="M627" s="104" t="n"/>
      <c r="N627" s="104" t="n"/>
      <c r="O627" s="104" t="n"/>
      <c r="P627" s="104" t="n"/>
      <c r="Q627" s="104" t="n"/>
      <c r="R627" s="104" t="n"/>
      <c r="S627" s="110" t="n"/>
      <c r="T627" s="110" t="n"/>
      <c r="U627" s="104" t="n"/>
    </row>
    <row r="628">
      <c r="A628" s="105" t="inlineStr">
        <is>
          <t>GUIDE000627</t>
        </is>
      </c>
      <c r="B628" s="101" t="inlineStr">
        <is>
          <t>DEV000003</t>
        </is>
      </c>
      <c r="C628" s="103" t="inlineStr">
        <is>
          <t>APL</t>
        </is>
      </c>
      <c r="D628" s="103" t="inlineStr">
        <is>
          <t>PHN</t>
        </is>
      </c>
      <c r="E628" s="60" t="inlineStr">
        <is>
          <t>iPhone 3GS</t>
        </is>
      </c>
      <c r="F628" s="104" t="inlineStr">
        <is>
          <t>SVC000016</t>
        </is>
      </c>
      <c r="G628" s="104" t="inlineStr">
        <is>
          <t>Camera Calibration</t>
        </is>
      </c>
      <c r="H628" s="104" t="inlineStr">
        <is>
          <t>Camera</t>
        </is>
      </c>
      <c r="I628" s="104" t="n"/>
      <c r="J628" s="104" t="n"/>
      <c r="K628" s="104" t="n"/>
      <c r="L628" s="104" t="n"/>
      <c r="M628" s="104" t="n"/>
      <c r="N628" s="104" t="n"/>
      <c r="O628" s="104" t="n"/>
      <c r="P628" s="104" t="n"/>
      <c r="Q628" s="104" t="n"/>
      <c r="R628" s="104" t="n"/>
      <c r="S628" s="110" t="n"/>
      <c r="T628" s="110" t="n"/>
      <c r="U628" s="104" t="n"/>
    </row>
    <row r="629">
      <c r="A629" s="104" t="inlineStr">
        <is>
          <t>GUIDE000628</t>
        </is>
      </c>
      <c r="B629" s="101" t="inlineStr">
        <is>
          <t>DEV000004</t>
        </is>
      </c>
      <c r="C629" s="103" t="inlineStr">
        <is>
          <t>APL</t>
        </is>
      </c>
      <c r="D629" s="103" t="inlineStr">
        <is>
          <t>PHN</t>
        </is>
      </c>
      <c r="E629" s="60" t="inlineStr">
        <is>
          <t>iPhone 4</t>
        </is>
      </c>
      <c r="F629" s="104" t="inlineStr">
        <is>
          <t>SVC000016</t>
        </is>
      </c>
      <c r="G629" s="104" t="inlineStr">
        <is>
          <t>Camera Calibration</t>
        </is>
      </c>
      <c r="H629" s="104" t="inlineStr">
        <is>
          <t>Camera</t>
        </is>
      </c>
      <c r="I629" s="104" t="n"/>
      <c r="J629" s="104" t="n"/>
      <c r="K629" s="104" t="n"/>
      <c r="L629" s="104" t="n"/>
      <c r="M629" s="104" t="n"/>
      <c r="N629" s="104" t="n"/>
      <c r="O629" s="104" t="n"/>
      <c r="P629" s="104" t="n"/>
      <c r="Q629" s="104" t="n"/>
      <c r="R629" s="104" t="n"/>
      <c r="S629" s="110" t="n"/>
      <c r="T629" s="110" t="n"/>
      <c r="U629" s="104" t="n"/>
    </row>
    <row r="630">
      <c r="A630" s="104" t="inlineStr">
        <is>
          <t>GUIDE000629</t>
        </is>
      </c>
      <c r="B630" s="101" t="inlineStr">
        <is>
          <t>DEV000005</t>
        </is>
      </c>
      <c r="C630" s="103" t="inlineStr">
        <is>
          <t>APL</t>
        </is>
      </c>
      <c r="D630" s="103" t="inlineStr">
        <is>
          <t>PHN</t>
        </is>
      </c>
      <c r="E630" s="60" t="inlineStr">
        <is>
          <t>iPhone 4s</t>
        </is>
      </c>
      <c r="F630" s="104" t="inlineStr">
        <is>
          <t>SVC000016</t>
        </is>
      </c>
      <c r="G630" s="104" t="inlineStr">
        <is>
          <t>Camera Calibration</t>
        </is>
      </c>
      <c r="H630" s="104" t="inlineStr">
        <is>
          <t>Camera</t>
        </is>
      </c>
      <c r="I630" s="104" t="n"/>
      <c r="J630" s="104" t="n"/>
      <c r="K630" s="104" t="n"/>
      <c r="L630" s="104" t="n"/>
      <c r="M630" s="104" t="n"/>
      <c r="N630" s="104" t="n"/>
      <c r="O630" s="104" t="n"/>
      <c r="P630" s="104" t="n"/>
      <c r="Q630" s="104" t="n"/>
      <c r="R630" s="104" t="n"/>
      <c r="S630" s="110" t="n"/>
      <c r="T630" s="110" t="n"/>
      <c r="U630" s="104" t="n"/>
    </row>
    <row r="631">
      <c r="A631" s="104" t="inlineStr">
        <is>
          <t>GUIDE000630</t>
        </is>
      </c>
      <c r="B631" s="101" t="inlineStr">
        <is>
          <t>DEV000006</t>
        </is>
      </c>
      <c r="C631" s="103" t="inlineStr">
        <is>
          <t>APL</t>
        </is>
      </c>
      <c r="D631" s="103" t="inlineStr">
        <is>
          <t>PHN</t>
        </is>
      </c>
      <c r="E631" s="60" t="inlineStr">
        <is>
          <t>iPhone 5</t>
        </is>
      </c>
      <c r="F631" s="104" t="inlineStr">
        <is>
          <t>SVC000016</t>
        </is>
      </c>
      <c r="G631" s="104" t="inlineStr">
        <is>
          <t>Camera Calibration</t>
        </is>
      </c>
      <c r="H631" s="104" t="inlineStr">
        <is>
          <t>Camera</t>
        </is>
      </c>
      <c r="I631" s="104" t="n"/>
      <c r="J631" s="104" t="n"/>
      <c r="K631" s="104" t="n"/>
      <c r="L631" s="104" t="n"/>
      <c r="M631" s="104" t="n"/>
      <c r="N631" s="104" t="n"/>
      <c r="O631" s="104" t="n"/>
      <c r="P631" s="104" t="n"/>
      <c r="Q631" s="104" t="n"/>
      <c r="R631" s="104" t="n"/>
      <c r="S631" s="110" t="n"/>
      <c r="T631" s="110" t="n"/>
      <c r="U631" s="104" t="n"/>
    </row>
    <row r="632">
      <c r="A632" s="104" t="inlineStr">
        <is>
          <t>GUIDE000631</t>
        </is>
      </c>
      <c r="B632" s="101" t="inlineStr">
        <is>
          <t>DEV000007</t>
        </is>
      </c>
      <c r="C632" s="103" t="inlineStr">
        <is>
          <t>APL</t>
        </is>
      </c>
      <c r="D632" s="103" t="inlineStr">
        <is>
          <t>PHN</t>
        </is>
      </c>
      <c r="E632" s="60" t="inlineStr">
        <is>
          <t>iPhone 5c</t>
        </is>
      </c>
      <c r="F632" s="104" t="inlineStr">
        <is>
          <t>SVC000016</t>
        </is>
      </c>
      <c r="G632" s="104" t="inlineStr">
        <is>
          <t>Camera Calibration</t>
        </is>
      </c>
      <c r="H632" s="104" t="inlineStr">
        <is>
          <t>Camera</t>
        </is>
      </c>
      <c r="I632" s="104" t="n"/>
      <c r="J632" s="104" t="n"/>
      <c r="K632" s="104" t="n"/>
      <c r="L632" s="104" t="n"/>
      <c r="M632" s="104" t="n"/>
      <c r="N632" s="104" t="n"/>
      <c r="O632" s="104" t="n"/>
      <c r="P632" s="104" t="n"/>
      <c r="Q632" s="104" t="n"/>
      <c r="R632" s="104" t="n"/>
      <c r="S632" s="110" t="n"/>
      <c r="T632" s="110" t="n"/>
      <c r="U632" s="104" t="n"/>
    </row>
    <row r="633">
      <c r="A633" s="105" t="inlineStr">
        <is>
          <t>GUIDE000632</t>
        </is>
      </c>
      <c r="B633" s="101" t="inlineStr">
        <is>
          <t>DEV000008</t>
        </is>
      </c>
      <c r="C633" s="103" t="inlineStr">
        <is>
          <t>APL</t>
        </is>
      </c>
      <c r="D633" s="103" t="inlineStr">
        <is>
          <t>PHN</t>
        </is>
      </c>
      <c r="E633" s="60" t="inlineStr">
        <is>
          <t>iPhone 5s</t>
        </is>
      </c>
      <c r="F633" s="104" t="inlineStr">
        <is>
          <t>SVC000016</t>
        </is>
      </c>
      <c r="G633" s="104" t="inlineStr">
        <is>
          <t>Camera Calibration</t>
        </is>
      </c>
      <c r="H633" s="104" t="inlineStr">
        <is>
          <t>Camera</t>
        </is>
      </c>
      <c r="I633" s="104" t="n"/>
      <c r="J633" s="104" t="n"/>
      <c r="K633" s="104" t="n"/>
      <c r="L633" s="104" t="n"/>
      <c r="M633" s="104" t="n"/>
      <c r="N633" s="104" t="n"/>
      <c r="O633" s="104" t="n"/>
      <c r="P633" s="104" t="n"/>
      <c r="Q633" s="104" t="n"/>
      <c r="R633" s="104" t="n"/>
      <c r="S633" s="110" t="n"/>
      <c r="T633" s="110" t="n"/>
      <c r="U633" s="104" t="n"/>
    </row>
    <row r="634">
      <c r="A634" s="104" t="inlineStr">
        <is>
          <t>GUIDE000633</t>
        </is>
      </c>
      <c r="B634" s="101" t="inlineStr">
        <is>
          <t>DEV000009</t>
        </is>
      </c>
      <c r="C634" s="103" t="inlineStr">
        <is>
          <t>APL</t>
        </is>
      </c>
      <c r="D634" s="103" t="inlineStr">
        <is>
          <t>PHN</t>
        </is>
      </c>
      <c r="E634" s="60" t="inlineStr">
        <is>
          <t>iPhone 6</t>
        </is>
      </c>
      <c r="F634" s="104" t="inlineStr">
        <is>
          <t>SVC000016</t>
        </is>
      </c>
      <c r="G634" s="104" t="inlineStr">
        <is>
          <t>Camera Calibration</t>
        </is>
      </c>
      <c r="H634" s="104" t="inlineStr">
        <is>
          <t>Camera</t>
        </is>
      </c>
      <c r="I634" s="104" t="n"/>
      <c r="J634" s="104" t="n"/>
      <c r="K634" s="104" t="n"/>
      <c r="L634" s="104" t="n"/>
      <c r="M634" s="104" t="n"/>
      <c r="N634" s="104" t="n"/>
      <c r="O634" s="104" t="n"/>
      <c r="P634" s="104" t="n"/>
      <c r="Q634" s="104" t="n"/>
      <c r="R634" s="104" t="n"/>
      <c r="S634" s="110" t="n"/>
      <c r="T634" s="110" t="n"/>
      <c r="U634" s="104" t="n"/>
    </row>
    <row r="635">
      <c r="A635" s="104" t="inlineStr">
        <is>
          <t>GUIDE000634</t>
        </is>
      </c>
      <c r="B635" s="101" t="inlineStr">
        <is>
          <t>DEV000010</t>
        </is>
      </c>
      <c r="C635" s="103" t="inlineStr">
        <is>
          <t>APL</t>
        </is>
      </c>
      <c r="D635" s="103" t="inlineStr">
        <is>
          <t>PHN</t>
        </is>
      </c>
      <c r="E635" s="60" t="inlineStr">
        <is>
          <t>iPhone 6 Plus</t>
        </is>
      </c>
      <c r="F635" s="104" t="inlineStr">
        <is>
          <t>SVC000016</t>
        </is>
      </c>
      <c r="G635" s="104" t="inlineStr">
        <is>
          <t>Camera Calibration</t>
        </is>
      </c>
      <c r="H635" s="104" t="inlineStr">
        <is>
          <t>Camera</t>
        </is>
      </c>
      <c r="I635" s="104" t="n"/>
      <c r="J635" s="104" t="n"/>
      <c r="K635" s="104" t="n"/>
      <c r="L635" s="104" t="n"/>
      <c r="M635" s="104" t="n"/>
      <c r="N635" s="104" t="n"/>
      <c r="O635" s="104" t="n"/>
      <c r="P635" s="104" t="n"/>
      <c r="Q635" s="104" t="n"/>
      <c r="R635" s="104" t="n"/>
      <c r="S635" s="110" t="n"/>
      <c r="T635" s="110" t="n"/>
      <c r="U635" s="104" t="n"/>
    </row>
    <row r="636">
      <c r="A636" s="104" t="inlineStr">
        <is>
          <t>GUIDE000635</t>
        </is>
      </c>
      <c r="B636" s="101" t="inlineStr">
        <is>
          <t>DEV000011</t>
        </is>
      </c>
      <c r="C636" s="103" t="inlineStr">
        <is>
          <t>APL</t>
        </is>
      </c>
      <c r="D636" s="103" t="inlineStr">
        <is>
          <t>PHN</t>
        </is>
      </c>
      <c r="E636" s="60" t="inlineStr">
        <is>
          <t>iPhone 6s</t>
        </is>
      </c>
      <c r="F636" s="104" t="inlineStr">
        <is>
          <t>SVC000016</t>
        </is>
      </c>
      <c r="G636" s="104" t="inlineStr">
        <is>
          <t>Camera Calibration</t>
        </is>
      </c>
      <c r="H636" s="104" t="inlineStr">
        <is>
          <t>Camera</t>
        </is>
      </c>
      <c r="I636" s="104" t="n"/>
      <c r="J636" s="104" t="n"/>
      <c r="K636" s="104" t="n"/>
      <c r="L636" s="104" t="n"/>
      <c r="M636" s="104" t="n"/>
      <c r="N636" s="104" t="n"/>
      <c r="O636" s="104" t="n"/>
      <c r="P636" s="104" t="n"/>
      <c r="Q636" s="104" t="n"/>
      <c r="R636" s="104" t="n"/>
      <c r="S636" s="110" t="n"/>
      <c r="T636" s="110" t="n"/>
      <c r="U636" s="104" t="n"/>
    </row>
    <row r="637">
      <c r="A637" s="105" t="inlineStr">
        <is>
          <t>GUIDE000636</t>
        </is>
      </c>
      <c r="B637" s="101" t="inlineStr">
        <is>
          <t>DEV000012</t>
        </is>
      </c>
      <c r="C637" s="103" t="inlineStr">
        <is>
          <t>APL</t>
        </is>
      </c>
      <c r="D637" s="103" t="inlineStr">
        <is>
          <t>PHN</t>
        </is>
      </c>
      <c r="E637" s="60" t="inlineStr">
        <is>
          <t>iPhone 6s Plus</t>
        </is>
      </c>
      <c r="F637" s="104" t="inlineStr">
        <is>
          <t>SVC000016</t>
        </is>
      </c>
      <c r="G637" s="104" t="inlineStr">
        <is>
          <t>Camera Calibration</t>
        </is>
      </c>
      <c r="H637" s="104" t="inlineStr">
        <is>
          <t>Camera</t>
        </is>
      </c>
      <c r="I637" s="104" t="n"/>
      <c r="J637" s="104" t="n"/>
      <c r="K637" s="104" t="n"/>
      <c r="L637" s="104" t="n"/>
      <c r="M637" s="104" t="n"/>
      <c r="N637" s="104" t="n"/>
      <c r="O637" s="104" t="n"/>
      <c r="P637" s="104" t="n"/>
      <c r="Q637" s="104" t="n"/>
      <c r="R637" s="104" t="n"/>
      <c r="S637" s="110" t="n"/>
      <c r="T637" s="110" t="n"/>
      <c r="U637" s="104" t="n"/>
    </row>
    <row r="638">
      <c r="A638" s="104" t="inlineStr">
        <is>
          <t>GUIDE000637</t>
        </is>
      </c>
      <c r="B638" s="101" t="inlineStr">
        <is>
          <t>DEV000013</t>
        </is>
      </c>
      <c r="C638" s="103" t="inlineStr">
        <is>
          <t>APL</t>
        </is>
      </c>
      <c r="D638" s="103" t="inlineStr">
        <is>
          <t>PHN</t>
        </is>
      </c>
      <c r="E638" s="60" t="inlineStr">
        <is>
          <t>iPhone SE (1st Gen)</t>
        </is>
      </c>
      <c r="F638" s="104" t="inlineStr">
        <is>
          <t>SVC000016</t>
        </is>
      </c>
      <c r="G638" s="104" t="inlineStr">
        <is>
          <t>Camera Calibration</t>
        </is>
      </c>
      <c r="H638" s="104" t="inlineStr">
        <is>
          <t>Camera</t>
        </is>
      </c>
      <c r="I638" s="104" t="n"/>
      <c r="J638" s="104" t="n"/>
      <c r="K638" s="104" t="n"/>
      <c r="L638" s="104" t="n"/>
      <c r="M638" s="104" t="n"/>
      <c r="N638" s="104" t="n"/>
      <c r="O638" s="104" t="n"/>
      <c r="P638" s="104" t="n"/>
      <c r="Q638" s="104" t="n"/>
      <c r="R638" s="104" t="n"/>
      <c r="S638" s="110" t="n"/>
      <c r="T638" s="110" t="n"/>
      <c r="U638" s="104" t="n"/>
    </row>
    <row r="639">
      <c r="A639" s="104" t="inlineStr">
        <is>
          <t>GUIDE000638</t>
        </is>
      </c>
      <c r="B639" s="101" t="inlineStr">
        <is>
          <t>DEV000014</t>
        </is>
      </c>
      <c r="C639" s="103" t="inlineStr">
        <is>
          <t>APL</t>
        </is>
      </c>
      <c r="D639" s="103" t="inlineStr">
        <is>
          <t>PHN</t>
        </is>
      </c>
      <c r="E639" s="60" t="inlineStr">
        <is>
          <t>iPhone 7</t>
        </is>
      </c>
      <c r="F639" s="104" t="inlineStr">
        <is>
          <t>SVC000016</t>
        </is>
      </c>
      <c r="G639" s="104" t="inlineStr">
        <is>
          <t>Camera Calibration</t>
        </is>
      </c>
      <c r="H639" s="104" t="inlineStr">
        <is>
          <t>Camera</t>
        </is>
      </c>
      <c r="I639" s="104" t="n"/>
      <c r="J639" s="104" t="n"/>
      <c r="K639" s="104" t="n"/>
      <c r="L639" s="104" t="n"/>
      <c r="M639" s="104" t="n"/>
      <c r="N639" s="104" t="n"/>
      <c r="O639" s="104" t="n"/>
      <c r="P639" s="104" t="n"/>
      <c r="Q639" s="104" t="n"/>
      <c r="R639" s="104" t="n"/>
      <c r="S639" s="110" t="n"/>
      <c r="T639" s="110" t="n"/>
      <c r="U639" s="104" t="n"/>
    </row>
    <row r="640">
      <c r="A640" s="104" t="inlineStr">
        <is>
          <t>GUIDE000639</t>
        </is>
      </c>
      <c r="B640" s="101" t="inlineStr">
        <is>
          <t>DEV000015</t>
        </is>
      </c>
      <c r="C640" s="103" t="inlineStr">
        <is>
          <t>APL</t>
        </is>
      </c>
      <c r="D640" s="103" t="inlineStr">
        <is>
          <t>PHN</t>
        </is>
      </c>
      <c r="E640" s="60" t="inlineStr">
        <is>
          <t>iPhone 7 Plus</t>
        </is>
      </c>
      <c r="F640" s="104" t="inlineStr">
        <is>
          <t>SVC000016</t>
        </is>
      </c>
      <c r="G640" s="104" t="inlineStr">
        <is>
          <t>Camera Calibration</t>
        </is>
      </c>
      <c r="H640" s="104" t="inlineStr">
        <is>
          <t>Camera</t>
        </is>
      </c>
      <c r="I640" s="104" t="n"/>
      <c r="J640" s="104" t="n"/>
      <c r="K640" s="104" t="n"/>
      <c r="L640" s="104" t="n"/>
      <c r="M640" s="104" t="n"/>
      <c r="N640" s="104" t="n"/>
      <c r="O640" s="104" t="n"/>
      <c r="P640" s="104" t="n"/>
      <c r="Q640" s="104" t="n"/>
      <c r="R640" s="104" t="n"/>
      <c r="S640" s="110" t="n"/>
      <c r="T640" s="110" t="n"/>
      <c r="U640" s="104" t="n"/>
    </row>
    <row r="641">
      <c r="A641" s="104" t="inlineStr">
        <is>
          <t>GUIDE000640</t>
        </is>
      </c>
      <c r="B641" s="101" t="inlineStr">
        <is>
          <t>DEV000016</t>
        </is>
      </c>
      <c r="C641" s="103" t="inlineStr">
        <is>
          <t>APL</t>
        </is>
      </c>
      <c r="D641" s="103" t="inlineStr">
        <is>
          <t>PHN</t>
        </is>
      </c>
      <c r="E641" s="60" t="inlineStr">
        <is>
          <t>iPhone 8</t>
        </is>
      </c>
      <c r="F641" s="104" t="inlineStr">
        <is>
          <t>SVC000016</t>
        </is>
      </c>
      <c r="G641" s="104" t="inlineStr">
        <is>
          <t>Camera Calibration</t>
        </is>
      </c>
      <c r="H641" s="104" t="inlineStr">
        <is>
          <t>Camera</t>
        </is>
      </c>
      <c r="I641" s="104" t="n"/>
      <c r="J641" s="104" t="n"/>
      <c r="K641" s="104" t="n"/>
      <c r="L641" s="104" t="n"/>
      <c r="M641" s="104" t="n"/>
      <c r="N641" s="104" t="n"/>
      <c r="O641" s="104" t="n"/>
      <c r="P641" s="104" t="n"/>
      <c r="Q641" s="104" t="n"/>
      <c r="R641" s="104" t="n"/>
      <c r="S641" s="110" t="n"/>
      <c r="T641" s="110" t="n"/>
      <c r="U641" s="104" t="n"/>
    </row>
    <row r="642">
      <c r="A642" s="105" t="inlineStr">
        <is>
          <t>GUIDE000641</t>
        </is>
      </c>
      <c r="B642" s="101" t="inlineStr">
        <is>
          <t>DEV000017</t>
        </is>
      </c>
      <c r="C642" s="103" t="inlineStr">
        <is>
          <t>APL</t>
        </is>
      </c>
      <c r="D642" s="103" t="inlineStr">
        <is>
          <t>PHN</t>
        </is>
      </c>
      <c r="E642" s="60" t="inlineStr">
        <is>
          <t>iPhone 8 Plus</t>
        </is>
      </c>
      <c r="F642" s="104" t="inlineStr">
        <is>
          <t>SVC000016</t>
        </is>
      </c>
      <c r="G642" s="104" t="inlineStr">
        <is>
          <t>Camera Calibration</t>
        </is>
      </c>
      <c r="H642" s="104" t="inlineStr">
        <is>
          <t>Camera</t>
        </is>
      </c>
      <c r="I642" s="104" t="n"/>
      <c r="J642" s="104" t="n"/>
      <c r="K642" s="104" t="n"/>
      <c r="L642" s="104" t="n"/>
      <c r="M642" s="104" t="n"/>
      <c r="N642" s="104" t="n"/>
      <c r="O642" s="104" t="n"/>
      <c r="P642" s="104" t="n"/>
      <c r="Q642" s="104" t="n"/>
      <c r="R642" s="104" t="n"/>
      <c r="S642" s="110" t="n"/>
      <c r="T642" s="110" t="n"/>
      <c r="U642" s="104" t="n"/>
    </row>
    <row r="643">
      <c r="A643" s="104" t="inlineStr">
        <is>
          <t>GUIDE000642</t>
        </is>
      </c>
      <c r="B643" s="101" t="inlineStr">
        <is>
          <t>DEV000018</t>
        </is>
      </c>
      <c r="C643" s="103" t="inlineStr">
        <is>
          <t>APL</t>
        </is>
      </c>
      <c r="D643" s="103" t="inlineStr">
        <is>
          <t>PHN</t>
        </is>
      </c>
      <c r="E643" s="60" t="inlineStr">
        <is>
          <t>iPhone X</t>
        </is>
      </c>
      <c r="F643" s="104" t="inlineStr">
        <is>
          <t>SVC000016</t>
        </is>
      </c>
      <c r="G643" s="104" t="inlineStr">
        <is>
          <t>Camera Calibration</t>
        </is>
      </c>
      <c r="H643" s="104" t="inlineStr">
        <is>
          <t>Camera</t>
        </is>
      </c>
      <c r="I643" s="104" t="n"/>
      <c r="J643" s="104" t="n"/>
      <c r="K643" s="104" t="n"/>
      <c r="L643" s="104" t="n"/>
      <c r="M643" s="104" t="n"/>
      <c r="N643" s="104" t="n"/>
      <c r="O643" s="104" t="n"/>
      <c r="P643" s="104" t="n"/>
      <c r="Q643" s="104" t="n"/>
      <c r="R643" s="104" t="n"/>
      <c r="S643" s="110" t="n"/>
      <c r="T643" s="110" t="n"/>
      <c r="U643" s="104" t="n"/>
    </row>
    <row r="644">
      <c r="A644" s="104" t="inlineStr">
        <is>
          <t>GUIDE000643</t>
        </is>
      </c>
      <c r="B644" s="101" t="inlineStr">
        <is>
          <t>DEV000019</t>
        </is>
      </c>
      <c r="C644" s="103" t="inlineStr">
        <is>
          <t>APL</t>
        </is>
      </c>
      <c r="D644" s="103" t="inlineStr">
        <is>
          <t>PHN</t>
        </is>
      </c>
      <c r="E644" s="60" t="inlineStr">
        <is>
          <t>iPhone XR</t>
        </is>
      </c>
      <c r="F644" s="104" t="inlineStr">
        <is>
          <t>SVC000016</t>
        </is>
      </c>
      <c r="G644" s="104" t="inlineStr">
        <is>
          <t>Camera Calibration</t>
        </is>
      </c>
      <c r="H644" s="104" t="inlineStr">
        <is>
          <t>Camera</t>
        </is>
      </c>
      <c r="I644" s="104" t="n"/>
      <c r="J644" s="104" t="n"/>
      <c r="K644" s="104" t="n"/>
      <c r="L644" s="104" t="n"/>
      <c r="M644" s="104" t="n"/>
      <c r="N644" s="104" t="n"/>
      <c r="O644" s="104" t="n"/>
      <c r="P644" s="104" t="n"/>
      <c r="Q644" s="104" t="n"/>
      <c r="R644" s="104" t="n"/>
      <c r="S644" s="110" t="n"/>
      <c r="T644" s="110" t="n"/>
      <c r="U644" s="104" t="n"/>
    </row>
    <row r="645">
      <c r="A645" s="104" t="inlineStr">
        <is>
          <t>GUIDE000644</t>
        </is>
      </c>
      <c r="B645" s="101" t="inlineStr">
        <is>
          <t>DEV000020</t>
        </is>
      </c>
      <c r="C645" s="103" t="inlineStr">
        <is>
          <t>APL</t>
        </is>
      </c>
      <c r="D645" s="103" t="inlineStr">
        <is>
          <t>PHN</t>
        </is>
      </c>
      <c r="E645" s="60" t="inlineStr">
        <is>
          <t>iPhone XS</t>
        </is>
      </c>
      <c r="F645" s="104" t="inlineStr">
        <is>
          <t>SVC000016</t>
        </is>
      </c>
      <c r="G645" s="104" t="inlineStr">
        <is>
          <t>Camera Calibration</t>
        </is>
      </c>
      <c r="H645" s="104" t="inlineStr">
        <is>
          <t>Camera</t>
        </is>
      </c>
      <c r="I645" s="104" t="n"/>
      <c r="J645" s="104" t="n"/>
      <c r="K645" s="104" t="n"/>
      <c r="L645" s="104" t="n"/>
      <c r="M645" s="104" t="n"/>
      <c r="N645" s="104" t="n"/>
      <c r="O645" s="104" t="n"/>
      <c r="P645" s="104" t="n"/>
      <c r="Q645" s="104" t="n"/>
      <c r="R645" s="104" t="n"/>
      <c r="S645" s="110" t="n"/>
      <c r="T645" s="110" t="n"/>
      <c r="U645" s="104" t="n"/>
    </row>
    <row r="646">
      <c r="A646" s="105" t="inlineStr">
        <is>
          <t>GUIDE000645</t>
        </is>
      </c>
      <c r="B646" s="101" t="inlineStr">
        <is>
          <t>DEV000021</t>
        </is>
      </c>
      <c r="C646" s="103" t="inlineStr">
        <is>
          <t>APL</t>
        </is>
      </c>
      <c r="D646" s="103" t="inlineStr">
        <is>
          <t>PHN</t>
        </is>
      </c>
      <c r="E646" s="60" t="inlineStr">
        <is>
          <t>iPhone XS Max</t>
        </is>
      </c>
      <c r="F646" s="104" t="inlineStr">
        <is>
          <t>SVC000016</t>
        </is>
      </c>
      <c r="G646" s="104" t="inlineStr">
        <is>
          <t>Camera Calibration</t>
        </is>
      </c>
      <c r="H646" s="104" t="inlineStr">
        <is>
          <t>Camera</t>
        </is>
      </c>
      <c r="I646" s="104" t="n"/>
      <c r="J646" s="104" t="n"/>
      <c r="K646" s="104" t="n"/>
      <c r="L646" s="104" t="n"/>
      <c r="M646" s="104" t="n"/>
      <c r="N646" s="104" t="n"/>
      <c r="O646" s="104" t="n"/>
      <c r="P646" s="104" t="n"/>
      <c r="Q646" s="104" t="n"/>
      <c r="R646" s="104" t="n"/>
      <c r="S646" s="110" t="n"/>
      <c r="T646" s="110" t="n"/>
      <c r="U646" s="104" t="n"/>
    </row>
    <row r="647">
      <c r="A647" s="104" t="inlineStr">
        <is>
          <t>GUIDE000646</t>
        </is>
      </c>
      <c r="B647" s="101" t="inlineStr">
        <is>
          <t>DEV000022</t>
        </is>
      </c>
      <c r="C647" s="103" t="inlineStr">
        <is>
          <t>APL</t>
        </is>
      </c>
      <c r="D647" s="103" t="inlineStr">
        <is>
          <t>PHN</t>
        </is>
      </c>
      <c r="E647" s="60" t="inlineStr">
        <is>
          <t>iPhone 11</t>
        </is>
      </c>
      <c r="F647" s="104" t="inlineStr">
        <is>
          <t>SVC000016</t>
        </is>
      </c>
      <c r="G647" s="104" t="inlineStr">
        <is>
          <t>Camera Calibration</t>
        </is>
      </c>
      <c r="H647" s="104" t="inlineStr">
        <is>
          <t>Camera</t>
        </is>
      </c>
      <c r="I647" s="104" t="n"/>
      <c r="J647" s="104" t="n"/>
      <c r="K647" s="104" t="n"/>
      <c r="L647" s="104" t="n"/>
      <c r="M647" s="104" t="n"/>
      <c r="N647" s="104" t="n"/>
      <c r="O647" s="104" t="n"/>
      <c r="P647" s="104" t="n"/>
      <c r="Q647" s="104" t="n"/>
      <c r="R647" s="104" t="n"/>
      <c r="S647" s="110" t="n"/>
      <c r="T647" s="110" t="n"/>
      <c r="U647" s="104" t="n"/>
    </row>
    <row r="648">
      <c r="A648" s="104" t="inlineStr">
        <is>
          <t>GUIDE000647</t>
        </is>
      </c>
      <c r="B648" s="101" t="inlineStr">
        <is>
          <t>DEV000023</t>
        </is>
      </c>
      <c r="C648" s="103" t="inlineStr">
        <is>
          <t>APL</t>
        </is>
      </c>
      <c r="D648" s="103" t="inlineStr">
        <is>
          <t>PHN</t>
        </is>
      </c>
      <c r="E648" s="60" t="inlineStr">
        <is>
          <t>iPhone 11 Pro</t>
        </is>
      </c>
      <c r="F648" s="104" t="inlineStr">
        <is>
          <t>SVC000016</t>
        </is>
      </c>
      <c r="G648" s="104" t="inlineStr">
        <is>
          <t>Camera Calibration</t>
        </is>
      </c>
      <c r="H648" s="104" t="inlineStr">
        <is>
          <t>Camera</t>
        </is>
      </c>
      <c r="I648" s="104" t="n"/>
      <c r="J648" s="104" t="n"/>
      <c r="K648" s="104" t="n"/>
      <c r="L648" s="104" t="n"/>
      <c r="M648" s="104" t="n"/>
      <c r="N648" s="104" t="n"/>
      <c r="O648" s="104" t="n"/>
      <c r="P648" s="104" t="n"/>
      <c r="Q648" s="104" t="n"/>
      <c r="R648" s="104" t="n"/>
      <c r="S648" s="110" t="n"/>
      <c r="T648" s="110" t="n"/>
      <c r="U648" s="104" t="n"/>
    </row>
    <row r="649">
      <c r="A649" s="104" t="inlineStr">
        <is>
          <t>GUIDE000648</t>
        </is>
      </c>
      <c r="B649" s="101" t="inlineStr">
        <is>
          <t>DEV000024</t>
        </is>
      </c>
      <c r="C649" s="103" t="inlineStr">
        <is>
          <t>APL</t>
        </is>
      </c>
      <c r="D649" s="103" t="inlineStr">
        <is>
          <t>PHN</t>
        </is>
      </c>
      <c r="E649" s="60" t="inlineStr">
        <is>
          <t>iPhone 11 Pro Max</t>
        </is>
      </c>
      <c r="F649" s="104" t="inlineStr">
        <is>
          <t>SVC000016</t>
        </is>
      </c>
      <c r="G649" s="104" t="inlineStr">
        <is>
          <t>Camera Calibration</t>
        </is>
      </c>
      <c r="H649" s="104" t="inlineStr">
        <is>
          <t>Camera</t>
        </is>
      </c>
      <c r="I649" s="104" t="n"/>
      <c r="J649" s="104" t="n"/>
      <c r="K649" s="104" t="n"/>
      <c r="L649" s="104" t="n"/>
      <c r="M649" s="104" t="n"/>
      <c r="N649" s="104" t="n"/>
      <c r="O649" s="104" t="n"/>
      <c r="P649" s="104" t="n"/>
      <c r="Q649" s="104" t="n"/>
      <c r="R649" s="104" t="n"/>
      <c r="S649" s="110" t="n"/>
      <c r="T649" s="110" t="n"/>
      <c r="U649" s="104" t="n"/>
    </row>
    <row r="650">
      <c r="A650" s="104" t="inlineStr">
        <is>
          <t>GUIDE000649</t>
        </is>
      </c>
      <c r="B650" s="101" t="inlineStr">
        <is>
          <t>DEV000025</t>
        </is>
      </c>
      <c r="C650" s="103" t="inlineStr">
        <is>
          <t>APL</t>
        </is>
      </c>
      <c r="D650" s="103" t="inlineStr">
        <is>
          <t>PHN</t>
        </is>
      </c>
      <c r="E650" s="60" t="inlineStr">
        <is>
          <t>iPhone SE (2nd Generation)</t>
        </is>
      </c>
      <c r="F650" s="104" t="inlineStr">
        <is>
          <t>SVC000016</t>
        </is>
      </c>
      <c r="G650" s="104" t="inlineStr">
        <is>
          <t>Camera Calibration</t>
        </is>
      </c>
      <c r="H650" s="104" t="inlineStr">
        <is>
          <t>Camera</t>
        </is>
      </c>
      <c r="I650" s="104" t="n"/>
      <c r="J650" s="104" t="n"/>
      <c r="K650" s="104" t="n"/>
      <c r="L650" s="104" t="n"/>
      <c r="M650" s="104" t="n"/>
      <c r="N650" s="104" t="n"/>
      <c r="O650" s="104" t="n"/>
      <c r="P650" s="104" t="n"/>
      <c r="Q650" s="104" t="n"/>
      <c r="R650" s="104" t="n"/>
      <c r="S650" s="110" t="n"/>
      <c r="T650" s="110" t="n"/>
      <c r="U650" s="104" t="n"/>
    </row>
    <row r="651">
      <c r="A651" s="105" t="inlineStr">
        <is>
          <t>GUIDE000650</t>
        </is>
      </c>
      <c r="B651" s="101" t="inlineStr">
        <is>
          <t>DEV000026</t>
        </is>
      </c>
      <c r="C651" s="103" t="inlineStr">
        <is>
          <t>APL</t>
        </is>
      </c>
      <c r="D651" s="103" t="inlineStr">
        <is>
          <t>PHN</t>
        </is>
      </c>
      <c r="E651" s="60" t="inlineStr">
        <is>
          <t>iPhone 12 mini</t>
        </is>
      </c>
      <c r="F651" s="104" t="inlineStr">
        <is>
          <t>SVC000016</t>
        </is>
      </c>
      <c r="G651" s="104" t="inlineStr">
        <is>
          <t>Camera Calibration</t>
        </is>
      </c>
      <c r="H651" s="104" t="inlineStr">
        <is>
          <t>Camera</t>
        </is>
      </c>
      <c r="I651" s="104" t="n"/>
      <c r="J651" s="104" t="n"/>
      <c r="K651" s="104" t="n"/>
      <c r="L651" s="104" t="n"/>
      <c r="M651" s="104" t="n"/>
      <c r="N651" s="104" t="n"/>
      <c r="O651" s="104" t="n"/>
      <c r="P651" s="104" t="n"/>
      <c r="Q651" s="104" t="n"/>
      <c r="R651" s="104" t="n"/>
      <c r="S651" s="110" t="n"/>
      <c r="T651" s="110" t="n"/>
      <c r="U651" s="104" t="n"/>
    </row>
    <row r="652">
      <c r="A652" s="104" t="inlineStr">
        <is>
          <t>GUIDE000651</t>
        </is>
      </c>
      <c r="B652" s="101" t="inlineStr">
        <is>
          <t>DEV000027</t>
        </is>
      </c>
      <c r="C652" s="103" t="inlineStr">
        <is>
          <t>APL</t>
        </is>
      </c>
      <c r="D652" s="103" t="inlineStr">
        <is>
          <t>PHN</t>
        </is>
      </c>
      <c r="E652" s="60" t="inlineStr">
        <is>
          <t>iPhone 12</t>
        </is>
      </c>
      <c r="F652" s="104" t="inlineStr">
        <is>
          <t>SVC000016</t>
        </is>
      </c>
      <c r="G652" s="104" t="inlineStr">
        <is>
          <t>Camera Calibration</t>
        </is>
      </c>
      <c r="H652" s="104" t="inlineStr">
        <is>
          <t>Camera</t>
        </is>
      </c>
      <c r="I652" s="104" t="n"/>
      <c r="J652" s="104" t="n"/>
      <c r="K652" s="104" t="n"/>
      <c r="L652" s="104" t="n"/>
      <c r="M652" s="104" t="n"/>
      <c r="N652" s="104" t="n"/>
      <c r="O652" s="104" t="n"/>
      <c r="P652" s="104" t="n"/>
      <c r="Q652" s="104" t="n"/>
      <c r="R652" s="104" t="n"/>
      <c r="S652" s="110" t="n"/>
      <c r="T652" s="110" t="n"/>
      <c r="U652" s="104" t="n"/>
    </row>
    <row r="653">
      <c r="A653" s="104" t="inlineStr">
        <is>
          <t>GUIDE000652</t>
        </is>
      </c>
      <c r="B653" s="101" t="inlineStr">
        <is>
          <t>DEV000028</t>
        </is>
      </c>
      <c r="C653" s="103" t="inlineStr">
        <is>
          <t>APL</t>
        </is>
      </c>
      <c r="D653" s="103" t="inlineStr">
        <is>
          <t>PHN</t>
        </is>
      </c>
      <c r="E653" s="60" t="inlineStr">
        <is>
          <t>iPhone 12 Pro</t>
        </is>
      </c>
      <c r="F653" s="104" t="inlineStr">
        <is>
          <t>SVC000016</t>
        </is>
      </c>
      <c r="G653" s="104" t="inlineStr">
        <is>
          <t>Camera Calibration</t>
        </is>
      </c>
      <c r="H653" s="104" t="inlineStr">
        <is>
          <t>Camera</t>
        </is>
      </c>
      <c r="I653" s="104" t="n"/>
      <c r="J653" s="104" t="n"/>
      <c r="K653" s="104" t="n"/>
      <c r="L653" s="104" t="n"/>
      <c r="M653" s="104" t="n"/>
      <c r="N653" s="104" t="n"/>
      <c r="O653" s="104" t="n"/>
      <c r="P653" s="104" t="n"/>
      <c r="Q653" s="104" t="n"/>
      <c r="R653" s="104" t="n"/>
      <c r="S653" s="110" t="n"/>
      <c r="T653" s="110" t="n"/>
      <c r="U653" s="104" t="n"/>
    </row>
    <row r="654">
      <c r="A654" s="104" t="inlineStr">
        <is>
          <t>GUIDE000653</t>
        </is>
      </c>
      <c r="B654" s="101" t="inlineStr">
        <is>
          <t>DEV000029</t>
        </is>
      </c>
      <c r="C654" s="103" t="inlineStr">
        <is>
          <t>APL</t>
        </is>
      </c>
      <c r="D654" s="103" t="inlineStr">
        <is>
          <t>PHN</t>
        </is>
      </c>
      <c r="E654" s="60" t="inlineStr">
        <is>
          <t>iPhone 12 Pro Max</t>
        </is>
      </c>
      <c r="F654" s="104" t="inlineStr">
        <is>
          <t>SVC000016</t>
        </is>
      </c>
      <c r="G654" s="104" t="inlineStr">
        <is>
          <t>Camera Calibration</t>
        </is>
      </c>
      <c r="H654" s="104" t="inlineStr">
        <is>
          <t>Camera</t>
        </is>
      </c>
      <c r="I654" s="104" t="n"/>
      <c r="J654" s="104" t="n"/>
      <c r="K654" s="104" t="n"/>
      <c r="L654" s="104" t="n"/>
      <c r="M654" s="104" t="n"/>
      <c r="N654" s="104" t="n"/>
      <c r="O654" s="104" t="n"/>
      <c r="P654" s="104" t="n"/>
      <c r="Q654" s="104" t="n"/>
      <c r="R654" s="104" t="n"/>
      <c r="S654" s="110" t="n"/>
      <c r="T654" s="110" t="n"/>
      <c r="U654" s="104" t="n"/>
    </row>
    <row r="655">
      <c r="A655" s="105" t="inlineStr">
        <is>
          <t>GUIDE000654</t>
        </is>
      </c>
      <c r="B655" s="101" t="inlineStr">
        <is>
          <t>DEV000030</t>
        </is>
      </c>
      <c r="C655" s="103" t="inlineStr">
        <is>
          <t>APL</t>
        </is>
      </c>
      <c r="D655" s="103" t="inlineStr">
        <is>
          <t>PHN</t>
        </is>
      </c>
      <c r="E655" s="60" t="inlineStr">
        <is>
          <t>iPhone 13 mini</t>
        </is>
      </c>
      <c r="F655" s="104" t="inlineStr">
        <is>
          <t>SVC000016</t>
        </is>
      </c>
      <c r="G655" s="104" t="inlineStr">
        <is>
          <t>Camera Calibration</t>
        </is>
      </c>
      <c r="H655" s="104" t="inlineStr">
        <is>
          <t>Camera</t>
        </is>
      </c>
      <c r="I655" s="104" t="n"/>
      <c r="J655" s="104" t="n"/>
      <c r="K655" s="104" t="n"/>
      <c r="L655" s="104" t="n"/>
      <c r="M655" s="104" t="n"/>
      <c r="N655" s="104" t="n"/>
      <c r="O655" s="104" t="n"/>
      <c r="P655" s="104" t="n"/>
      <c r="Q655" s="104" t="n"/>
      <c r="R655" s="104" t="n"/>
      <c r="S655" s="110" t="n"/>
      <c r="T655" s="110" t="n"/>
      <c r="U655" s="104" t="n"/>
    </row>
    <row r="656">
      <c r="A656" s="104" t="inlineStr">
        <is>
          <t>GUIDE000655</t>
        </is>
      </c>
      <c r="B656" s="101" t="inlineStr">
        <is>
          <t>DEV000031</t>
        </is>
      </c>
      <c r="C656" s="103" t="inlineStr">
        <is>
          <t>APL</t>
        </is>
      </c>
      <c r="D656" s="103" t="inlineStr">
        <is>
          <t>PHN</t>
        </is>
      </c>
      <c r="E656" s="60" t="inlineStr">
        <is>
          <t>iPhone 13</t>
        </is>
      </c>
      <c r="F656" s="104" t="inlineStr">
        <is>
          <t>SVC000016</t>
        </is>
      </c>
      <c r="G656" s="104" t="inlineStr">
        <is>
          <t>Camera Calibration</t>
        </is>
      </c>
      <c r="H656" s="104" t="inlineStr">
        <is>
          <t>Camera</t>
        </is>
      </c>
      <c r="I656" s="104" t="n"/>
      <c r="J656" s="104" t="n"/>
      <c r="K656" s="104" t="n"/>
      <c r="L656" s="104" t="n"/>
      <c r="M656" s="104" t="n"/>
      <c r="N656" s="104" t="n"/>
      <c r="O656" s="104" t="n"/>
      <c r="P656" s="104" t="n"/>
      <c r="Q656" s="104" t="n"/>
      <c r="R656" s="104" t="n"/>
      <c r="S656" s="110" t="n"/>
      <c r="T656" s="110" t="n"/>
      <c r="U656" s="104" t="n"/>
    </row>
    <row r="657">
      <c r="A657" s="104" t="inlineStr">
        <is>
          <t>GUIDE000656</t>
        </is>
      </c>
      <c r="B657" s="101" t="inlineStr">
        <is>
          <t>DEV000032</t>
        </is>
      </c>
      <c r="C657" s="103" t="inlineStr">
        <is>
          <t>APL</t>
        </is>
      </c>
      <c r="D657" s="103" t="inlineStr">
        <is>
          <t>PHN</t>
        </is>
      </c>
      <c r="E657" s="60" t="inlineStr">
        <is>
          <t>iPhone 13 Pro</t>
        </is>
      </c>
      <c r="F657" s="104" t="inlineStr">
        <is>
          <t>SVC000016</t>
        </is>
      </c>
      <c r="G657" s="104" t="inlineStr">
        <is>
          <t>Camera Calibration</t>
        </is>
      </c>
      <c r="H657" s="104" t="inlineStr">
        <is>
          <t>Camera</t>
        </is>
      </c>
      <c r="I657" s="104" t="n"/>
      <c r="J657" s="104" t="n"/>
      <c r="K657" s="104" t="n"/>
      <c r="L657" s="104" t="n"/>
      <c r="M657" s="104" t="n"/>
      <c r="N657" s="104" t="n"/>
      <c r="O657" s="104" t="n"/>
      <c r="P657" s="104" t="n"/>
      <c r="Q657" s="104" t="n"/>
      <c r="R657" s="104" t="n"/>
      <c r="S657" s="110" t="n"/>
      <c r="T657" s="110" t="n"/>
      <c r="U657" s="104" t="n"/>
    </row>
    <row r="658">
      <c r="A658" s="104" t="inlineStr">
        <is>
          <t>GUIDE000657</t>
        </is>
      </c>
      <c r="B658" s="101" t="inlineStr">
        <is>
          <t>DEV000033</t>
        </is>
      </c>
      <c r="C658" s="103" t="inlineStr">
        <is>
          <t>APL</t>
        </is>
      </c>
      <c r="D658" s="103" t="inlineStr">
        <is>
          <t>PHN</t>
        </is>
      </c>
      <c r="E658" s="60" t="inlineStr">
        <is>
          <t>iPhone 13 Pro Max</t>
        </is>
      </c>
      <c r="F658" s="104" t="inlineStr">
        <is>
          <t>SVC000016</t>
        </is>
      </c>
      <c r="G658" s="104" t="inlineStr">
        <is>
          <t>Camera Calibration</t>
        </is>
      </c>
      <c r="H658" s="104" t="inlineStr">
        <is>
          <t>Camera</t>
        </is>
      </c>
      <c r="I658" s="104" t="n"/>
      <c r="J658" s="104" t="n"/>
      <c r="K658" s="104" t="n"/>
      <c r="L658" s="104" t="n"/>
      <c r="M658" s="104" t="n"/>
      <c r="N658" s="104" t="n"/>
      <c r="O658" s="104" t="n"/>
      <c r="P658" s="104" t="n"/>
      <c r="Q658" s="104" t="n"/>
      <c r="R658" s="104" t="n"/>
      <c r="S658" s="110" t="n"/>
      <c r="T658" s="110" t="n"/>
      <c r="U658" s="104" t="n"/>
    </row>
    <row r="659">
      <c r="A659" s="104" t="inlineStr">
        <is>
          <t>GUIDE000658</t>
        </is>
      </c>
      <c r="B659" s="101" t="inlineStr">
        <is>
          <t>DEV000034</t>
        </is>
      </c>
      <c r="C659" s="103" t="inlineStr">
        <is>
          <t>APL</t>
        </is>
      </c>
      <c r="D659" s="103" t="inlineStr">
        <is>
          <t>PHN</t>
        </is>
      </c>
      <c r="E659" s="60" t="inlineStr">
        <is>
          <t>iPhone SE (3rd Generation)</t>
        </is>
      </c>
      <c r="F659" s="104" t="inlineStr">
        <is>
          <t>SVC000016</t>
        </is>
      </c>
      <c r="G659" s="104" t="inlineStr">
        <is>
          <t>Camera Calibration</t>
        </is>
      </c>
      <c r="H659" s="104" t="inlineStr">
        <is>
          <t>Camera</t>
        </is>
      </c>
      <c r="I659" s="104" t="n"/>
      <c r="J659" s="104" t="n"/>
      <c r="K659" s="104" t="n"/>
      <c r="L659" s="104" t="n"/>
      <c r="M659" s="104" t="n"/>
      <c r="N659" s="104" t="n"/>
      <c r="O659" s="104" t="n"/>
      <c r="P659" s="104" t="n"/>
      <c r="Q659" s="104" t="n"/>
      <c r="R659" s="104" t="n"/>
      <c r="S659" s="110" t="n"/>
      <c r="T659" s="110" t="n"/>
      <c r="U659" s="104" t="n"/>
    </row>
    <row r="660">
      <c r="A660" s="105" t="inlineStr">
        <is>
          <t>GUIDE000659</t>
        </is>
      </c>
      <c r="B660" s="101" t="inlineStr">
        <is>
          <t>DEV000035</t>
        </is>
      </c>
      <c r="C660" s="103" t="inlineStr">
        <is>
          <t>APL</t>
        </is>
      </c>
      <c r="D660" s="103" t="inlineStr">
        <is>
          <t>PHN</t>
        </is>
      </c>
      <c r="E660" s="60" t="inlineStr">
        <is>
          <t>iPhone 14</t>
        </is>
      </c>
      <c r="F660" s="104" t="inlineStr">
        <is>
          <t>SVC000016</t>
        </is>
      </c>
      <c r="G660" s="104" t="inlineStr">
        <is>
          <t>Camera Calibration</t>
        </is>
      </c>
      <c r="H660" s="104" t="inlineStr">
        <is>
          <t>Camera</t>
        </is>
      </c>
      <c r="I660" s="104" t="n"/>
      <c r="J660" s="104" t="n"/>
      <c r="K660" s="104" t="n"/>
      <c r="L660" s="104" t="n"/>
      <c r="M660" s="104" t="n"/>
      <c r="N660" s="104" t="n"/>
      <c r="O660" s="104" t="n"/>
      <c r="P660" s="104" t="n"/>
      <c r="Q660" s="104" t="n"/>
      <c r="R660" s="104" t="n"/>
      <c r="S660" s="110" t="n"/>
      <c r="T660" s="110" t="n"/>
      <c r="U660" s="104" t="n"/>
    </row>
    <row r="661">
      <c r="A661" s="104" t="inlineStr">
        <is>
          <t>GUIDE000660</t>
        </is>
      </c>
      <c r="B661" s="101" t="inlineStr">
        <is>
          <t>DEV000036</t>
        </is>
      </c>
      <c r="C661" s="103" t="inlineStr">
        <is>
          <t>APL</t>
        </is>
      </c>
      <c r="D661" s="103" t="inlineStr">
        <is>
          <t>PHN</t>
        </is>
      </c>
      <c r="E661" s="60" t="inlineStr">
        <is>
          <t>iPhone 14 Plus</t>
        </is>
      </c>
      <c r="F661" s="104" t="inlineStr">
        <is>
          <t>SVC000016</t>
        </is>
      </c>
      <c r="G661" s="104" t="inlineStr">
        <is>
          <t>Camera Calibration</t>
        </is>
      </c>
      <c r="H661" s="104" t="inlineStr">
        <is>
          <t>Camera</t>
        </is>
      </c>
      <c r="I661" s="104" t="n"/>
      <c r="J661" s="104" t="n"/>
      <c r="K661" s="104" t="n"/>
      <c r="L661" s="104" t="n"/>
      <c r="M661" s="104" t="n"/>
      <c r="N661" s="104" t="n"/>
      <c r="O661" s="104" t="n"/>
      <c r="P661" s="104" t="n"/>
      <c r="Q661" s="104" t="n"/>
      <c r="R661" s="104" t="n"/>
      <c r="S661" s="110" t="n"/>
      <c r="T661" s="110" t="n"/>
      <c r="U661" s="104" t="n"/>
    </row>
    <row r="662">
      <c r="A662" s="104" t="inlineStr">
        <is>
          <t>GUIDE000661</t>
        </is>
      </c>
      <c r="B662" s="101" t="inlineStr">
        <is>
          <t>DEV000037</t>
        </is>
      </c>
      <c r="C662" s="103" t="inlineStr">
        <is>
          <t>APL</t>
        </is>
      </c>
      <c r="D662" s="103" t="inlineStr">
        <is>
          <t>PHN</t>
        </is>
      </c>
      <c r="E662" s="60" t="inlineStr">
        <is>
          <t>iPhone 14 Pro</t>
        </is>
      </c>
      <c r="F662" s="104" t="inlineStr">
        <is>
          <t>SVC000016</t>
        </is>
      </c>
      <c r="G662" s="104" t="inlineStr">
        <is>
          <t>Camera Calibration</t>
        </is>
      </c>
      <c r="H662" s="104" t="inlineStr">
        <is>
          <t>Camera</t>
        </is>
      </c>
      <c r="I662" s="104" t="n"/>
      <c r="J662" s="104" t="n"/>
      <c r="K662" s="104" t="n"/>
      <c r="L662" s="104" t="n"/>
      <c r="M662" s="104" t="n"/>
      <c r="N662" s="104" t="n"/>
      <c r="O662" s="104" t="n"/>
      <c r="P662" s="104" t="n"/>
      <c r="Q662" s="104" t="n"/>
      <c r="R662" s="104" t="n"/>
      <c r="S662" s="110" t="n"/>
      <c r="T662" s="110" t="n"/>
      <c r="U662" s="104" t="n"/>
    </row>
    <row r="663">
      <c r="A663" s="104" t="inlineStr">
        <is>
          <t>GUIDE000662</t>
        </is>
      </c>
      <c r="B663" s="101" t="inlineStr">
        <is>
          <t>DEV000038</t>
        </is>
      </c>
      <c r="C663" s="103" t="inlineStr">
        <is>
          <t>APL</t>
        </is>
      </c>
      <c r="D663" s="103" t="inlineStr">
        <is>
          <t>PHN</t>
        </is>
      </c>
      <c r="E663" s="60" t="inlineStr">
        <is>
          <t>iPhone 14 Pro Max</t>
        </is>
      </c>
      <c r="F663" s="104" t="inlineStr">
        <is>
          <t>SVC000016</t>
        </is>
      </c>
      <c r="G663" s="104" t="inlineStr">
        <is>
          <t>Camera Calibration</t>
        </is>
      </c>
      <c r="H663" s="104" t="inlineStr">
        <is>
          <t>Camera</t>
        </is>
      </c>
      <c r="I663" s="104" t="n"/>
      <c r="J663" s="104" t="n"/>
      <c r="K663" s="104" t="n"/>
      <c r="L663" s="104" t="n"/>
      <c r="M663" s="104" t="n"/>
      <c r="N663" s="104" t="n"/>
      <c r="O663" s="104" t="n"/>
      <c r="P663" s="104" t="n"/>
      <c r="Q663" s="104" t="n"/>
      <c r="R663" s="104" t="n"/>
      <c r="S663" s="110" t="n"/>
      <c r="T663" s="110" t="n"/>
      <c r="U663" s="104" t="n"/>
    </row>
    <row r="664">
      <c r="A664" s="105" t="inlineStr">
        <is>
          <t>GUIDE000663</t>
        </is>
      </c>
      <c r="B664" s="101" t="inlineStr">
        <is>
          <t>DEV000039</t>
        </is>
      </c>
      <c r="C664" s="103" t="inlineStr">
        <is>
          <t>APL</t>
        </is>
      </c>
      <c r="D664" s="103" t="inlineStr">
        <is>
          <t>PHN</t>
        </is>
      </c>
      <c r="E664" s="60" t="inlineStr">
        <is>
          <t>iPhone 15</t>
        </is>
      </c>
      <c r="F664" s="104" t="inlineStr">
        <is>
          <t>SVC000016</t>
        </is>
      </c>
      <c r="G664" s="104" t="inlineStr">
        <is>
          <t>Camera Calibration</t>
        </is>
      </c>
      <c r="H664" s="104" t="inlineStr">
        <is>
          <t>Camera</t>
        </is>
      </c>
      <c r="I664" s="104" t="n"/>
      <c r="J664" s="104" t="n"/>
      <c r="K664" s="104" t="n"/>
      <c r="L664" s="104" t="n"/>
      <c r="M664" s="104" t="n"/>
      <c r="N664" s="104" t="n"/>
      <c r="O664" s="104" t="n"/>
      <c r="P664" s="104" t="n"/>
      <c r="Q664" s="104" t="n"/>
      <c r="R664" s="104" t="n"/>
      <c r="S664" s="110" t="n"/>
      <c r="T664" s="110" t="n"/>
      <c r="U664" s="104" t="n"/>
    </row>
    <row r="665">
      <c r="A665" s="104" t="inlineStr">
        <is>
          <t>GUIDE000664</t>
        </is>
      </c>
      <c r="B665" s="101" t="inlineStr">
        <is>
          <t>DEV000040</t>
        </is>
      </c>
      <c r="C665" s="103" t="inlineStr">
        <is>
          <t>APL</t>
        </is>
      </c>
      <c r="D665" s="103" t="inlineStr">
        <is>
          <t>PHN</t>
        </is>
      </c>
      <c r="E665" s="60" t="inlineStr">
        <is>
          <t>iPhone 15 Plus</t>
        </is>
      </c>
      <c r="F665" s="104" t="inlineStr">
        <is>
          <t>SVC000016</t>
        </is>
      </c>
      <c r="G665" s="104" t="inlineStr">
        <is>
          <t>Camera Calibration</t>
        </is>
      </c>
      <c r="H665" s="104" t="inlineStr">
        <is>
          <t>Camera</t>
        </is>
      </c>
      <c r="I665" s="104" t="n"/>
      <c r="J665" s="104" t="n"/>
      <c r="K665" s="104" t="n"/>
      <c r="L665" s="104" t="n"/>
      <c r="M665" s="104" t="n"/>
      <c r="N665" s="104" t="n"/>
      <c r="O665" s="104" t="n"/>
      <c r="P665" s="104" t="n"/>
      <c r="Q665" s="104" t="n"/>
      <c r="R665" s="104" t="n"/>
      <c r="S665" s="110" t="n"/>
      <c r="T665" s="110" t="n"/>
      <c r="U665" s="104" t="n"/>
    </row>
    <row r="666">
      <c r="A666" s="104" t="inlineStr">
        <is>
          <t>GUIDE000665</t>
        </is>
      </c>
      <c r="B666" s="101" t="inlineStr">
        <is>
          <t>DEV000041</t>
        </is>
      </c>
      <c r="C666" s="103" t="inlineStr">
        <is>
          <t>APL</t>
        </is>
      </c>
      <c r="D666" s="103" t="inlineStr">
        <is>
          <t>PHN</t>
        </is>
      </c>
      <c r="E666" s="60" t="inlineStr">
        <is>
          <t>iPhone 15 Pro</t>
        </is>
      </c>
      <c r="F666" s="104" t="inlineStr">
        <is>
          <t>SVC000016</t>
        </is>
      </c>
      <c r="G666" s="104" t="inlineStr">
        <is>
          <t>Camera Calibration</t>
        </is>
      </c>
      <c r="H666" s="104" t="inlineStr">
        <is>
          <t>Camera</t>
        </is>
      </c>
      <c r="I666" s="104" t="n"/>
      <c r="J666" s="104" t="n"/>
      <c r="K666" s="104" t="n"/>
      <c r="L666" s="104" t="n"/>
      <c r="M666" s="104" t="n"/>
      <c r="N666" s="104" t="n"/>
      <c r="O666" s="104" t="n"/>
      <c r="P666" s="104" t="n"/>
      <c r="Q666" s="104" t="n"/>
      <c r="R666" s="104" t="n"/>
      <c r="S666" s="110" t="n"/>
      <c r="T666" s="110" t="n"/>
      <c r="U666" s="104" t="n"/>
    </row>
    <row r="667">
      <c r="A667" s="104" t="inlineStr">
        <is>
          <t>GUIDE000666</t>
        </is>
      </c>
      <c r="B667" s="101" t="inlineStr">
        <is>
          <t>DEV000042</t>
        </is>
      </c>
      <c r="C667" s="103" t="inlineStr">
        <is>
          <t>APL</t>
        </is>
      </c>
      <c r="D667" s="103" t="inlineStr">
        <is>
          <t>PHN</t>
        </is>
      </c>
      <c r="E667" s="60" t="inlineStr">
        <is>
          <t>iPhone 15 Pro Max</t>
        </is>
      </c>
      <c r="F667" s="104" t="inlineStr">
        <is>
          <t>SVC000016</t>
        </is>
      </c>
      <c r="G667" s="104" t="inlineStr">
        <is>
          <t>Camera Calibration</t>
        </is>
      </c>
      <c r="H667" s="104" t="inlineStr">
        <is>
          <t>Camera</t>
        </is>
      </c>
      <c r="I667" s="104" t="n"/>
      <c r="J667" s="104" t="n"/>
      <c r="K667" s="104" t="n"/>
      <c r="L667" s="104" t="n"/>
      <c r="M667" s="104" t="n"/>
      <c r="N667" s="104" t="n"/>
      <c r="O667" s="104" t="n"/>
      <c r="P667" s="104" t="n"/>
      <c r="Q667" s="104" t="n"/>
      <c r="R667" s="104" t="n"/>
      <c r="S667" s="110" t="n"/>
      <c r="T667" s="110" t="n"/>
      <c r="U667" s="104" t="n"/>
    </row>
    <row r="668">
      <c r="A668" s="104" t="inlineStr">
        <is>
          <t>GUIDE000667</t>
        </is>
      </c>
      <c r="B668" s="101" t="inlineStr">
        <is>
          <t>DEV000043</t>
        </is>
      </c>
      <c r="C668" s="103" t="inlineStr">
        <is>
          <t>APL</t>
        </is>
      </c>
      <c r="D668" s="103" t="inlineStr">
        <is>
          <t>PHN</t>
        </is>
      </c>
      <c r="E668" s="60" t="inlineStr">
        <is>
          <t>iPhone 16</t>
        </is>
      </c>
      <c r="F668" s="104" t="inlineStr">
        <is>
          <t>SVC000016</t>
        </is>
      </c>
      <c r="G668" s="104" t="inlineStr">
        <is>
          <t>Camera Calibration</t>
        </is>
      </c>
      <c r="H668" s="104" t="inlineStr">
        <is>
          <t>Camera</t>
        </is>
      </c>
      <c r="I668" s="104" t="n"/>
      <c r="J668" s="104" t="n"/>
      <c r="K668" s="104" t="n"/>
      <c r="L668" s="104" t="n"/>
      <c r="M668" s="104" t="n"/>
      <c r="N668" s="104" t="n"/>
      <c r="O668" s="104" t="n"/>
      <c r="P668" s="104" t="n"/>
      <c r="Q668" s="104" t="n"/>
      <c r="R668" s="104" t="n"/>
      <c r="S668" s="110" t="n"/>
      <c r="T668" s="110" t="n"/>
      <c r="U668" s="104" t="n"/>
    </row>
    <row r="669">
      <c r="A669" s="105" t="inlineStr">
        <is>
          <t>GUIDE000668</t>
        </is>
      </c>
      <c r="B669" s="101" t="inlineStr">
        <is>
          <t>DEV000044</t>
        </is>
      </c>
      <c r="C669" s="103" t="inlineStr">
        <is>
          <t>APL</t>
        </is>
      </c>
      <c r="D669" s="103" t="inlineStr">
        <is>
          <t>PHN</t>
        </is>
      </c>
      <c r="E669" s="60" t="inlineStr">
        <is>
          <t>iPhone 16 Plus</t>
        </is>
      </c>
      <c r="F669" s="104" t="inlineStr">
        <is>
          <t>SVC000016</t>
        </is>
      </c>
      <c r="G669" s="104" t="inlineStr">
        <is>
          <t>Camera Calibration</t>
        </is>
      </c>
      <c r="H669" s="104" t="inlineStr">
        <is>
          <t>Camera</t>
        </is>
      </c>
      <c r="I669" s="104" t="n"/>
      <c r="J669" s="104" t="n"/>
      <c r="K669" s="104" t="n"/>
      <c r="L669" s="104" t="n"/>
      <c r="M669" s="104" t="n"/>
      <c r="N669" s="104" t="n"/>
      <c r="O669" s="104" t="n"/>
      <c r="P669" s="104" t="n"/>
      <c r="Q669" s="104" t="n"/>
      <c r="R669" s="104" t="n"/>
      <c r="S669" s="110" t="n"/>
      <c r="T669" s="110" t="n"/>
      <c r="U669" s="104" t="n"/>
    </row>
    <row r="670">
      <c r="A670" s="104" t="inlineStr">
        <is>
          <t>GUIDE000669</t>
        </is>
      </c>
      <c r="B670" s="101" t="inlineStr">
        <is>
          <t>DEV000045</t>
        </is>
      </c>
      <c r="C670" s="103" t="inlineStr">
        <is>
          <t>APL</t>
        </is>
      </c>
      <c r="D670" s="103" t="inlineStr">
        <is>
          <t>PHN</t>
        </is>
      </c>
      <c r="E670" s="60" t="inlineStr">
        <is>
          <t>iPhone 16 Pro</t>
        </is>
      </c>
      <c r="F670" s="104" t="inlineStr">
        <is>
          <t>SVC000016</t>
        </is>
      </c>
      <c r="G670" s="104" t="inlineStr">
        <is>
          <t>Camera Calibration</t>
        </is>
      </c>
      <c r="H670" s="104" t="inlineStr">
        <is>
          <t>Camera</t>
        </is>
      </c>
      <c r="I670" s="104" t="n"/>
      <c r="J670" s="104" t="n"/>
      <c r="K670" s="104" t="n"/>
      <c r="L670" s="104" t="n"/>
      <c r="M670" s="104" t="n"/>
      <c r="N670" s="104" t="n"/>
      <c r="O670" s="104" t="n"/>
      <c r="P670" s="104" t="n"/>
      <c r="Q670" s="104" t="n"/>
      <c r="R670" s="104" t="n"/>
      <c r="S670" s="110" t="n"/>
      <c r="T670" s="110" t="n"/>
      <c r="U670" s="104" t="n"/>
    </row>
    <row r="671">
      <c r="A671" s="104" t="inlineStr">
        <is>
          <t>GUIDE000670</t>
        </is>
      </c>
      <c r="B671" s="101" t="inlineStr">
        <is>
          <t>DEV000046</t>
        </is>
      </c>
      <c r="C671" s="103" t="inlineStr">
        <is>
          <t>APL</t>
        </is>
      </c>
      <c r="D671" s="103" t="inlineStr">
        <is>
          <t>PHN</t>
        </is>
      </c>
      <c r="E671" s="60" t="inlineStr">
        <is>
          <t>iPhone 16 Pro Max</t>
        </is>
      </c>
      <c r="F671" s="104" t="inlineStr">
        <is>
          <t>SVC000016</t>
        </is>
      </c>
      <c r="G671" s="104" t="inlineStr">
        <is>
          <t>Camera Calibration</t>
        </is>
      </c>
      <c r="H671" s="104" t="inlineStr">
        <is>
          <t>Camera</t>
        </is>
      </c>
      <c r="I671" s="104" t="n"/>
      <c r="J671" s="104" t="n"/>
      <c r="K671" s="104" t="n"/>
      <c r="L671" s="104" t="n"/>
      <c r="M671" s="104" t="n"/>
      <c r="N671" s="104" t="n"/>
      <c r="O671" s="104" t="n"/>
      <c r="P671" s="104" t="n"/>
      <c r="Q671" s="104" t="n"/>
      <c r="R671" s="104" t="n"/>
      <c r="S671" s="110" t="n"/>
      <c r="T671" s="110" t="n"/>
      <c r="U671" s="104" t="n"/>
    </row>
    <row r="672">
      <c r="A672" s="104" t="inlineStr">
        <is>
          <t>GUIDE000671</t>
        </is>
      </c>
      <c r="B672" s="101" t="inlineStr">
        <is>
          <t>DEV000047</t>
        </is>
      </c>
      <c r="C672" s="103" t="inlineStr">
        <is>
          <t>APL</t>
        </is>
      </c>
      <c r="D672" s="103" t="inlineStr">
        <is>
          <t>PHN</t>
        </is>
      </c>
      <c r="E672" s="60" t="inlineStr">
        <is>
          <t>iPhone 16e</t>
        </is>
      </c>
      <c r="F672" s="104" t="inlineStr">
        <is>
          <t>SVC000016</t>
        </is>
      </c>
      <c r="G672" s="104" t="inlineStr">
        <is>
          <t>Camera Calibration</t>
        </is>
      </c>
      <c r="H672" s="104" t="inlineStr">
        <is>
          <t>Camera</t>
        </is>
      </c>
      <c r="I672" s="104" t="n"/>
      <c r="J672" s="104" t="n"/>
      <c r="K672" s="104" t="n"/>
      <c r="L672" s="104" t="n"/>
      <c r="M672" s="104" t="n"/>
      <c r="N672" s="104" t="n"/>
      <c r="O672" s="104" t="n"/>
      <c r="P672" s="104" t="n"/>
      <c r="Q672" s="104" t="n"/>
      <c r="R672" s="104" t="n"/>
      <c r="S672" s="110" t="n"/>
      <c r="T672" s="110" t="n"/>
      <c r="U672" s="104" t="n"/>
    </row>
    <row r="673">
      <c r="A673" s="105" t="inlineStr">
        <is>
          <t>GUIDE000672</t>
        </is>
      </c>
      <c r="B673" s="101" t="inlineStr">
        <is>
          <t>DEV000048</t>
        </is>
      </c>
      <c r="C673" s="103" t="inlineStr">
        <is>
          <t>APL</t>
        </is>
      </c>
      <c r="D673" s="103" t="inlineStr">
        <is>
          <t>PHN</t>
        </is>
      </c>
      <c r="E673" s="60" t="inlineStr">
        <is>
          <t>iPhone 17</t>
        </is>
      </c>
      <c r="F673" s="104" t="inlineStr">
        <is>
          <t>SVC000016</t>
        </is>
      </c>
      <c r="G673" s="104" t="inlineStr">
        <is>
          <t>Camera Calibration</t>
        </is>
      </c>
      <c r="H673" s="104" t="inlineStr">
        <is>
          <t>Camera</t>
        </is>
      </c>
      <c r="I673" s="104" t="n"/>
      <c r="J673" s="104" t="n"/>
      <c r="K673" s="104" t="n"/>
      <c r="L673" s="104" t="n"/>
      <c r="M673" s="104" t="n"/>
      <c r="N673" s="104" t="n"/>
      <c r="O673" s="104" t="n"/>
      <c r="P673" s="104" t="n"/>
      <c r="Q673" s="104" t="n"/>
      <c r="R673" s="104" t="n"/>
      <c r="S673" s="110" t="n"/>
      <c r="T673" s="110" t="n"/>
      <c r="U673" s="104" t="n"/>
    </row>
    <row r="674">
      <c r="A674" s="104" t="inlineStr">
        <is>
          <t>GUIDE000673</t>
        </is>
      </c>
      <c r="B674" s="101" t="inlineStr">
        <is>
          <t>DEV000049</t>
        </is>
      </c>
      <c r="C674" s="103" t="inlineStr">
        <is>
          <t>APL</t>
        </is>
      </c>
      <c r="D674" s="103" t="inlineStr">
        <is>
          <t>PHN</t>
        </is>
      </c>
      <c r="E674" s="60" t="inlineStr">
        <is>
          <t>iPhone 17 Pro</t>
        </is>
      </c>
      <c r="F674" s="104" t="inlineStr">
        <is>
          <t>SVC000016</t>
        </is>
      </c>
      <c r="G674" s="104" t="inlineStr">
        <is>
          <t>Camera Calibration</t>
        </is>
      </c>
      <c r="H674" s="104" t="inlineStr">
        <is>
          <t>Camera</t>
        </is>
      </c>
      <c r="I674" s="104" t="n"/>
      <c r="J674" s="104" t="n"/>
      <c r="K674" s="104" t="n"/>
      <c r="L674" s="104" t="n"/>
      <c r="M674" s="104" t="n"/>
      <c r="N674" s="104" t="n"/>
      <c r="O674" s="104" t="n"/>
      <c r="P674" s="104" t="n"/>
      <c r="Q674" s="104" t="n"/>
      <c r="R674" s="104" t="n"/>
      <c r="S674" s="110" t="n"/>
      <c r="T674" s="110" t="n"/>
      <c r="U674" s="104" t="n"/>
    </row>
    <row r="675">
      <c r="A675" s="104" t="inlineStr">
        <is>
          <t>GUIDE000674</t>
        </is>
      </c>
      <c r="B675" s="101" t="inlineStr">
        <is>
          <t>DEV000050</t>
        </is>
      </c>
      <c r="C675" s="103" t="inlineStr">
        <is>
          <t>APL</t>
        </is>
      </c>
      <c r="D675" s="103" t="inlineStr">
        <is>
          <t>PHN</t>
        </is>
      </c>
      <c r="E675" s="60" t="inlineStr">
        <is>
          <t>iPhone 17 Pro Max</t>
        </is>
      </c>
      <c r="F675" s="104" t="inlineStr">
        <is>
          <t>SVC000016</t>
        </is>
      </c>
      <c r="G675" s="104" t="inlineStr">
        <is>
          <t>Camera Calibration</t>
        </is>
      </c>
      <c r="H675" s="104" t="inlineStr">
        <is>
          <t>Camera</t>
        </is>
      </c>
      <c r="I675" s="104" t="n"/>
      <c r="J675" s="104" t="n"/>
      <c r="K675" s="104" t="n"/>
      <c r="L675" s="104" t="n"/>
      <c r="M675" s="104" t="n"/>
      <c r="N675" s="104" t="n"/>
      <c r="O675" s="104" t="n"/>
      <c r="P675" s="104" t="n"/>
      <c r="Q675" s="104" t="n"/>
      <c r="R675" s="104" t="n"/>
      <c r="S675" s="110" t="n"/>
      <c r="T675" s="110" t="n"/>
      <c r="U675" s="104" t="n"/>
    </row>
    <row r="676">
      <c r="A676" s="104" t="inlineStr">
        <is>
          <t>GUIDE000675</t>
        </is>
      </c>
      <c r="B676" s="101" t="inlineStr">
        <is>
          <t>DEV000051</t>
        </is>
      </c>
      <c r="C676" s="103" t="inlineStr">
        <is>
          <t>APL</t>
        </is>
      </c>
      <c r="D676" s="103" t="inlineStr">
        <is>
          <t>PHN</t>
        </is>
      </c>
      <c r="E676" s="60" t="inlineStr">
        <is>
          <t>iPhone Air</t>
        </is>
      </c>
      <c r="F676" s="104" t="inlineStr">
        <is>
          <t>SVC000016</t>
        </is>
      </c>
      <c r="G676" s="104" t="inlineStr">
        <is>
          <t>Camera Calibration</t>
        </is>
      </c>
      <c r="H676" s="104" t="inlineStr">
        <is>
          <t>Camera</t>
        </is>
      </c>
      <c r="I676" s="104" t="n"/>
      <c r="J676" s="104" t="n"/>
      <c r="K676" s="104" t="n"/>
      <c r="L676" s="104" t="n"/>
      <c r="M676" s="104" t="n"/>
      <c r="N676" s="104" t="n"/>
      <c r="O676" s="104" t="n"/>
      <c r="P676" s="104" t="n"/>
      <c r="Q676" s="104" t="n"/>
      <c r="R676" s="104" t="n"/>
      <c r="S676" s="110" t="n"/>
      <c r="T676" s="110" t="n"/>
      <c r="U676" s="104" t="n"/>
    </row>
    <row r="677">
      <c r="A677" s="104" t="inlineStr">
        <is>
          <t>GUIDE000676</t>
        </is>
      </c>
      <c r="B677" s="101" t="inlineStr">
        <is>
          <t>DEV000052</t>
        </is>
      </c>
      <c r="C677" s="103" t="inlineStr">
        <is>
          <t>APL</t>
        </is>
      </c>
      <c r="D677" s="103" t="inlineStr">
        <is>
          <t>PHN</t>
        </is>
      </c>
      <c r="E677" s="60" t="inlineStr">
        <is>
          <t>iPhone 17e</t>
        </is>
      </c>
      <c r="F677" s="104" t="inlineStr">
        <is>
          <t>SVC000016</t>
        </is>
      </c>
      <c r="G677" s="104" t="inlineStr">
        <is>
          <t>Camera Calibration</t>
        </is>
      </c>
      <c r="H677" s="104" t="inlineStr">
        <is>
          <t>Camera</t>
        </is>
      </c>
      <c r="I677" s="104" t="n"/>
      <c r="J677" s="104" t="n"/>
      <c r="K677" s="104" t="n"/>
      <c r="L677" s="104" t="n"/>
      <c r="M677" s="104" t="n"/>
      <c r="N677" s="104" t="n"/>
      <c r="O677" s="104" t="n"/>
      <c r="P677" s="104" t="n"/>
      <c r="Q677" s="104" t="n"/>
      <c r="R677" s="104" t="n"/>
      <c r="S677" s="110" t="n"/>
      <c r="T677" s="110" t="n"/>
      <c r="U677" s="104" t="n"/>
    </row>
    <row r="678">
      <c r="A678" s="105" t="inlineStr">
        <is>
          <t>GUIDE000677</t>
        </is>
      </c>
      <c r="B678" s="101" t="inlineStr">
        <is>
          <t>DEV000001</t>
        </is>
      </c>
      <c r="C678" s="103" t="inlineStr">
        <is>
          <t>APL</t>
        </is>
      </c>
      <c r="D678" s="103" t="inlineStr">
        <is>
          <t>PHN</t>
        </is>
      </c>
      <c r="E678" s="60" t="inlineStr">
        <is>
          <t>iPhone (2G)</t>
        </is>
      </c>
      <c r="F678" s="104" t="inlineStr">
        <is>
          <t>SVC000017</t>
        </is>
      </c>
      <c r="G678" s="104" t="inlineStr">
        <is>
          <t>Speaker Replacement</t>
        </is>
      </c>
      <c r="H678" s="104" t="inlineStr">
        <is>
          <t>Audio</t>
        </is>
      </c>
      <c r="I678" s="104" t="n"/>
      <c r="J678" s="104" t="n"/>
      <c r="K678" s="104" t="n"/>
      <c r="L678" s="104" t="n"/>
      <c r="M678" s="104" t="n"/>
      <c r="N678" s="104" t="n"/>
      <c r="O678" s="104" t="n"/>
      <c r="P678" s="104" t="n"/>
      <c r="Q678" s="104" t="n"/>
      <c r="R678" s="104" t="n"/>
      <c r="S678" s="110" t="n"/>
      <c r="T678" s="110" t="n"/>
      <c r="U678" s="104" t="n"/>
    </row>
    <row r="679">
      <c r="A679" s="104" t="inlineStr">
        <is>
          <t>GUIDE000678</t>
        </is>
      </c>
      <c r="B679" s="101" t="inlineStr">
        <is>
          <t>DEV000002</t>
        </is>
      </c>
      <c r="C679" s="103" t="inlineStr">
        <is>
          <t>APL</t>
        </is>
      </c>
      <c r="D679" s="103" t="inlineStr">
        <is>
          <t>PHN</t>
        </is>
      </c>
      <c r="E679" s="60" t="inlineStr">
        <is>
          <t>iPhone 3G</t>
        </is>
      </c>
      <c r="F679" s="104" t="inlineStr">
        <is>
          <t>SVC000017</t>
        </is>
      </c>
      <c r="G679" s="104" t="inlineStr">
        <is>
          <t>Speaker Replacement</t>
        </is>
      </c>
      <c r="H679" s="104" t="inlineStr">
        <is>
          <t>Audio</t>
        </is>
      </c>
      <c r="I679" s="104" t="n"/>
      <c r="J679" s="104" t="n"/>
      <c r="K679" s="104" t="n"/>
      <c r="L679" s="104" t="n"/>
      <c r="M679" s="104" t="n"/>
      <c r="N679" s="104" t="n"/>
      <c r="O679" s="104" t="n"/>
      <c r="P679" s="104" t="n"/>
      <c r="Q679" s="104" t="n"/>
      <c r="R679" s="104" t="n"/>
      <c r="S679" s="110" t="n"/>
      <c r="T679" s="110" t="n"/>
      <c r="U679" s="104" t="n"/>
    </row>
    <row r="680">
      <c r="A680" s="104" t="inlineStr">
        <is>
          <t>GUIDE000679</t>
        </is>
      </c>
      <c r="B680" s="101" t="inlineStr">
        <is>
          <t>DEV000003</t>
        </is>
      </c>
      <c r="C680" s="103" t="inlineStr">
        <is>
          <t>APL</t>
        </is>
      </c>
      <c r="D680" s="103" t="inlineStr">
        <is>
          <t>PHN</t>
        </is>
      </c>
      <c r="E680" s="60" t="inlineStr">
        <is>
          <t>iPhone 3GS</t>
        </is>
      </c>
      <c r="F680" s="104" t="inlineStr">
        <is>
          <t>SVC000017</t>
        </is>
      </c>
      <c r="G680" s="104" t="inlineStr">
        <is>
          <t>Speaker Replacement</t>
        </is>
      </c>
      <c r="H680" s="104" t="inlineStr">
        <is>
          <t>Audio</t>
        </is>
      </c>
      <c r="I680" s="104" t="n"/>
      <c r="J680" s="104" t="n"/>
      <c r="K680" s="104" t="n"/>
      <c r="L680" s="104" t="n"/>
      <c r="M680" s="104" t="n"/>
      <c r="N680" s="104" t="n"/>
      <c r="O680" s="104" t="n"/>
      <c r="P680" s="104" t="n"/>
      <c r="Q680" s="104" t="n"/>
      <c r="R680" s="104" t="n"/>
      <c r="S680" s="110" t="n"/>
      <c r="T680" s="110" t="n"/>
      <c r="U680" s="104" t="n"/>
    </row>
    <row r="681">
      <c r="A681" s="104" t="inlineStr">
        <is>
          <t>GUIDE000680</t>
        </is>
      </c>
      <c r="B681" s="101" t="inlineStr">
        <is>
          <t>DEV000004</t>
        </is>
      </c>
      <c r="C681" s="103" t="inlineStr">
        <is>
          <t>APL</t>
        </is>
      </c>
      <c r="D681" s="103" t="inlineStr">
        <is>
          <t>PHN</t>
        </is>
      </c>
      <c r="E681" s="60" t="inlineStr">
        <is>
          <t>iPhone 4</t>
        </is>
      </c>
      <c r="F681" s="104" t="inlineStr">
        <is>
          <t>SVC000017</t>
        </is>
      </c>
      <c r="G681" s="104" t="inlineStr">
        <is>
          <t>Speaker Replacement</t>
        </is>
      </c>
      <c r="H681" s="104" t="inlineStr">
        <is>
          <t>Audio</t>
        </is>
      </c>
      <c r="I681" s="104" t="n"/>
      <c r="J681" s="104" t="n"/>
      <c r="K681" s="104" t="n"/>
      <c r="L681" s="104" t="n"/>
      <c r="M681" s="104" t="n"/>
      <c r="N681" s="104" t="n"/>
      <c r="O681" s="104" t="n"/>
      <c r="P681" s="104" t="n"/>
      <c r="Q681" s="104" t="n"/>
      <c r="R681" s="104" t="n"/>
      <c r="S681" s="110" t="n"/>
      <c r="T681" s="110" t="n"/>
      <c r="U681" s="104" t="n"/>
    </row>
    <row r="682">
      <c r="A682" s="105" t="inlineStr">
        <is>
          <t>GUIDE000681</t>
        </is>
      </c>
      <c r="B682" s="101" t="inlineStr">
        <is>
          <t>DEV000005</t>
        </is>
      </c>
      <c r="C682" s="103" t="inlineStr">
        <is>
          <t>APL</t>
        </is>
      </c>
      <c r="D682" s="103" t="inlineStr">
        <is>
          <t>PHN</t>
        </is>
      </c>
      <c r="E682" s="60" t="inlineStr">
        <is>
          <t>iPhone 4s</t>
        </is>
      </c>
      <c r="F682" s="104" t="inlineStr">
        <is>
          <t>SVC000017</t>
        </is>
      </c>
      <c r="G682" s="104" t="inlineStr">
        <is>
          <t>Speaker Replacement</t>
        </is>
      </c>
      <c r="H682" s="104" t="inlineStr">
        <is>
          <t>Audio</t>
        </is>
      </c>
      <c r="I682" s="104" t="n"/>
      <c r="J682" s="104" t="n"/>
      <c r="K682" s="104" t="n"/>
      <c r="L682" s="104" t="n"/>
      <c r="M682" s="104" t="n"/>
      <c r="N682" s="104" t="n"/>
      <c r="O682" s="104" t="n"/>
      <c r="P682" s="104" t="n"/>
      <c r="Q682" s="104" t="n"/>
      <c r="R682" s="104" t="n"/>
      <c r="S682" s="110" t="n"/>
      <c r="T682" s="110" t="n"/>
      <c r="U682" s="104" t="n"/>
    </row>
    <row r="683">
      <c r="A683" s="104" t="inlineStr">
        <is>
          <t>GUIDE000682</t>
        </is>
      </c>
      <c r="B683" s="101" t="inlineStr">
        <is>
          <t>DEV000006</t>
        </is>
      </c>
      <c r="C683" s="103" t="inlineStr">
        <is>
          <t>APL</t>
        </is>
      </c>
      <c r="D683" s="103" t="inlineStr">
        <is>
          <t>PHN</t>
        </is>
      </c>
      <c r="E683" s="60" t="inlineStr">
        <is>
          <t>iPhone 5</t>
        </is>
      </c>
      <c r="F683" s="104" t="inlineStr">
        <is>
          <t>SVC000017</t>
        </is>
      </c>
      <c r="G683" s="104" t="inlineStr">
        <is>
          <t>Speaker Replacement</t>
        </is>
      </c>
      <c r="H683" s="104" t="inlineStr">
        <is>
          <t>Audio</t>
        </is>
      </c>
      <c r="I683" s="104" t="n"/>
      <c r="J683" s="104" t="n"/>
      <c r="K683" s="104" t="n"/>
      <c r="L683" s="104" t="n"/>
      <c r="M683" s="104" t="n"/>
      <c r="N683" s="104" t="n"/>
      <c r="O683" s="104" t="n"/>
      <c r="P683" s="104" t="n"/>
      <c r="Q683" s="104" t="n"/>
      <c r="R683" s="104" t="n"/>
      <c r="S683" s="110" t="n"/>
      <c r="T683" s="110" t="n"/>
      <c r="U683" s="104" t="n"/>
    </row>
    <row r="684">
      <c r="A684" s="104" t="inlineStr">
        <is>
          <t>GUIDE000683</t>
        </is>
      </c>
      <c r="B684" s="101" t="inlineStr">
        <is>
          <t>DEV000007</t>
        </is>
      </c>
      <c r="C684" s="103" t="inlineStr">
        <is>
          <t>APL</t>
        </is>
      </c>
      <c r="D684" s="103" t="inlineStr">
        <is>
          <t>PHN</t>
        </is>
      </c>
      <c r="E684" s="60" t="inlineStr">
        <is>
          <t>iPhone 5c</t>
        </is>
      </c>
      <c r="F684" s="104" t="inlineStr">
        <is>
          <t>SVC000017</t>
        </is>
      </c>
      <c r="G684" s="104" t="inlineStr">
        <is>
          <t>Speaker Replacement</t>
        </is>
      </c>
      <c r="H684" s="104" t="inlineStr">
        <is>
          <t>Audio</t>
        </is>
      </c>
      <c r="I684" s="104" t="n"/>
      <c r="J684" s="104" t="n"/>
      <c r="K684" s="104" t="n"/>
      <c r="L684" s="104" t="n"/>
      <c r="M684" s="104" t="n"/>
      <c r="N684" s="104" t="n"/>
      <c r="O684" s="104" t="n"/>
      <c r="P684" s="104" t="n"/>
      <c r="Q684" s="104" t="n"/>
      <c r="R684" s="104" t="n"/>
      <c r="S684" s="110" t="n"/>
      <c r="T684" s="110" t="n"/>
      <c r="U684" s="104" t="n"/>
    </row>
    <row r="685">
      <c r="A685" s="104" t="inlineStr">
        <is>
          <t>GUIDE000684</t>
        </is>
      </c>
      <c r="B685" s="101" t="inlineStr">
        <is>
          <t>DEV000008</t>
        </is>
      </c>
      <c r="C685" s="103" t="inlineStr">
        <is>
          <t>APL</t>
        </is>
      </c>
      <c r="D685" s="103" t="inlineStr">
        <is>
          <t>PHN</t>
        </is>
      </c>
      <c r="E685" s="60" t="inlineStr">
        <is>
          <t>iPhone 5s</t>
        </is>
      </c>
      <c r="F685" s="104" t="inlineStr">
        <is>
          <t>SVC000017</t>
        </is>
      </c>
      <c r="G685" s="104" t="inlineStr">
        <is>
          <t>Speaker Replacement</t>
        </is>
      </c>
      <c r="H685" s="104" t="inlineStr">
        <is>
          <t>Audio</t>
        </is>
      </c>
      <c r="I685" s="104" t="n"/>
      <c r="J685" s="104" t="n"/>
      <c r="K685" s="104" t="n"/>
      <c r="L685" s="104" t="n"/>
      <c r="M685" s="104" t="n"/>
      <c r="N685" s="104" t="n"/>
      <c r="O685" s="104" t="n"/>
      <c r="P685" s="104" t="n"/>
      <c r="Q685" s="104" t="n"/>
      <c r="R685" s="104" t="n"/>
      <c r="S685" s="110" t="n"/>
      <c r="T685" s="110" t="n"/>
      <c r="U685" s="104" t="n"/>
    </row>
    <row r="686">
      <c r="A686" s="104" t="inlineStr">
        <is>
          <t>GUIDE000685</t>
        </is>
      </c>
      <c r="B686" s="101" t="inlineStr">
        <is>
          <t>DEV000009</t>
        </is>
      </c>
      <c r="C686" s="103" t="inlineStr">
        <is>
          <t>APL</t>
        </is>
      </c>
      <c r="D686" s="103" t="inlineStr">
        <is>
          <t>PHN</t>
        </is>
      </c>
      <c r="E686" s="60" t="inlineStr">
        <is>
          <t>iPhone 6</t>
        </is>
      </c>
      <c r="F686" s="104" t="inlineStr">
        <is>
          <t>SVC000017</t>
        </is>
      </c>
      <c r="G686" s="104" t="inlineStr">
        <is>
          <t>Speaker Replacement</t>
        </is>
      </c>
      <c r="H686" s="104" t="inlineStr">
        <is>
          <t>Audio</t>
        </is>
      </c>
      <c r="I686" s="104" t="n"/>
      <c r="J686" s="104" t="n"/>
      <c r="K686" s="104" t="n"/>
      <c r="L686" s="104" t="n"/>
      <c r="M686" s="104" t="n"/>
      <c r="N686" s="104" t="n"/>
      <c r="O686" s="104" t="n"/>
      <c r="P686" s="104" t="n"/>
      <c r="Q686" s="104" t="n"/>
      <c r="R686" s="104" t="n"/>
      <c r="S686" s="110" t="n"/>
      <c r="T686" s="110" t="n"/>
      <c r="U686" s="104" t="n"/>
    </row>
    <row r="687">
      <c r="A687" s="105" t="inlineStr">
        <is>
          <t>GUIDE000686</t>
        </is>
      </c>
      <c r="B687" s="101" t="inlineStr">
        <is>
          <t>DEV000010</t>
        </is>
      </c>
      <c r="C687" s="103" t="inlineStr">
        <is>
          <t>APL</t>
        </is>
      </c>
      <c r="D687" s="103" t="inlineStr">
        <is>
          <t>PHN</t>
        </is>
      </c>
      <c r="E687" s="60" t="inlineStr">
        <is>
          <t>iPhone 6 Plus</t>
        </is>
      </c>
      <c r="F687" s="104" t="inlineStr">
        <is>
          <t>SVC000017</t>
        </is>
      </c>
      <c r="G687" s="104" t="inlineStr">
        <is>
          <t>Speaker Replacement</t>
        </is>
      </c>
      <c r="H687" s="104" t="inlineStr">
        <is>
          <t>Audio</t>
        </is>
      </c>
      <c r="I687" s="104" t="n"/>
      <c r="J687" s="104" t="n"/>
      <c r="K687" s="104" t="n"/>
      <c r="L687" s="104" t="n"/>
      <c r="M687" s="104" t="n"/>
      <c r="N687" s="104" t="n"/>
      <c r="O687" s="104" t="n"/>
      <c r="P687" s="104" t="n"/>
      <c r="Q687" s="104" t="n"/>
      <c r="R687" s="104" t="n"/>
      <c r="S687" s="110" t="n"/>
      <c r="T687" s="110" t="n"/>
      <c r="U687" s="104" t="n"/>
    </row>
    <row r="688">
      <c r="A688" s="104" t="inlineStr">
        <is>
          <t>GUIDE000687</t>
        </is>
      </c>
      <c r="B688" s="101" t="inlineStr">
        <is>
          <t>DEV000011</t>
        </is>
      </c>
      <c r="C688" s="103" t="inlineStr">
        <is>
          <t>APL</t>
        </is>
      </c>
      <c r="D688" s="103" t="inlineStr">
        <is>
          <t>PHN</t>
        </is>
      </c>
      <c r="E688" s="60" t="inlineStr">
        <is>
          <t>iPhone 6s</t>
        </is>
      </c>
      <c r="F688" s="104" t="inlineStr">
        <is>
          <t>SVC000017</t>
        </is>
      </c>
      <c r="G688" s="104" t="inlineStr">
        <is>
          <t>Speaker Replacement</t>
        </is>
      </c>
      <c r="H688" s="104" t="inlineStr">
        <is>
          <t>Audio</t>
        </is>
      </c>
      <c r="I688" s="104" t="n"/>
      <c r="J688" s="104" t="n"/>
      <c r="K688" s="104" t="n"/>
      <c r="L688" s="104" t="n"/>
      <c r="M688" s="104" t="n"/>
      <c r="N688" s="104" t="n"/>
      <c r="O688" s="104" t="n"/>
      <c r="P688" s="104" t="n"/>
      <c r="Q688" s="104" t="n"/>
      <c r="R688" s="104" t="n"/>
      <c r="S688" s="110" t="n"/>
      <c r="T688" s="110" t="n"/>
      <c r="U688" s="104" t="n"/>
    </row>
    <row r="689">
      <c r="A689" s="104" t="inlineStr">
        <is>
          <t>GUIDE000688</t>
        </is>
      </c>
      <c r="B689" s="101" t="inlineStr">
        <is>
          <t>DEV000012</t>
        </is>
      </c>
      <c r="C689" s="103" t="inlineStr">
        <is>
          <t>APL</t>
        </is>
      </c>
      <c r="D689" s="103" t="inlineStr">
        <is>
          <t>PHN</t>
        </is>
      </c>
      <c r="E689" s="60" t="inlineStr">
        <is>
          <t>iPhone 6s Plus</t>
        </is>
      </c>
      <c r="F689" s="104" t="inlineStr">
        <is>
          <t>SVC000017</t>
        </is>
      </c>
      <c r="G689" s="104" t="inlineStr">
        <is>
          <t>Speaker Replacement</t>
        </is>
      </c>
      <c r="H689" s="104" t="inlineStr">
        <is>
          <t>Audio</t>
        </is>
      </c>
      <c r="I689" s="104" t="n"/>
      <c r="J689" s="104" t="n"/>
      <c r="K689" s="104" t="n"/>
      <c r="L689" s="104" t="n"/>
      <c r="M689" s="104" t="n"/>
      <c r="N689" s="104" t="n"/>
      <c r="O689" s="104" t="n"/>
      <c r="P689" s="104" t="n"/>
      <c r="Q689" s="104" t="n"/>
      <c r="R689" s="104" t="n"/>
      <c r="S689" s="110" t="n"/>
      <c r="T689" s="110" t="n"/>
      <c r="U689" s="104" t="n"/>
    </row>
    <row r="690">
      <c r="A690" s="104" t="inlineStr">
        <is>
          <t>GUIDE000689</t>
        </is>
      </c>
      <c r="B690" s="101" t="inlineStr">
        <is>
          <t>DEV000013</t>
        </is>
      </c>
      <c r="C690" s="103" t="inlineStr">
        <is>
          <t>APL</t>
        </is>
      </c>
      <c r="D690" s="103" t="inlineStr">
        <is>
          <t>PHN</t>
        </is>
      </c>
      <c r="E690" s="60" t="inlineStr">
        <is>
          <t>iPhone SE (1st Gen)</t>
        </is>
      </c>
      <c r="F690" s="104" t="inlineStr">
        <is>
          <t>SVC000017</t>
        </is>
      </c>
      <c r="G690" s="104" t="inlineStr">
        <is>
          <t>Speaker Replacement</t>
        </is>
      </c>
      <c r="H690" s="104" t="inlineStr">
        <is>
          <t>Audio</t>
        </is>
      </c>
      <c r="I690" s="104" t="n"/>
      <c r="J690" s="104" t="n"/>
      <c r="K690" s="104" t="n"/>
      <c r="L690" s="104" t="n"/>
      <c r="M690" s="104" t="n"/>
      <c r="N690" s="104" t="n"/>
      <c r="O690" s="104" t="n"/>
      <c r="P690" s="104" t="n"/>
      <c r="Q690" s="104" t="n"/>
      <c r="R690" s="104" t="n"/>
      <c r="S690" s="110" t="n"/>
      <c r="T690" s="110" t="n"/>
      <c r="U690" s="104" t="n"/>
    </row>
    <row r="691">
      <c r="A691" s="105" t="inlineStr">
        <is>
          <t>GUIDE000690</t>
        </is>
      </c>
      <c r="B691" s="101" t="inlineStr">
        <is>
          <t>DEV000014</t>
        </is>
      </c>
      <c r="C691" s="103" t="inlineStr">
        <is>
          <t>APL</t>
        </is>
      </c>
      <c r="D691" s="103" t="inlineStr">
        <is>
          <t>PHN</t>
        </is>
      </c>
      <c r="E691" s="60" t="inlineStr">
        <is>
          <t>iPhone 7</t>
        </is>
      </c>
      <c r="F691" s="104" t="inlineStr">
        <is>
          <t>SVC000017</t>
        </is>
      </c>
      <c r="G691" s="104" t="inlineStr">
        <is>
          <t>Speaker Replacement</t>
        </is>
      </c>
      <c r="H691" s="104" t="inlineStr">
        <is>
          <t>Audio</t>
        </is>
      </c>
      <c r="I691" s="104" t="n"/>
      <c r="J691" s="104" t="n"/>
      <c r="K691" s="104" t="n"/>
      <c r="L691" s="104" t="n"/>
      <c r="M691" s="104" t="n"/>
      <c r="N691" s="104" t="n"/>
      <c r="O691" s="104" t="n"/>
      <c r="P691" s="104" t="n"/>
      <c r="Q691" s="104" t="n"/>
      <c r="R691" s="104" t="n"/>
      <c r="S691" s="110" t="n"/>
      <c r="T691" s="110" t="n"/>
      <c r="U691" s="104" t="n"/>
    </row>
    <row r="692">
      <c r="A692" s="104" t="inlineStr">
        <is>
          <t>GUIDE000691</t>
        </is>
      </c>
      <c r="B692" s="101" t="inlineStr">
        <is>
          <t>DEV000015</t>
        </is>
      </c>
      <c r="C692" s="103" t="inlineStr">
        <is>
          <t>APL</t>
        </is>
      </c>
      <c r="D692" s="103" t="inlineStr">
        <is>
          <t>PHN</t>
        </is>
      </c>
      <c r="E692" s="60" t="inlineStr">
        <is>
          <t>iPhone 7 Plus</t>
        </is>
      </c>
      <c r="F692" s="104" t="inlineStr">
        <is>
          <t>SVC000017</t>
        </is>
      </c>
      <c r="G692" s="104" t="inlineStr">
        <is>
          <t>Speaker Replacement</t>
        </is>
      </c>
      <c r="H692" s="104" t="inlineStr">
        <is>
          <t>Audio</t>
        </is>
      </c>
      <c r="I692" s="104" t="n"/>
      <c r="J692" s="104" t="n"/>
      <c r="K692" s="104" t="n"/>
      <c r="L692" s="104" t="n"/>
      <c r="M692" s="104" t="n"/>
      <c r="N692" s="104" t="n"/>
      <c r="O692" s="104" t="n"/>
      <c r="P692" s="104" t="n"/>
      <c r="Q692" s="104" t="n"/>
      <c r="R692" s="104" t="n"/>
      <c r="S692" s="110" t="n"/>
      <c r="T692" s="110" t="n"/>
      <c r="U692" s="104" t="n"/>
    </row>
    <row r="693">
      <c r="A693" s="104" t="inlineStr">
        <is>
          <t>GUIDE000692</t>
        </is>
      </c>
      <c r="B693" s="101" t="inlineStr">
        <is>
          <t>DEV000016</t>
        </is>
      </c>
      <c r="C693" s="103" t="inlineStr">
        <is>
          <t>APL</t>
        </is>
      </c>
      <c r="D693" s="103" t="inlineStr">
        <is>
          <t>PHN</t>
        </is>
      </c>
      <c r="E693" s="60" t="inlineStr">
        <is>
          <t>iPhone 8</t>
        </is>
      </c>
      <c r="F693" s="104" t="inlineStr">
        <is>
          <t>SVC000017</t>
        </is>
      </c>
      <c r="G693" s="104" t="inlineStr">
        <is>
          <t>Speaker Replacement</t>
        </is>
      </c>
      <c r="H693" s="104" t="inlineStr">
        <is>
          <t>Audio</t>
        </is>
      </c>
      <c r="I693" s="104" t="n"/>
      <c r="J693" s="104" t="n"/>
      <c r="K693" s="104" t="n"/>
      <c r="L693" s="104" t="n"/>
      <c r="M693" s="104" t="n"/>
      <c r="N693" s="104" t="n"/>
      <c r="O693" s="104" t="n"/>
      <c r="P693" s="104" t="n"/>
      <c r="Q693" s="104" t="n"/>
      <c r="R693" s="104" t="n"/>
      <c r="S693" s="110" t="n"/>
      <c r="T693" s="110" t="n"/>
      <c r="U693" s="104" t="n"/>
    </row>
    <row r="694">
      <c r="A694" s="104" t="inlineStr">
        <is>
          <t>GUIDE000693</t>
        </is>
      </c>
      <c r="B694" s="101" t="inlineStr">
        <is>
          <t>DEV000017</t>
        </is>
      </c>
      <c r="C694" s="103" t="inlineStr">
        <is>
          <t>APL</t>
        </is>
      </c>
      <c r="D694" s="103" t="inlineStr">
        <is>
          <t>PHN</t>
        </is>
      </c>
      <c r="E694" s="60" t="inlineStr">
        <is>
          <t>iPhone 8 Plus</t>
        </is>
      </c>
      <c r="F694" s="104" t="inlineStr">
        <is>
          <t>SVC000017</t>
        </is>
      </c>
      <c r="G694" s="104" t="inlineStr">
        <is>
          <t>Speaker Replacement</t>
        </is>
      </c>
      <c r="H694" s="104" t="inlineStr">
        <is>
          <t>Audio</t>
        </is>
      </c>
      <c r="I694" s="104" t="n"/>
      <c r="J694" s="104" t="n"/>
      <c r="K694" s="104" t="n"/>
      <c r="L694" s="104" t="n"/>
      <c r="M694" s="104" t="n"/>
      <c r="N694" s="104" t="n"/>
      <c r="O694" s="104" t="n"/>
      <c r="P694" s="104" t="n"/>
      <c r="Q694" s="104" t="n"/>
      <c r="R694" s="104" t="n"/>
      <c r="S694" s="110" t="n"/>
      <c r="T694" s="110" t="n"/>
      <c r="U694" s="104" t="n"/>
    </row>
    <row r="695">
      <c r="A695" s="104" t="inlineStr">
        <is>
          <t>GUIDE000694</t>
        </is>
      </c>
      <c r="B695" s="101" t="inlineStr">
        <is>
          <t>DEV000018</t>
        </is>
      </c>
      <c r="C695" s="103" t="inlineStr">
        <is>
          <t>APL</t>
        </is>
      </c>
      <c r="D695" s="103" t="inlineStr">
        <is>
          <t>PHN</t>
        </is>
      </c>
      <c r="E695" s="60" t="inlineStr">
        <is>
          <t>iPhone X</t>
        </is>
      </c>
      <c r="F695" s="104" t="inlineStr">
        <is>
          <t>SVC000017</t>
        </is>
      </c>
      <c r="G695" s="104" t="inlineStr">
        <is>
          <t>Speaker Replacement</t>
        </is>
      </c>
      <c r="H695" s="104" t="inlineStr">
        <is>
          <t>Audio</t>
        </is>
      </c>
      <c r="I695" s="104" t="n"/>
      <c r="J695" s="104" t="n"/>
      <c r="K695" s="104" t="n"/>
      <c r="L695" s="104" t="n"/>
      <c r="M695" s="104" t="n"/>
      <c r="N695" s="104" t="n"/>
      <c r="O695" s="104" t="n"/>
      <c r="P695" s="104" t="n"/>
      <c r="Q695" s="104" t="n"/>
      <c r="R695" s="104" t="n"/>
      <c r="S695" s="110" t="n"/>
      <c r="T695" s="110" t="n"/>
      <c r="U695" s="104" t="n"/>
    </row>
    <row r="696">
      <c r="A696" s="105" t="inlineStr">
        <is>
          <t>GUIDE000695</t>
        </is>
      </c>
      <c r="B696" s="101" t="inlineStr">
        <is>
          <t>DEV000019</t>
        </is>
      </c>
      <c r="C696" s="103" t="inlineStr">
        <is>
          <t>APL</t>
        </is>
      </c>
      <c r="D696" s="103" t="inlineStr">
        <is>
          <t>PHN</t>
        </is>
      </c>
      <c r="E696" s="60" t="inlineStr">
        <is>
          <t>iPhone XR</t>
        </is>
      </c>
      <c r="F696" s="104" t="inlineStr">
        <is>
          <t>SVC000017</t>
        </is>
      </c>
      <c r="G696" s="104" t="inlineStr">
        <is>
          <t>Speaker Replacement</t>
        </is>
      </c>
      <c r="H696" s="104" t="inlineStr">
        <is>
          <t>Audio</t>
        </is>
      </c>
      <c r="I696" s="104" t="n"/>
      <c r="J696" s="104" t="n"/>
      <c r="K696" s="104" t="n"/>
      <c r="L696" s="104" t="n"/>
      <c r="M696" s="104" t="n"/>
      <c r="N696" s="104" t="n"/>
      <c r="O696" s="104" t="n"/>
      <c r="P696" s="104" t="n"/>
      <c r="Q696" s="104" t="n"/>
      <c r="R696" s="104" t="n"/>
      <c r="S696" s="110" t="n"/>
      <c r="T696" s="110" t="n"/>
      <c r="U696" s="104" t="n"/>
    </row>
    <row r="697">
      <c r="A697" s="104" t="inlineStr">
        <is>
          <t>GUIDE000696</t>
        </is>
      </c>
      <c r="B697" s="101" t="inlineStr">
        <is>
          <t>DEV000020</t>
        </is>
      </c>
      <c r="C697" s="103" t="inlineStr">
        <is>
          <t>APL</t>
        </is>
      </c>
      <c r="D697" s="103" t="inlineStr">
        <is>
          <t>PHN</t>
        </is>
      </c>
      <c r="E697" s="60" t="inlineStr">
        <is>
          <t>iPhone XS</t>
        </is>
      </c>
      <c r="F697" s="104" t="inlineStr">
        <is>
          <t>SVC000017</t>
        </is>
      </c>
      <c r="G697" s="104" t="inlineStr">
        <is>
          <t>Speaker Replacement</t>
        </is>
      </c>
      <c r="H697" s="104" t="inlineStr">
        <is>
          <t>Audio</t>
        </is>
      </c>
      <c r="I697" s="104" t="n"/>
      <c r="J697" s="104" t="n"/>
      <c r="K697" s="104" t="n"/>
      <c r="L697" s="104" t="n"/>
      <c r="M697" s="104" t="n"/>
      <c r="N697" s="104" t="n"/>
      <c r="O697" s="104" t="n"/>
      <c r="P697" s="104" t="n"/>
      <c r="Q697" s="104" t="n"/>
      <c r="R697" s="104" t="n"/>
      <c r="S697" s="110" t="n"/>
      <c r="T697" s="110" t="n"/>
      <c r="U697" s="104" t="n"/>
    </row>
    <row r="698">
      <c r="A698" s="104" t="inlineStr">
        <is>
          <t>GUIDE000697</t>
        </is>
      </c>
      <c r="B698" s="101" t="inlineStr">
        <is>
          <t>DEV000021</t>
        </is>
      </c>
      <c r="C698" s="103" t="inlineStr">
        <is>
          <t>APL</t>
        </is>
      </c>
      <c r="D698" s="103" t="inlineStr">
        <is>
          <t>PHN</t>
        </is>
      </c>
      <c r="E698" s="60" t="inlineStr">
        <is>
          <t>iPhone XS Max</t>
        </is>
      </c>
      <c r="F698" s="104" t="inlineStr">
        <is>
          <t>SVC000017</t>
        </is>
      </c>
      <c r="G698" s="104" t="inlineStr">
        <is>
          <t>Speaker Replacement</t>
        </is>
      </c>
      <c r="H698" s="104" t="inlineStr">
        <is>
          <t>Audio</t>
        </is>
      </c>
      <c r="I698" s="104" t="n"/>
      <c r="J698" s="104" t="n"/>
      <c r="K698" s="104" t="n"/>
      <c r="L698" s="104" t="n"/>
      <c r="M698" s="104" t="n"/>
      <c r="N698" s="104" t="n"/>
      <c r="O698" s="104" t="n"/>
      <c r="P698" s="104" t="n"/>
      <c r="Q698" s="104" t="n"/>
      <c r="R698" s="104" t="n"/>
      <c r="S698" s="110" t="n"/>
      <c r="T698" s="110" t="n"/>
      <c r="U698" s="104" t="n"/>
    </row>
    <row r="699">
      <c r="A699" s="104" t="inlineStr">
        <is>
          <t>GUIDE000698</t>
        </is>
      </c>
      <c r="B699" s="101" t="inlineStr">
        <is>
          <t>DEV000022</t>
        </is>
      </c>
      <c r="C699" s="103" t="inlineStr">
        <is>
          <t>APL</t>
        </is>
      </c>
      <c r="D699" s="103" t="inlineStr">
        <is>
          <t>PHN</t>
        </is>
      </c>
      <c r="E699" s="60" t="inlineStr">
        <is>
          <t>iPhone 11</t>
        </is>
      </c>
      <c r="F699" s="104" t="inlineStr">
        <is>
          <t>SVC000017</t>
        </is>
      </c>
      <c r="G699" s="104" t="inlineStr">
        <is>
          <t>Speaker Replacement</t>
        </is>
      </c>
      <c r="H699" s="104" t="inlineStr">
        <is>
          <t>Audio</t>
        </is>
      </c>
      <c r="I699" s="104" t="n"/>
      <c r="J699" s="104" t="n"/>
      <c r="K699" s="104" t="n"/>
      <c r="L699" s="104" t="n"/>
      <c r="M699" s="104" t="n"/>
      <c r="N699" s="104" t="n"/>
      <c r="O699" s="104" t="n"/>
      <c r="P699" s="104" t="n"/>
      <c r="Q699" s="104" t="n"/>
      <c r="R699" s="104" t="n"/>
      <c r="S699" s="110" t="n"/>
      <c r="T699" s="110" t="n"/>
      <c r="U699" s="104" t="n"/>
    </row>
    <row r="700">
      <c r="A700" s="105" t="inlineStr">
        <is>
          <t>GUIDE000699</t>
        </is>
      </c>
      <c r="B700" s="101" t="inlineStr">
        <is>
          <t>DEV000023</t>
        </is>
      </c>
      <c r="C700" s="103" t="inlineStr">
        <is>
          <t>APL</t>
        </is>
      </c>
      <c r="D700" s="103" t="inlineStr">
        <is>
          <t>PHN</t>
        </is>
      </c>
      <c r="E700" s="60" t="inlineStr">
        <is>
          <t>iPhone 11 Pro</t>
        </is>
      </c>
      <c r="F700" s="104" t="inlineStr">
        <is>
          <t>SVC000017</t>
        </is>
      </c>
      <c r="G700" s="104" t="inlineStr">
        <is>
          <t>Speaker Replacement</t>
        </is>
      </c>
      <c r="H700" s="104" t="inlineStr">
        <is>
          <t>Audio</t>
        </is>
      </c>
      <c r="I700" s="104" t="n"/>
      <c r="J700" s="104" t="n"/>
      <c r="K700" s="104" t="n"/>
      <c r="L700" s="104" t="n"/>
      <c r="M700" s="104" t="n"/>
      <c r="N700" s="104" t="n"/>
      <c r="O700" s="104" t="n"/>
      <c r="P700" s="104" t="n"/>
      <c r="Q700" s="104" t="n"/>
      <c r="R700" s="104" t="n"/>
      <c r="S700" s="110" t="n"/>
      <c r="T700" s="110" t="n"/>
      <c r="U700" s="104" t="n"/>
    </row>
    <row r="701">
      <c r="A701" s="104" t="inlineStr">
        <is>
          <t>GUIDE000700</t>
        </is>
      </c>
      <c r="B701" s="101" t="inlineStr">
        <is>
          <t>DEV000024</t>
        </is>
      </c>
      <c r="C701" s="103" t="inlineStr">
        <is>
          <t>APL</t>
        </is>
      </c>
      <c r="D701" s="103" t="inlineStr">
        <is>
          <t>PHN</t>
        </is>
      </c>
      <c r="E701" s="60" t="inlineStr">
        <is>
          <t>iPhone 11 Pro Max</t>
        </is>
      </c>
      <c r="F701" s="104" t="inlineStr">
        <is>
          <t>SVC000017</t>
        </is>
      </c>
      <c r="G701" s="104" t="inlineStr">
        <is>
          <t>Speaker Replacement</t>
        </is>
      </c>
      <c r="H701" s="104" t="inlineStr">
        <is>
          <t>Audio</t>
        </is>
      </c>
      <c r="I701" s="104" t="n"/>
      <c r="J701" s="104" t="n"/>
      <c r="K701" s="104" t="n"/>
      <c r="L701" s="104" t="n"/>
      <c r="M701" s="104" t="n"/>
      <c r="N701" s="104" t="n"/>
      <c r="O701" s="104" t="n"/>
      <c r="P701" s="104" t="n"/>
      <c r="Q701" s="104" t="n"/>
      <c r="R701" s="104" t="n"/>
      <c r="S701" s="110" t="n"/>
      <c r="T701" s="110" t="n"/>
      <c r="U701" s="104" t="n"/>
    </row>
    <row r="702">
      <c r="A702" s="104" t="inlineStr">
        <is>
          <t>GUIDE000701</t>
        </is>
      </c>
      <c r="B702" s="101" t="inlineStr">
        <is>
          <t>DEV000025</t>
        </is>
      </c>
      <c r="C702" s="103" t="inlineStr">
        <is>
          <t>APL</t>
        </is>
      </c>
      <c r="D702" s="103" t="inlineStr">
        <is>
          <t>PHN</t>
        </is>
      </c>
      <c r="E702" s="60" t="inlineStr">
        <is>
          <t>iPhone SE (2nd Generation)</t>
        </is>
      </c>
      <c r="F702" s="104" t="inlineStr">
        <is>
          <t>SVC000017</t>
        </is>
      </c>
      <c r="G702" s="104" t="inlineStr">
        <is>
          <t>Speaker Replacement</t>
        </is>
      </c>
      <c r="H702" s="104" t="inlineStr">
        <is>
          <t>Audio</t>
        </is>
      </c>
      <c r="I702" s="104" t="n"/>
      <c r="J702" s="104" t="n"/>
      <c r="K702" s="104" t="n"/>
      <c r="L702" s="104" t="n"/>
      <c r="M702" s="104" t="n"/>
      <c r="N702" s="104" t="n"/>
      <c r="O702" s="104" t="n"/>
      <c r="P702" s="104" t="n"/>
      <c r="Q702" s="104" t="n"/>
      <c r="R702" s="104" t="n"/>
      <c r="S702" s="110" t="n"/>
      <c r="T702" s="110" t="n"/>
      <c r="U702" s="104" t="n"/>
    </row>
    <row r="703">
      <c r="A703" s="104" t="inlineStr">
        <is>
          <t>GUIDE000702</t>
        </is>
      </c>
      <c r="B703" s="101" t="inlineStr">
        <is>
          <t>DEV000026</t>
        </is>
      </c>
      <c r="C703" s="103" t="inlineStr">
        <is>
          <t>APL</t>
        </is>
      </c>
      <c r="D703" s="103" t="inlineStr">
        <is>
          <t>PHN</t>
        </is>
      </c>
      <c r="E703" s="60" t="inlineStr">
        <is>
          <t>iPhone 12 mini</t>
        </is>
      </c>
      <c r="F703" s="104" t="inlineStr">
        <is>
          <t>SVC000017</t>
        </is>
      </c>
      <c r="G703" s="104" t="inlineStr">
        <is>
          <t>Speaker Replacement</t>
        </is>
      </c>
      <c r="H703" s="104" t="inlineStr">
        <is>
          <t>Audio</t>
        </is>
      </c>
      <c r="I703" s="104" t="n"/>
      <c r="J703" s="104" t="n"/>
      <c r="K703" s="104" t="n"/>
      <c r="L703" s="104" t="n"/>
      <c r="M703" s="104" t="n"/>
      <c r="N703" s="104" t="n"/>
      <c r="O703" s="104" t="n"/>
      <c r="P703" s="104" t="n"/>
      <c r="Q703" s="104" t="n"/>
      <c r="R703" s="104" t="n"/>
      <c r="S703" s="110" t="n"/>
      <c r="T703" s="110" t="n"/>
      <c r="U703" s="104" t="n"/>
    </row>
    <row r="704">
      <c r="A704" s="104" t="inlineStr">
        <is>
          <t>GUIDE000703</t>
        </is>
      </c>
      <c r="B704" s="101" t="inlineStr">
        <is>
          <t>DEV000027</t>
        </is>
      </c>
      <c r="C704" s="103" t="inlineStr">
        <is>
          <t>APL</t>
        </is>
      </c>
      <c r="D704" s="103" t="inlineStr">
        <is>
          <t>PHN</t>
        </is>
      </c>
      <c r="E704" s="60" t="inlineStr">
        <is>
          <t>iPhone 12</t>
        </is>
      </c>
      <c r="F704" s="104" t="inlineStr">
        <is>
          <t>SVC000017</t>
        </is>
      </c>
      <c r="G704" s="104" t="inlineStr">
        <is>
          <t>Speaker Replacement</t>
        </is>
      </c>
      <c r="H704" s="104" t="inlineStr">
        <is>
          <t>Audio</t>
        </is>
      </c>
      <c r="I704" s="104" t="n"/>
      <c r="J704" s="104" t="n"/>
      <c r="K704" s="104" t="n"/>
      <c r="L704" s="104" t="n"/>
      <c r="M704" s="104" t="n"/>
      <c r="N704" s="104" t="n"/>
      <c r="O704" s="104" t="n"/>
      <c r="P704" s="104" t="n"/>
      <c r="Q704" s="104" t="n"/>
      <c r="R704" s="104" t="n"/>
      <c r="S704" s="110" t="n"/>
      <c r="T704" s="110" t="n"/>
      <c r="U704" s="104" t="n"/>
    </row>
    <row r="705">
      <c r="A705" s="105" t="inlineStr">
        <is>
          <t>GUIDE000704</t>
        </is>
      </c>
      <c r="B705" s="101" t="inlineStr">
        <is>
          <t>DEV000028</t>
        </is>
      </c>
      <c r="C705" s="103" t="inlineStr">
        <is>
          <t>APL</t>
        </is>
      </c>
      <c r="D705" s="103" t="inlineStr">
        <is>
          <t>PHN</t>
        </is>
      </c>
      <c r="E705" s="60" t="inlineStr">
        <is>
          <t>iPhone 12 Pro</t>
        </is>
      </c>
      <c r="F705" s="104" t="inlineStr">
        <is>
          <t>SVC000017</t>
        </is>
      </c>
      <c r="G705" s="104" t="inlineStr">
        <is>
          <t>Speaker Replacement</t>
        </is>
      </c>
      <c r="H705" s="104" t="inlineStr">
        <is>
          <t>Audio</t>
        </is>
      </c>
      <c r="I705" s="104" t="n"/>
      <c r="J705" s="104" t="n"/>
      <c r="K705" s="104" t="n"/>
      <c r="L705" s="104" t="n"/>
      <c r="M705" s="104" t="n"/>
      <c r="N705" s="104" t="n"/>
      <c r="O705" s="104" t="n"/>
      <c r="P705" s="104" t="n"/>
      <c r="Q705" s="104" t="n"/>
      <c r="R705" s="104" t="n"/>
      <c r="S705" s="110" t="n"/>
      <c r="T705" s="110" t="n"/>
      <c r="U705" s="104" t="n"/>
    </row>
    <row r="706">
      <c r="A706" s="104" t="inlineStr">
        <is>
          <t>GUIDE000705</t>
        </is>
      </c>
      <c r="B706" s="101" t="inlineStr">
        <is>
          <t>DEV000029</t>
        </is>
      </c>
      <c r="C706" s="103" t="inlineStr">
        <is>
          <t>APL</t>
        </is>
      </c>
      <c r="D706" s="103" t="inlineStr">
        <is>
          <t>PHN</t>
        </is>
      </c>
      <c r="E706" s="60" t="inlineStr">
        <is>
          <t>iPhone 12 Pro Max</t>
        </is>
      </c>
      <c r="F706" s="104" t="inlineStr">
        <is>
          <t>SVC000017</t>
        </is>
      </c>
      <c r="G706" s="104" t="inlineStr">
        <is>
          <t>Speaker Replacement</t>
        </is>
      </c>
      <c r="H706" s="104" t="inlineStr">
        <is>
          <t>Audio</t>
        </is>
      </c>
      <c r="I706" s="104" t="n"/>
      <c r="J706" s="104" t="n"/>
      <c r="K706" s="104" t="n"/>
      <c r="L706" s="104" t="n"/>
      <c r="M706" s="104" t="n"/>
      <c r="N706" s="104" t="n"/>
      <c r="O706" s="104" t="n"/>
      <c r="P706" s="104" t="n"/>
      <c r="Q706" s="104" t="n"/>
      <c r="R706" s="104" t="n"/>
      <c r="S706" s="110" t="n"/>
      <c r="T706" s="110" t="n"/>
      <c r="U706" s="104" t="n"/>
    </row>
    <row r="707">
      <c r="A707" s="104" t="inlineStr">
        <is>
          <t>GUIDE000706</t>
        </is>
      </c>
      <c r="B707" s="101" t="inlineStr">
        <is>
          <t>DEV000030</t>
        </is>
      </c>
      <c r="C707" s="103" t="inlineStr">
        <is>
          <t>APL</t>
        </is>
      </c>
      <c r="D707" s="103" t="inlineStr">
        <is>
          <t>PHN</t>
        </is>
      </c>
      <c r="E707" s="60" t="inlineStr">
        <is>
          <t>iPhone 13 mini</t>
        </is>
      </c>
      <c r="F707" s="104" t="inlineStr">
        <is>
          <t>SVC000017</t>
        </is>
      </c>
      <c r="G707" s="104" t="inlineStr">
        <is>
          <t>Speaker Replacement</t>
        </is>
      </c>
      <c r="H707" s="104" t="inlineStr">
        <is>
          <t>Audio</t>
        </is>
      </c>
      <c r="I707" s="104" t="n"/>
      <c r="J707" s="104" t="n"/>
      <c r="K707" s="104" t="n"/>
      <c r="L707" s="104" t="n"/>
      <c r="M707" s="104" t="n"/>
      <c r="N707" s="104" t="n"/>
      <c r="O707" s="104" t="n"/>
      <c r="P707" s="104" t="n"/>
      <c r="Q707" s="104" t="n"/>
      <c r="R707" s="104" t="n"/>
      <c r="S707" s="110" t="n"/>
      <c r="T707" s="110" t="n"/>
      <c r="U707" s="104" t="n"/>
    </row>
    <row r="708">
      <c r="A708" s="104" t="inlineStr">
        <is>
          <t>GUIDE000707</t>
        </is>
      </c>
      <c r="B708" s="101" t="inlineStr">
        <is>
          <t>DEV000031</t>
        </is>
      </c>
      <c r="C708" s="103" t="inlineStr">
        <is>
          <t>APL</t>
        </is>
      </c>
      <c r="D708" s="103" t="inlineStr">
        <is>
          <t>PHN</t>
        </is>
      </c>
      <c r="E708" s="60" t="inlineStr">
        <is>
          <t>iPhone 13</t>
        </is>
      </c>
      <c r="F708" s="104" t="inlineStr">
        <is>
          <t>SVC000017</t>
        </is>
      </c>
      <c r="G708" s="104" t="inlineStr">
        <is>
          <t>Speaker Replacement</t>
        </is>
      </c>
      <c r="H708" s="104" t="inlineStr">
        <is>
          <t>Audio</t>
        </is>
      </c>
      <c r="I708" s="104" t="n"/>
      <c r="J708" s="104" t="n"/>
      <c r="K708" s="104" t="n"/>
      <c r="L708" s="104" t="n"/>
      <c r="M708" s="104" t="n"/>
      <c r="N708" s="104" t="n"/>
      <c r="O708" s="104" t="n"/>
      <c r="P708" s="104" t="n"/>
      <c r="Q708" s="104" t="n"/>
      <c r="R708" s="104" t="n"/>
      <c r="S708" s="110" t="n"/>
      <c r="T708" s="110" t="n"/>
      <c r="U708" s="104" t="n"/>
    </row>
    <row r="709">
      <c r="A709" s="105" t="inlineStr">
        <is>
          <t>GUIDE000708</t>
        </is>
      </c>
      <c r="B709" s="101" t="inlineStr">
        <is>
          <t>DEV000032</t>
        </is>
      </c>
      <c r="C709" s="103" t="inlineStr">
        <is>
          <t>APL</t>
        </is>
      </c>
      <c r="D709" s="103" t="inlineStr">
        <is>
          <t>PHN</t>
        </is>
      </c>
      <c r="E709" s="60" t="inlineStr">
        <is>
          <t>iPhone 13 Pro</t>
        </is>
      </c>
      <c r="F709" s="104" t="inlineStr">
        <is>
          <t>SVC000017</t>
        </is>
      </c>
      <c r="G709" s="104" t="inlineStr">
        <is>
          <t>Speaker Replacement</t>
        </is>
      </c>
      <c r="H709" s="104" t="inlineStr">
        <is>
          <t>Audio</t>
        </is>
      </c>
      <c r="I709" s="104" t="n"/>
      <c r="J709" s="104" t="n"/>
      <c r="K709" s="104" t="n"/>
      <c r="L709" s="104" t="n"/>
      <c r="M709" s="104" t="n"/>
      <c r="N709" s="104" t="n"/>
      <c r="O709" s="104" t="n"/>
      <c r="P709" s="104" t="n"/>
      <c r="Q709" s="104" t="n"/>
      <c r="R709" s="104" t="n"/>
      <c r="S709" s="110" t="n"/>
      <c r="T709" s="110" t="n"/>
      <c r="U709" s="104" t="n"/>
    </row>
    <row r="710">
      <c r="A710" s="104" t="inlineStr">
        <is>
          <t>GUIDE000709</t>
        </is>
      </c>
      <c r="B710" s="101" t="inlineStr">
        <is>
          <t>DEV000033</t>
        </is>
      </c>
      <c r="C710" s="103" t="inlineStr">
        <is>
          <t>APL</t>
        </is>
      </c>
      <c r="D710" s="103" t="inlineStr">
        <is>
          <t>PHN</t>
        </is>
      </c>
      <c r="E710" s="60" t="inlineStr">
        <is>
          <t>iPhone 13 Pro Max</t>
        </is>
      </c>
      <c r="F710" s="104" t="inlineStr">
        <is>
          <t>SVC000017</t>
        </is>
      </c>
      <c r="G710" s="104" t="inlineStr">
        <is>
          <t>Speaker Replacement</t>
        </is>
      </c>
      <c r="H710" s="104" t="inlineStr">
        <is>
          <t>Audio</t>
        </is>
      </c>
      <c r="I710" s="104" t="n"/>
      <c r="J710" s="104" t="n"/>
      <c r="K710" s="104" t="n"/>
      <c r="L710" s="104" t="n"/>
      <c r="M710" s="104" t="n"/>
      <c r="N710" s="104" t="n"/>
      <c r="O710" s="104" t="n"/>
      <c r="P710" s="104" t="n"/>
      <c r="Q710" s="104" t="n"/>
      <c r="R710" s="104" t="n"/>
      <c r="S710" s="110" t="n"/>
      <c r="T710" s="110" t="n"/>
      <c r="U710" s="104" t="n"/>
    </row>
    <row r="711">
      <c r="A711" s="104" t="inlineStr">
        <is>
          <t>GUIDE000710</t>
        </is>
      </c>
      <c r="B711" s="101" t="inlineStr">
        <is>
          <t>DEV000034</t>
        </is>
      </c>
      <c r="C711" s="103" t="inlineStr">
        <is>
          <t>APL</t>
        </is>
      </c>
      <c r="D711" s="103" t="inlineStr">
        <is>
          <t>PHN</t>
        </is>
      </c>
      <c r="E711" s="60" t="inlineStr">
        <is>
          <t>iPhone SE (3rd Generation)</t>
        </is>
      </c>
      <c r="F711" s="104" t="inlineStr">
        <is>
          <t>SVC000017</t>
        </is>
      </c>
      <c r="G711" s="104" t="inlineStr">
        <is>
          <t>Speaker Replacement</t>
        </is>
      </c>
      <c r="H711" s="104" t="inlineStr">
        <is>
          <t>Audio</t>
        </is>
      </c>
      <c r="I711" s="104" t="n"/>
      <c r="J711" s="104" t="n"/>
      <c r="K711" s="104" t="n"/>
      <c r="L711" s="104" t="n"/>
      <c r="M711" s="104" t="n"/>
      <c r="N711" s="104" t="n"/>
      <c r="O711" s="104" t="n"/>
      <c r="P711" s="104" t="n"/>
      <c r="Q711" s="104" t="n"/>
      <c r="R711" s="104" t="n"/>
      <c r="S711" s="110" t="n"/>
      <c r="T711" s="110" t="n"/>
      <c r="U711" s="104" t="n"/>
    </row>
    <row r="712">
      <c r="A712" s="104" t="inlineStr">
        <is>
          <t>GUIDE000711</t>
        </is>
      </c>
      <c r="B712" s="101" t="inlineStr">
        <is>
          <t>DEV000035</t>
        </is>
      </c>
      <c r="C712" s="103" t="inlineStr">
        <is>
          <t>APL</t>
        </is>
      </c>
      <c r="D712" s="103" t="inlineStr">
        <is>
          <t>PHN</t>
        </is>
      </c>
      <c r="E712" s="60" t="inlineStr">
        <is>
          <t>iPhone 14</t>
        </is>
      </c>
      <c r="F712" s="104" t="inlineStr">
        <is>
          <t>SVC000017</t>
        </is>
      </c>
      <c r="G712" s="104" t="inlineStr">
        <is>
          <t>Speaker Replacement</t>
        </is>
      </c>
      <c r="H712" s="104" t="inlineStr">
        <is>
          <t>Audio</t>
        </is>
      </c>
      <c r="I712" s="104" t="n"/>
      <c r="J712" s="104" t="n"/>
      <c r="K712" s="104" t="n"/>
      <c r="L712" s="104" t="n"/>
      <c r="M712" s="104" t="n"/>
      <c r="N712" s="104" t="n"/>
      <c r="O712" s="104" t="n"/>
      <c r="P712" s="104" t="n"/>
      <c r="Q712" s="104" t="n"/>
      <c r="R712" s="104" t="n"/>
      <c r="S712" s="110" t="n"/>
      <c r="T712" s="110" t="n"/>
      <c r="U712" s="104" t="n"/>
    </row>
    <row r="713">
      <c r="A713" s="104" t="inlineStr">
        <is>
          <t>GUIDE000712</t>
        </is>
      </c>
      <c r="B713" s="101" t="inlineStr">
        <is>
          <t>DEV000036</t>
        </is>
      </c>
      <c r="C713" s="103" t="inlineStr">
        <is>
          <t>APL</t>
        </is>
      </c>
      <c r="D713" s="103" t="inlineStr">
        <is>
          <t>PHN</t>
        </is>
      </c>
      <c r="E713" s="60" t="inlineStr">
        <is>
          <t>iPhone 14 Plus</t>
        </is>
      </c>
      <c r="F713" s="104" t="inlineStr">
        <is>
          <t>SVC000017</t>
        </is>
      </c>
      <c r="G713" s="104" t="inlineStr">
        <is>
          <t>Speaker Replacement</t>
        </is>
      </c>
      <c r="H713" s="104" t="inlineStr">
        <is>
          <t>Audio</t>
        </is>
      </c>
      <c r="I713" s="104" t="n"/>
      <c r="J713" s="104" t="n"/>
      <c r="K713" s="104" t="n"/>
      <c r="L713" s="104" t="n"/>
      <c r="M713" s="104" t="n"/>
      <c r="N713" s="104" t="n"/>
      <c r="O713" s="104" t="n"/>
      <c r="P713" s="104" t="n"/>
      <c r="Q713" s="104" t="n"/>
      <c r="R713" s="104" t="n"/>
      <c r="S713" s="110" t="n"/>
      <c r="T713" s="110" t="n"/>
      <c r="U713" s="104" t="n"/>
    </row>
    <row r="714">
      <c r="A714" s="105" t="inlineStr">
        <is>
          <t>GUIDE000713</t>
        </is>
      </c>
      <c r="B714" s="101" t="inlineStr">
        <is>
          <t>DEV000037</t>
        </is>
      </c>
      <c r="C714" s="103" t="inlineStr">
        <is>
          <t>APL</t>
        </is>
      </c>
      <c r="D714" s="103" t="inlineStr">
        <is>
          <t>PHN</t>
        </is>
      </c>
      <c r="E714" s="60" t="inlineStr">
        <is>
          <t>iPhone 14 Pro</t>
        </is>
      </c>
      <c r="F714" s="104" t="inlineStr">
        <is>
          <t>SVC000017</t>
        </is>
      </c>
      <c r="G714" s="104" t="inlineStr">
        <is>
          <t>Speaker Replacement</t>
        </is>
      </c>
      <c r="H714" s="104" t="inlineStr">
        <is>
          <t>Audio</t>
        </is>
      </c>
      <c r="I714" s="104" t="n"/>
      <c r="J714" s="104" t="n"/>
      <c r="K714" s="104" t="n"/>
      <c r="L714" s="104" t="n"/>
      <c r="M714" s="104" t="n"/>
      <c r="N714" s="104" t="n"/>
      <c r="O714" s="104" t="n"/>
      <c r="P714" s="104" t="n"/>
      <c r="Q714" s="104" t="n"/>
      <c r="R714" s="104" t="n"/>
      <c r="S714" s="110" t="n"/>
      <c r="T714" s="110" t="n"/>
      <c r="U714" s="104" t="n"/>
    </row>
    <row r="715">
      <c r="A715" s="104" t="inlineStr">
        <is>
          <t>GUIDE000714</t>
        </is>
      </c>
      <c r="B715" s="101" t="inlineStr">
        <is>
          <t>DEV000038</t>
        </is>
      </c>
      <c r="C715" s="103" t="inlineStr">
        <is>
          <t>APL</t>
        </is>
      </c>
      <c r="D715" s="103" t="inlineStr">
        <is>
          <t>PHN</t>
        </is>
      </c>
      <c r="E715" s="60" t="inlineStr">
        <is>
          <t>iPhone 14 Pro Max</t>
        </is>
      </c>
      <c r="F715" s="104" t="inlineStr">
        <is>
          <t>SVC000017</t>
        </is>
      </c>
      <c r="G715" s="104" t="inlineStr">
        <is>
          <t>Speaker Replacement</t>
        </is>
      </c>
      <c r="H715" s="104" t="inlineStr">
        <is>
          <t>Audio</t>
        </is>
      </c>
      <c r="I715" s="104" t="n"/>
      <c r="J715" s="104" t="n"/>
      <c r="K715" s="104" t="n"/>
      <c r="L715" s="104" t="n"/>
      <c r="M715" s="104" t="n"/>
      <c r="N715" s="104" t="n"/>
      <c r="O715" s="104" t="n"/>
      <c r="P715" s="104" t="n"/>
      <c r="Q715" s="104" t="n"/>
      <c r="R715" s="104" t="n"/>
      <c r="S715" s="110" t="n"/>
      <c r="T715" s="110" t="n"/>
      <c r="U715" s="104" t="n"/>
    </row>
    <row r="716">
      <c r="A716" s="104" t="inlineStr">
        <is>
          <t>GUIDE000715</t>
        </is>
      </c>
      <c r="B716" s="101" t="inlineStr">
        <is>
          <t>DEV000039</t>
        </is>
      </c>
      <c r="C716" s="103" t="inlineStr">
        <is>
          <t>APL</t>
        </is>
      </c>
      <c r="D716" s="103" t="inlineStr">
        <is>
          <t>PHN</t>
        </is>
      </c>
      <c r="E716" s="60" t="inlineStr">
        <is>
          <t>iPhone 15</t>
        </is>
      </c>
      <c r="F716" s="104" t="inlineStr">
        <is>
          <t>SVC000017</t>
        </is>
      </c>
      <c r="G716" s="104" t="inlineStr">
        <is>
          <t>Speaker Replacement</t>
        </is>
      </c>
      <c r="H716" s="104" t="inlineStr">
        <is>
          <t>Audio</t>
        </is>
      </c>
      <c r="I716" s="104" t="n"/>
      <c r="J716" s="104" t="n"/>
      <c r="K716" s="104" t="n"/>
      <c r="L716" s="104" t="n"/>
      <c r="M716" s="104" t="n"/>
      <c r="N716" s="104" t="n"/>
      <c r="O716" s="104" t="n"/>
      <c r="P716" s="104" t="n"/>
      <c r="Q716" s="104" t="n"/>
      <c r="R716" s="104" t="n"/>
      <c r="S716" s="110" t="n"/>
      <c r="T716" s="110" t="n"/>
      <c r="U716" s="104" t="n"/>
    </row>
    <row r="717">
      <c r="A717" s="104" t="inlineStr">
        <is>
          <t>GUIDE000716</t>
        </is>
      </c>
      <c r="B717" s="101" t="inlineStr">
        <is>
          <t>DEV000040</t>
        </is>
      </c>
      <c r="C717" s="103" t="inlineStr">
        <is>
          <t>APL</t>
        </is>
      </c>
      <c r="D717" s="103" t="inlineStr">
        <is>
          <t>PHN</t>
        </is>
      </c>
      <c r="E717" s="60" t="inlineStr">
        <is>
          <t>iPhone 15 Plus</t>
        </is>
      </c>
      <c r="F717" s="104" t="inlineStr">
        <is>
          <t>SVC000017</t>
        </is>
      </c>
      <c r="G717" s="104" t="inlineStr">
        <is>
          <t>Speaker Replacement</t>
        </is>
      </c>
      <c r="H717" s="104" t="inlineStr">
        <is>
          <t>Audio</t>
        </is>
      </c>
      <c r="I717" s="104" t="n"/>
      <c r="J717" s="104" t="n"/>
      <c r="K717" s="104" t="n"/>
      <c r="L717" s="104" t="n"/>
      <c r="M717" s="104" t="n"/>
      <c r="N717" s="104" t="n"/>
      <c r="O717" s="104" t="n"/>
      <c r="P717" s="104" t="n"/>
      <c r="Q717" s="104" t="n"/>
      <c r="R717" s="104" t="n"/>
      <c r="S717" s="110" t="n"/>
      <c r="T717" s="110" t="n"/>
      <c r="U717" s="104" t="n"/>
    </row>
    <row r="718">
      <c r="A718" s="105" t="inlineStr">
        <is>
          <t>GUIDE000717</t>
        </is>
      </c>
      <c r="B718" s="101" t="inlineStr">
        <is>
          <t>DEV000041</t>
        </is>
      </c>
      <c r="C718" s="103" t="inlineStr">
        <is>
          <t>APL</t>
        </is>
      </c>
      <c r="D718" s="103" t="inlineStr">
        <is>
          <t>PHN</t>
        </is>
      </c>
      <c r="E718" s="60" t="inlineStr">
        <is>
          <t>iPhone 15 Pro</t>
        </is>
      </c>
      <c r="F718" s="104" t="inlineStr">
        <is>
          <t>SVC000017</t>
        </is>
      </c>
      <c r="G718" s="104" t="inlineStr">
        <is>
          <t>Speaker Replacement</t>
        </is>
      </c>
      <c r="H718" s="104" t="inlineStr">
        <is>
          <t>Audio</t>
        </is>
      </c>
      <c r="I718" s="104" t="n"/>
      <c r="J718" s="104" t="n"/>
      <c r="K718" s="104" t="n"/>
      <c r="L718" s="104" t="n"/>
      <c r="M718" s="104" t="n"/>
      <c r="N718" s="104" t="n"/>
      <c r="O718" s="104" t="n"/>
      <c r="P718" s="104" t="n"/>
      <c r="Q718" s="104" t="n"/>
      <c r="R718" s="104" t="n"/>
      <c r="S718" s="110" t="n"/>
      <c r="T718" s="110" t="n"/>
      <c r="U718" s="104" t="n"/>
    </row>
    <row r="719">
      <c r="A719" s="104" t="inlineStr">
        <is>
          <t>GUIDE000718</t>
        </is>
      </c>
      <c r="B719" s="101" t="inlineStr">
        <is>
          <t>DEV000042</t>
        </is>
      </c>
      <c r="C719" s="103" t="inlineStr">
        <is>
          <t>APL</t>
        </is>
      </c>
      <c r="D719" s="103" t="inlineStr">
        <is>
          <t>PHN</t>
        </is>
      </c>
      <c r="E719" s="60" t="inlineStr">
        <is>
          <t>iPhone 15 Pro Max</t>
        </is>
      </c>
      <c r="F719" s="104" t="inlineStr">
        <is>
          <t>SVC000017</t>
        </is>
      </c>
      <c r="G719" s="104" t="inlineStr">
        <is>
          <t>Speaker Replacement</t>
        </is>
      </c>
      <c r="H719" s="104" t="inlineStr">
        <is>
          <t>Audio</t>
        </is>
      </c>
      <c r="I719" s="104" t="n"/>
      <c r="J719" s="104" t="n"/>
      <c r="K719" s="104" t="n"/>
      <c r="L719" s="104" t="n"/>
      <c r="M719" s="104" t="n"/>
      <c r="N719" s="104" t="n"/>
      <c r="O719" s="104" t="n"/>
      <c r="P719" s="104" t="n"/>
      <c r="Q719" s="104" t="n"/>
      <c r="R719" s="104" t="n"/>
      <c r="S719" s="110" t="n"/>
      <c r="T719" s="110" t="n"/>
      <c r="U719" s="104" t="n"/>
    </row>
    <row r="720">
      <c r="A720" s="104" t="inlineStr">
        <is>
          <t>GUIDE000719</t>
        </is>
      </c>
      <c r="B720" s="101" t="inlineStr">
        <is>
          <t>DEV000043</t>
        </is>
      </c>
      <c r="C720" s="103" t="inlineStr">
        <is>
          <t>APL</t>
        </is>
      </c>
      <c r="D720" s="103" t="inlineStr">
        <is>
          <t>PHN</t>
        </is>
      </c>
      <c r="E720" s="60" t="inlineStr">
        <is>
          <t>iPhone 16</t>
        </is>
      </c>
      <c r="F720" s="104" t="inlineStr">
        <is>
          <t>SVC000017</t>
        </is>
      </c>
      <c r="G720" s="104" t="inlineStr">
        <is>
          <t>Speaker Replacement</t>
        </is>
      </c>
      <c r="H720" s="104" t="inlineStr">
        <is>
          <t>Audio</t>
        </is>
      </c>
      <c r="I720" s="104" t="n"/>
      <c r="J720" s="104" t="n"/>
      <c r="K720" s="104" t="n"/>
      <c r="L720" s="104" t="n"/>
      <c r="M720" s="104" t="n"/>
      <c r="N720" s="104" t="n"/>
      <c r="O720" s="104" t="n"/>
      <c r="P720" s="104" t="n"/>
      <c r="Q720" s="104" t="n"/>
      <c r="R720" s="104" t="n"/>
      <c r="S720" s="110" t="n"/>
      <c r="T720" s="110" t="n"/>
      <c r="U720" s="104" t="n"/>
    </row>
    <row r="721">
      <c r="A721" s="104" t="inlineStr">
        <is>
          <t>GUIDE000720</t>
        </is>
      </c>
      <c r="B721" s="101" t="inlineStr">
        <is>
          <t>DEV000044</t>
        </is>
      </c>
      <c r="C721" s="103" t="inlineStr">
        <is>
          <t>APL</t>
        </is>
      </c>
      <c r="D721" s="103" t="inlineStr">
        <is>
          <t>PHN</t>
        </is>
      </c>
      <c r="E721" s="60" t="inlineStr">
        <is>
          <t>iPhone 16 Plus</t>
        </is>
      </c>
      <c r="F721" s="104" t="inlineStr">
        <is>
          <t>SVC000017</t>
        </is>
      </c>
      <c r="G721" s="104" t="inlineStr">
        <is>
          <t>Speaker Replacement</t>
        </is>
      </c>
      <c r="H721" s="104" t="inlineStr">
        <is>
          <t>Audio</t>
        </is>
      </c>
      <c r="I721" s="104" t="n"/>
      <c r="J721" s="104" t="n"/>
      <c r="K721" s="104" t="n"/>
      <c r="L721" s="104" t="n"/>
      <c r="M721" s="104" t="n"/>
      <c r="N721" s="104" t="n"/>
      <c r="O721" s="104" t="n"/>
      <c r="P721" s="104" t="n"/>
      <c r="Q721" s="104" t="n"/>
      <c r="R721" s="104" t="n"/>
      <c r="S721" s="110" t="n"/>
      <c r="T721" s="110" t="n"/>
      <c r="U721" s="104" t="n"/>
    </row>
    <row r="722">
      <c r="A722" s="104" t="inlineStr">
        <is>
          <t>GUIDE000721</t>
        </is>
      </c>
      <c r="B722" s="101" t="inlineStr">
        <is>
          <t>DEV000045</t>
        </is>
      </c>
      <c r="C722" s="103" t="inlineStr">
        <is>
          <t>APL</t>
        </is>
      </c>
      <c r="D722" s="103" t="inlineStr">
        <is>
          <t>PHN</t>
        </is>
      </c>
      <c r="E722" s="60" t="inlineStr">
        <is>
          <t>iPhone 16 Pro</t>
        </is>
      </c>
      <c r="F722" s="104" t="inlineStr">
        <is>
          <t>SVC000017</t>
        </is>
      </c>
      <c r="G722" s="104" t="inlineStr">
        <is>
          <t>Speaker Replacement</t>
        </is>
      </c>
      <c r="H722" s="104" t="inlineStr">
        <is>
          <t>Audio</t>
        </is>
      </c>
      <c r="I722" s="104" t="n"/>
      <c r="J722" s="104" t="n"/>
      <c r="K722" s="104" t="n"/>
      <c r="L722" s="104" t="n"/>
      <c r="M722" s="104" t="n"/>
      <c r="N722" s="104" t="n"/>
      <c r="O722" s="104" t="n"/>
      <c r="P722" s="104" t="n"/>
      <c r="Q722" s="104" t="n"/>
      <c r="R722" s="104" t="n"/>
      <c r="S722" s="110" t="n"/>
      <c r="T722" s="110" t="n"/>
      <c r="U722" s="104" t="n"/>
    </row>
    <row r="723">
      <c r="A723" s="105" t="inlineStr">
        <is>
          <t>GUIDE000722</t>
        </is>
      </c>
      <c r="B723" s="101" t="inlineStr">
        <is>
          <t>DEV000046</t>
        </is>
      </c>
      <c r="C723" s="103" t="inlineStr">
        <is>
          <t>APL</t>
        </is>
      </c>
      <c r="D723" s="103" t="inlineStr">
        <is>
          <t>PHN</t>
        </is>
      </c>
      <c r="E723" s="60" t="inlineStr">
        <is>
          <t>iPhone 16 Pro Max</t>
        </is>
      </c>
      <c r="F723" s="104" t="inlineStr">
        <is>
          <t>SVC000017</t>
        </is>
      </c>
      <c r="G723" s="104" t="inlineStr">
        <is>
          <t>Speaker Replacement</t>
        </is>
      </c>
      <c r="H723" s="104" t="inlineStr">
        <is>
          <t>Audio</t>
        </is>
      </c>
      <c r="I723" s="104" t="n"/>
      <c r="J723" s="104" t="n"/>
      <c r="K723" s="104" t="n"/>
      <c r="L723" s="104" t="n"/>
      <c r="M723" s="104" t="n"/>
      <c r="N723" s="104" t="n"/>
      <c r="O723" s="104" t="n"/>
      <c r="P723" s="104" t="n"/>
      <c r="Q723" s="104" t="n"/>
      <c r="R723" s="104" t="n"/>
      <c r="S723" s="110" t="n"/>
      <c r="T723" s="110" t="n"/>
      <c r="U723" s="104" t="n"/>
    </row>
    <row r="724">
      <c r="A724" s="104" t="inlineStr">
        <is>
          <t>GUIDE000723</t>
        </is>
      </c>
      <c r="B724" s="101" t="inlineStr">
        <is>
          <t>DEV000047</t>
        </is>
      </c>
      <c r="C724" s="103" t="inlineStr">
        <is>
          <t>APL</t>
        </is>
      </c>
      <c r="D724" s="103" t="inlineStr">
        <is>
          <t>PHN</t>
        </is>
      </c>
      <c r="E724" s="60" t="inlineStr">
        <is>
          <t>iPhone 16e</t>
        </is>
      </c>
      <c r="F724" s="104" t="inlineStr">
        <is>
          <t>SVC000017</t>
        </is>
      </c>
      <c r="G724" s="104" t="inlineStr">
        <is>
          <t>Speaker Replacement</t>
        </is>
      </c>
      <c r="H724" s="104" t="inlineStr">
        <is>
          <t>Audio</t>
        </is>
      </c>
      <c r="I724" s="104" t="n"/>
      <c r="J724" s="104" t="n"/>
      <c r="K724" s="104" t="n"/>
      <c r="L724" s="104" t="n"/>
      <c r="M724" s="104" t="n"/>
      <c r="N724" s="104" t="n"/>
      <c r="O724" s="104" t="n"/>
      <c r="P724" s="104" t="n"/>
      <c r="Q724" s="104" t="n"/>
      <c r="R724" s="104" t="n"/>
      <c r="S724" s="110" t="n"/>
      <c r="T724" s="110" t="n"/>
      <c r="U724" s="104" t="n"/>
    </row>
    <row r="725">
      <c r="A725" s="104" t="inlineStr">
        <is>
          <t>GUIDE000724</t>
        </is>
      </c>
      <c r="B725" s="101" t="inlineStr">
        <is>
          <t>DEV000048</t>
        </is>
      </c>
      <c r="C725" s="103" t="inlineStr">
        <is>
          <t>APL</t>
        </is>
      </c>
      <c r="D725" s="103" t="inlineStr">
        <is>
          <t>PHN</t>
        </is>
      </c>
      <c r="E725" s="60" t="inlineStr">
        <is>
          <t>iPhone 17</t>
        </is>
      </c>
      <c r="F725" s="104" t="inlineStr">
        <is>
          <t>SVC000017</t>
        </is>
      </c>
      <c r="G725" s="104" t="inlineStr">
        <is>
          <t>Speaker Replacement</t>
        </is>
      </c>
      <c r="H725" s="104" t="inlineStr">
        <is>
          <t>Audio</t>
        </is>
      </c>
      <c r="I725" s="104" t="n"/>
      <c r="J725" s="104" t="n"/>
      <c r="K725" s="104" t="n"/>
      <c r="L725" s="104" t="n"/>
      <c r="M725" s="104" t="n"/>
      <c r="N725" s="104" t="n"/>
      <c r="O725" s="104" t="n"/>
      <c r="P725" s="104" t="n"/>
      <c r="Q725" s="104" t="n"/>
      <c r="R725" s="104" t="n"/>
      <c r="S725" s="110" t="n"/>
      <c r="T725" s="110" t="n"/>
      <c r="U725" s="104" t="n"/>
    </row>
    <row r="726">
      <c r="A726" s="104" t="inlineStr">
        <is>
          <t>GUIDE000725</t>
        </is>
      </c>
      <c r="B726" s="101" t="inlineStr">
        <is>
          <t>DEV000049</t>
        </is>
      </c>
      <c r="C726" s="103" t="inlineStr">
        <is>
          <t>APL</t>
        </is>
      </c>
      <c r="D726" s="103" t="inlineStr">
        <is>
          <t>PHN</t>
        </is>
      </c>
      <c r="E726" s="60" t="inlineStr">
        <is>
          <t>iPhone 17 Pro</t>
        </is>
      </c>
      <c r="F726" s="104" t="inlineStr">
        <is>
          <t>SVC000017</t>
        </is>
      </c>
      <c r="G726" s="104" t="inlineStr">
        <is>
          <t>Speaker Replacement</t>
        </is>
      </c>
      <c r="H726" s="104" t="inlineStr">
        <is>
          <t>Audio</t>
        </is>
      </c>
      <c r="I726" s="104" t="n"/>
      <c r="J726" s="104" t="n"/>
      <c r="K726" s="104" t="n"/>
      <c r="L726" s="104" t="n"/>
      <c r="M726" s="104" t="n"/>
      <c r="N726" s="104" t="n"/>
      <c r="O726" s="104" t="n"/>
      <c r="P726" s="104" t="n"/>
      <c r="Q726" s="104" t="n"/>
      <c r="R726" s="104" t="n"/>
      <c r="S726" s="110" t="n"/>
      <c r="T726" s="110" t="n"/>
      <c r="U726" s="104" t="n"/>
    </row>
    <row r="727">
      <c r="A727" s="105" t="inlineStr">
        <is>
          <t>GUIDE000726</t>
        </is>
      </c>
      <c r="B727" s="101" t="inlineStr">
        <is>
          <t>DEV000050</t>
        </is>
      </c>
      <c r="C727" s="103" t="inlineStr">
        <is>
          <t>APL</t>
        </is>
      </c>
      <c r="D727" s="103" t="inlineStr">
        <is>
          <t>PHN</t>
        </is>
      </c>
      <c r="E727" s="60" t="inlineStr">
        <is>
          <t>iPhone 17 Pro Max</t>
        </is>
      </c>
      <c r="F727" s="104" t="inlineStr">
        <is>
          <t>SVC000017</t>
        </is>
      </c>
      <c r="G727" s="104" t="inlineStr">
        <is>
          <t>Speaker Replacement</t>
        </is>
      </c>
      <c r="H727" s="104" t="inlineStr">
        <is>
          <t>Audio</t>
        </is>
      </c>
      <c r="I727" s="104" t="n"/>
      <c r="J727" s="104" t="n"/>
      <c r="K727" s="104" t="n"/>
      <c r="L727" s="104" t="n"/>
      <c r="M727" s="104" t="n"/>
      <c r="N727" s="104" t="n"/>
      <c r="O727" s="104" t="n"/>
      <c r="P727" s="104" t="n"/>
      <c r="Q727" s="104" t="n"/>
      <c r="R727" s="104" t="n"/>
      <c r="S727" s="110" t="n"/>
      <c r="T727" s="110" t="n"/>
      <c r="U727" s="104" t="n"/>
    </row>
    <row r="728">
      <c r="A728" s="104" t="inlineStr">
        <is>
          <t>GUIDE000727</t>
        </is>
      </c>
      <c r="B728" s="101" t="inlineStr">
        <is>
          <t>DEV000051</t>
        </is>
      </c>
      <c r="C728" s="103" t="inlineStr">
        <is>
          <t>APL</t>
        </is>
      </c>
      <c r="D728" s="103" t="inlineStr">
        <is>
          <t>PHN</t>
        </is>
      </c>
      <c r="E728" s="60" t="inlineStr">
        <is>
          <t>iPhone Air</t>
        </is>
      </c>
      <c r="F728" s="104" t="inlineStr">
        <is>
          <t>SVC000017</t>
        </is>
      </c>
      <c r="G728" s="104" t="inlineStr">
        <is>
          <t>Speaker Replacement</t>
        </is>
      </c>
      <c r="H728" s="104" t="inlineStr">
        <is>
          <t>Audio</t>
        </is>
      </c>
      <c r="I728" s="104" t="n"/>
      <c r="J728" s="104" t="n"/>
      <c r="K728" s="104" t="n"/>
      <c r="L728" s="104" t="n"/>
      <c r="M728" s="104" t="n"/>
      <c r="N728" s="104" t="n"/>
      <c r="O728" s="104" t="n"/>
      <c r="P728" s="104" t="n"/>
      <c r="Q728" s="104" t="n"/>
      <c r="R728" s="104" t="n"/>
      <c r="S728" s="110" t="n"/>
      <c r="T728" s="110" t="n"/>
      <c r="U728" s="104" t="n"/>
    </row>
    <row r="729">
      <c r="A729" s="104" t="inlineStr">
        <is>
          <t>GUIDE000728</t>
        </is>
      </c>
      <c r="B729" s="101" t="inlineStr">
        <is>
          <t>DEV000052</t>
        </is>
      </c>
      <c r="C729" s="103" t="inlineStr">
        <is>
          <t>APL</t>
        </is>
      </c>
      <c r="D729" s="103" t="inlineStr">
        <is>
          <t>PHN</t>
        </is>
      </c>
      <c r="E729" s="60" t="inlineStr">
        <is>
          <t>iPhone 17e</t>
        </is>
      </c>
      <c r="F729" s="104" t="inlineStr">
        <is>
          <t>SVC000017</t>
        </is>
      </c>
      <c r="G729" s="104" t="inlineStr">
        <is>
          <t>Speaker Replacement</t>
        </is>
      </c>
      <c r="H729" s="104" t="inlineStr">
        <is>
          <t>Audio</t>
        </is>
      </c>
      <c r="I729" s="104" t="n"/>
      <c r="J729" s="104" t="n"/>
      <c r="K729" s="104" t="n"/>
      <c r="L729" s="104" t="n"/>
      <c r="M729" s="104" t="n"/>
      <c r="N729" s="104" t="n"/>
      <c r="O729" s="104" t="n"/>
      <c r="P729" s="104" t="n"/>
      <c r="Q729" s="104" t="n"/>
      <c r="R729" s="104" t="n"/>
      <c r="S729" s="110" t="n"/>
      <c r="T729" s="110" t="n"/>
      <c r="U729" s="104" t="n"/>
    </row>
    <row r="730">
      <c r="A730" s="104" t="inlineStr">
        <is>
          <t>GUIDE000729</t>
        </is>
      </c>
      <c r="B730" s="101" t="inlineStr">
        <is>
          <t>DEV000001</t>
        </is>
      </c>
      <c r="C730" s="103" t="inlineStr">
        <is>
          <t>APL</t>
        </is>
      </c>
      <c r="D730" s="103" t="inlineStr">
        <is>
          <t>PHN</t>
        </is>
      </c>
      <c r="E730" s="60" t="inlineStr">
        <is>
          <t>iPhone (2G)</t>
        </is>
      </c>
      <c r="F730" s="104" t="inlineStr">
        <is>
          <t>SVC000018</t>
        </is>
      </c>
      <c r="G730" s="104" t="inlineStr">
        <is>
          <t>Microphone Replacement</t>
        </is>
      </c>
      <c r="H730" s="104" t="inlineStr">
        <is>
          <t>Audio</t>
        </is>
      </c>
      <c r="I730" s="104" t="n"/>
      <c r="J730" s="104" t="n"/>
      <c r="K730" s="104" t="n"/>
      <c r="L730" s="104" t="n"/>
      <c r="M730" s="104" t="n"/>
      <c r="N730" s="104" t="n"/>
      <c r="O730" s="104" t="n"/>
      <c r="P730" s="104" t="n"/>
      <c r="Q730" s="104" t="n"/>
      <c r="R730" s="104" t="n"/>
      <c r="S730" s="110" t="n"/>
      <c r="T730" s="110" t="n"/>
      <c r="U730" s="104" t="n"/>
    </row>
    <row r="731">
      <c r="A731" s="104" t="inlineStr">
        <is>
          <t>GUIDE000730</t>
        </is>
      </c>
      <c r="B731" s="101" t="inlineStr">
        <is>
          <t>DEV000002</t>
        </is>
      </c>
      <c r="C731" s="103" t="inlineStr">
        <is>
          <t>APL</t>
        </is>
      </c>
      <c r="D731" s="103" t="inlineStr">
        <is>
          <t>PHN</t>
        </is>
      </c>
      <c r="E731" s="60" t="inlineStr">
        <is>
          <t>iPhone 3G</t>
        </is>
      </c>
      <c r="F731" s="104" t="inlineStr">
        <is>
          <t>SVC000018</t>
        </is>
      </c>
      <c r="G731" s="104" t="inlineStr">
        <is>
          <t>Microphone Replacement</t>
        </is>
      </c>
      <c r="H731" s="104" t="inlineStr">
        <is>
          <t>Audio</t>
        </is>
      </c>
      <c r="I731" s="104" t="n"/>
      <c r="J731" s="104" t="n"/>
      <c r="K731" s="104" t="n"/>
      <c r="L731" s="104" t="n"/>
      <c r="M731" s="104" t="n"/>
      <c r="N731" s="104" t="n"/>
      <c r="O731" s="104" t="n"/>
      <c r="P731" s="104" t="n"/>
      <c r="Q731" s="104" t="n"/>
      <c r="R731" s="104" t="n"/>
      <c r="S731" s="110" t="n"/>
      <c r="T731" s="110" t="n"/>
      <c r="U731" s="104" t="n"/>
    </row>
    <row r="732">
      <c r="A732" s="105" t="inlineStr">
        <is>
          <t>GUIDE000731</t>
        </is>
      </c>
      <c r="B732" s="101" t="inlineStr">
        <is>
          <t>DEV000003</t>
        </is>
      </c>
      <c r="C732" s="103" t="inlineStr">
        <is>
          <t>APL</t>
        </is>
      </c>
      <c r="D732" s="103" t="inlineStr">
        <is>
          <t>PHN</t>
        </is>
      </c>
      <c r="E732" s="60" t="inlineStr">
        <is>
          <t>iPhone 3GS</t>
        </is>
      </c>
      <c r="F732" s="104" t="inlineStr">
        <is>
          <t>SVC000018</t>
        </is>
      </c>
      <c r="G732" s="104" t="inlineStr">
        <is>
          <t>Microphone Replacement</t>
        </is>
      </c>
      <c r="H732" s="104" t="inlineStr">
        <is>
          <t>Audio</t>
        </is>
      </c>
      <c r="I732" s="104" t="n"/>
      <c r="J732" s="104" t="n"/>
      <c r="K732" s="104" t="n"/>
      <c r="L732" s="104" t="n"/>
      <c r="M732" s="104" t="n"/>
      <c r="N732" s="104" t="n"/>
      <c r="O732" s="104" t="n"/>
      <c r="P732" s="104" t="n"/>
      <c r="Q732" s="104" t="n"/>
      <c r="R732" s="104" t="n"/>
      <c r="S732" s="110" t="n"/>
      <c r="T732" s="110" t="n"/>
      <c r="U732" s="104" t="n"/>
    </row>
    <row r="733">
      <c r="A733" s="104" t="inlineStr">
        <is>
          <t>GUIDE000732</t>
        </is>
      </c>
      <c r="B733" s="101" t="inlineStr">
        <is>
          <t>DEV000004</t>
        </is>
      </c>
      <c r="C733" s="103" t="inlineStr">
        <is>
          <t>APL</t>
        </is>
      </c>
      <c r="D733" s="103" t="inlineStr">
        <is>
          <t>PHN</t>
        </is>
      </c>
      <c r="E733" s="60" t="inlineStr">
        <is>
          <t>iPhone 4</t>
        </is>
      </c>
      <c r="F733" s="104" t="inlineStr">
        <is>
          <t>SVC000018</t>
        </is>
      </c>
      <c r="G733" s="104" t="inlineStr">
        <is>
          <t>Microphone Replacement</t>
        </is>
      </c>
      <c r="H733" s="104" t="inlineStr">
        <is>
          <t>Audio</t>
        </is>
      </c>
      <c r="I733" s="104" t="n"/>
      <c r="J733" s="104" t="n"/>
      <c r="K733" s="104" t="n"/>
      <c r="L733" s="104" t="n"/>
      <c r="M733" s="104" t="n"/>
      <c r="N733" s="104" t="n"/>
      <c r="O733" s="104" t="n"/>
      <c r="P733" s="104" t="n"/>
      <c r="Q733" s="104" t="n"/>
      <c r="R733" s="104" t="n"/>
      <c r="S733" s="110" t="n"/>
      <c r="T733" s="110" t="n"/>
      <c r="U733" s="104" t="n"/>
    </row>
    <row r="734">
      <c r="A734" s="104" t="inlineStr">
        <is>
          <t>GUIDE000733</t>
        </is>
      </c>
      <c r="B734" s="101" t="inlineStr">
        <is>
          <t>DEV000005</t>
        </is>
      </c>
      <c r="C734" s="103" t="inlineStr">
        <is>
          <t>APL</t>
        </is>
      </c>
      <c r="D734" s="103" t="inlineStr">
        <is>
          <t>PHN</t>
        </is>
      </c>
      <c r="E734" s="60" t="inlineStr">
        <is>
          <t>iPhone 4s</t>
        </is>
      </c>
      <c r="F734" s="104" t="inlineStr">
        <is>
          <t>SVC000018</t>
        </is>
      </c>
      <c r="G734" s="104" t="inlineStr">
        <is>
          <t>Microphone Replacement</t>
        </is>
      </c>
      <c r="H734" s="104" t="inlineStr">
        <is>
          <t>Audio</t>
        </is>
      </c>
      <c r="I734" s="104" t="n"/>
      <c r="J734" s="104" t="n"/>
      <c r="K734" s="104" t="n"/>
      <c r="L734" s="104" t="n"/>
      <c r="M734" s="104" t="n"/>
      <c r="N734" s="104" t="n"/>
      <c r="O734" s="104" t="n"/>
      <c r="P734" s="104" t="n"/>
      <c r="Q734" s="104" t="n"/>
      <c r="R734" s="104" t="n"/>
      <c r="S734" s="110" t="n"/>
      <c r="T734" s="110" t="n"/>
      <c r="U734" s="104" t="n"/>
    </row>
    <row r="735">
      <c r="A735" s="104" t="inlineStr">
        <is>
          <t>GUIDE000734</t>
        </is>
      </c>
      <c r="B735" s="101" t="inlineStr">
        <is>
          <t>DEV000006</t>
        </is>
      </c>
      <c r="C735" s="103" t="inlineStr">
        <is>
          <t>APL</t>
        </is>
      </c>
      <c r="D735" s="103" t="inlineStr">
        <is>
          <t>PHN</t>
        </is>
      </c>
      <c r="E735" s="60" t="inlineStr">
        <is>
          <t>iPhone 5</t>
        </is>
      </c>
      <c r="F735" s="104" t="inlineStr">
        <is>
          <t>SVC000018</t>
        </is>
      </c>
      <c r="G735" s="104" t="inlineStr">
        <is>
          <t>Microphone Replacement</t>
        </is>
      </c>
      <c r="H735" s="104" t="inlineStr">
        <is>
          <t>Audio</t>
        </is>
      </c>
      <c r="I735" s="104" t="n"/>
      <c r="J735" s="104" t="n"/>
      <c r="K735" s="104" t="n"/>
      <c r="L735" s="104" t="n"/>
      <c r="M735" s="104" t="n"/>
      <c r="N735" s="104" t="n"/>
      <c r="O735" s="104" t="n"/>
      <c r="P735" s="104" t="n"/>
      <c r="Q735" s="104" t="n"/>
      <c r="R735" s="104" t="n"/>
      <c r="S735" s="110" t="n"/>
      <c r="T735" s="110" t="n"/>
      <c r="U735" s="104" t="n"/>
    </row>
    <row r="736">
      <c r="A736" s="105" t="inlineStr">
        <is>
          <t>GUIDE000735</t>
        </is>
      </c>
      <c r="B736" s="101" t="inlineStr">
        <is>
          <t>DEV000007</t>
        </is>
      </c>
      <c r="C736" s="103" t="inlineStr">
        <is>
          <t>APL</t>
        </is>
      </c>
      <c r="D736" s="103" t="inlineStr">
        <is>
          <t>PHN</t>
        </is>
      </c>
      <c r="E736" s="60" t="inlineStr">
        <is>
          <t>iPhone 5c</t>
        </is>
      </c>
      <c r="F736" s="104" t="inlineStr">
        <is>
          <t>SVC000018</t>
        </is>
      </c>
      <c r="G736" s="104" t="inlineStr">
        <is>
          <t>Microphone Replacement</t>
        </is>
      </c>
      <c r="H736" s="104" t="inlineStr">
        <is>
          <t>Audio</t>
        </is>
      </c>
      <c r="I736" s="104" t="n"/>
      <c r="J736" s="104" t="n"/>
      <c r="K736" s="104" t="n"/>
      <c r="L736" s="104" t="n"/>
      <c r="M736" s="104" t="n"/>
      <c r="N736" s="104" t="n"/>
      <c r="O736" s="104" t="n"/>
      <c r="P736" s="104" t="n"/>
      <c r="Q736" s="104" t="n"/>
      <c r="R736" s="104" t="n"/>
      <c r="S736" s="110" t="n"/>
      <c r="T736" s="110" t="n"/>
      <c r="U736" s="104" t="n"/>
    </row>
    <row r="737">
      <c r="A737" s="104" t="inlineStr">
        <is>
          <t>GUIDE000736</t>
        </is>
      </c>
      <c r="B737" s="101" t="inlineStr">
        <is>
          <t>DEV000008</t>
        </is>
      </c>
      <c r="C737" s="103" t="inlineStr">
        <is>
          <t>APL</t>
        </is>
      </c>
      <c r="D737" s="103" t="inlineStr">
        <is>
          <t>PHN</t>
        </is>
      </c>
      <c r="E737" s="60" t="inlineStr">
        <is>
          <t>iPhone 5s</t>
        </is>
      </c>
      <c r="F737" s="104" t="inlineStr">
        <is>
          <t>SVC000018</t>
        </is>
      </c>
      <c r="G737" s="104" t="inlineStr">
        <is>
          <t>Microphone Replacement</t>
        </is>
      </c>
      <c r="H737" s="104" t="inlineStr">
        <is>
          <t>Audio</t>
        </is>
      </c>
      <c r="I737" s="104" t="n"/>
      <c r="J737" s="104" t="n"/>
      <c r="K737" s="104" t="n"/>
      <c r="L737" s="104" t="n"/>
      <c r="M737" s="104" t="n"/>
      <c r="N737" s="104" t="n"/>
      <c r="O737" s="104" t="n"/>
      <c r="P737" s="104" t="n"/>
      <c r="Q737" s="104" t="n"/>
      <c r="R737" s="104" t="n"/>
      <c r="S737" s="110" t="n"/>
      <c r="T737" s="110" t="n"/>
      <c r="U737" s="104" t="n"/>
    </row>
    <row r="738">
      <c r="A738" s="104" t="inlineStr">
        <is>
          <t>GUIDE000737</t>
        </is>
      </c>
      <c r="B738" s="101" t="inlineStr">
        <is>
          <t>DEV000009</t>
        </is>
      </c>
      <c r="C738" s="103" t="inlineStr">
        <is>
          <t>APL</t>
        </is>
      </c>
      <c r="D738" s="103" t="inlineStr">
        <is>
          <t>PHN</t>
        </is>
      </c>
      <c r="E738" s="60" t="inlineStr">
        <is>
          <t>iPhone 6</t>
        </is>
      </c>
      <c r="F738" s="104" t="inlineStr">
        <is>
          <t>SVC000018</t>
        </is>
      </c>
      <c r="G738" s="104" t="inlineStr">
        <is>
          <t>Microphone Replacement</t>
        </is>
      </c>
      <c r="H738" s="104" t="inlineStr">
        <is>
          <t>Audio</t>
        </is>
      </c>
      <c r="I738" s="104" t="n"/>
      <c r="J738" s="104" t="n"/>
      <c r="K738" s="104" t="n"/>
      <c r="L738" s="104" t="n"/>
      <c r="M738" s="104" t="n"/>
      <c r="N738" s="104" t="n"/>
      <c r="O738" s="104" t="n"/>
      <c r="P738" s="104" t="n"/>
      <c r="Q738" s="104" t="n"/>
      <c r="R738" s="104" t="n"/>
      <c r="S738" s="110" t="n"/>
      <c r="T738" s="110" t="n"/>
      <c r="U738" s="104" t="n"/>
    </row>
    <row r="739">
      <c r="A739" s="104" t="inlineStr">
        <is>
          <t>GUIDE000738</t>
        </is>
      </c>
      <c r="B739" s="101" t="inlineStr">
        <is>
          <t>DEV000010</t>
        </is>
      </c>
      <c r="C739" s="103" t="inlineStr">
        <is>
          <t>APL</t>
        </is>
      </c>
      <c r="D739" s="103" t="inlineStr">
        <is>
          <t>PHN</t>
        </is>
      </c>
      <c r="E739" s="60" t="inlineStr">
        <is>
          <t>iPhone 6 Plus</t>
        </is>
      </c>
      <c r="F739" s="104" t="inlineStr">
        <is>
          <t>SVC000018</t>
        </is>
      </c>
      <c r="G739" s="104" t="inlineStr">
        <is>
          <t>Microphone Replacement</t>
        </is>
      </c>
      <c r="H739" s="104" t="inlineStr">
        <is>
          <t>Audio</t>
        </is>
      </c>
      <c r="I739" s="104" t="n"/>
      <c r="J739" s="104" t="n"/>
      <c r="K739" s="104" t="n"/>
      <c r="L739" s="104" t="n"/>
      <c r="M739" s="104" t="n"/>
      <c r="N739" s="104" t="n"/>
      <c r="O739" s="104" t="n"/>
      <c r="P739" s="104" t="n"/>
      <c r="Q739" s="104" t="n"/>
      <c r="R739" s="104" t="n"/>
      <c r="S739" s="110" t="n"/>
      <c r="T739" s="110" t="n"/>
      <c r="U739" s="104" t="n"/>
    </row>
    <row r="740">
      <c r="A740" s="104" t="inlineStr">
        <is>
          <t>GUIDE000739</t>
        </is>
      </c>
      <c r="B740" s="101" t="inlineStr">
        <is>
          <t>DEV000011</t>
        </is>
      </c>
      <c r="C740" s="103" t="inlineStr">
        <is>
          <t>APL</t>
        </is>
      </c>
      <c r="D740" s="103" t="inlineStr">
        <is>
          <t>PHN</t>
        </is>
      </c>
      <c r="E740" s="60" t="inlineStr">
        <is>
          <t>iPhone 6s</t>
        </is>
      </c>
      <c r="F740" s="104" t="inlineStr">
        <is>
          <t>SVC000018</t>
        </is>
      </c>
      <c r="G740" s="104" t="inlineStr">
        <is>
          <t>Microphone Replacement</t>
        </is>
      </c>
      <c r="H740" s="104" t="inlineStr">
        <is>
          <t>Audio</t>
        </is>
      </c>
      <c r="I740" s="104" t="n"/>
      <c r="J740" s="104" t="n"/>
      <c r="K740" s="104" t="n"/>
      <c r="L740" s="104" t="n"/>
      <c r="M740" s="104" t="n"/>
      <c r="N740" s="104" t="n"/>
      <c r="O740" s="104" t="n"/>
      <c r="P740" s="104" t="n"/>
      <c r="Q740" s="104" t="n"/>
      <c r="R740" s="104" t="n"/>
      <c r="S740" s="110" t="n"/>
      <c r="T740" s="110" t="n"/>
      <c r="U740" s="104" t="n"/>
    </row>
    <row r="741">
      <c r="A741" s="105" t="inlineStr">
        <is>
          <t>GUIDE000740</t>
        </is>
      </c>
      <c r="B741" s="101" t="inlineStr">
        <is>
          <t>DEV000012</t>
        </is>
      </c>
      <c r="C741" s="103" t="inlineStr">
        <is>
          <t>APL</t>
        </is>
      </c>
      <c r="D741" s="103" t="inlineStr">
        <is>
          <t>PHN</t>
        </is>
      </c>
      <c r="E741" s="60" t="inlineStr">
        <is>
          <t>iPhone 6s Plus</t>
        </is>
      </c>
      <c r="F741" s="104" t="inlineStr">
        <is>
          <t>SVC000018</t>
        </is>
      </c>
      <c r="G741" s="104" t="inlineStr">
        <is>
          <t>Microphone Replacement</t>
        </is>
      </c>
      <c r="H741" s="104" t="inlineStr">
        <is>
          <t>Audio</t>
        </is>
      </c>
      <c r="I741" s="104" t="n"/>
      <c r="J741" s="104" t="n"/>
      <c r="K741" s="104" t="n"/>
      <c r="L741" s="104" t="n"/>
      <c r="M741" s="104" t="n"/>
      <c r="N741" s="104" t="n"/>
      <c r="O741" s="104" t="n"/>
      <c r="P741" s="104" t="n"/>
      <c r="Q741" s="104" t="n"/>
      <c r="R741" s="104" t="n"/>
      <c r="S741" s="110" t="n"/>
      <c r="T741" s="110" t="n"/>
      <c r="U741" s="104" t="n"/>
    </row>
    <row r="742">
      <c r="A742" s="104" t="inlineStr">
        <is>
          <t>GUIDE000741</t>
        </is>
      </c>
      <c r="B742" s="101" t="inlineStr">
        <is>
          <t>DEV000013</t>
        </is>
      </c>
      <c r="C742" s="103" t="inlineStr">
        <is>
          <t>APL</t>
        </is>
      </c>
      <c r="D742" s="103" t="inlineStr">
        <is>
          <t>PHN</t>
        </is>
      </c>
      <c r="E742" s="60" t="inlineStr">
        <is>
          <t>iPhone SE (1st Gen)</t>
        </is>
      </c>
      <c r="F742" s="104" t="inlineStr">
        <is>
          <t>SVC000018</t>
        </is>
      </c>
      <c r="G742" s="104" t="inlineStr">
        <is>
          <t>Microphone Replacement</t>
        </is>
      </c>
      <c r="H742" s="104" t="inlineStr">
        <is>
          <t>Audio</t>
        </is>
      </c>
      <c r="I742" s="104" t="n"/>
      <c r="J742" s="104" t="n"/>
      <c r="K742" s="104" t="n"/>
      <c r="L742" s="104" t="n"/>
      <c r="M742" s="104" t="n"/>
      <c r="N742" s="104" t="n"/>
      <c r="O742" s="104" t="n"/>
      <c r="P742" s="104" t="n"/>
      <c r="Q742" s="104" t="n"/>
      <c r="R742" s="104" t="n"/>
      <c r="S742" s="110" t="n"/>
      <c r="T742" s="110" t="n"/>
      <c r="U742" s="104" t="n"/>
    </row>
    <row r="743">
      <c r="A743" s="104" t="inlineStr">
        <is>
          <t>GUIDE000742</t>
        </is>
      </c>
      <c r="B743" s="101" t="inlineStr">
        <is>
          <t>DEV000014</t>
        </is>
      </c>
      <c r="C743" s="103" t="inlineStr">
        <is>
          <t>APL</t>
        </is>
      </c>
      <c r="D743" s="103" t="inlineStr">
        <is>
          <t>PHN</t>
        </is>
      </c>
      <c r="E743" s="60" t="inlineStr">
        <is>
          <t>iPhone 7</t>
        </is>
      </c>
      <c r="F743" s="104" t="inlineStr">
        <is>
          <t>SVC000018</t>
        </is>
      </c>
      <c r="G743" s="104" t="inlineStr">
        <is>
          <t>Microphone Replacement</t>
        </is>
      </c>
      <c r="H743" s="104" t="inlineStr">
        <is>
          <t>Audio</t>
        </is>
      </c>
      <c r="I743" s="104" t="n"/>
      <c r="J743" s="104" t="n"/>
      <c r="K743" s="104" t="n"/>
      <c r="L743" s="104" t="n"/>
      <c r="M743" s="104" t="n"/>
      <c r="N743" s="104" t="n"/>
      <c r="O743" s="104" t="n"/>
      <c r="P743" s="104" t="n"/>
      <c r="Q743" s="104" t="n"/>
      <c r="R743" s="104" t="n"/>
      <c r="S743" s="110" t="n"/>
      <c r="T743" s="110" t="n"/>
      <c r="U743" s="104" t="n"/>
    </row>
    <row r="744">
      <c r="A744" s="104" t="inlineStr">
        <is>
          <t>GUIDE000743</t>
        </is>
      </c>
      <c r="B744" s="101" t="inlineStr">
        <is>
          <t>DEV000015</t>
        </is>
      </c>
      <c r="C744" s="103" t="inlineStr">
        <is>
          <t>APL</t>
        </is>
      </c>
      <c r="D744" s="103" t="inlineStr">
        <is>
          <t>PHN</t>
        </is>
      </c>
      <c r="E744" s="60" t="inlineStr">
        <is>
          <t>iPhone 7 Plus</t>
        </is>
      </c>
      <c r="F744" s="104" t="inlineStr">
        <is>
          <t>SVC000018</t>
        </is>
      </c>
      <c r="G744" s="104" t="inlineStr">
        <is>
          <t>Microphone Replacement</t>
        </is>
      </c>
      <c r="H744" s="104" t="inlineStr">
        <is>
          <t>Audio</t>
        </is>
      </c>
      <c r="I744" s="104" t="n"/>
      <c r="J744" s="104" t="n"/>
      <c r="K744" s="104" t="n"/>
      <c r="L744" s="104" t="n"/>
      <c r="M744" s="104" t="n"/>
      <c r="N744" s="104" t="n"/>
      <c r="O744" s="104" t="n"/>
      <c r="P744" s="104" t="n"/>
      <c r="Q744" s="104" t="n"/>
      <c r="R744" s="104" t="n"/>
      <c r="S744" s="110" t="n"/>
      <c r="T744" s="110" t="n"/>
      <c r="U744" s="104" t="n"/>
    </row>
    <row r="745">
      <c r="A745" s="105" t="inlineStr">
        <is>
          <t>GUIDE000744</t>
        </is>
      </c>
      <c r="B745" s="101" t="inlineStr">
        <is>
          <t>DEV000016</t>
        </is>
      </c>
      <c r="C745" s="103" t="inlineStr">
        <is>
          <t>APL</t>
        </is>
      </c>
      <c r="D745" s="103" t="inlineStr">
        <is>
          <t>PHN</t>
        </is>
      </c>
      <c r="E745" s="60" t="inlineStr">
        <is>
          <t>iPhone 8</t>
        </is>
      </c>
      <c r="F745" s="104" t="inlineStr">
        <is>
          <t>SVC000018</t>
        </is>
      </c>
      <c r="G745" s="104" t="inlineStr">
        <is>
          <t>Microphone Replacement</t>
        </is>
      </c>
      <c r="H745" s="104" t="inlineStr">
        <is>
          <t>Audio</t>
        </is>
      </c>
      <c r="I745" s="104" t="n"/>
      <c r="J745" s="104" t="n"/>
      <c r="K745" s="104" t="n"/>
      <c r="L745" s="104" t="n"/>
      <c r="M745" s="104" t="n"/>
      <c r="N745" s="104" t="n"/>
      <c r="O745" s="104" t="n"/>
      <c r="P745" s="104" t="n"/>
      <c r="Q745" s="104" t="n"/>
      <c r="R745" s="104" t="n"/>
      <c r="S745" s="110" t="n"/>
      <c r="T745" s="110" t="n"/>
      <c r="U745" s="104" t="n"/>
    </row>
    <row r="746">
      <c r="A746" s="104" t="inlineStr">
        <is>
          <t>GUIDE000745</t>
        </is>
      </c>
      <c r="B746" s="101" t="inlineStr">
        <is>
          <t>DEV000017</t>
        </is>
      </c>
      <c r="C746" s="103" t="inlineStr">
        <is>
          <t>APL</t>
        </is>
      </c>
      <c r="D746" s="103" t="inlineStr">
        <is>
          <t>PHN</t>
        </is>
      </c>
      <c r="E746" s="60" t="inlineStr">
        <is>
          <t>iPhone 8 Plus</t>
        </is>
      </c>
      <c r="F746" s="104" t="inlineStr">
        <is>
          <t>SVC000018</t>
        </is>
      </c>
      <c r="G746" s="104" t="inlineStr">
        <is>
          <t>Microphone Replacement</t>
        </is>
      </c>
      <c r="H746" s="104" t="inlineStr">
        <is>
          <t>Audio</t>
        </is>
      </c>
      <c r="I746" s="104" t="n"/>
      <c r="J746" s="104" t="n"/>
      <c r="K746" s="104" t="n"/>
      <c r="L746" s="104" t="n"/>
      <c r="M746" s="104" t="n"/>
      <c r="N746" s="104" t="n"/>
      <c r="O746" s="104" t="n"/>
      <c r="P746" s="104" t="n"/>
      <c r="Q746" s="104" t="n"/>
      <c r="R746" s="104" t="n"/>
      <c r="S746" s="110" t="n"/>
      <c r="T746" s="110" t="n"/>
      <c r="U746" s="104" t="n"/>
    </row>
    <row r="747">
      <c r="A747" s="104" t="inlineStr">
        <is>
          <t>GUIDE000746</t>
        </is>
      </c>
      <c r="B747" s="101" t="inlineStr">
        <is>
          <t>DEV000018</t>
        </is>
      </c>
      <c r="C747" s="103" t="inlineStr">
        <is>
          <t>APL</t>
        </is>
      </c>
      <c r="D747" s="103" t="inlineStr">
        <is>
          <t>PHN</t>
        </is>
      </c>
      <c r="E747" s="60" t="inlineStr">
        <is>
          <t>iPhone X</t>
        </is>
      </c>
      <c r="F747" s="104" t="inlineStr">
        <is>
          <t>SVC000018</t>
        </is>
      </c>
      <c r="G747" s="104" t="inlineStr">
        <is>
          <t>Microphone Replacement</t>
        </is>
      </c>
      <c r="H747" s="104" t="inlineStr">
        <is>
          <t>Audio</t>
        </is>
      </c>
      <c r="I747" s="104" t="n"/>
      <c r="J747" s="104" t="n"/>
      <c r="K747" s="104" t="n"/>
      <c r="L747" s="104" t="n"/>
      <c r="M747" s="104" t="n"/>
      <c r="N747" s="104" t="n"/>
      <c r="O747" s="104" t="n"/>
      <c r="P747" s="104" t="n"/>
      <c r="Q747" s="104" t="n"/>
      <c r="R747" s="104" t="n"/>
      <c r="S747" s="110" t="n"/>
      <c r="T747" s="110" t="n"/>
      <c r="U747" s="104" t="n"/>
    </row>
    <row r="748">
      <c r="A748" s="104" t="inlineStr">
        <is>
          <t>GUIDE000747</t>
        </is>
      </c>
      <c r="B748" s="101" t="inlineStr">
        <is>
          <t>DEV000019</t>
        </is>
      </c>
      <c r="C748" s="103" t="inlineStr">
        <is>
          <t>APL</t>
        </is>
      </c>
      <c r="D748" s="103" t="inlineStr">
        <is>
          <t>PHN</t>
        </is>
      </c>
      <c r="E748" s="60" t="inlineStr">
        <is>
          <t>iPhone XR</t>
        </is>
      </c>
      <c r="F748" s="104" t="inlineStr">
        <is>
          <t>SVC000018</t>
        </is>
      </c>
      <c r="G748" s="104" t="inlineStr">
        <is>
          <t>Microphone Replacement</t>
        </is>
      </c>
      <c r="H748" s="104" t="inlineStr">
        <is>
          <t>Audio</t>
        </is>
      </c>
      <c r="I748" s="104" t="n"/>
      <c r="J748" s="104" t="n"/>
      <c r="K748" s="104" t="n"/>
      <c r="L748" s="104" t="n"/>
      <c r="M748" s="104" t="n"/>
      <c r="N748" s="104" t="n"/>
      <c r="O748" s="104" t="n"/>
      <c r="P748" s="104" t="n"/>
      <c r="Q748" s="104" t="n"/>
      <c r="R748" s="104" t="n"/>
      <c r="S748" s="110" t="n"/>
      <c r="T748" s="110" t="n"/>
      <c r="U748" s="104" t="n"/>
    </row>
    <row r="749">
      <c r="A749" s="104" t="inlineStr">
        <is>
          <t>GUIDE000748</t>
        </is>
      </c>
      <c r="B749" s="101" t="inlineStr">
        <is>
          <t>DEV000020</t>
        </is>
      </c>
      <c r="C749" s="103" t="inlineStr">
        <is>
          <t>APL</t>
        </is>
      </c>
      <c r="D749" s="103" t="inlineStr">
        <is>
          <t>PHN</t>
        </is>
      </c>
      <c r="E749" s="60" t="inlineStr">
        <is>
          <t>iPhone XS</t>
        </is>
      </c>
      <c r="F749" s="104" t="inlineStr">
        <is>
          <t>SVC000018</t>
        </is>
      </c>
      <c r="G749" s="104" t="inlineStr">
        <is>
          <t>Microphone Replacement</t>
        </is>
      </c>
      <c r="H749" s="104" t="inlineStr">
        <is>
          <t>Audio</t>
        </is>
      </c>
      <c r="I749" s="104" t="n"/>
      <c r="J749" s="104" t="n"/>
      <c r="K749" s="104" t="n"/>
      <c r="L749" s="104" t="n"/>
      <c r="M749" s="104" t="n"/>
      <c r="N749" s="104" t="n"/>
      <c r="O749" s="104" t="n"/>
      <c r="P749" s="104" t="n"/>
      <c r="Q749" s="104" t="n"/>
      <c r="R749" s="104" t="n"/>
      <c r="S749" s="110" t="n"/>
      <c r="T749" s="110" t="n"/>
      <c r="U749" s="104" t="n"/>
    </row>
    <row r="750">
      <c r="A750" s="105" t="inlineStr">
        <is>
          <t>GUIDE000749</t>
        </is>
      </c>
      <c r="B750" s="101" t="inlineStr">
        <is>
          <t>DEV000021</t>
        </is>
      </c>
      <c r="C750" s="103" t="inlineStr">
        <is>
          <t>APL</t>
        </is>
      </c>
      <c r="D750" s="103" t="inlineStr">
        <is>
          <t>PHN</t>
        </is>
      </c>
      <c r="E750" s="60" t="inlineStr">
        <is>
          <t>iPhone XS Max</t>
        </is>
      </c>
      <c r="F750" s="104" t="inlineStr">
        <is>
          <t>SVC000018</t>
        </is>
      </c>
      <c r="G750" s="104" t="inlineStr">
        <is>
          <t>Microphone Replacement</t>
        </is>
      </c>
      <c r="H750" s="104" t="inlineStr">
        <is>
          <t>Audio</t>
        </is>
      </c>
      <c r="I750" s="104" t="n"/>
      <c r="J750" s="104" t="n"/>
      <c r="K750" s="104" t="n"/>
      <c r="L750" s="104" t="n"/>
      <c r="M750" s="104" t="n"/>
      <c r="N750" s="104" t="n"/>
      <c r="O750" s="104" t="n"/>
      <c r="P750" s="104" t="n"/>
      <c r="Q750" s="104" t="n"/>
      <c r="R750" s="104" t="n"/>
      <c r="S750" s="110" t="n"/>
      <c r="T750" s="110" t="n"/>
      <c r="U750" s="104" t="n"/>
    </row>
    <row r="751">
      <c r="A751" s="104" t="inlineStr">
        <is>
          <t>GUIDE000750</t>
        </is>
      </c>
      <c r="B751" s="101" t="inlineStr">
        <is>
          <t>DEV000022</t>
        </is>
      </c>
      <c r="C751" s="103" t="inlineStr">
        <is>
          <t>APL</t>
        </is>
      </c>
      <c r="D751" s="103" t="inlineStr">
        <is>
          <t>PHN</t>
        </is>
      </c>
      <c r="E751" s="60" t="inlineStr">
        <is>
          <t>iPhone 11</t>
        </is>
      </c>
      <c r="F751" s="104" t="inlineStr">
        <is>
          <t>SVC000018</t>
        </is>
      </c>
      <c r="G751" s="104" t="inlineStr">
        <is>
          <t>Microphone Replacement</t>
        </is>
      </c>
      <c r="H751" s="104" t="inlineStr">
        <is>
          <t>Audio</t>
        </is>
      </c>
      <c r="I751" s="104" t="n"/>
      <c r="J751" s="104" t="n"/>
      <c r="K751" s="104" t="n"/>
      <c r="L751" s="104" t="n"/>
      <c r="M751" s="104" t="n"/>
      <c r="N751" s="104" t="n"/>
      <c r="O751" s="104" t="n"/>
      <c r="P751" s="104" t="n"/>
      <c r="Q751" s="104" t="n"/>
      <c r="R751" s="104" t="n"/>
      <c r="S751" s="110" t="n"/>
      <c r="T751" s="110" t="n"/>
      <c r="U751" s="104" t="n"/>
    </row>
    <row r="752">
      <c r="A752" s="104" t="inlineStr">
        <is>
          <t>GUIDE000751</t>
        </is>
      </c>
      <c r="B752" s="101" t="inlineStr">
        <is>
          <t>DEV000023</t>
        </is>
      </c>
      <c r="C752" s="103" t="inlineStr">
        <is>
          <t>APL</t>
        </is>
      </c>
      <c r="D752" s="103" t="inlineStr">
        <is>
          <t>PHN</t>
        </is>
      </c>
      <c r="E752" s="60" t="inlineStr">
        <is>
          <t>iPhone 11 Pro</t>
        </is>
      </c>
      <c r="F752" s="104" t="inlineStr">
        <is>
          <t>SVC000018</t>
        </is>
      </c>
      <c r="G752" s="104" t="inlineStr">
        <is>
          <t>Microphone Replacement</t>
        </is>
      </c>
      <c r="H752" s="104" t="inlineStr">
        <is>
          <t>Audio</t>
        </is>
      </c>
      <c r="I752" s="104" t="n"/>
      <c r="J752" s="104" t="n"/>
      <c r="K752" s="104" t="n"/>
      <c r="L752" s="104" t="n"/>
      <c r="M752" s="104" t="n"/>
      <c r="N752" s="104" t="n"/>
      <c r="O752" s="104" t="n"/>
      <c r="P752" s="104" t="n"/>
      <c r="Q752" s="104" t="n"/>
      <c r="R752" s="104" t="n"/>
      <c r="S752" s="110" t="n"/>
      <c r="T752" s="110" t="n"/>
      <c r="U752" s="104" t="n"/>
    </row>
    <row r="753">
      <c r="A753" s="104" t="inlineStr">
        <is>
          <t>GUIDE000752</t>
        </is>
      </c>
      <c r="B753" s="101" t="inlineStr">
        <is>
          <t>DEV000024</t>
        </is>
      </c>
      <c r="C753" s="103" t="inlineStr">
        <is>
          <t>APL</t>
        </is>
      </c>
      <c r="D753" s="103" t="inlineStr">
        <is>
          <t>PHN</t>
        </is>
      </c>
      <c r="E753" s="60" t="inlineStr">
        <is>
          <t>iPhone 11 Pro Max</t>
        </is>
      </c>
      <c r="F753" s="104" t="inlineStr">
        <is>
          <t>SVC000018</t>
        </is>
      </c>
      <c r="G753" s="104" t="inlineStr">
        <is>
          <t>Microphone Replacement</t>
        </is>
      </c>
      <c r="H753" s="104" t="inlineStr">
        <is>
          <t>Audio</t>
        </is>
      </c>
      <c r="I753" s="104" t="n"/>
      <c r="J753" s="104" t="n"/>
      <c r="K753" s="104" t="n"/>
      <c r="L753" s="104" t="n"/>
      <c r="M753" s="104" t="n"/>
      <c r="N753" s="104" t="n"/>
      <c r="O753" s="104" t="n"/>
      <c r="P753" s="104" t="n"/>
      <c r="Q753" s="104" t="n"/>
      <c r="R753" s="104" t="n"/>
      <c r="S753" s="110" t="n"/>
      <c r="T753" s="110" t="n"/>
      <c r="U753" s="104" t="n"/>
    </row>
    <row r="754">
      <c r="A754" s="105" t="inlineStr">
        <is>
          <t>GUIDE000753</t>
        </is>
      </c>
      <c r="B754" s="101" t="inlineStr">
        <is>
          <t>DEV000025</t>
        </is>
      </c>
      <c r="C754" s="103" t="inlineStr">
        <is>
          <t>APL</t>
        </is>
      </c>
      <c r="D754" s="103" t="inlineStr">
        <is>
          <t>PHN</t>
        </is>
      </c>
      <c r="E754" s="60" t="inlineStr">
        <is>
          <t>iPhone SE (2nd Generation)</t>
        </is>
      </c>
      <c r="F754" s="104" t="inlineStr">
        <is>
          <t>SVC000018</t>
        </is>
      </c>
      <c r="G754" s="104" t="inlineStr">
        <is>
          <t>Microphone Replacement</t>
        </is>
      </c>
      <c r="H754" s="104" t="inlineStr">
        <is>
          <t>Audio</t>
        </is>
      </c>
      <c r="I754" s="104" t="n"/>
      <c r="J754" s="104" t="n"/>
      <c r="K754" s="104" t="n"/>
      <c r="L754" s="104" t="n"/>
      <c r="M754" s="104" t="n"/>
      <c r="N754" s="104" t="n"/>
      <c r="O754" s="104" t="n"/>
      <c r="P754" s="104" t="n"/>
      <c r="Q754" s="104" t="n"/>
      <c r="R754" s="104" t="n"/>
      <c r="S754" s="110" t="n"/>
      <c r="T754" s="110" t="n"/>
      <c r="U754" s="104" t="n"/>
    </row>
    <row r="755">
      <c r="A755" s="104" t="inlineStr">
        <is>
          <t>GUIDE000754</t>
        </is>
      </c>
      <c r="B755" s="101" t="inlineStr">
        <is>
          <t>DEV000026</t>
        </is>
      </c>
      <c r="C755" s="103" t="inlineStr">
        <is>
          <t>APL</t>
        </is>
      </c>
      <c r="D755" s="103" t="inlineStr">
        <is>
          <t>PHN</t>
        </is>
      </c>
      <c r="E755" s="60" t="inlineStr">
        <is>
          <t>iPhone 12 mini</t>
        </is>
      </c>
      <c r="F755" s="104" t="inlineStr">
        <is>
          <t>SVC000018</t>
        </is>
      </c>
      <c r="G755" s="104" t="inlineStr">
        <is>
          <t>Microphone Replacement</t>
        </is>
      </c>
      <c r="H755" s="104" t="inlineStr">
        <is>
          <t>Audio</t>
        </is>
      </c>
      <c r="I755" s="104" t="n"/>
      <c r="J755" s="104" t="n"/>
      <c r="K755" s="104" t="n"/>
      <c r="L755" s="104" t="n"/>
      <c r="M755" s="104" t="n"/>
      <c r="N755" s="104" t="n"/>
      <c r="O755" s="104" t="n"/>
      <c r="P755" s="104" t="n"/>
      <c r="Q755" s="104" t="n"/>
      <c r="R755" s="104" t="n"/>
      <c r="S755" s="110" t="n"/>
      <c r="T755" s="110" t="n"/>
      <c r="U755" s="104" t="n"/>
    </row>
    <row r="756">
      <c r="A756" s="104" t="inlineStr">
        <is>
          <t>GUIDE000755</t>
        </is>
      </c>
      <c r="B756" s="101" t="inlineStr">
        <is>
          <t>DEV000027</t>
        </is>
      </c>
      <c r="C756" s="103" t="inlineStr">
        <is>
          <t>APL</t>
        </is>
      </c>
      <c r="D756" s="103" t="inlineStr">
        <is>
          <t>PHN</t>
        </is>
      </c>
      <c r="E756" s="60" t="inlineStr">
        <is>
          <t>iPhone 12</t>
        </is>
      </c>
      <c r="F756" s="104" t="inlineStr">
        <is>
          <t>SVC000018</t>
        </is>
      </c>
      <c r="G756" s="104" t="inlineStr">
        <is>
          <t>Microphone Replacement</t>
        </is>
      </c>
      <c r="H756" s="104" t="inlineStr">
        <is>
          <t>Audio</t>
        </is>
      </c>
      <c r="I756" s="104" t="n"/>
      <c r="J756" s="104" t="n"/>
      <c r="K756" s="104" t="n"/>
      <c r="L756" s="104" t="n"/>
      <c r="M756" s="104" t="n"/>
      <c r="N756" s="104" t="n"/>
      <c r="O756" s="104" t="n"/>
      <c r="P756" s="104" t="n"/>
      <c r="Q756" s="104" t="n"/>
      <c r="R756" s="104" t="n"/>
      <c r="S756" s="110" t="n"/>
      <c r="T756" s="110" t="n"/>
      <c r="U756" s="104" t="n"/>
    </row>
    <row r="757">
      <c r="A757" s="104" t="inlineStr">
        <is>
          <t>GUIDE000756</t>
        </is>
      </c>
      <c r="B757" s="101" t="inlineStr">
        <is>
          <t>DEV000028</t>
        </is>
      </c>
      <c r="C757" s="103" t="inlineStr">
        <is>
          <t>APL</t>
        </is>
      </c>
      <c r="D757" s="103" t="inlineStr">
        <is>
          <t>PHN</t>
        </is>
      </c>
      <c r="E757" s="60" t="inlineStr">
        <is>
          <t>iPhone 12 Pro</t>
        </is>
      </c>
      <c r="F757" s="104" t="inlineStr">
        <is>
          <t>SVC000018</t>
        </is>
      </c>
      <c r="G757" s="104" t="inlineStr">
        <is>
          <t>Microphone Replacement</t>
        </is>
      </c>
      <c r="H757" s="104" t="inlineStr">
        <is>
          <t>Audio</t>
        </is>
      </c>
      <c r="I757" s="104" t="n"/>
      <c r="J757" s="104" t="n"/>
      <c r="K757" s="104" t="n"/>
      <c r="L757" s="104" t="n"/>
      <c r="M757" s="104" t="n"/>
      <c r="N757" s="104" t="n"/>
      <c r="O757" s="104" t="n"/>
      <c r="P757" s="104" t="n"/>
      <c r="Q757" s="104" t="n"/>
      <c r="R757" s="104" t="n"/>
      <c r="S757" s="110" t="n"/>
      <c r="T757" s="110" t="n"/>
      <c r="U757" s="104" t="n"/>
    </row>
    <row r="758">
      <c r="A758" s="104" t="inlineStr">
        <is>
          <t>GUIDE000757</t>
        </is>
      </c>
      <c r="B758" s="101" t="inlineStr">
        <is>
          <t>DEV000029</t>
        </is>
      </c>
      <c r="C758" s="103" t="inlineStr">
        <is>
          <t>APL</t>
        </is>
      </c>
      <c r="D758" s="103" t="inlineStr">
        <is>
          <t>PHN</t>
        </is>
      </c>
      <c r="E758" s="60" t="inlineStr">
        <is>
          <t>iPhone 12 Pro Max</t>
        </is>
      </c>
      <c r="F758" s="104" t="inlineStr">
        <is>
          <t>SVC000018</t>
        </is>
      </c>
      <c r="G758" s="104" t="inlineStr">
        <is>
          <t>Microphone Replacement</t>
        </is>
      </c>
      <c r="H758" s="104" t="inlineStr">
        <is>
          <t>Audio</t>
        </is>
      </c>
      <c r="I758" s="104" t="n"/>
      <c r="J758" s="104" t="n"/>
      <c r="K758" s="104" t="n"/>
      <c r="L758" s="104" t="n"/>
      <c r="M758" s="104" t="n"/>
      <c r="N758" s="104" t="n"/>
      <c r="O758" s="104" t="n"/>
      <c r="P758" s="104" t="n"/>
      <c r="Q758" s="104" t="n"/>
      <c r="R758" s="104" t="n"/>
      <c r="S758" s="110" t="n"/>
      <c r="T758" s="110" t="n"/>
      <c r="U758" s="104" t="n"/>
    </row>
    <row r="759">
      <c r="A759" s="105" t="inlineStr">
        <is>
          <t>GUIDE000758</t>
        </is>
      </c>
      <c r="B759" s="101" t="inlineStr">
        <is>
          <t>DEV000030</t>
        </is>
      </c>
      <c r="C759" s="103" t="inlineStr">
        <is>
          <t>APL</t>
        </is>
      </c>
      <c r="D759" s="103" t="inlineStr">
        <is>
          <t>PHN</t>
        </is>
      </c>
      <c r="E759" s="60" t="inlineStr">
        <is>
          <t>iPhone 13 mini</t>
        </is>
      </c>
      <c r="F759" s="104" t="inlineStr">
        <is>
          <t>SVC000018</t>
        </is>
      </c>
      <c r="G759" s="104" t="inlineStr">
        <is>
          <t>Microphone Replacement</t>
        </is>
      </c>
      <c r="H759" s="104" t="inlineStr">
        <is>
          <t>Audio</t>
        </is>
      </c>
      <c r="I759" s="104" t="n"/>
      <c r="J759" s="104" t="n"/>
      <c r="K759" s="104" t="n"/>
      <c r="L759" s="104" t="n"/>
      <c r="M759" s="104" t="n"/>
      <c r="N759" s="104" t="n"/>
      <c r="O759" s="104" t="n"/>
      <c r="P759" s="104" t="n"/>
      <c r="Q759" s="104" t="n"/>
      <c r="R759" s="104" t="n"/>
      <c r="S759" s="110" t="n"/>
      <c r="T759" s="110" t="n"/>
      <c r="U759" s="104" t="n"/>
    </row>
    <row r="760">
      <c r="A760" s="104" t="inlineStr">
        <is>
          <t>GUIDE000759</t>
        </is>
      </c>
      <c r="B760" s="101" t="inlineStr">
        <is>
          <t>DEV000031</t>
        </is>
      </c>
      <c r="C760" s="103" t="inlineStr">
        <is>
          <t>APL</t>
        </is>
      </c>
      <c r="D760" s="103" t="inlineStr">
        <is>
          <t>PHN</t>
        </is>
      </c>
      <c r="E760" s="60" t="inlineStr">
        <is>
          <t>iPhone 13</t>
        </is>
      </c>
      <c r="F760" s="104" t="inlineStr">
        <is>
          <t>SVC000018</t>
        </is>
      </c>
      <c r="G760" s="104" t="inlineStr">
        <is>
          <t>Microphone Replacement</t>
        </is>
      </c>
      <c r="H760" s="104" t="inlineStr">
        <is>
          <t>Audio</t>
        </is>
      </c>
      <c r="I760" s="104" t="n"/>
      <c r="J760" s="104" t="n"/>
      <c r="K760" s="104" t="n"/>
      <c r="L760" s="104" t="n"/>
      <c r="M760" s="104" t="n"/>
      <c r="N760" s="104" t="n"/>
      <c r="O760" s="104" t="n"/>
      <c r="P760" s="104" t="n"/>
      <c r="Q760" s="104" t="n"/>
      <c r="R760" s="104" t="n"/>
      <c r="S760" s="110" t="n"/>
      <c r="T760" s="110" t="n"/>
      <c r="U760" s="104" t="n"/>
    </row>
    <row r="761">
      <c r="A761" s="104" t="inlineStr">
        <is>
          <t>GUIDE000760</t>
        </is>
      </c>
      <c r="B761" s="101" t="inlineStr">
        <is>
          <t>DEV000032</t>
        </is>
      </c>
      <c r="C761" s="103" t="inlineStr">
        <is>
          <t>APL</t>
        </is>
      </c>
      <c r="D761" s="103" t="inlineStr">
        <is>
          <t>PHN</t>
        </is>
      </c>
      <c r="E761" s="60" t="inlineStr">
        <is>
          <t>iPhone 13 Pro</t>
        </is>
      </c>
      <c r="F761" s="104" t="inlineStr">
        <is>
          <t>SVC000018</t>
        </is>
      </c>
      <c r="G761" s="104" t="inlineStr">
        <is>
          <t>Microphone Replacement</t>
        </is>
      </c>
      <c r="H761" s="104" t="inlineStr">
        <is>
          <t>Audio</t>
        </is>
      </c>
      <c r="I761" s="104" t="n"/>
      <c r="J761" s="104" t="n"/>
      <c r="K761" s="104" t="n"/>
      <c r="L761" s="104" t="n"/>
      <c r="M761" s="104" t="n"/>
      <c r="N761" s="104" t="n"/>
      <c r="O761" s="104" t="n"/>
      <c r="P761" s="104" t="n"/>
      <c r="Q761" s="104" t="n"/>
      <c r="R761" s="104" t="n"/>
      <c r="S761" s="110" t="n"/>
      <c r="T761" s="110" t="n"/>
      <c r="U761" s="104" t="n"/>
    </row>
    <row r="762">
      <c r="A762" s="104" t="inlineStr">
        <is>
          <t>GUIDE000761</t>
        </is>
      </c>
      <c r="B762" s="101" t="inlineStr">
        <is>
          <t>DEV000033</t>
        </is>
      </c>
      <c r="C762" s="103" t="inlineStr">
        <is>
          <t>APL</t>
        </is>
      </c>
      <c r="D762" s="103" t="inlineStr">
        <is>
          <t>PHN</t>
        </is>
      </c>
      <c r="E762" s="60" t="inlineStr">
        <is>
          <t>iPhone 13 Pro Max</t>
        </is>
      </c>
      <c r="F762" s="104" t="inlineStr">
        <is>
          <t>SVC000018</t>
        </is>
      </c>
      <c r="G762" s="104" t="inlineStr">
        <is>
          <t>Microphone Replacement</t>
        </is>
      </c>
      <c r="H762" s="104" t="inlineStr">
        <is>
          <t>Audio</t>
        </is>
      </c>
      <c r="I762" s="104" t="n"/>
      <c r="J762" s="104" t="n"/>
      <c r="K762" s="104" t="n"/>
      <c r="L762" s="104" t="n"/>
      <c r="M762" s="104" t="n"/>
      <c r="N762" s="104" t="n"/>
      <c r="O762" s="104" t="n"/>
      <c r="P762" s="104" t="n"/>
      <c r="Q762" s="104" t="n"/>
      <c r="R762" s="104" t="n"/>
      <c r="S762" s="110" t="n"/>
      <c r="T762" s="110" t="n"/>
      <c r="U762" s="104" t="n"/>
    </row>
    <row r="763">
      <c r="A763" s="105" t="inlineStr">
        <is>
          <t>GUIDE000762</t>
        </is>
      </c>
      <c r="B763" s="101" t="inlineStr">
        <is>
          <t>DEV000034</t>
        </is>
      </c>
      <c r="C763" s="103" t="inlineStr">
        <is>
          <t>APL</t>
        </is>
      </c>
      <c r="D763" s="103" t="inlineStr">
        <is>
          <t>PHN</t>
        </is>
      </c>
      <c r="E763" s="60" t="inlineStr">
        <is>
          <t>iPhone SE (3rd Generation)</t>
        </is>
      </c>
      <c r="F763" s="104" t="inlineStr">
        <is>
          <t>SVC000018</t>
        </is>
      </c>
      <c r="G763" s="104" t="inlineStr">
        <is>
          <t>Microphone Replacement</t>
        </is>
      </c>
      <c r="H763" s="104" t="inlineStr">
        <is>
          <t>Audio</t>
        </is>
      </c>
      <c r="I763" s="104" t="n"/>
      <c r="J763" s="104" t="n"/>
      <c r="K763" s="104" t="n"/>
      <c r="L763" s="104" t="n"/>
      <c r="M763" s="104" t="n"/>
      <c r="N763" s="104" t="n"/>
      <c r="O763" s="104" t="n"/>
      <c r="P763" s="104" t="n"/>
      <c r="Q763" s="104" t="n"/>
      <c r="R763" s="104" t="n"/>
      <c r="S763" s="110" t="n"/>
      <c r="T763" s="110" t="n"/>
      <c r="U763" s="104" t="n"/>
    </row>
    <row r="764">
      <c r="A764" s="104" t="inlineStr">
        <is>
          <t>GUIDE000763</t>
        </is>
      </c>
      <c r="B764" s="101" t="inlineStr">
        <is>
          <t>DEV000035</t>
        </is>
      </c>
      <c r="C764" s="103" t="inlineStr">
        <is>
          <t>APL</t>
        </is>
      </c>
      <c r="D764" s="103" t="inlineStr">
        <is>
          <t>PHN</t>
        </is>
      </c>
      <c r="E764" s="60" t="inlineStr">
        <is>
          <t>iPhone 14</t>
        </is>
      </c>
      <c r="F764" s="104" t="inlineStr">
        <is>
          <t>SVC000018</t>
        </is>
      </c>
      <c r="G764" s="104" t="inlineStr">
        <is>
          <t>Microphone Replacement</t>
        </is>
      </c>
      <c r="H764" s="104" t="inlineStr">
        <is>
          <t>Audio</t>
        </is>
      </c>
      <c r="I764" s="104" t="n"/>
      <c r="J764" s="104" t="n"/>
      <c r="K764" s="104" t="n"/>
      <c r="L764" s="104" t="n"/>
      <c r="M764" s="104" t="n"/>
      <c r="N764" s="104" t="n"/>
      <c r="O764" s="104" t="n"/>
      <c r="P764" s="104" t="n"/>
      <c r="Q764" s="104" t="n"/>
      <c r="R764" s="104" t="n"/>
      <c r="S764" s="110" t="n"/>
      <c r="T764" s="110" t="n"/>
      <c r="U764" s="104" t="n"/>
    </row>
    <row r="765">
      <c r="A765" s="104" t="inlineStr">
        <is>
          <t>GUIDE000764</t>
        </is>
      </c>
      <c r="B765" s="101" t="inlineStr">
        <is>
          <t>DEV000036</t>
        </is>
      </c>
      <c r="C765" s="103" t="inlineStr">
        <is>
          <t>APL</t>
        </is>
      </c>
      <c r="D765" s="103" t="inlineStr">
        <is>
          <t>PHN</t>
        </is>
      </c>
      <c r="E765" s="60" t="inlineStr">
        <is>
          <t>iPhone 14 Plus</t>
        </is>
      </c>
      <c r="F765" s="104" t="inlineStr">
        <is>
          <t>SVC000018</t>
        </is>
      </c>
      <c r="G765" s="104" t="inlineStr">
        <is>
          <t>Microphone Replacement</t>
        </is>
      </c>
      <c r="H765" s="104" t="inlineStr">
        <is>
          <t>Audio</t>
        </is>
      </c>
      <c r="I765" s="104" t="n"/>
      <c r="J765" s="104" t="n"/>
      <c r="K765" s="104" t="n"/>
      <c r="L765" s="104" t="n"/>
      <c r="M765" s="104" t="n"/>
      <c r="N765" s="104" t="n"/>
      <c r="O765" s="104" t="n"/>
      <c r="P765" s="104" t="n"/>
      <c r="Q765" s="104" t="n"/>
      <c r="R765" s="104" t="n"/>
      <c r="S765" s="110" t="n"/>
      <c r="T765" s="110" t="n"/>
      <c r="U765" s="104" t="n"/>
    </row>
    <row r="766">
      <c r="A766" s="104" t="inlineStr">
        <is>
          <t>GUIDE000765</t>
        </is>
      </c>
      <c r="B766" s="101" t="inlineStr">
        <is>
          <t>DEV000037</t>
        </is>
      </c>
      <c r="C766" s="103" t="inlineStr">
        <is>
          <t>APL</t>
        </is>
      </c>
      <c r="D766" s="103" t="inlineStr">
        <is>
          <t>PHN</t>
        </is>
      </c>
      <c r="E766" s="60" t="inlineStr">
        <is>
          <t>iPhone 14 Pro</t>
        </is>
      </c>
      <c r="F766" s="104" t="inlineStr">
        <is>
          <t>SVC000018</t>
        </is>
      </c>
      <c r="G766" s="104" t="inlineStr">
        <is>
          <t>Microphone Replacement</t>
        </is>
      </c>
      <c r="H766" s="104" t="inlineStr">
        <is>
          <t>Audio</t>
        </is>
      </c>
      <c r="I766" s="104" t="n"/>
      <c r="J766" s="104" t="n"/>
      <c r="K766" s="104" t="n"/>
      <c r="L766" s="104" t="n"/>
      <c r="M766" s="104" t="n"/>
      <c r="N766" s="104" t="n"/>
      <c r="O766" s="104" t="n"/>
      <c r="P766" s="104" t="n"/>
      <c r="Q766" s="104" t="n"/>
      <c r="R766" s="104" t="n"/>
      <c r="S766" s="110" t="n"/>
      <c r="T766" s="110" t="n"/>
      <c r="U766" s="104" t="n"/>
    </row>
    <row r="767">
      <c r="A767" s="104" t="inlineStr">
        <is>
          <t>GUIDE000766</t>
        </is>
      </c>
      <c r="B767" s="101" t="inlineStr">
        <is>
          <t>DEV000038</t>
        </is>
      </c>
      <c r="C767" s="103" t="inlineStr">
        <is>
          <t>APL</t>
        </is>
      </c>
      <c r="D767" s="103" t="inlineStr">
        <is>
          <t>PHN</t>
        </is>
      </c>
      <c r="E767" s="60" t="inlineStr">
        <is>
          <t>iPhone 14 Pro Max</t>
        </is>
      </c>
      <c r="F767" s="104" t="inlineStr">
        <is>
          <t>SVC000018</t>
        </is>
      </c>
      <c r="G767" s="104" t="inlineStr">
        <is>
          <t>Microphone Replacement</t>
        </is>
      </c>
      <c r="H767" s="104" t="inlineStr">
        <is>
          <t>Audio</t>
        </is>
      </c>
      <c r="I767" s="104" t="n"/>
      <c r="J767" s="104" t="n"/>
      <c r="K767" s="104" t="n"/>
      <c r="L767" s="104" t="n"/>
      <c r="M767" s="104" t="n"/>
      <c r="N767" s="104" t="n"/>
      <c r="O767" s="104" t="n"/>
      <c r="P767" s="104" t="n"/>
      <c r="Q767" s="104" t="n"/>
      <c r="R767" s="104" t="n"/>
      <c r="S767" s="110" t="n"/>
      <c r="T767" s="110" t="n"/>
      <c r="U767" s="104" t="n"/>
    </row>
    <row r="768">
      <c r="A768" s="105" t="inlineStr">
        <is>
          <t>GUIDE000767</t>
        </is>
      </c>
      <c r="B768" s="101" t="inlineStr">
        <is>
          <t>DEV000039</t>
        </is>
      </c>
      <c r="C768" s="103" t="inlineStr">
        <is>
          <t>APL</t>
        </is>
      </c>
      <c r="D768" s="103" t="inlineStr">
        <is>
          <t>PHN</t>
        </is>
      </c>
      <c r="E768" s="60" t="inlineStr">
        <is>
          <t>iPhone 15</t>
        </is>
      </c>
      <c r="F768" s="104" t="inlineStr">
        <is>
          <t>SVC000018</t>
        </is>
      </c>
      <c r="G768" s="104" t="inlineStr">
        <is>
          <t>Microphone Replacement</t>
        </is>
      </c>
      <c r="H768" s="104" t="inlineStr">
        <is>
          <t>Audio</t>
        </is>
      </c>
      <c r="I768" s="104" t="n"/>
      <c r="J768" s="104" t="n"/>
      <c r="K768" s="104" t="n"/>
      <c r="L768" s="104" t="n"/>
      <c r="M768" s="104" t="n"/>
      <c r="N768" s="104" t="n"/>
      <c r="O768" s="104" t="n"/>
      <c r="P768" s="104" t="n"/>
      <c r="Q768" s="104" t="n"/>
      <c r="R768" s="104" t="n"/>
      <c r="S768" s="110" t="n"/>
      <c r="T768" s="110" t="n"/>
      <c r="U768" s="104" t="n"/>
    </row>
    <row r="769">
      <c r="A769" s="104" t="inlineStr">
        <is>
          <t>GUIDE000768</t>
        </is>
      </c>
      <c r="B769" s="101" t="inlineStr">
        <is>
          <t>DEV000040</t>
        </is>
      </c>
      <c r="C769" s="103" t="inlineStr">
        <is>
          <t>APL</t>
        </is>
      </c>
      <c r="D769" s="103" t="inlineStr">
        <is>
          <t>PHN</t>
        </is>
      </c>
      <c r="E769" s="60" t="inlineStr">
        <is>
          <t>iPhone 15 Plus</t>
        </is>
      </c>
      <c r="F769" s="104" t="inlineStr">
        <is>
          <t>SVC000018</t>
        </is>
      </c>
      <c r="G769" s="104" t="inlineStr">
        <is>
          <t>Microphone Replacement</t>
        </is>
      </c>
      <c r="H769" s="104" t="inlineStr">
        <is>
          <t>Audio</t>
        </is>
      </c>
      <c r="I769" s="104" t="n"/>
      <c r="J769" s="104" t="n"/>
      <c r="K769" s="104" t="n"/>
      <c r="L769" s="104" t="n"/>
      <c r="M769" s="104" t="n"/>
      <c r="N769" s="104" t="n"/>
      <c r="O769" s="104" t="n"/>
      <c r="P769" s="104" t="n"/>
      <c r="Q769" s="104" t="n"/>
      <c r="R769" s="104" t="n"/>
      <c r="S769" s="110" t="n"/>
      <c r="T769" s="110" t="n"/>
      <c r="U769" s="104" t="n"/>
    </row>
    <row r="770">
      <c r="A770" s="104" t="inlineStr">
        <is>
          <t>GUIDE000769</t>
        </is>
      </c>
      <c r="B770" s="101" t="inlineStr">
        <is>
          <t>DEV000041</t>
        </is>
      </c>
      <c r="C770" s="103" t="inlineStr">
        <is>
          <t>APL</t>
        </is>
      </c>
      <c r="D770" s="103" t="inlineStr">
        <is>
          <t>PHN</t>
        </is>
      </c>
      <c r="E770" s="60" t="inlineStr">
        <is>
          <t>iPhone 15 Pro</t>
        </is>
      </c>
      <c r="F770" s="104" t="inlineStr">
        <is>
          <t>SVC000018</t>
        </is>
      </c>
      <c r="G770" s="104" t="inlineStr">
        <is>
          <t>Microphone Replacement</t>
        </is>
      </c>
      <c r="H770" s="104" t="inlineStr">
        <is>
          <t>Audio</t>
        </is>
      </c>
      <c r="I770" s="104" t="n"/>
      <c r="J770" s="104" t="n"/>
      <c r="K770" s="104" t="n"/>
      <c r="L770" s="104" t="n"/>
      <c r="M770" s="104" t="n"/>
      <c r="N770" s="104" t="n"/>
      <c r="O770" s="104" t="n"/>
      <c r="P770" s="104" t="n"/>
      <c r="Q770" s="104" t="n"/>
      <c r="R770" s="104" t="n"/>
      <c r="S770" s="110" t="n"/>
      <c r="T770" s="110" t="n"/>
      <c r="U770" s="104" t="n"/>
    </row>
    <row r="771">
      <c r="A771" s="104" t="inlineStr">
        <is>
          <t>GUIDE000770</t>
        </is>
      </c>
      <c r="B771" s="101" t="inlineStr">
        <is>
          <t>DEV000042</t>
        </is>
      </c>
      <c r="C771" s="103" t="inlineStr">
        <is>
          <t>APL</t>
        </is>
      </c>
      <c r="D771" s="103" t="inlineStr">
        <is>
          <t>PHN</t>
        </is>
      </c>
      <c r="E771" s="60" t="inlineStr">
        <is>
          <t>iPhone 15 Pro Max</t>
        </is>
      </c>
      <c r="F771" s="104" t="inlineStr">
        <is>
          <t>SVC000018</t>
        </is>
      </c>
      <c r="G771" s="104" t="inlineStr">
        <is>
          <t>Microphone Replacement</t>
        </is>
      </c>
      <c r="H771" s="104" t="inlineStr">
        <is>
          <t>Audio</t>
        </is>
      </c>
      <c r="I771" s="104" t="n"/>
      <c r="J771" s="104" t="n"/>
      <c r="K771" s="104" t="n"/>
      <c r="L771" s="104" t="n"/>
      <c r="M771" s="104" t="n"/>
      <c r="N771" s="104" t="n"/>
      <c r="O771" s="104" t="n"/>
      <c r="P771" s="104" t="n"/>
      <c r="Q771" s="104" t="n"/>
      <c r="R771" s="104" t="n"/>
      <c r="S771" s="110" t="n"/>
      <c r="T771" s="110" t="n"/>
      <c r="U771" s="104" t="n"/>
    </row>
    <row r="772">
      <c r="A772" s="105" t="inlineStr">
        <is>
          <t>GUIDE000771</t>
        </is>
      </c>
      <c r="B772" s="101" t="inlineStr">
        <is>
          <t>DEV000043</t>
        </is>
      </c>
      <c r="C772" s="103" t="inlineStr">
        <is>
          <t>APL</t>
        </is>
      </c>
      <c r="D772" s="103" t="inlineStr">
        <is>
          <t>PHN</t>
        </is>
      </c>
      <c r="E772" s="60" t="inlineStr">
        <is>
          <t>iPhone 16</t>
        </is>
      </c>
      <c r="F772" s="104" t="inlineStr">
        <is>
          <t>SVC000018</t>
        </is>
      </c>
      <c r="G772" s="104" t="inlineStr">
        <is>
          <t>Microphone Replacement</t>
        </is>
      </c>
      <c r="H772" s="104" t="inlineStr">
        <is>
          <t>Audio</t>
        </is>
      </c>
      <c r="I772" s="104" t="n"/>
      <c r="J772" s="104" t="n"/>
      <c r="K772" s="104" t="n"/>
      <c r="L772" s="104" t="n"/>
      <c r="M772" s="104" t="n"/>
      <c r="N772" s="104" t="n"/>
      <c r="O772" s="104" t="n"/>
      <c r="P772" s="104" t="n"/>
      <c r="Q772" s="104" t="n"/>
      <c r="R772" s="104" t="n"/>
      <c r="S772" s="110" t="n"/>
      <c r="T772" s="110" t="n"/>
      <c r="U772" s="104" t="n"/>
    </row>
    <row r="773">
      <c r="A773" s="104" t="inlineStr">
        <is>
          <t>GUIDE000772</t>
        </is>
      </c>
      <c r="B773" s="101" t="inlineStr">
        <is>
          <t>DEV000044</t>
        </is>
      </c>
      <c r="C773" s="103" t="inlineStr">
        <is>
          <t>APL</t>
        </is>
      </c>
      <c r="D773" s="103" t="inlineStr">
        <is>
          <t>PHN</t>
        </is>
      </c>
      <c r="E773" s="60" t="inlineStr">
        <is>
          <t>iPhone 16 Plus</t>
        </is>
      </c>
      <c r="F773" s="104" t="inlineStr">
        <is>
          <t>SVC000018</t>
        </is>
      </c>
      <c r="G773" s="104" t="inlineStr">
        <is>
          <t>Microphone Replacement</t>
        </is>
      </c>
      <c r="H773" s="104" t="inlineStr">
        <is>
          <t>Audio</t>
        </is>
      </c>
      <c r="I773" s="104" t="n"/>
      <c r="J773" s="104" t="n"/>
      <c r="K773" s="104" t="n"/>
      <c r="L773" s="104" t="n"/>
      <c r="M773" s="104" t="n"/>
      <c r="N773" s="104" t="n"/>
      <c r="O773" s="104" t="n"/>
      <c r="P773" s="104" t="n"/>
      <c r="Q773" s="104" t="n"/>
      <c r="R773" s="104" t="n"/>
      <c r="S773" s="110" t="n"/>
      <c r="T773" s="110" t="n"/>
      <c r="U773" s="104" t="n"/>
    </row>
    <row r="774">
      <c r="A774" s="104" t="inlineStr">
        <is>
          <t>GUIDE000773</t>
        </is>
      </c>
      <c r="B774" s="101" t="inlineStr">
        <is>
          <t>DEV000045</t>
        </is>
      </c>
      <c r="C774" s="103" t="inlineStr">
        <is>
          <t>APL</t>
        </is>
      </c>
      <c r="D774" s="103" t="inlineStr">
        <is>
          <t>PHN</t>
        </is>
      </c>
      <c r="E774" s="60" t="inlineStr">
        <is>
          <t>iPhone 16 Pro</t>
        </is>
      </c>
      <c r="F774" s="104" t="inlineStr">
        <is>
          <t>SVC000018</t>
        </is>
      </c>
      <c r="G774" s="104" t="inlineStr">
        <is>
          <t>Microphone Replacement</t>
        </is>
      </c>
      <c r="H774" s="104" t="inlineStr">
        <is>
          <t>Audio</t>
        </is>
      </c>
      <c r="I774" s="104" t="n"/>
      <c r="J774" s="104" t="n"/>
      <c r="K774" s="104" t="n"/>
      <c r="L774" s="104" t="n"/>
      <c r="M774" s="104" t="n"/>
      <c r="N774" s="104" t="n"/>
      <c r="O774" s="104" t="n"/>
      <c r="P774" s="104" t="n"/>
      <c r="Q774" s="104" t="n"/>
      <c r="R774" s="104" t="n"/>
      <c r="S774" s="110" t="n"/>
      <c r="T774" s="110" t="n"/>
      <c r="U774" s="104" t="n"/>
    </row>
    <row r="775">
      <c r="A775" s="104" t="inlineStr">
        <is>
          <t>GUIDE000774</t>
        </is>
      </c>
      <c r="B775" s="101" t="inlineStr">
        <is>
          <t>DEV000046</t>
        </is>
      </c>
      <c r="C775" s="103" t="inlineStr">
        <is>
          <t>APL</t>
        </is>
      </c>
      <c r="D775" s="103" t="inlineStr">
        <is>
          <t>PHN</t>
        </is>
      </c>
      <c r="E775" s="60" t="inlineStr">
        <is>
          <t>iPhone 16 Pro Max</t>
        </is>
      </c>
      <c r="F775" s="104" t="inlineStr">
        <is>
          <t>SVC000018</t>
        </is>
      </c>
      <c r="G775" s="104" t="inlineStr">
        <is>
          <t>Microphone Replacement</t>
        </is>
      </c>
      <c r="H775" s="104" t="inlineStr">
        <is>
          <t>Audio</t>
        </is>
      </c>
      <c r="I775" s="104" t="n"/>
      <c r="J775" s="104" t="n"/>
      <c r="K775" s="104" t="n"/>
      <c r="L775" s="104" t="n"/>
      <c r="M775" s="104" t="n"/>
      <c r="N775" s="104" t="n"/>
      <c r="O775" s="104" t="n"/>
      <c r="P775" s="104" t="n"/>
      <c r="Q775" s="104" t="n"/>
      <c r="R775" s="104" t="n"/>
      <c r="S775" s="110" t="n"/>
      <c r="T775" s="110" t="n"/>
      <c r="U775" s="104" t="n"/>
    </row>
    <row r="776">
      <c r="A776" s="104" t="inlineStr">
        <is>
          <t>GUIDE000775</t>
        </is>
      </c>
      <c r="B776" s="101" t="inlineStr">
        <is>
          <t>DEV000047</t>
        </is>
      </c>
      <c r="C776" s="103" t="inlineStr">
        <is>
          <t>APL</t>
        </is>
      </c>
      <c r="D776" s="103" t="inlineStr">
        <is>
          <t>PHN</t>
        </is>
      </c>
      <c r="E776" s="60" t="inlineStr">
        <is>
          <t>iPhone 16e</t>
        </is>
      </c>
      <c r="F776" s="104" t="inlineStr">
        <is>
          <t>SVC000018</t>
        </is>
      </c>
      <c r="G776" s="104" t="inlineStr">
        <is>
          <t>Microphone Replacement</t>
        </is>
      </c>
      <c r="H776" s="104" t="inlineStr">
        <is>
          <t>Audio</t>
        </is>
      </c>
      <c r="I776" s="104" t="n"/>
      <c r="J776" s="104" t="n"/>
      <c r="K776" s="104" t="n"/>
      <c r="L776" s="104" t="n"/>
      <c r="M776" s="104" t="n"/>
      <c r="N776" s="104" t="n"/>
      <c r="O776" s="104" t="n"/>
      <c r="P776" s="104" t="n"/>
      <c r="Q776" s="104" t="n"/>
      <c r="R776" s="104" t="n"/>
      <c r="S776" s="110" t="n"/>
      <c r="T776" s="110" t="n"/>
      <c r="U776" s="104" t="n"/>
    </row>
    <row r="777">
      <c r="A777" s="105" t="inlineStr">
        <is>
          <t>GUIDE000776</t>
        </is>
      </c>
      <c r="B777" s="101" t="inlineStr">
        <is>
          <t>DEV000048</t>
        </is>
      </c>
      <c r="C777" s="103" t="inlineStr">
        <is>
          <t>APL</t>
        </is>
      </c>
      <c r="D777" s="103" t="inlineStr">
        <is>
          <t>PHN</t>
        </is>
      </c>
      <c r="E777" s="60" t="inlineStr">
        <is>
          <t>iPhone 17</t>
        </is>
      </c>
      <c r="F777" s="104" t="inlineStr">
        <is>
          <t>SVC000018</t>
        </is>
      </c>
      <c r="G777" s="104" t="inlineStr">
        <is>
          <t>Microphone Replacement</t>
        </is>
      </c>
      <c r="H777" s="104" t="inlineStr">
        <is>
          <t>Audio</t>
        </is>
      </c>
      <c r="I777" s="104" t="n"/>
      <c r="J777" s="104" t="n"/>
      <c r="K777" s="104" t="n"/>
      <c r="L777" s="104" t="n"/>
      <c r="M777" s="104" t="n"/>
      <c r="N777" s="104" t="n"/>
      <c r="O777" s="104" t="n"/>
      <c r="P777" s="104" t="n"/>
      <c r="Q777" s="104" t="n"/>
      <c r="R777" s="104" t="n"/>
      <c r="S777" s="110" t="n"/>
      <c r="T777" s="110" t="n"/>
      <c r="U777" s="104" t="n"/>
    </row>
    <row r="778">
      <c r="A778" s="104" t="inlineStr">
        <is>
          <t>GUIDE000777</t>
        </is>
      </c>
      <c r="B778" s="101" t="inlineStr">
        <is>
          <t>DEV000049</t>
        </is>
      </c>
      <c r="C778" s="103" t="inlineStr">
        <is>
          <t>APL</t>
        </is>
      </c>
      <c r="D778" s="103" t="inlineStr">
        <is>
          <t>PHN</t>
        </is>
      </c>
      <c r="E778" s="60" t="inlineStr">
        <is>
          <t>iPhone 17 Pro</t>
        </is>
      </c>
      <c r="F778" s="104" t="inlineStr">
        <is>
          <t>SVC000018</t>
        </is>
      </c>
      <c r="G778" s="104" t="inlineStr">
        <is>
          <t>Microphone Replacement</t>
        </is>
      </c>
      <c r="H778" s="104" t="inlineStr">
        <is>
          <t>Audio</t>
        </is>
      </c>
      <c r="I778" s="104" t="n"/>
      <c r="J778" s="104" t="n"/>
      <c r="K778" s="104" t="n"/>
      <c r="L778" s="104" t="n"/>
      <c r="M778" s="104" t="n"/>
      <c r="N778" s="104" t="n"/>
      <c r="O778" s="104" t="n"/>
      <c r="P778" s="104" t="n"/>
      <c r="Q778" s="104" t="n"/>
      <c r="R778" s="104" t="n"/>
      <c r="S778" s="110" t="n"/>
      <c r="T778" s="110" t="n"/>
      <c r="U778" s="104" t="n"/>
    </row>
    <row r="779">
      <c r="A779" s="104" t="inlineStr">
        <is>
          <t>GUIDE000778</t>
        </is>
      </c>
      <c r="B779" s="101" t="inlineStr">
        <is>
          <t>DEV000050</t>
        </is>
      </c>
      <c r="C779" s="103" t="inlineStr">
        <is>
          <t>APL</t>
        </is>
      </c>
      <c r="D779" s="103" t="inlineStr">
        <is>
          <t>PHN</t>
        </is>
      </c>
      <c r="E779" s="60" t="inlineStr">
        <is>
          <t>iPhone 17 Pro Max</t>
        </is>
      </c>
      <c r="F779" s="104" t="inlineStr">
        <is>
          <t>SVC000018</t>
        </is>
      </c>
      <c r="G779" s="104" t="inlineStr">
        <is>
          <t>Microphone Replacement</t>
        </is>
      </c>
      <c r="H779" s="104" t="inlineStr">
        <is>
          <t>Audio</t>
        </is>
      </c>
      <c r="I779" s="104" t="n"/>
      <c r="J779" s="104" t="n"/>
      <c r="K779" s="104" t="n"/>
      <c r="L779" s="104" t="n"/>
      <c r="M779" s="104" t="n"/>
      <c r="N779" s="104" t="n"/>
      <c r="O779" s="104" t="n"/>
      <c r="P779" s="104" t="n"/>
      <c r="Q779" s="104" t="n"/>
      <c r="R779" s="104" t="n"/>
      <c r="S779" s="110" t="n"/>
      <c r="T779" s="110" t="n"/>
      <c r="U779" s="104" t="n"/>
    </row>
    <row r="780">
      <c r="A780" s="104" t="inlineStr">
        <is>
          <t>GUIDE000779</t>
        </is>
      </c>
      <c r="B780" s="101" t="inlineStr">
        <is>
          <t>DEV000051</t>
        </is>
      </c>
      <c r="C780" s="103" t="inlineStr">
        <is>
          <t>APL</t>
        </is>
      </c>
      <c r="D780" s="103" t="inlineStr">
        <is>
          <t>PHN</t>
        </is>
      </c>
      <c r="E780" s="60" t="inlineStr">
        <is>
          <t>iPhone Air</t>
        </is>
      </c>
      <c r="F780" s="104" t="inlineStr">
        <is>
          <t>SVC000018</t>
        </is>
      </c>
      <c r="G780" s="104" t="inlineStr">
        <is>
          <t>Microphone Replacement</t>
        </is>
      </c>
      <c r="H780" s="104" t="inlineStr">
        <is>
          <t>Audio</t>
        </is>
      </c>
      <c r="I780" s="104" t="n"/>
      <c r="J780" s="104" t="n"/>
      <c r="K780" s="104" t="n"/>
      <c r="L780" s="104" t="n"/>
      <c r="M780" s="104" t="n"/>
      <c r="N780" s="104" t="n"/>
      <c r="O780" s="104" t="n"/>
      <c r="P780" s="104" t="n"/>
      <c r="Q780" s="104" t="n"/>
      <c r="R780" s="104" t="n"/>
      <c r="S780" s="110" t="n"/>
      <c r="T780" s="110" t="n"/>
      <c r="U780" s="104" t="n"/>
    </row>
    <row r="781">
      <c r="A781" s="105" t="inlineStr">
        <is>
          <t>GUIDE000780</t>
        </is>
      </c>
      <c r="B781" s="101" t="inlineStr">
        <is>
          <t>DEV000052</t>
        </is>
      </c>
      <c r="C781" s="103" t="inlineStr">
        <is>
          <t>APL</t>
        </is>
      </c>
      <c r="D781" s="103" t="inlineStr">
        <is>
          <t>PHN</t>
        </is>
      </c>
      <c r="E781" s="60" t="inlineStr">
        <is>
          <t>iPhone 17e</t>
        </is>
      </c>
      <c r="F781" s="104" t="inlineStr">
        <is>
          <t>SVC000018</t>
        </is>
      </c>
      <c r="G781" s="104" t="inlineStr">
        <is>
          <t>Microphone Replacement</t>
        </is>
      </c>
      <c r="H781" s="104" t="inlineStr">
        <is>
          <t>Audio</t>
        </is>
      </c>
      <c r="I781" s="104" t="n"/>
      <c r="J781" s="104" t="n"/>
      <c r="K781" s="104" t="n"/>
      <c r="L781" s="104" t="n"/>
      <c r="M781" s="104" t="n"/>
      <c r="N781" s="104" t="n"/>
      <c r="O781" s="104" t="n"/>
      <c r="P781" s="104" t="n"/>
      <c r="Q781" s="104" t="n"/>
      <c r="R781" s="104" t="n"/>
      <c r="S781" s="110" t="n"/>
      <c r="T781" s="110" t="n"/>
      <c r="U781" s="104" t="n"/>
    </row>
    <row r="782">
      <c r="A782" s="104" t="inlineStr">
        <is>
          <t>GUIDE000781</t>
        </is>
      </c>
      <c r="B782" s="101" t="inlineStr">
        <is>
          <t>DEV000001</t>
        </is>
      </c>
      <c r="C782" s="103" t="inlineStr">
        <is>
          <t>APL</t>
        </is>
      </c>
      <c r="D782" s="103" t="inlineStr">
        <is>
          <t>PHN</t>
        </is>
      </c>
      <c r="E782" s="60" t="inlineStr">
        <is>
          <t>iPhone (2G)</t>
        </is>
      </c>
      <c r="F782" s="104" t="inlineStr">
        <is>
          <t>SVC000019</t>
        </is>
      </c>
      <c r="G782" s="104" t="inlineStr">
        <is>
          <t>Earpiece Replacement</t>
        </is>
      </c>
      <c r="H782" s="104" t="inlineStr">
        <is>
          <t>Audio</t>
        </is>
      </c>
      <c r="I782" s="104" t="n"/>
      <c r="J782" s="104" t="n"/>
      <c r="K782" s="104" t="n"/>
      <c r="L782" s="104" t="n"/>
      <c r="M782" s="104" t="n"/>
      <c r="N782" s="104" t="n"/>
      <c r="O782" s="104" t="n"/>
      <c r="P782" s="104" t="n"/>
      <c r="Q782" s="104" t="n"/>
      <c r="R782" s="104" t="n"/>
      <c r="S782" s="110" t="n"/>
      <c r="T782" s="110" t="n"/>
      <c r="U782" s="104" t="n"/>
    </row>
    <row r="783">
      <c r="A783" s="104" t="inlineStr">
        <is>
          <t>GUIDE000782</t>
        </is>
      </c>
      <c r="B783" s="101" t="inlineStr">
        <is>
          <t>DEV000002</t>
        </is>
      </c>
      <c r="C783" s="103" t="inlineStr">
        <is>
          <t>APL</t>
        </is>
      </c>
      <c r="D783" s="103" t="inlineStr">
        <is>
          <t>PHN</t>
        </is>
      </c>
      <c r="E783" s="60" t="inlineStr">
        <is>
          <t>iPhone 3G</t>
        </is>
      </c>
      <c r="F783" s="104" t="inlineStr">
        <is>
          <t>SVC000019</t>
        </is>
      </c>
      <c r="G783" s="104" t="inlineStr">
        <is>
          <t>Earpiece Replacement</t>
        </is>
      </c>
      <c r="H783" s="104" t="inlineStr">
        <is>
          <t>Audio</t>
        </is>
      </c>
      <c r="I783" s="104" t="n"/>
      <c r="J783" s="104" t="n"/>
      <c r="K783" s="104" t="n"/>
      <c r="L783" s="104" t="n"/>
      <c r="M783" s="104" t="n"/>
      <c r="N783" s="104" t="n"/>
      <c r="O783" s="104" t="n"/>
      <c r="P783" s="104" t="n"/>
      <c r="Q783" s="104" t="n"/>
      <c r="R783" s="104" t="n"/>
      <c r="S783" s="110" t="n"/>
      <c r="T783" s="110" t="n"/>
      <c r="U783" s="104" t="n"/>
    </row>
    <row r="784">
      <c r="A784" s="104" t="inlineStr">
        <is>
          <t>GUIDE000783</t>
        </is>
      </c>
      <c r="B784" s="101" t="inlineStr">
        <is>
          <t>DEV000003</t>
        </is>
      </c>
      <c r="C784" s="103" t="inlineStr">
        <is>
          <t>APL</t>
        </is>
      </c>
      <c r="D784" s="103" t="inlineStr">
        <is>
          <t>PHN</t>
        </is>
      </c>
      <c r="E784" s="60" t="inlineStr">
        <is>
          <t>iPhone 3GS</t>
        </is>
      </c>
      <c r="F784" s="104" t="inlineStr">
        <is>
          <t>SVC000019</t>
        </is>
      </c>
      <c r="G784" s="104" t="inlineStr">
        <is>
          <t>Earpiece Replacement</t>
        </is>
      </c>
      <c r="H784" s="104" t="inlineStr">
        <is>
          <t>Audio</t>
        </is>
      </c>
      <c r="I784" s="104" t="n"/>
      <c r="J784" s="104" t="n"/>
      <c r="K784" s="104" t="n"/>
      <c r="L784" s="104" t="n"/>
      <c r="M784" s="104" t="n"/>
      <c r="N784" s="104" t="n"/>
      <c r="O784" s="104" t="n"/>
      <c r="P784" s="104" t="n"/>
      <c r="Q784" s="104" t="n"/>
      <c r="R784" s="104" t="n"/>
      <c r="S784" s="110" t="n"/>
      <c r="T784" s="110" t="n"/>
      <c r="U784" s="104" t="n"/>
    </row>
    <row r="785">
      <c r="A785" s="104" t="inlineStr">
        <is>
          <t>GUIDE000784</t>
        </is>
      </c>
      <c r="B785" s="101" t="inlineStr">
        <is>
          <t>DEV000004</t>
        </is>
      </c>
      <c r="C785" s="103" t="inlineStr">
        <is>
          <t>APL</t>
        </is>
      </c>
      <c r="D785" s="103" t="inlineStr">
        <is>
          <t>PHN</t>
        </is>
      </c>
      <c r="E785" s="60" t="inlineStr">
        <is>
          <t>iPhone 4</t>
        </is>
      </c>
      <c r="F785" s="104" t="inlineStr">
        <is>
          <t>SVC000019</t>
        </is>
      </c>
      <c r="G785" s="104" t="inlineStr">
        <is>
          <t>Earpiece Replacement</t>
        </is>
      </c>
      <c r="H785" s="104" t="inlineStr">
        <is>
          <t>Audio</t>
        </is>
      </c>
      <c r="I785" s="104" t="n"/>
      <c r="J785" s="104" t="n"/>
      <c r="K785" s="104" t="n"/>
      <c r="L785" s="104" t="n"/>
      <c r="M785" s="104" t="n"/>
      <c r="N785" s="104" t="n"/>
      <c r="O785" s="104" t="n"/>
      <c r="P785" s="104" t="n"/>
      <c r="Q785" s="104" t="n"/>
      <c r="R785" s="104" t="n"/>
      <c r="S785" s="110" t="n"/>
      <c r="T785" s="110" t="n"/>
      <c r="U785" s="104" t="n"/>
    </row>
    <row r="786">
      <c r="A786" s="105" t="inlineStr">
        <is>
          <t>GUIDE000785</t>
        </is>
      </c>
      <c r="B786" s="101" t="inlineStr">
        <is>
          <t>DEV000005</t>
        </is>
      </c>
      <c r="C786" s="103" t="inlineStr">
        <is>
          <t>APL</t>
        </is>
      </c>
      <c r="D786" s="103" t="inlineStr">
        <is>
          <t>PHN</t>
        </is>
      </c>
      <c r="E786" s="60" t="inlineStr">
        <is>
          <t>iPhone 4s</t>
        </is>
      </c>
      <c r="F786" s="104" t="inlineStr">
        <is>
          <t>SVC000019</t>
        </is>
      </c>
      <c r="G786" s="104" t="inlineStr">
        <is>
          <t>Earpiece Replacement</t>
        </is>
      </c>
      <c r="H786" s="104" t="inlineStr">
        <is>
          <t>Audio</t>
        </is>
      </c>
      <c r="I786" s="104" t="n"/>
      <c r="J786" s="104" t="n"/>
      <c r="K786" s="104" t="n"/>
      <c r="L786" s="104" t="n"/>
      <c r="M786" s="104" t="n"/>
      <c r="N786" s="104" t="n"/>
      <c r="O786" s="104" t="n"/>
      <c r="P786" s="104" t="n"/>
      <c r="Q786" s="104" t="n"/>
      <c r="R786" s="104" t="n"/>
      <c r="S786" s="110" t="n"/>
      <c r="T786" s="110" t="n"/>
      <c r="U786" s="104" t="n"/>
    </row>
    <row r="787">
      <c r="A787" s="104" t="inlineStr">
        <is>
          <t>GUIDE000786</t>
        </is>
      </c>
      <c r="B787" s="101" t="inlineStr">
        <is>
          <t>DEV000006</t>
        </is>
      </c>
      <c r="C787" s="103" t="inlineStr">
        <is>
          <t>APL</t>
        </is>
      </c>
      <c r="D787" s="103" t="inlineStr">
        <is>
          <t>PHN</t>
        </is>
      </c>
      <c r="E787" s="60" t="inlineStr">
        <is>
          <t>iPhone 5</t>
        </is>
      </c>
      <c r="F787" s="104" t="inlineStr">
        <is>
          <t>SVC000019</t>
        </is>
      </c>
      <c r="G787" s="104" t="inlineStr">
        <is>
          <t>Earpiece Replacement</t>
        </is>
      </c>
      <c r="H787" s="104" t="inlineStr">
        <is>
          <t>Audio</t>
        </is>
      </c>
      <c r="I787" s="104" t="n"/>
      <c r="J787" s="104" t="n"/>
      <c r="K787" s="104" t="n"/>
      <c r="L787" s="104" t="n"/>
      <c r="M787" s="104" t="n"/>
      <c r="N787" s="104" t="n"/>
      <c r="O787" s="104" t="n"/>
      <c r="P787" s="104" t="n"/>
      <c r="Q787" s="104" t="n"/>
      <c r="R787" s="104" t="n"/>
      <c r="S787" s="110" t="n"/>
      <c r="T787" s="110" t="n"/>
      <c r="U787" s="104" t="n"/>
    </row>
    <row r="788">
      <c r="A788" s="104" t="inlineStr">
        <is>
          <t>GUIDE000787</t>
        </is>
      </c>
      <c r="B788" s="101" t="inlineStr">
        <is>
          <t>DEV000007</t>
        </is>
      </c>
      <c r="C788" s="103" t="inlineStr">
        <is>
          <t>APL</t>
        </is>
      </c>
      <c r="D788" s="103" t="inlineStr">
        <is>
          <t>PHN</t>
        </is>
      </c>
      <c r="E788" s="60" t="inlineStr">
        <is>
          <t>iPhone 5c</t>
        </is>
      </c>
      <c r="F788" s="104" t="inlineStr">
        <is>
          <t>SVC000019</t>
        </is>
      </c>
      <c r="G788" s="104" t="inlineStr">
        <is>
          <t>Earpiece Replacement</t>
        </is>
      </c>
      <c r="H788" s="104" t="inlineStr">
        <is>
          <t>Audio</t>
        </is>
      </c>
      <c r="I788" s="104" t="n"/>
      <c r="J788" s="104" t="n"/>
      <c r="K788" s="104" t="n"/>
      <c r="L788" s="104" t="n"/>
      <c r="M788" s="104" t="n"/>
      <c r="N788" s="104" t="n"/>
      <c r="O788" s="104" t="n"/>
      <c r="P788" s="104" t="n"/>
      <c r="Q788" s="104" t="n"/>
      <c r="R788" s="104" t="n"/>
      <c r="S788" s="110" t="n"/>
      <c r="T788" s="110" t="n"/>
      <c r="U788" s="104" t="n"/>
    </row>
    <row r="789">
      <c r="A789" s="104" t="inlineStr">
        <is>
          <t>GUIDE000788</t>
        </is>
      </c>
      <c r="B789" s="101" t="inlineStr">
        <is>
          <t>DEV000008</t>
        </is>
      </c>
      <c r="C789" s="103" t="inlineStr">
        <is>
          <t>APL</t>
        </is>
      </c>
      <c r="D789" s="103" t="inlineStr">
        <is>
          <t>PHN</t>
        </is>
      </c>
      <c r="E789" s="60" t="inlineStr">
        <is>
          <t>iPhone 5s</t>
        </is>
      </c>
      <c r="F789" s="104" t="inlineStr">
        <is>
          <t>SVC000019</t>
        </is>
      </c>
      <c r="G789" s="104" t="inlineStr">
        <is>
          <t>Earpiece Replacement</t>
        </is>
      </c>
      <c r="H789" s="104" t="inlineStr">
        <is>
          <t>Audio</t>
        </is>
      </c>
      <c r="I789" s="104" t="n"/>
      <c r="J789" s="104" t="n"/>
      <c r="K789" s="104" t="n"/>
      <c r="L789" s="104" t="n"/>
      <c r="M789" s="104" t="n"/>
      <c r="N789" s="104" t="n"/>
      <c r="O789" s="104" t="n"/>
      <c r="P789" s="104" t="n"/>
      <c r="Q789" s="104" t="n"/>
      <c r="R789" s="104" t="n"/>
      <c r="S789" s="110" t="n"/>
      <c r="T789" s="110" t="n"/>
      <c r="U789" s="104" t="n"/>
    </row>
    <row r="790">
      <c r="A790" s="105" t="inlineStr">
        <is>
          <t>GUIDE000789</t>
        </is>
      </c>
      <c r="B790" s="101" t="inlineStr">
        <is>
          <t>DEV000009</t>
        </is>
      </c>
      <c r="C790" s="103" t="inlineStr">
        <is>
          <t>APL</t>
        </is>
      </c>
      <c r="D790" s="103" t="inlineStr">
        <is>
          <t>PHN</t>
        </is>
      </c>
      <c r="E790" s="60" t="inlineStr">
        <is>
          <t>iPhone 6</t>
        </is>
      </c>
      <c r="F790" s="104" t="inlineStr">
        <is>
          <t>SVC000019</t>
        </is>
      </c>
      <c r="G790" s="104" t="inlineStr">
        <is>
          <t>Earpiece Replacement</t>
        </is>
      </c>
      <c r="H790" s="104" t="inlineStr">
        <is>
          <t>Audio</t>
        </is>
      </c>
      <c r="I790" s="104" t="n"/>
      <c r="J790" s="104" t="n"/>
      <c r="K790" s="104" t="n"/>
      <c r="L790" s="104" t="n"/>
      <c r="M790" s="104" t="n"/>
      <c r="N790" s="104" t="n"/>
      <c r="O790" s="104" t="n"/>
      <c r="P790" s="104" t="n"/>
      <c r="Q790" s="104" t="n"/>
      <c r="R790" s="104" t="n"/>
      <c r="S790" s="110" t="n"/>
      <c r="T790" s="110" t="n"/>
      <c r="U790" s="104" t="n"/>
    </row>
    <row r="791">
      <c r="A791" s="104" t="inlineStr">
        <is>
          <t>GUIDE000790</t>
        </is>
      </c>
      <c r="B791" s="101" t="inlineStr">
        <is>
          <t>DEV000010</t>
        </is>
      </c>
      <c r="C791" s="103" t="inlineStr">
        <is>
          <t>APL</t>
        </is>
      </c>
      <c r="D791" s="103" t="inlineStr">
        <is>
          <t>PHN</t>
        </is>
      </c>
      <c r="E791" s="60" t="inlineStr">
        <is>
          <t>iPhone 6 Plus</t>
        </is>
      </c>
      <c r="F791" s="104" t="inlineStr">
        <is>
          <t>SVC000019</t>
        </is>
      </c>
      <c r="G791" s="104" t="inlineStr">
        <is>
          <t>Earpiece Replacement</t>
        </is>
      </c>
      <c r="H791" s="104" t="inlineStr">
        <is>
          <t>Audio</t>
        </is>
      </c>
      <c r="I791" s="104" t="n"/>
      <c r="J791" s="104" t="n"/>
      <c r="K791" s="104" t="n"/>
      <c r="L791" s="104" t="n"/>
      <c r="M791" s="104" t="n"/>
      <c r="N791" s="104" t="n"/>
      <c r="O791" s="104" t="n"/>
      <c r="P791" s="104" t="n"/>
      <c r="Q791" s="104" t="n"/>
      <c r="R791" s="104" t="n"/>
      <c r="S791" s="110" t="n"/>
      <c r="T791" s="110" t="n"/>
      <c r="U791" s="104" t="n"/>
    </row>
    <row r="792">
      <c r="A792" s="104" t="inlineStr">
        <is>
          <t>GUIDE000791</t>
        </is>
      </c>
      <c r="B792" s="101" t="inlineStr">
        <is>
          <t>DEV000011</t>
        </is>
      </c>
      <c r="C792" s="103" t="inlineStr">
        <is>
          <t>APL</t>
        </is>
      </c>
      <c r="D792" s="103" t="inlineStr">
        <is>
          <t>PHN</t>
        </is>
      </c>
      <c r="E792" s="60" t="inlineStr">
        <is>
          <t>iPhone 6s</t>
        </is>
      </c>
      <c r="F792" s="104" t="inlineStr">
        <is>
          <t>SVC000019</t>
        </is>
      </c>
      <c r="G792" s="104" t="inlineStr">
        <is>
          <t>Earpiece Replacement</t>
        </is>
      </c>
      <c r="H792" s="104" t="inlineStr">
        <is>
          <t>Audio</t>
        </is>
      </c>
      <c r="I792" s="104" t="n"/>
      <c r="J792" s="104" t="n"/>
      <c r="K792" s="104" t="n"/>
      <c r="L792" s="104" t="n"/>
      <c r="M792" s="104" t="n"/>
      <c r="N792" s="104" t="n"/>
      <c r="O792" s="104" t="n"/>
      <c r="P792" s="104" t="n"/>
      <c r="Q792" s="104" t="n"/>
      <c r="R792" s="104" t="n"/>
      <c r="S792" s="110" t="n"/>
      <c r="T792" s="110" t="n"/>
      <c r="U792" s="104" t="n"/>
    </row>
    <row r="793">
      <c r="A793" s="104" t="inlineStr">
        <is>
          <t>GUIDE000792</t>
        </is>
      </c>
      <c r="B793" s="101" t="inlineStr">
        <is>
          <t>DEV000012</t>
        </is>
      </c>
      <c r="C793" s="103" t="inlineStr">
        <is>
          <t>APL</t>
        </is>
      </c>
      <c r="D793" s="103" t="inlineStr">
        <is>
          <t>PHN</t>
        </is>
      </c>
      <c r="E793" s="60" t="inlineStr">
        <is>
          <t>iPhone 6s Plus</t>
        </is>
      </c>
      <c r="F793" s="104" t="inlineStr">
        <is>
          <t>SVC000019</t>
        </is>
      </c>
      <c r="G793" s="104" t="inlineStr">
        <is>
          <t>Earpiece Replacement</t>
        </is>
      </c>
      <c r="H793" s="104" t="inlineStr">
        <is>
          <t>Audio</t>
        </is>
      </c>
      <c r="I793" s="104" t="n"/>
      <c r="J793" s="104" t="n"/>
      <c r="K793" s="104" t="n"/>
      <c r="L793" s="104" t="n"/>
      <c r="M793" s="104" t="n"/>
      <c r="N793" s="104" t="n"/>
      <c r="O793" s="104" t="n"/>
      <c r="P793" s="104" t="n"/>
      <c r="Q793" s="104" t="n"/>
      <c r="R793" s="104" t="n"/>
      <c r="S793" s="110" t="n"/>
      <c r="T793" s="110" t="n"/>
      <c r="U793" s="104" t="n"/>
    </row>
    <row r="794">
      <c r="A794" s="104" t="inlineStr">
        <is>
          <t>GUIDE000793</t>
        </is>
      </c>
      <c r="B794" s="101" t="inlineStr">
        <is>
          <t>DEV000013</t>
        </is>
      </c>
      <c r="C794" s="103" t="inlineStr">
        <is>
          <t>APL</t>
        </is>
      </c>
      <c r="D794" s="103" t="inlineStr">
        <is>
          <t>PHN</t>
        </is>
      </c>
      <c r="E794" s="60" t="inlineStr">
        <is>
          <t>iPhone SE (1st Gen)</t>
        </is>
      </c>
      <c r="F794" s="104" t="inlineStr">
        <is>
          <t>SVC000019</t>
        </is>
      </c>
      <c r="G794" s="104" t="inlineStr">
        <is>
          <t>Earpiece Replacement</t>
        </is>
      </c>
      <c r="H794" s="104" t="inlineStr">
        <is>
          <t>Audio</t>
        </is>
      </c>
      <c r="I794" s="104" t="n"/>
      <c r="J794" s="104" t="n"/>
      <c r="K794" s="104" t="n"/>
      <c r="L794" s="104" t="n"/>
      <c r="M794" s="104" t="n"/>
      <c r="N794" s="104" t="n"/>
      <c r="O794" s="104" t="n"/>
      <c r="P794" s="104" t="n"/>
      <c r="Q794" s="104" t="n"/>
      <c r="R794" s="104" t="n"/>
      <c r="S794" s="110" t="n"/>
      <c r="T794" s="110" t="n"/>
      <c r="U794" s="104" t="n"/>
    </row>
    <row r="795">
      <c r="A795" s="105" t="inlineStr">
        <is>
          <t>GUIDE000794</t>
        </is>
      </c>
      <c r="B795" s="101" t="inlineStr">
        <is>
          <t>DEV000014</t>
        </is>
      </c>
      <c r="C795" s="103" t="inlineStr">
        <is>
          <t>APL</t>
        </is>
      </c>
      <c r="D795" s="103" t="inlineStr">
        <is>
          <t>PHN</t>
        </is>
      </c>
      <c r="E795" s="60" t="inlineStr">
        <is>
          <t>iPhone 7</t>
        </is>
      </c>
      <c r="F795" s="104" t="inlineStr">
        <is>
          <t>SVC000019</t>
        </is>
      </c>
      <c r="G795" s="104" t="inlineStr">
        <is>
          <t>Earpiece Replacement</t>
        </is>
      </c>
      <c r="H795" s="104" t="inlineStr">
        <is>
          <t>Audio</t>
        </is>
      </c>
      <c r="I795" s="104" t="n"/>
      <c r="J795" s="104" t="n"/>
      <c r="K795" s="104" t="n"/>
      <c r="L795" s="104" t="n"/>
      <c r="M795" s="104" t="n"/>
      <c r="N795" s="104" t="n"/>
      <c r="O795" s="104" t="n"/>
      <c r="P795" s="104" t="n"/>
      <c r="Q795" s="104" t="n"/>
      <c r="R795" s="104" t="n"/>
      <c r="S795" s="110" t="n"/>
      <c r="T795" s="110" t="n"/>
      <c r="U795" s="104" t="n"/>
    </row>
    <row r="796">
      <c r="A796" s="104" t="inlineStr">
        <is>
          <t>GUIDE000795</t>
        </is>
      </c>
      <c r="B796" s="101" t="inlineStr">
        <is>
          <t>DEV000015</t>
        </is>
      </c>
      <c r="C796" s="103" t="inlineStr">
        <is>
          <t>APL</t>
        </is>
      </c>
      <c r="D796" s="103" t="inlineStr">
        <is>
          <t>PHN</t>
        </is>
      </c>
      <c r="E796" s="60" t="inlineStr">
        <is>
          <t>iPhone 7 Plus</t>
        </is>
      </c>
      <c r="F796" s="104" t="inlineStr">
        <is>
          <t>SVC000019</t>
        </is>
      </c>
      <c r="G796" s="104" t="inlineStr">
        <is>
          <t>Earpiece Replacement</t>
        </is>
      </c>
      <c r="H796" s="104" t="inlineStr">
        <is>
          <t>Audio</t>
        </is>
      </c>
      <c r="I796" s="104" t="n"/>
      <c r="J796" s="104" t="n"/>
      <c r="K796" s="104" t="n"/>
      <c r="L796" s="104" t="n"/>
      <c r="M796" s="104" t="n"/>
      <c r="N796" s="104" t="n"/>
      <c r="O796" s="104" t="n"/>
      <c r="P796" s="104" t="n"/>
      <c r="Q796" s="104" t="n"/>
      <c r="R796" s="104" t="n"/>
      <c r="S796" s="110" t="n"/>
      <c r="T796" s="110" t="n"/>
      <c r="U796" s="104" t="n"/>
    </row>
    <row r="797">
      <c r="A797" s="104" t="inlineStr">
        <is>
          <t>GUIDE000796</t>
        </is>
      </c>
      <c r="B797" s="101" t="inlineStr">
        <is>
          <t>DEV000016</t>
        </is>
      </c>
      <c r="C797" s="103" t="inlineStr">
        <is>
          <t>APL</t>
        </is>
      </c>
      <c r="D797" s="103" t="inlineStr">
        <is>
          <t>PHN</t>
        </is>
      </c>
      <c r="E797" s="60" t="inlineStr">
        <is>
          <t>iPhone 8</t>
        </is>
      </c>
      <c r="F797" s="104" t="inlineStr">
        <is>
          <t>SVC000019</t>
        </is>
      </c>
      <c r="G797" s="104" t="inlineStr">
        <is>
          <t>Earpiece Replacement</t>
        </is>
      </c>
      <c r="H797" s="104" t="inlineStr">
        <is>
          <t>Audio</t>
        </is>
      </c>
      <c r="I797" s="104" t="n"/>
      <c r="J797" s="104" t="n"/>
      <c r="K797" s="104" t="n"/>
      <c r="L797" s="104" t="n"/>
      <c r="M797" s="104" t="n"/>
      <c r="N797" s="104" t="n"/>
      <c r="O797" s="104" t="n"/>
      <c r="P797" s="104" t="n"/>
      <c r="Q797" s="104" t="n"/>
      <c r="R797" s="104" t="n"/>
      <c r="S797" s="110" t="n"/>
      <c r="T797" s="110" t="n"/>
      <c r="U797" s="104" t="n"/>
    </row>
    <row r="798">
      <c r="A798" s="104" t="inlineStr">
        <is>
          <t>GUIDE000797</t>
        </is>
      </c>
      <c r="B798" s="101" t="inlineStr">
        <is>
          <t>DEV000017</t>
        </is>
      </c>
      <c r="C798" s="103" t="inlineStr">
        <is>
          <t>APL</t>
        </is>
      </c>
      <c r="D798" s="103" t="inlineStr">
        <is>
          <t>PHN</t>
        </is>
      </c>
      <c r="E798" s="60" t="inlineStr">
        <is>
          <t>iPhone 8 Plus</t>
        </is>
      </c>
      <c r="F798" s="104" t="inlineStr">
        <is>
          <t>SVC000019</t>
        </is>
      </c>
      <c r="G798" s="104" t="inlineStr">
        <is>
          <t>Earpiece Replacement</t>
        </is>
      </c>
      <c r="H798" s="104" t="inlineStr">
        <is>
          <t>Audio</t>
        </is>
      </c>
      <c r="I798" s="104" t="n"/>
      <c r="J798" s="104" t="n"/>
      <c r="K798" s="104" t="n"/>
      <c r="L798" s="104" t="n"/>
      <c r="M798" s="104" t="n"/>
      <c r="N798" s="104" t="n"/>
      <c r="O798" s="104" t="n"/>
      <c r="P798" s="104" t="n"/>
      <c r="Q798" s="104" t="n"/>
      <c r="R798" s="104" t="n"/>
      <c r="S798" s="110" t="n"/>
      <c r="T798" s="110" t="n"/>
      <c r="U798" s="104" t="n"/>
    </row>
    <row r="799">
      <c r="A799" s="105" t="inlineStr">
        <is>
          <t>GUIDE000798</t>
        </is>
      </c>
      <c r="B799" s="101" t="inlineStr">
        <is>
          <t>DEV000018</t>
        </is>
      </c>
      <c r="C799" s="103" t="inlineStr">
        <is>
          <t>APL</t>
        </is>
      </c>
      <c r="D799" s="103" t="inlineStr">
        <is>
          <t>PHN</t>
        </is>
      </c>
      <c r="E799" s="60" t="inlineStr">
        <is>
          <t>iPhone X</t>
        </is>
      </c>
      <c r="F799" s="104" t="inlineStr">
        <is>
          <t>SVC000019</t>
        </is>
      </c>
      <c r="G799" s="104" t="inlineStr">
        <is>
          <t>Earpiece Replacement</t>
        </is>
      </c>
      <c r="H799" s="104" t="inlineStr">
        <is>
          <t>Audio</t>
        </is>
      </c>
      <c r="I799" s="104" t="n"/>
      <c r="J799" s="104" t="n"/>
      <c r="K799" s="104" t="n"/>
      <c r="L799" s="104" t="n"/>
      <c r="M799" s="104" t="n"/>
      <c r="N799" s="104" t="n"/>
      <c r="O799" s="104" t="n"/>
      <c r="P799" s="104" t="n"/>
      <c r="Q799" s="104" t="n"/>
      <c r="R799" s="104" t="n"/>
      <c r="S799" s="110" t="n"/>
      <c r="T799" s="110" t="n"/>
      <c r="U799" s="104" t="n"/>
    </row>
    <row r="800">
      <c r="A800" s="104" t="inlineStr">
        <is>
          <t>GUIDE000799</t>
        </is>
      </c>
      <c r="B800" s="101" t="inlineStr">
        <is>
          <t>DEV000019</t>
        </is>
      </c>
      <c r="C800" s="103" t="inlineStr">
        <is>
          <t>APL</t>
        </is>
      </c>
      <c r="D800" s="103" t="inlineStr">
        <is>
          <t>PHN</t>
        </is>
      </c>
      <c r="E800" s="60" t="inlineStr">
        <is>
          <t>iPhone XR</t>
        </is>
      </c>
      <c r="F800" s="104" t="inlineStr">
        <is>
          <t>SVC000019</t>
        </is>
      </c>
      <c r="G800" s="104" t="inlineStr">
        <is>
          <t>Earpiece Replacement</t>
        </is>
      </c>
      <c r="H800" s="104" t="inlineStr">
        <is>
          <t>Audio</t>
        </is>
      </c>
      <c r="I800" s="104" t="n"/>
      <c r="J800" s="104" t="n"/>
      <c r="K800" s="104" t="n"/>
      <c r="L800" s="104" t="n"/>
      <c r="M800" s="104" t="n"/>
      <c r="N800" s="104" t="n"/>
      <c r="O800" s="104" t="n"/>
      <c r="P800" s="104" t="n"/>
      <c r="Q800" s="104" t="n"/>
      <c r="R800" s="104" t="n"/>
      <c r="S800" s="110" t="n"/>
      <c r="T800" s="110" t="n"/>
      <c r="U800" s="104" t="n"/>
    </row>
    <row r="801">
      <c r="A801" s="104" t="inlineStr">
        <is>
          <t>GUIDE000800</t>
        </is>
      </c>
      <c r="B801" s="101" t="inlineStr">
        <is>
          <t>DEV000020</t>
        </is>
      </c>
      <c r="C801" s="103" t="inlineStr">
        <is>
          <t>APL</t>
        </is>
      </c>
      <c r="D801" s="103" t="inlineStr">
        <is>
          <t>PHN</t>
        </is>
      </c>
      <c r="E801" s="60" t="inlineStr">
        <is>
          <t>iPhone XS</t>
        </is>
      </c>
      <c r="F801" s="104" t="inlineStr">
        <is>
          <t>SVC000019</t>
        </is>
      </c>
      <c r="G801" s="104" t="inlineStr">
        <is>
          <t>Earpiece Replacement</t>
        </is>
      </c>
      <c r="H801" s="104" t="inlineStr">
        <is>
          <t>Audio</t>
        </is>
      </c>
      <c r="I801" s="104" t="n"/>
      <c r="J801" s="104" t="n"/>
      <c r="K801" s="104" t="n"/>
      <c r="L801" s="104" t="n"/>
      <c r="M801" s="104" t="n"/>
      <c r="N801" s="104" t="n"/>
      <c r="O801" s="104" t="n"/>
      <c r="P801" s="104" t="n"/>
      <c r="Q801" s="104" t="n"/>
      <c r="R801" s="104" t="n"/>
      <c r="S801" s="110" t="n"/>
      <c r="T801" s="110" t="n"/>
      <c r="U801" s="104" t="n"/>
    </row>
    <row r="802">
      <c r="A802" s="104" t="inlineStr">
        <is>
          <t>GUIDE000801</t>
        </is>
      </c>
      <c r="B802" s="101" t="inlineStr">
        <is>
          <t>DEV000021</t>
        </is>
      </c>
      <c r="C802" s="103" t="inlineStr">
        <is>
          <t>APL</t>
        </is>
      </c>
      <c r="D802" s="103" t="inlineStr">
        <is>
          <t>PHN</t>
        </is>
      </c>
      <c r="E802" s="60" t="inlineStr">
        <is>
          <t>iPhone XS Max</t>
        </is>
      </c>
      <c r="F802" s="104" t="inlineStr">
        <is>
          <t>SVC000019</t>
        </is>
      </c>
      <c r="G802" s="104" t="inlineStr">
        <is>
          <t>Earpiece Replacement</t>
        </is>
      </c>
      <c r="H802" s="104" t="inlineStr">
        <is>
          <t>Audio</t>
        </is>
      </c>
      <c r="I802" s="104" t="n"/>
      <c r="J802" s="104" t="n"/>
      <c r="K802" s="104" t="n"/>
      <c r="L802" s="104" t="n"/>
      <c r="M802" s="104" t="n"/>
      <c r="N802" s="104" t="n"/>
      <c r="O802" s="104" t="n"/>
      <c r="P802" s="104" t="n"/>
      <c r="Q802" s="104" t="n"/>
      <c r="R802" s="104" t="n"/>
      <c r="S802" s="110" t="n"/>
      <c r="T802" s="110" t="n"/>
      <c r="U802" s="104" t="n"/>
    </row>
    <row r="803">
      <c r="A803" s="104" t="inlineStr">
        <is>
          <t>GUIDE000802</t>
        </is>
      </c>
      <c r="B803" s="101" t="inlineStr">
        <is>
          <t>DEV000022</t>
        </is>
      </c>
      <c r="C803" s="103" t="inlineStr">
        <is>
          <t>APL</t>
        </is>
      </c>
      <c r="D803" s="103" t="inlineStr">
        <is>
          <t>PHN</t>
        </is>
      </c>
      <c r="E803" s="60" t="inlineStr">
        <is>
          <t>iPhone 11</t>
        </is>
      </c>
      <c r="F803" s="104" t="inlineStr">
        <is>
          <t>SVC000019</t>
        </is>
      </c>
      <c r="G803" s="104" t="inlineStr">
        <is>
          <t>Earpiece Replacement</t>
        </is>
      </c>
      <c r="H803" s="104" t="inlineStr">
        <is>
          <t>Audio</t>
        </is>
      </c>
      <c r="I803" s="104" t="n"/>
      <c r="J803" s="104" t="n"/>
      <c r="K803" s="104" t="n"/>
      <c r="L803" s="104" t="n"/>
      <c r="M803" s="104" t="n"/>
      <c r="N803" s="104" t="n"/>
      <c r="O803" s="104" t="n"/>
      <c r="P803" s="104" t="n"/>
      <c r="Q803" s="104" t="n"/>
      <c r="R803" s="104" t="n"/>
      <c r="S803" s="110" t="n"/>
      <c r="T803" s="110" t="n"/>
      <c r="U803" s="104" t="n"/>
    </row>
    <row r="804">
      <c r="A804" s="105" t="inlineStr">
        <is>
          <t>GUIDE000803</t>
        </is>
      </c>
      <c r="B804" s="101" t="inlineStr">
        <is>
          <t>DEV000023</t>
        </is>
      </c>
      <c r="C804" s="103" t="inlineStr">
        <is>
          <t>APL</t>
        </is>
      </c>
      <c r="D804" s="103" t="inlineStr">
        <is>
          <t>PHN</t>
        </is>
      </c>
      <c r="E804" s="60" t="inlineStr">
        <is>
          <t>iPhone 11 Pro</t>
        </is>
      </c>
      <c r="F804" s="104" t="inlineStr">
        <is>
          <t>SVC000019</t>
        </is>
      </c>
      <c r="G804" s="104" t="inlineStr">
        <is>
          <t>Earpiece Replacement</t>
        </is>
      </c>
      <c r="H804" s="104" t="inlineStr">
        <is>
          <t>Audio</t>
        </is>
      </c>
      <c r="I804" s="104" t="n"/>
      <c r="J804" s="104" t="n"/>
      <c r="K804" s="104" t="n"/>
      <c r="L804" s="104" t="n"/>
      <c r="M804" s="104" t="n"/>
      <c r="N804" s="104" t="n"/>
      <c r="O804" s="104" t="n"/>
      <c r="P804" s="104" t="n"/>
      <c r="Q804" s="104" t="n"/>
      <c r="R804" s="104" t="n"/>
      <c r="S804" s="110" t="n"/>
      <c r="T804" s="110" t="n"/>
      <c r="U804" s="104" t="n"/>
    </row>
    <row r="805">
      <c r="A805" s="104" t="inlineStr">
        <is>
          <t>GUIDE000804</t>
        </is>
      </c>
      <c r="B805" s="101" t="inlineStr">
        <is>
          <t>DEV000024</t>
        </is>
      </c>
      <c r="C805" s="103" t="inlineStr">
        <is>
          <t>APL</t>
        </is>
      </c>
      <c r="D805" s="103" t="inlineStr">
        <is>
          <t>PHN</t>
        </is>
      </c>
      <c r="E805" s="60" t="inlineStr">
        <is>
          <t>iPhone 11 Pro Max</t>
        </is>
      </c>
      <c r="F805" s="104" t="inlineStr">
        <is>
          <t>SVC000019</t>
        </is>
      </c>
      <c r="G805" s="104" t="inlineStr">
        <is>
          <t>Earpiece Replacement</t>
        </is>
      </c>
      <c r="H805" s="104" t="inlineStr">
        <is>
          <t>Audio</t>
        </is>
      </c>
      <c r="I805" s="104" t="n"/>
      <c r="J805" s="104" t="n"/>
      <c r="K805" s="104" t="n"/>
      <c r="L805" s="104" t="n"/>
      <c r="M805" s="104" t="n"/>
      <c r="N805" s="104" t="n"/>
      <c r="O805" s="104" t="n"/>
      <c r="P805" s="104" t="n"/>
      <c r="Q805" s="104" t="n"/>
      <c r="R805" s="104" t="n"/>
      <c r="S805" s="110" t="n"/>
      <c r="T805" s="110" t="n"/>
      <c r="U805" s="104" t="n"/>
    </row>
    <row r="806">
      <c r="A806" s="104" t="inlineStr">
        <is>
          <t>GUIDE000805</t>
        </is>
      </c>
      <c r="B806" s="101" t="inlineStr">
        <is>
          <t>DEV000025</t>
        </is>
      </c>
      <c r="C806" s="103" t="inlineStr">
        <is>
          <t>APL</t>
        </is>
      </c>
      <c r="D806" s="103" t="inlineStr">
        <is>
          <t>PHN</t>
        </is>
      </c>
      <c r="E806" s="60" t="inlineStr">
        <is>
          <t>iPhone SE (2nd Generation)</t>
        </is>
      </c>
      <c r="F806" s="104" t="inlineStr">
        <is>
          <t>SVC000019</t>
        </is>
      </c>
      <c r="G806" s="104" t="inlineStr">
        <is>
          <t>Earpiece Replacement</t>
        </is>
      </c>
      <c r="H806" s="104" t="inlineStr">
        <is>
          <t>Audio</t>
        </is>
      </c>
      <c r="I806" s="104" t="n"/>
      <c r="J806" s="104" t="n"/>
      <c r="K806" s="104" t="n"/>
      <c r="L806" s="104" t="n"/>
      <c r="M806" s="104" t="n"/>
      <c r="N806" s="104" t="n"/>
      <c r="O806" s="104" t="n"/>
      <c r="P806" s="104" t="n"/>
      <c r="Q806" s="104" t="n"/>
      <c r="R806" s="104" t="n"/>
      <c r="S806" s="110" t="n"/>
      <c r="T806" s="110" t="n"/>
      <c r="U806" s="104" t="n"/>
    </row>
    <row r="807">
      <c r="A807" s="104" t="inlineStr">
        <is>
          <t>GUIDE000806</t>
        </is>
      </c>
      <c r="B807" s="101" t="inlineStr">
        <is>
          <t>DEV000026</t>
        </is>
      </c>
      <c r="C807" s="103" t="inlineStr">
        <is>
          <t>APL</t>
        </is>
      </c>
      <c r="D807" s="103" t="inlineStr">
        <is>
          <t>PHN</t>
        </is>
      </c>
      <c r="E807" s="60" t="inlineStr">
        <is>
          <t>iPhone 12 mini</t>
        </is>
      </c>
      <c r="F807" s="104" t="inlineStr">
        <is>
          <t>SVC000019</t>
        </is>
      </c>
      <c r="G807" s="104" t="inlineStr">
        <is>
          <t>Earpiece Replacement</t>
        </is>
      </c>
      <c r="H807" s="104" t="inlineStr">
        <is>
          <t>Audio</t>
        </is>
      </c>
      <c r="I807" s="104" t="n"/>
      <c r="J807" s="104" t="n"/>
      <c r="K807" s="104" t="n"/>
      <c r="L807" s="104" t="n"/>
      <c r="M807" s="104" t="n"/>
      <c r="N807" s="104" t="n"/>
      <c r="O807" s="104" t="n"/>
      <c r="P807" s="104" t="n"/>
      <c r="Q807" s="104" t="n"/>
      <c r="R807" s="104" t="n"/>
      <c r="S807" s="110" t="n"/>
      <c r="T807" s="110" t="n"/>
      <c r="U807" s="104" t="n"/>
    </row>
    <row r="808">
      <c r="A808" s="105" t="inlineStr">
        <is>
          <t>GUIDE000807</t>
        </is>
      </c>
      <c r="B808" s="101" t="inlineStr">
        <is>
          <t>DEV000027</t>
        </is>
      </c>
      <c r="C808" s="103" t="inlineStr">
        <is>
          <t>APL</t>
        </is>
      </c>
      <c r="D808" s="103" t="inlineStr">
        <is>
          <t>PHN</t>
        </is>
      </c>
      <c r="E808" s="60" t="inlineStr">
        <is>
          <t>iPhone 12</t>
        </is>
      </c>
      <c r="F808" s="104" t="inlineStr">
        <is>
          <t>SVC000019</t>
        </is>
      </c>
      <c r="G808" s="104" t="inlineStr">
        <is>
          <t>Earpiece Replacement</t>
        </is>
      </c>
      <c r="H808" s="104" t="inlineStr">
        <is>
          <t>Audio</t>
        </is>
      </c>
      <c r="I808" s="104" t="n"/>
      <c r="J808" s="104" t="n"/>
      <c r="K808" s="104" t="n"/>
      <c r="L808" s="104" t="n"/>
      <c r="M808" s="104" t="n"/>
      <c r="N808" s="104" t="n"/>
      <c r="O808" s="104" t="n"/>
      <c r="P808" s="104" t="n"/>
      <c r="Q808" s="104" t="n"/>
      <c r="R808" s="104" t="n"/>
      <c r="S808" s="110" t="n"/>
      <c r="T808" s="110" t="n"/>
      <c r="U808" s="104" t="n"/>
    </row>
    <row r="809">
      <c r="A809" s="104" t="inlineStr">
        <is>
          <t>GUIDE000808</t>
        </is>
      </c>
      <c r="B809" s="101" t="inlineStr">
        <is>
          <t>DEV000028</t>
        </is>
      </c>
      <c r="C809" s="103" t="inlineStr">
        <is>
          <t>APL</t>
        </is>
      </c>
      <c r="D809" s="103" t="inlineStr">
        <is>
          <t>PHN</t>
        </is>
      </c>
      <c r="E809" s="60" t="inlineStr">
        <is>
          <t>iPhone 12 Pro</t>
        </is>
      </c>
      <c r="F809" s="104" t="inlineStr">
        <is>
          <t>SVC000019</t>
        </is>
      </c>
      <c r="G809" s="104" t="inlineStr">
        <is>
          <t>Earpiece Replacement</t>
        </is>
      </c>
      <c r="H809" s="104" t="inlineStr">
        <is>
          <t>Audio</t>
        </is>
      </c>
      <c r="I809" s="104" t="n"/>
      <c r="J809" s="104" t="n"/>
      <c r="K809" s="104" t="n"/>
      <c r="L809" s="104" t="n"/>
      <c r="M809" s="104" t="n"/>
      <c r="N809" s="104" t="n"/>
      <c r="O809" s="104" t="n"/>
      <c r="P809" s="104" t="n"/>
      <c r="Q809" s="104" t="n"/>
      <c r="R809" s="104" t="n"/>
      <c r="S809" s="110" t="n"/>
      <c r="T809" s="110" t="n"/>
      <c r="U809" s="104" t="n"/>
    </row>
    <row r="810">
      <c r="A810" s="104" t="inlineStr">
        <is>
          <t>GUIDE000809</t>
        </is>
      </c>
      <c r="B810" s="101" t="inlineStr">
        <is>
          <t>DEV000029</t>
        </is>
      </c>
      <c r="C810" s="103" t="inlineStr">
        <is>
          <t>APL</t>
        </is>
      </c>
      <c r="D810" s="103" t="inlineStr">
        <is>
          <t>PHN</t>
        </is>
      </c>
      <c r="E810" s="60" t="inlineStr">
        <is>
          <t>iPhone 12 Pro Max</t>
        </is>
      </c>
      <c r="F810" s="104" t="inlineStr">
        <is>
          <t>SVC000019</t>
        </is>
      </c>
      <c r="G810" s="104" t="inlineStr">
        <is>
          <t>Earpiece Replacement</t>
        </is>
      </c>
      <c r="H810" s="104" t="inlineStr">
        <is>
          <t>Audio</t>
        </is>
      </c>
      <c r="I810" s="104" t="n"/>
      <c r="J810" s="104" t="n"/>
      <c r="K810" s="104" t="n"/>
      <c r="L810" s="104" t="n"/>
      <c r="M810" s="104" t="n"/>
      <c r="N810" s="104" t="n"/>
      <c r="O810" s="104" t="n"/>
      <c r="P810" s="104" t="n"/>
      <c r="Q810" s="104" t="n"/>
      <c r="R810" s="104" t="n"/>
      <c r="S810" s="110" t="n"/>
      <c r="T810" s="110" t="n"/>
      <c r="U810" s="104" t="n"/>
    </row>
    <row r="811">
      <c r="A811" s="104" t="inlineStr">
        <is>
          <t>GUIDE000810</t>
        </is>
      </c>
      <c r="B811" s="101" t="inlineStr">
        <is>
          <t>DEV000030</t>
        </is>
      </c>
      <c r="C811" s="103" t="inlineStr">
        <is>
          <t>APL</t>
        </is>
      </c>
      <c r="D811" s="103" t="inlineStr">
        <is>
          <t>PHN</t>
        </is>
      </c>
      <c r="E811" s="60" t="inlineStr">
        <is>
          <t>iPhone 13 mini</t>
        </is>
      </c>
      <c r="F811" s="104" t="inlineStr">
        <is>
          <t>SVC000019</t>
        </is>
      </c>
      <c r="G811" s="104" t="inlineStr">
        <is>
          <t>Earpiece Replacement</t>
        </is>
      </c>
      <c r="H811" s="104" t="inlineStr">
        <is>
          <t>Audio</t>
        </is>
      </c>
      <c r="I811" s="104" t="n"/>
      <c r="J811" s="104" t="n"/>
      <c r="K811" s="104" t="n"/>
      <c r="L811" s="104" t="n"/>
      <c r="M811" s="104" t="n"/>
      <c r="N811" s="104" t="n"/>
      <c r="O811" s="104" t="n"/>
      <c r="P811" s="104" t="n"/>
      <c r="Q811" s="104" t="n"/>
      <c r="R811" s="104" t="n"/>
      <c r="S811" s="110" t="n"/>
      <c r="T811" s="110" t="n"/>
      <c r="U811" s="104" t="n"/>
    </row>
    <row r="812">
      <c r="A812" s="104" t="inlineStr">
        <is>
          <t>GUIDE000811</t>
        </is>
      </c>
      <c r="B812" s="101" t="inlineStr">
        <is>
          <t>DEV000031</t>
        </is>
      </c>
      <c r="C812" s="103" t="inlineStr">
        <is>
          <t>APL</t>
        </is>
      </c>
      <c r="D812" s="103" t="inlineStr">
        <is>
          <t>PHN</t>
        </is>
      </c>
      <c r="E812" s="60" t="inlineStr">
        <is>
          <t>iPhone 13</t>
        </is>
      </c>
      <c r="F812" s="104" t="inlineStr">
        <is>
          <t>SVC000019</t>
        </is>
      </c>
      <c r="G812" s="104" t="inlineStr">
        <is>
          <t>Earpiece Replacement</t>
        </is>
      </c>
      <c r="H812" s="104" t="inlineStr">
        <is>
          <t>Audio</t>
        </is>
      </c>
      <c r="I812" s="104" t="n"/>
      <c r="J812" s="104" t="n"/>
      <c r="K812" s="104" t="n"/>
      <c r="L812" s="104" t="n"/>
      <c r="M812" s="104" t="n"/>
      <c r="N812" s="104" t="n"/>
      <c r="O812" s="104" t="n"/>
      <c r="P812" s="104" t="n"/>
      <c r="Q812" s="104" t="n"/>
      <c r="R812" s="104" t="n"/>
      <c r="S812" s="110" t="n"/>
      <c r="T812" s="110" t="n"/>
      <c r="U812" s="104" t="n"/>
    </row>
    <row r="813">
      <c r="A813" s="105" t="inlineStr">
        <is>
          <t>GUIDE000812</t>
        </is>
      </c>
      <c r="B813" s="101" t="inlineStr">
        <is>
          <t>DEV000032</t>
        </is>
      </c>
      <c r="C813" s="103" t="inlineStr">
        <is>
          <t>APL</t>
        </is>
      </c>
      <c r="D813" s="103" t="inlineStr">
        <is>
          <t>PHN</t>
        </is>
      </c>
      <c r="E813" s="60" t="inlineStr">
        <is>
          <t>iPhone 13 Pro</t>
        </is>
      </c>
      <c r="F813" s="104" t="inlineStr">
        <is>
          <t>SVC000019</t>
        </is>
      </c>
      <c r="G813" s="104" t="inlineStr">
        <is>
          <t>Earpiece Replacement</t>
        </is>
      </c>
      <c r="H813" s="104" t="inlineStr">
        <is>
          <t>Audio</t>
        </is>
      </c>
      <c r="I813" s="104" t="n"/>
      <c r="J813" s="104" t="n"/>
      <c r="K813" s="104" t="n"/>
      <c r="L813" s="104" t="n"/>
      <c r="M813" s="104" t="n"/>
      <c r="N813" s="104" t="n"/>
      <c r="O813" s="104" t="n"/>
      <c r="P813" s="104" t="n"/>
      <c r="Q813" s="104" t="n"/>
      <c r="R813" s="104" t="n"/>
      <c r="S813" s="110" t="n"/>
      <c r="T813" s="110" t="n"/>
      <c r="U813" s="104" t="n"/>
    </row>
    <row r="814">
      <c r="A814" s="104" t="inlineStr">
        <is>
          <t>GUIDE000813</t>
        </is>
      </c>
      <c r="B814" s="101" t="inlineStr">
        <is>
          <t>DEV000033</t>
        </is>
      </c>
      <c r="C814" s="103" t="inlineStr">
        <is>
          <t>APL</t>
        </is>
      </c>
      <c r="D814" s="103" t="inlineStr">
        <is>
          <t>PHN</t>
        </is>
      </c>
      <c r="E814" s="60" t="inlineStr">
        <is>
          <t>iPhone 13 Pro Max</t>
        </is>
      </c>
      <c r="F814" s="104" t="inlineStr">
        <is>
          <t>SVC000019</t>
        </is>
      </c>
      <c r="G814" s="104" t="inlineStr">
        <is>
          <t>Earpiece Replacement</t>
        </is>
      </c>
      <c r="H814" s="104" t="inlineStr">
        <is>
          <t>Audio</t>
        </is>
      </c>
      <c r="I814" s="104" t="n"/>
      <c r="J814" s="104" t="n"/>
      <c r="K814" s="104" t="n"/>
      <c r="L814" s="104" t="n"/>
      <c r="M814" s="104" t="n"/>
      <c r="N814" s="104" t="n"/>
      <c r="O814" s="104" t="n"/>
      <c r="P814" s="104" t="n"/>
      <c r="Q814" s="104" t="n"/>
      <c r="R814" s="104" t="n"/>
      <c r="S814" s="110" t="n"/>
      <c r="T814" s="110" t="n"/>
      <c r="U814" s="104" t="n"/>
    </row>
    <row r="815">
      <c r="A815" s="104" t="inlineStr">
        <is>
          <t>GUIDE000814</t>
        </is>
      </c>
      <c r="B815" s="101" t="inlineStr">
        <is>
          <t>DEV000034</t>
        </is>
      </c>
      <c r="C815" s="103" t="inlineStr">
        <is>
          <t>APL</t>
        </is>
      </c>
      <c r="D815" s="103" t="inlineStr">
        <is>
          <t>PHN</t>
        </is>
      </c>
      <c r="E815" s="60" t="inlineStr">
        <is>
          <t>iPhone SE (3rd Generation)</t>
        </is>
      </c>
      <c r="F815" s="104" t="inlineStr">
        <is>
          <t>SVC000019</t>
        </is>
      </c>
      <c r="G815" s="104" t="inlineStr">
        <is>
          <t>Earpiece Replacement</t>
        </is>
      </c>
      <c r="H815" s="104" t="inlineStr">
        <is>
          <t>Audio</t>
        </is>
      </c>
      <c r="I815" s="104" t="n"/>
      <c r="J815" s="104" t="n"/>
      <c r="K815" s="104" t="n"/>
      <c r="L815" s="104" t="n"/>
      <c r="M815" s="104" t="n"/>
      <c r="N815" s="104" t="n"/>
      <c r="O815" s="104" t="n"/>
      <c r="P815" s="104" t="n"/>
      <c r="Q815" s="104" t="n"/>
      <c r="R815" s="104" t="n"/>
      <c r="S815" s="110" t="n"/>
      <c r="T815" s="110" t="n"/>
      <c r="U815" s="104" t="n"/>
    </row>
    <row r="816">
      <c r="A816" s="104" t="inlineStr">
        <is>
          <t>GUIDE000815</t>
        </is>
      </c>
      <c r="B816" s="101" t="inlineStr">
        <is>
          <t>DEV000035</t>
        </is>
      </c>
      <c r="C816" s="103" t="inlineStr">
        <is>
          <t>APL</t>
        </is>
      </c>
      <c r="D816" s="103" t="inlineStr">
        <is>
          <t>PHN</t>
        </is>
      </c>
      <c r="E816" s="60" t="inlineStr">
        <is>
          <t>iPhone 14</t>
        </is>
      </c>
      <c r="F816" s="104" t="inlineStr">
        <is>
          <t>SVC000019</t>
        </is>
      </c>
      <c r="G816" s="104" t="inlineStr">
        <is>
          <t>Earpiece Replacement</t>
        </is>
      </c>
      <c r="H816" s="104" t="inlineStr">
        <is>
          <t>Audio</t>
        </is>
      </c>
      <c r="I816" s="104" t="n"/>
      <c r="J816" s="104" t="n"/>
      <c r="K816" s="104" t="n"/>
      <c r="L816" s="104" t="n"/>
      <c r="M816" s="104" t="n"/>
      <c r="N816" s="104" t="n"/>
      <c r="O816" s="104" t="n"/>
      <c r="P816" s="104" t="n"/>
      <c r="Q816" s="104" t="n"/>
      <c r="R816" s="104" t="n"/>
      <c r="S816" s="110" t="n"/>
      <c r="T816" s="110" t="n"/>
      <c r="U816" s="104" t="n"/>
    </row>
    <row r="817">
      <c r="A817" s="105" t="inlineStr">
        <is>
          <t>GUIDE000816</t>
        </is>
      </c>
      <c r="B817" s="101" t="inlineStr">
        <is>
          <t>DEV000036</t>
        </is>
      </c>
      <c r="C817" s="103" t="inlineStr">
        <is>
          <t>APL</t>
        </is>
      </c>
      <c r="D817" s="103" t="inlineStr">
        <is>
          <t>PHN</t>
        </is>
      </c>
      <c r="E817" s="60" t="inlineStr">
        <is>
          <t>iPhone 14 Plus</t>
        </is>
      </c>
      <c r="F817" s="104" t="inlineStr">
        <is>
          <t>SVC000019</t>
        </is>
      </c>
      <c r="G817" s="104" t="inlineStr">
        <is>
          <t>Earpiece Replacement</t>
        </is>
      </c>
      <c r="H817" s="104" t="inlineStr">
        <is>
          <t>Audio</t>
        </is>
      </c>
      <c r="I817" s="104" t="n"/>
      <c r="J817" s="104" t="n"/>
      <c r="K817" s="104" t="n"/>
      <c r="L817" s="104" t="n"/>
      <c r="M817" s="104" t="n"/>
      <c r="N817" s="104" t="n"/>
      <c r="O817" s="104" t="n"/>
      <c r="P817" s="104" t="n"/>
      <c r="Q817" s="104" t="n"/>
      <c r="R817" s="104" t="n"/>
      <c r="S817" s="110" t="n"/>
      <c r="T817" s="110" t="n"/>
      <c r="U817" s="104" t="n"/>
    </row>
    <row r="818">
      <c r="A818" s="104" t="inlineStr">
        <is>
          <t>GUIDE000817</t>
        </is>
      </c>
      <c r="B818" s="101" t="inlineStr">
        <is>
          <t>DEV000037</t>
        </is>
      </c>
      <c r="C818" s="103" t="inlineStr">
        <is>
          <t>APL</t>
        </is>
      </c>
      <c r="D818" s="103" t="inlineStr">
        <is>
          <t>PHN</t>
        </is>
      </c>
      <c r="E818" s="60" t="inlineStr">
        <is>
          <t>iPhone 14 Pro</t>
        </is>
      </c>
      <c r="F818" s="104" t="inlineStr">
        <is>
          <t>SVC000019</t>
        </is>
      </c>
      <c r="G818" s="104" t="inlineStr">
        <is>
          <t>Earpiece Replacement</t>
        </is>
      </c>
      <c r="H818" s="104" t="inlineStr">
        <is>
          <t>Audio</t>
        </is>
      </c>
      <c r="I818" s="104" t="n"/>
      <c r="J818" s="104" t="n"/>
      <c r="K818" s="104" t="n"/>
      <c r="L818" s="104" t="n"/>
      <c r="M818" s="104" t="n"/>
      <c r="N818" s="104" t="n"/>
      <c r="O818" s="104" t="n"/>
      <c r="P818" s="104" t="n"/>
      <c r="Q818" s="104" t="n"/>
      <c r="R818" s="104" t="n"/>
      <c r="S818" s="110" t="n"/>
      <c r="T818" s="110" t="n"/>
      <c r="U818" s="104" t="n"/>
    </row>
    <row r="819">
      <c r="A819" s="104" t="inlineStr">
        <is>
          <t>GUIDE000818</t>
        </is>
      </c>
      <c r="B819" s="101" t="inlineStr">
        <is>
          <t>DEV000038</t>
        </is>
      </c>
      <c r="C819" s="103" t="inlineStr">
        <is>
          <t>APL</t>
        </is>
      </c>
      <c r="D819" s="103" t="inlineStr">
        <is>
          <t>PHN</t>
        </is>
      </c>
      <c r="E819" s="60" t="inlineStr">
        <is>
          <t>iPhone 14 Pro Max</t>
        </is>
      </c>
      <c r="F819" s="104" t="inlineStr">
        <is>
          <t>SVC000019</t>
        </is>
      </c>
      <c r="G819" s="104" t="inlineStr">
        <is>
          <t>Earpiece Replacement</t>
        </is>
      </c>
      <c r="H819" s="104" t="inlineStr">
        <is>
          <t>Audio</t>
        </is>
      </c>
      <c r="I819" s="104" t="n"/>
      <c r="J819" s="104" t="n"/>
      <c r="K819" s="104" t="n"/>
      <c r="L819" s="104" t="n"/>
      <c r="M819" s="104" t="n"/>
      <c r="N819" s="104" t="n"/>
      <c r="O819" s="104" t="n"/>
      <c r="P819" s="104" t="n"/>
      <c r="Q819" s="104" t="n"/>
      <c r="R819" s="104" t="n"/>
      <c r="S819" s="110" t="n"/>
      <c r="T819" s="110" t="n"/>
      <c r="U819" s="104" t="n"/>
    </row>
    <row r="820">
      <c r="A820" s="104" t="inlineStr">
        <is>
          <t>GUIDE000819</t>
        </is>
      </c>
      <c r="B820" s="101" t="inlineStr">
        <is>
          <t>DEV000039</t>
        </is>
      </c>
      <c r="C820" s="103" t="inlineStr">
        <is>
          <t>APL</t>
        </is>
      </c>
      <c r="D820" s="103" t="inlineStr">
        <is>
          <t>PHN</t>
        </is>
      </c>
      <c r="E820" s="60" t="inlineStr">
        <is>
          <t>iPhone 15</t>
        </is>
      </c>
      <c r="F820" s="104" t="inlineStr">
        <is>
          <t>SVC000019</t>
        </is>
      </c>
      <c r="G820" s="104" t="inlineStr">
        <is>
          <t>Earpiece Replacement</t>
        </is>
      </c>
      <c r="H820" s="104" t="inlineStr">
        <is>
          <t>Audio</t>
        </is>
      </c>
      <c r="I820" s="104" t="n"/>
      <c r="J820" s="104" t="n"/>
      <c r="K820" s="104" t="n"/>
      <c r="L820" s="104" t="n"/>
      <c r="M820" s="104" t="n"/>
      <c r="N820" s="104" t="n"/>
      <c r="O820" s="104" t="n"/>
      <c r="P820" s="104" t="n"/>
      <c r="Q820" s="104" t="n"/>
      <c r="R820" s="104" t="n"/>
      <c r="S820" s="110" t="n"/>
      <c r="T820" s="110" t="n"/>
      <c r="U820" s="104" t="n"/>
    </row>
    <row r="821">
      <c r="A821" s="104" t="inlineStr">
        <is>
          <t>GUIDE000820</t>
        </is>
      </c>
      <c r="B821" s="101" t="inlineStr">
        <is>
          <t>DEV000040</t>
        </is>
      </c>
      <c r="C821" s="103" t="inlineStr">
        <is>
          <t>APL</t>
        </is>
      </c>
      <c r="D821" s="103" t="inlineStr">
        <is>
          <t>PHN</t>
        </is>
      </c>
      <c r="E821" s="60" t="inlineStr">
        <is>
          <t>iPhone 15 Plus</t>
        </is>
      </c>
      <c r="F821" s="104" t="inlineStr">
        <is>
          <t>SVC000019</t>
        </is>
      </c>
      <c r="G821" s="104" t="inlineStr">
        <is>
          <t>Earpiece Replacement</t>
        </is>
      </c>
      <c r="H821" s="104" t="inlineStr">
        <is>
          <t>Audio</t>
        </is>
      </c>
      <c r="I821" s="104" t="n"/>
      <c r="J821" s="104" t="n"/>
      <c r="K821" s="104" t="n"/>
      <c r="L821" s="104" t="n"/>
      <c r="M821" s="104" t="n"/>
      <c r="N821" s="104" t="n"/>
      <c r="O821" s="104" t="n"/>
      <c r="P821" s="104" t="n"/>
      <c r="Q821" s="104" t="n"/>
      <c r="R821" s="104" t="n"/>
      <c r="S821" s="110" t="n"/>
      <c r="T821" s="110" t="n"/>
      <c r="U821" s="104" t="n"/>
    </row>
    <row r="822">
      <c r="A822" s="105" t="inlineStr">
        <is>
          <t>GUIDE000821</t>
        </is>
      </c>
      <c r="B822" s="101" t="inlineStr">
        <is>
          <t>DEV000041</t>
        </is>
      </c>
      <c r="C822" s="103" t="inlineStr">
        <is>
          <t>APL</t>
        </is>
      </c>
      <c r="D822" s="103" t="inlineStr">
        <is>
          <t>PHN</t>
        </is>
      </c>
      <c r="E822" s="60" t="inlineStr">
        <is>
          <t>iPhone 15 Pro</t>
        </is>
      </c>
      <c r="F822" s="104" t="inlineStr">
        <is>
          <t>SVC000019</t>
        </is>
      </c>
      <c r="G822" s="104" t="inlineStr">
        <is>
          <t>Earpiece Replacement</t>
        </is>
      </c>
      <c r="H822" s="104" t="inlineStr">
        <is>
          <t>Audio</t>
        </is>
      </c>
      <c r="I822" s="104" t="n"/>
      <c r="J822" s="104" t="n"/>
      <c r="K822" s="104" t="n"/>
      <c r="L822" s="104" t="n"/>
      <c r="M822" s="104" t="n"/>
      <c r="N822" s="104" t="n"/>
      <c r="O822" s="104" t="n"/>
      <c r="P822" s="104" t="n"/>
      <c r="Q822" s="104" t="n"/>
      <c r="R822" s="104" t="n"/>
      <c r="S822" s="110" t="n"/>
      <c r="T822" s="110" t="n"/>
      <c r="U822" s="104" t="n"/>
    </row>
    <row r="823">
      <c r="A823" s="104" t="inlineStr">
        <is>
          <t>GUIDE000822</t>
        </is>
      </c>
      <c r="B823" s="101" t="inlineStr">
        <is>
          <t>DEV000042</t>
        </is>
      </c>
      <c r="C823" s="103" t="inlineStr">
        <is>
          <t>APL</t>
        </is>
      </c>
      <c r="D823" s="103" t="inlineStr">
        <is>
          <t>PHN</t>
        </is>
      </c>
      <c r="E823" s="60" t="inlineStr">
        <is>
          <t>iPhone 15 Pro Max</t>
        </is>
      </c>
      <c r="F823" s="104" t="inlineStr">
        <is>
          <t>SVC000019</t>
        </is>
      </c>
      <c r="G823" s="104" t="inlineStr">
        <is>
          <t>Earpiece Replacement</t>
        </is>
      </c>
      <c r="H823" s="104" t="inlineStr">
        <is>
          <t>Audio</t>
        </is>
      </c>
      <c r="I823" s="104" t="n"/>
      <c r="J823" s="104" t="n"/>
      <c r="K823" s="104" t="n"/>
      <c r="L823" s="104" t="n"/>
      <c r="M823" s="104" t="n"/>
      <c r="N823" s="104" t="n"/>
      <c r="O823" s="104" t="n"/>
      <c r="P823" s="104" t="n"/>
      <c r="Q823" s="104" t="n"/>
      <c r="R823" s="104" t="n"/>
      <c r="S823" s="110" t="n"/>
      <c r="T823" s="110" t="n"/>
      <c r="U823" s="104" t="n"/>
    </row>
    <row r="824">
      <c r="A824" s="104" t="inlineStr">
        <is>
          <t>GUIDE000823</t>
        </is>
      </c>
      <c r="B824" s="101" t="inlineStr">
        <is>
          <t>DEV000043</t>
        </is>
      </c>
      <c r="C824" s="103" t="inlineStr">
        <is>
          <t>APL</t>
        </is>
      </c>
      <c r="D824" s="103" t="inlineStr">
        <is>
          <t>PHN</t>
        </is>
      </c>
      <c r="E824" s="60" t="inlineStr">
        <is>
          <t>iPhone 16</t>
        </is>
      </c>
      <c r="F824" s="104" t="inlineStr">
        <is>
          <t>SVC000019</t>
        </is>
      </c>
      <c r="G824" s="104" t="inlineStr">
        <is>
          <t>Earpiece Replacement</t>
        </is>
      </c>
      <c r="H824" s="104" t="inlineStr">
        <is>
          <t>Audio</t>
        </is>
      </c>
      <c r="I824" s="104" t="n"/>
      <c r="J824" s="104" t="n"/>
      <c r="K824" s="104" t="n"/>
      <c r="L824" s="104" t="n"/>
      <c r="M824" s="104" t="n"/>
      <c r="N824" s="104" t="n"/>
      <c r="O824" s="104" t="n"/>
      <c r="P824" s="104" t="n"/>
      <c r="Q824" s="104" t="n"/>
      <c r="R824" s="104" t="n"/>
      <c r="S824" s="110" t="n"/>
      <c r="T824" s="110" t="n"/>
      <c r="U824" s="104" t="n"/>
    </row>
    <row r="825">
      <c r="A825" s="104" t="inlineStr">
        <is>
          <t>GUIDE000824</t>
        </is>
      </c>
      <c r="B825" s="101" t="inlineStr">
        <is>
          <t>DEV000044</t>
        </is>
      </c>
      <c r="C825" s="103" t="inlineStr">
        <is>
          <t>APL</t>
        </is>
      </c>
      <c r="D825" s="103" t="inlineStr">
        <is>
          <t>PHN</t>
        </is>
      </c>
      <c r="E825" s="60" t="inlineStr">
        <is>
          <t>iPhone 16 Plus</t>
        </is>
      </c>
      <c r="F825" s="104" t="inlineStr">
        <is>
          <t>SVC000019</t>
        </is>
      </c>
      <c r="G825" s="104" t="inlineStr">
        <is>
          <t>Earpiece Replacement</t>
        </is>
      </c>
      <c r="H825" s="104" t="inlineStr">
        <is>
          <t>Audio</t>
        </is>
      </c>
      <c r="I825" s="104" t="n"/>
      <c r="J825" s="104" t="n"/>
      <c r="K825" s="104" t="n"/>
      <c r="L825" s="104" t="n"/>
      <c r="M825" s="104" t="n"/>
      <c r="N825" s="104" t="n"/>
      <c r="O825" s="104" t="n"/>
      <c r="P825" s="104" t="n"/>
      <c r="Q825" s="104" t="n"/>
      <c r="R825" s="104" t="n"/>
      <c r="S825" s="110" t="n"/>
      <c r="T825" s="110" t="n"/>
      <c r="U825" s="104" t="n"/>
    </row>
    <row r="826">
      <c r="A826" s="105" t="inlineStr">
        <is>
          <t>GUIDE000825</t>
        </is>
      </c>
      <c r="B826" s="101" t="inlineStr">
        <is>
          <t>DEV000045</t>
        </is>
      </c>
      <c r="C826" s="103" t="inlineStr">
        <is>
          <t>APL</t>
        </is>
      </c>
      <c r="D826" s="103" t="inlineStr">
        <is>
          <t>PHN</t>
        </is>
      </c>
      <c r="E826" s="60" t="inlineStr">
        <is>
          <t>iPhone 16 Pro</t>
        </is>
      </c>
      <c r="F826" s="104" t="inlineStr">
        <is>
          <t>SVC000019</t>
        </is>
      </c>
      <c r="G826" s="104" t="inlineStr">
        <is>
          <t>Earpiece Replacement</t>
        </is>
      </c>
      <c r="H826" s="104" t="inlineStr">
        <is>
          <t>Audio</t>
        </is>
      </c>
      <c r="I826" s="104" t="n"/>
      <c r="J826" s="104" t="n"/>
      <c r="K826" s="104" t="n"/>
      <c r="L826" s="104" t="n"/>
      <c r="M826" s="104" t="n"/>
      <c r="N826" s="104" t="n"/>
      <c r="O826" s="104" t="n"/>
      <c r="P826" s="104" t="n"/>
      <c r="Q826" s="104" t="n"/>
      <c r="R826" s="104" t="n"/>
      <c r="S826" s="110" t="n"/>
      <c r="T826" s="110" t="n"/>
      <c r="U826" s="104" t="n"/>
    </row>
    <row r="827">
      <c r="A827" s="104" t="inlineStr">
        <is>
          <t>GUIDE000826</t>
        </is>
      </c>
      <c r="B827" s="101" t="inlineStr">
        <is>
          <t>DEV000046</t>
        </is>
      </c>
      <c r="C827" s="103" t="inlineStr">
        <is>
          <t>APL</t>
        </is>
      </c>
      <c r="D827" s="103" t="inlineStr">
        <is>
          <t>PHN</t>
        </is>
      </c>
      <c r="E827" s="60" t="inlineStr">
        <is>
          <t>iPhone 16 Pro Max</t>
        </is>
      </c>
      <c r="F827" s="104" t="inlineStr">
        <is>
          <t>SVC000019</t>
        </is>
      </c>
      <c r="G827" s="104" t="inlineStr">
        <is>
          <t>Earpiece Replacement</t>
        </is>
      </c>
      <c r="H827" s="104" t="inlineStr">
        <is>
          <t>Audio</t>
        </is>
      </c>
      <c r="I827" s="104" t="n"/>
      <c r="J827" s="104" t="n"/>
      <c r="K827" s="104" t="n"/>
      <c r="L827" s="104" t="n"/>
      <c r="M827" s="104" t="n"/>
      <c r="N827" s="104" t="n"/>
      <c r="O827" s="104" t="n"/>
      <c r="P827" s="104" t="n"/>
      <c r="Q827" s="104" t="n"/>
      <c r="R827" s="104" t="n"/>
      <c r="S827" s="110" t="n"/>
      <c r="T827" s="110" t="n"/>
      <c r="U827" s="104" t="n"/>
    </row>
    <row r="828">
      <c r="A828" s="104" t="inlineStr">
        <is>
          <t>GUIDE000827</t>
        </is>
      </c>
      <c r="B828" s="101" t="inlineStr">
        <is>
          <t>DEV000047</t>
        </is>
      </c>
      <c r="C828" s="103" t="inlineStr">
        <is>
          <t>APL</t>
        </is>
      </c>
      <c r="D828" s="103" t="inlineStr">
        <is>
          <t>PHN</t>
        </is>
      </c>
      <c r="E828" s="60" t="inlineStr">
        <is>
          <t>iPhone 16e</t>
        </is>
      </c>
      <c r="F828" s="104" t="inlineStr">
        <is>
          <t>SVC000019</t>
        </is>
      </c>
      <c r="G828" s="104" t="inlineStr">
        <is>
          <t>Earpiece Replacement</t>
        </is>
      </c>
      <c r="H828" s="104" t="inlineStr">
        <is>
          <t>Audio</t>
        </is>
      </c>
      <c r="I828" s="104" t="n"/>
      <c r="J828" s="104" t="n"/>
      <c r="K828" s="104" t="n"/>
      <c r="L828" s="104" t="n"/>
      <c r="M828" s="104" t="n"/>
      <c r="N828" s="104" t="n"/>
      <c r="O828" s="104" t="n"/>
      <c r="P828" s="104" t="n"/>
      <c r="Q828" s="104" t="n"/>
      <c r="R828" s="104" t="n"/>
      <c r="S828" s="110" t="n"/>
      <c r="T828" s="110" t="n"/>
      <c r="U828" s="104" t="n"/>
    </row>
    <row r="829">
      <c r="A829" s="104" t="inlineStr">
        <is>
          <t>GUIDE000828</t>
        </is>
      </c>
      <c r="B829" s="101" t="inlineStr">
        <is>
          <t>DEV000048</t>
        </is>
      </c>
      <c r="C829" s="103" t="inlineStr">
        <is>
          <t>APL</t>
        </is>
      </c>
      <c r="D829" s="103" t="inlineStr">
        <is>
          <t>PHN</t>
        </is>
      </c>
      <c r="E829" s="60" t="inlineStr">
        <is>
          <t>iPhone 17</t>
        </is>
      </c>
      <c r="F829" s="104" t="inlineStr">
        <is>
          <t>SVC000019</t>
        </is>
      </c>
      <c r="G829" s="104" t="inlineStr">
        <is>
          <t>Earpiece Replacement</t>
        </is>
      </c>
      <c r="H829" s="104" t="inlineStr">
        <is>
          <t>Audio</t>
        </is>
      </c>
      <c r="I829" s="104" t="n"/>
      <c r="J829" s="104" t="n"/>
      <c r="K829" s="104" t="n"/>
      <c r="L829" s="104" t="n"/>
      <c r="M829" s="104" t="n"/>
      <c r="N829" s="104" t="n"/>
      <c r="O829" s="104" t="n"/>
      <c r="P829" s="104" t="n"/>
      <c r="Q829" s="104" t="n"/>
      <c r="R829" s="104" t="n"/>
      <c r="S829" s="110" t="n"/>
      <c r="T829" s="110" t="n"/>
      <c r="U829" s="104" t="n"/>
    </row>
    <row r="830">
      <c r="A830" s="104" t="inlineStr">
        <is>
          <t>GUIDE000829</t>
        </is>
      </c>
      <c r="B830" s="101" t="inlineStr">
        <is>
          <t>DEV000049</t>
        </is>
      </c>
      <c r="C830" s="103" t="inlineStr">
        <is>
          <t>APL</t>
        </is>
      </c>
      <c r="D830" s="103" t="inlineStr">
        <is>
          <t>PHN</t>
        </is>
      </c>
      <c r="E830" s="60" t="inlineStr">
        <is>
          <t>iPhone 17 Pro</t>
        </is>
      </c>
      <c r="F830" s="104" t="inlineStr">
        <is>
          <t>SVC000019</t>
        </is>
      </c>
      <c r="G830" s="104" t="inlineStr">
        <is>
          <t>Earpiece Replacement</t>
        </is>
      </c>
      <c r="H830" s="104" t="inlineStr">
        <is>
          <t>Audio</t>
        </is>
      </c>
      <c r="I830" s="104" t="n"/>
      <c r="J830" s="104" t="n"/>
      <c r="K830" s="104" t="n"/>
      <c r="L830" s="104" t="n"/>
      <c r="M830" s="104" t="n"/>
      <c r="N830" s="104" t="n"/>
      <c r="O830" s="104" t="n"/>
      <c r="P830" s="104" t="n"/>
      <c r="Q830" s="104" t="n"/>
      <c r="R830" s="104" t="n"/>
      <c r="S830" s="110" t="n"/>
      <c r="T830" s="110" t="n"/>
      <c r="U830" s="104" t="n"/>
    </row>
    <row r="831">
      <c r="A831" s="105" t="inlineStr">
        <is>
          <t>GUIDE000830</t>
        </is>
      </c>
      <c r="B831" s="101" t="inlineStr">
        <is>
          <t>DEV000050</t>
        </is>
      </c>
      <c r="C831" s="103" t="inlineStr">
        <is>
          <t>APL</t>
        </is>
      </c>
      <c r="D831" s="103" t="inlineStr">
        <is>
          <t>PHN</t>
        </is>
      </c>
      <c r="E831" s="60" t="inlineStr">
        <is>
          <t>iPhone 17 Pro Max</t>
        </is>
      </c>
      <c r="F831" s="104" t="inlineStr">
        <is>
          <t>SVC000019</t>
        </is>
      </c>
      <c r="G831" s="104" t="inlineStr">
        <is>
          <t>Earpiece Replacement</t>
        </is>
      </c>
      <c r="H831" s="104" t="inlineStr">
        <is>
          <t>Audio</t>
        </is>
      </c>
      <c r="I831" s="104" t="n"/>
      <c r="J831" s="104" t="n"/>
      <c r="K831" s="104" t="n"/>
      <c r="L831" s="104" t="n"/>
      <c r="M831" s="104" t="n"/>
      <c r="N831" s="104" t="n"/>
      <c r="O831" s="104" t="n"/>
      <c r="P831" s="104" t="n"/>
      <c r="Q831" s="104" t="n"/>
      <c r="R831" s="104" t="n"/>
      <c r="S831" s="110" t="n"/>
      <c r="T831" s="110" t="n"/>
      <c r="U831" s="104" t="n"/>
    </row>
    <row r="832">
      <c r="A832" s="104" t="inlineStr">
        <is>
          <t>GUIDE000831</t>
        </is>
      </c>
      <c r="B832" s="101" t="inlineStr">
        <is>
          <t>DEV000051</t>
        </is>
      </c>
      <c r="C832" s="103" t="inlineStr">
        <is>
          <t>APL</t>
        </is>
      </c>
      <c r="D832" s="103" t="inlineStr">
        <is>
          <t>PHN</t>
        </is>
      </c>
      <c r="E832" s="60" t="inlineStr">
        <is>
          <t>iPhone Air</t>
        </is>
      </c>
      <c r="F832" s="104" t="inlineStr">
        <is>
          <t>SVC000019</t>
        </is>
      </c>
      <c r="G832" s="104" t="inlineStr">
        <is>
          <t>Earpiece Replacement</t>
        </is>
      </c>
      <c r="H832" s="104" t="inlineStr">
        <is>
          <t>Audio</t>
        </is>
      </c>
      <c r="I832" s="104" t="n"/>
      <c r="J832" s="104" t="n"/>
      <c r="K832" s="104" t="n"/>
      <c r="L832" s="104" t="n"/>
      <c r="M832" s="104" t="n"/>
      <c r="N832" s="104" t="n"/>
      <c r="O832" s="104" t="n"/>
      <c r="P832" s="104" t="n"/>
      <c r="Q832" s="104" t="n"/>
      <c r="R832" s="104" t="n"/>
      <c r="S832" s="110" t="n"/>
      <c r="T832" s="110" t="n"/>
      <c r="U832" s="104" t="n"/>
    </row>
    <row r="833">
      <c r="A833" s="104" t="inlineStr">
        <is>
          <t>GUIDE000832</t>
        </is>
      </c>
      <c r="B833" s="101" t="inlineStr">
        <is>
          <t>DEV000052</t>
        </is>
      </c>
      <c r="C833" s="103" t="inlineStr">
        <is>
          <t>APL</t>
        </is>
      </c>
      <c r="D833" s="103" t="inlineStr">
        <is>
          <t>PHN</t>
        </is>
      </c>
      <c r="E833" s="60" t="inlineStr">
        <is>
          <t>iPhone 17e</t>
        </is>
      </c>
      <c r="F833" s="104" t="inlineStr">
        <is>
          <t>SVC000019</t>
        </is>
      </c>
      <c r="G833" s="104" t="inlineStr">
        <is>
          <t>Earpiece Replacement</t>
        </is>
      </c>
      <c r="H833" s="104" t="inlineStr">
        <is>
          <t>Audio</t>
        </is>
      </c>
      <c r="I833" s="104" t="n"/>
      <c r="J833" s="104" t="n"/>
      <c r="K833" s="104" t="n"/>
      <c r="L833" s="104" t="n"/>
      <c r="M833" s="104" t="n"/>
      <c r="N833" s="104" t="n"/>
      <c r="O833" s="104" t="n"/>
      <c r="P833" s="104" t="n"/>
      <c r="Q833" s="104" t="n"/>
      <c r="R833" s="104" t="n"/>
      <c r="S833" s="110" t="n"/>
      <c r="T833" s="110" t="n"/>
      <c r="U833" s="104" t="n"/>
    </row>
    <row r="834">
      <c r="A834" s="104" t="inlineStr">
        <is>
          <t>GUIDE000833</t>
        </is>
      </c>
      <c r="B834" s="101" t="inlineStr">
        <is>
          <t>DEV000001</t>
        </is>
      </c>
      <c r="C834" s="103" t="inlineStr">
        <is>
          <t>APL</t>
        </is>
      </c>
      <c r="D834" s="103" t="inlineStr">
        <is>
          <t>PHN</t>
        </is>
      </c>
      <c r="E834" s="60" t="inlineStr">
        <is>
          <t>iPhone (2G)</t>
        </is>
      </c>
      <c r="F834" s="104" t="inlineStr">
        <is>
          <t>SVC000020</t>
        </is>
      </c>
      <c r="G834" s="104" t="inlineStr">
        <is>
          <t>Headphone Jack Repair</t>
        </is>
      </c>
      <c r="H834" s="104" t="inlineStr">
        <is>
          <t>Audio</t>
        </is>
      </c>
      <c r="I834" s="104" t="n"/>
      <c r="J834" s="104" t="n"/>
      <c r="K834" s="104" t="n"/>
      <c r="L834" s="104" t="n"/>
      <c r="M834" s="104" t="n"/>
      <c r="N834" s="104" t="n"/>
      <c r="O834" s="104" t="n"/>
      <c r="P834" s="104" t="n"/>
      <c r="Q834" s="104" t="n"/>
      <c r="R834" s="104" t="n"/>
      <c r="S834" s="110" t="n"/>
      <c r="T834" s="110" t="n"/>
      <c r="U834" s="104" t="n"/>
    </row>
    <row r="835">
      <c r="A835" s="105" t="inlineStr">
        <is>
          <t>GUIDE000834</t>
        </is>
      </c>
      <c r="B835" s="101" t="inlineStr">
        <is>
          <t>DEV000002</t>
        </is>
      </c>
      <c r="C835" s="103" t="inlineStr">
        <is>
          <t>APL</t>
        </is>
      </c>
      <c r="D835" s="103" t="inlineStr">
        <is>
          <t>PHN</t>
        </is>
      </c>
      <c r="E835" s="60" t="inlineStr">
        <is>
          <t>iPhone 3G</t>
        </is>
      </c>
      <c r="F835" s="104" t="inlineStr">
        <is>
          <t>SVC000020</t>
        </is>
      </c>
      <c r="G835" s="104" t="inlineStr">
        <is>
          <t>Headphone Jack Repair</t>
        </is>
      </c>
      <c r="H835" s="104" t="inlineStr">
        <is>
          <t>Audio</t>
        </is>
      </c>
      <c r="I835" s="104" t="n"/>
      <c r="J835" s="104" t="n"/>
      <c r="K835" s="104" t="n"/>
      <c r="L835" s="104" t="n"/>
      <c r="M835" s="104" t="n"/>
      <c r="N835" s="104" t="n"/>
      <c r="O835" s="104" t="n"/>
      <c r="P835" s="104" t="n"/>
      <c r="Q835" s="104" t="n"/>
      <c r="R835" s="104" t="n"/>
      <c r="S835" s="110" t="n"/>
      <c r="T835" s="110" t="n"/>
      <c r="U835" s="104" t="n"/>
    </row>
    <row r="836">
      <c r="A836" s="104" t="inlineStr">
        <is>
          <t>GUIDE000835</t>
        </is>
      </c>
      <c r="B836" s="101" t="inlineStr">
        <is>
          <t>DEV000003</t>
        </is>
      </c>
      <c r="C836" s="103" t="inlineStr">
        <is>
          <t>APL</t>
        </is>
      </c>
      <c r="D836" s="103" t="inlineStr">
        <is>
          <t>PHN</t>
        </is>
      </c>
      <c r="E836" s="60" t="inlineStr">
        <is>
          <t>iPhone 3GS</t>
        </is>
      </c>
      <c r="F836" s="104" t="inlineStr">
        <is>
          <t>SVC000020</t>
        </is>
      </c>
      <c r="G836" s="104" t="inlineStr">
        <is>
          <t>Headphone Jack Repair</t>
        </is>
      </c>
      <c r="H836" s="104" t="inlineStr">
        <is>
          <t>Audio</t>
        </is>
      </c>
      <c r="I836" s="104" t="n"/>
      <c r="J836" s="104" t="n"/>
      <c r="K836" s="104" t="n"/>
      <c r="L836" s="104" t="n"/>
      <c r="M836" s="104" t="n"/>
      <c r="N836" s="104" t="n"/>
      <c r="O836" s="104" t="n"/>
      <c r="P836" s="104" t="n"/>
      <c r="Q836" s="104" t="n"/>
      <c r="R836" s="104" t="n"/>
      <c r="S836" s="110" t="n"/>
      <c r="T836" s="110" t="n"/>
      <c r="U836" s="104" t="n"/>
    </row>
    <row r="837">
      <c r="A837" s="104" t="inlineStr">
        <is>
          <t>GUIDE000836</t>
        </is>
      </c>
      <c r="B837" s="101" t="inlineStr">
        <is>
          <t>DEV000004</t>
        </is>
      </c>
      <c r="C837" s="103" t="inlineStr">
        <is>
          <t>APL</t>
        </is>
      </c>
      <c r="D837" s="103" t="inlineStr">
        <is>
          <t>PHN</t>
        </is>
      </c>
      <c r="E837" s="60" t="inlineStr">
        <is>
          <t>iPhone 4</t>
        </is>
      </c>
      <c r="F837" s="104" t="inlineStr">
        <is>
          <t>SVC000020</t>
        </is>
      </c>
      <c r="G837" s="104" t="inlineStr">
        <is>
          <t>Headphone Jack Repair</t>
        </is>
      </c>
      <c r="H837" s="104" t="inlineStr">
        <is>
          <t>Audio</t>
        </is>
      </c>
      <c r="I837" s="104" t="n"/>
      <c r="J837" s="104" t="n"/>
      <c r="K837" s="104" t="n"/>
      <c r="L837" s="104" t="n"/>
      <c r="M837" s="104" t="n"/>
      <c r="N837" s="104" t="n"/>
      <c r="O837" s="104" t="n"/>
      <c r="P837" s="104" t="n"/>
      <c r="Q837" s="104" t="n"/>
      <c r="R837" s="104" t="n"/>
      <c r="S837" s="110" t="n"/>
      <c r="T837" s="110" t="n"/>
      <c r="U837" s="104" t="n"/>
    </row>
    <row r="838">
      <c r="A838" s="104" t="inlineStr">
        <is>
          <t>GUIDE000837</t>
        </is>
      </c>
      <c r="B838" s="101" t="inlineStr">
        <is>
          <t>DEV000005</t>
        </is>
      </c>
      <c r="C838" s="103" t="inlineStr">
        <is>
          <t>APL</t>
        </is>
      </c>
      <c r="D838" s="103" t="inlineStr">
        <is>
          <t>PHN</t>
        </is>
      </c>
      <c r="E838" s="60" t="inlineStr">
        <is>
          <t>iPhone 4s</t>
        </is>
      </c>
      <c r="F838" s="104" t="inlineStr">
        <is>
          <t>SVC000020</t>
        </is>
      </c>
      <c r="G838" s="104" t="inlineStr">
        <is>
          <t>Headphone Jack Repair</t>
        </is>
      </c>
      <c r="H838" s="104" t="inlineStr">
        <is>
          <t>Audio</t>
        </is>
      </c>
      <c r="I838" s="104" t="n"/>
      <c r="J838" s="104" t="n"/>
      <c r="K838" s="104" t="n"/>
      <c r="L838" s="104" t="n"/>
      <c r="M838" s="104" t="n"/>
      <c r="N838" s="104" t="n"/>
      <c r="O838" s="104" t="n"/>
      <c r="P838" s="104" t="n"/>
      <c r="Q838" s="104" t="n"/>
      <c r="R838" s="104" t="n"/>
      <c r="S838" s="110" t="n"/>
      <c r="T838" s="110" t="n"/>
      <c r="U838" s="104" t="n"/>
    </row>
    <row r="839">
      <c r="A839" s="104" t="inlineStr">
        <is>
          <t>GUIDE000838</t>
        </is>
      </c>
      <c r="B839" s="101" t="inlineStr">
        <is>
          <t>DEV000006</t>
        </is>
      </c>
      <c r="C839" s="103" t="inlineStr">
        <is>
          <t>APL</t>
        </is>
      </c>
      <c r="D839" s="103" t="inlineStr">
        <is>
          <t>PHN</t>
        </is>
      </c>
      <c r="E839" s="60" t="inlineStr">
        <is>
          <t>iPhone 5</t>
        </is>
      </c>
      <c r="F839" s="104" t="inlineStr">
        <is>
          <t>SVC000020</t>
        </is>
      </c>
      <c r="G839" s="104" t="inlineStr">
        <is>
          <t>Headphone Jack Repair</t>
        </is>
      </c>
      <c r="H839" s="104" t="inlineStr">
        <is>
          <t>Audio</t>
        </is>
      </c>
      <c r="I839" s="104" t="n"/>
      <c r="J839" s="104" t="n"/>
      <c r="K839" s="104" t="n"/>
      <c r="L839" s="104" t="n"/>
      <c r="M839" s="104" t="n"/>
      <c r="N839" s="104" t="n"/>
      <c r="O839" s="104" t="n"/>
      <c r="P839" s="104" t="n"/>
      <c r="Q839" s="104" t="n"/>
      <c r="R839" s="104" t="n"/>
      <c r="S839" s="110" t="n"/>
      <c r="T839" s="110" t="n"/>
      <c r="U839" s="104" t="n"/>
    </row>
    <row r="840">
      <c r="A840" s="105" t="inlineStr">
        <is>
          <t>GUIDE000839</t>
        </is>
      </c>
      <c r="B840" s="101" t="inlineStr">
        <is>
          <t>DEV000007</t>
        </is>
      </c>
      <c r="C840" s="103" t="inlineStr">
        <is>
          <t>APL</t>
        </is>
      </c>
      <c r="D840" s="103" t="inlineStr">
        <is>
          <t>PHN</t>
        </is>
      </c>
      <c r="E840" s="60" t="inlineStr">
        <is>
          <t>iPhone 5c</t>
        </is>
      </c>
      <c r="F840" s="104" t="inlineStr">
        <is>
          <t>SVC000020</t>
        </is>
      </c>
      <c r="G840" s="104" t="inlineStr">
        <is>
          <t>Headphone Jack Repair</t>
        </is>
      </c>
      <c r="H840" s="104" t="inlineStr">
        <is>
          <t>Audio</t>
        </is>
      </c>
      <c r="I840" s="104" t="n"/>
      <c r="J840" s="104" t="n"/>
      <c r="K840" s="104" t="n"/>
      <c r="L840" s="104" t="n"/>
      <c r="M840" s="104" t="n"/>
      <c r="N840" s="104" t="n"/>
      <c r="O840" s="104" t="n"/>
      <c r="P840" s="104" t="n"/>
      <c r="Q840" s="104" t="n"/>
      <c r="R840" s="104" t="n"/>
      <c r="S840" s="110" t="n"/>
      <c r="T840" s="110" t="n"/>
      <c r="U840" s="104" t="n"/>
    </row>
    <row r="841">
      <c r="A841" s="104" t="inlineStr">
        <is>
          <t>GUIDE000840</t>
        </is>
      </c>
      <c r="B841" s="101" t="inlineStr">
        <is>
          <t>DEV000008</t>
        </is>
      </c>
      <c r="C841" s="103" t="inlineStr">
        <is>
          <t>APL</t>
        </is>
      </c>
      <c r="D841" s="103" t="inlineStr">
        <is>
          <t>PHN</t>
        </is>
      </c>
      <c r="E841" s="60" t="inlineStr">
        <is>
          <t>iPhone 5s</t>
        </is>
      </c>
      <c r="F841" s="104" t="inlineStr">
        <is>
          <t>SVC000020</t>
        </is>
      </c>
      <c r="G841" s="104" t="inlineStr">
        <is>
          <t>Headphone Jack Repair</t>
        </is>
      </c>
      <c r="H841" s="104" t="inlineStr">
        <is>
          <t>Audio</t>
        </is>
      </c>
      <c r="I841" s="104" t="n"/>
      <c r="J841" s="104" t="n"/>
      <c r="K841" s="104" t="n"/>
      <c r="L841" s="104" t="n"/>
      <c r="M841" s="104" t="n"/>
      <c r="N841" s="104" t="n"/>
      <c r="O841" s="104" t="n"/>
      <c r="P841" s="104" t="n"/>
      <c r="Q841" s="104" t="n"/>
      <c r="R841" s="104" t="n"/>
      <c r="S841" s="110" t="n"/>
      <c r="T841" s="110" t="n"/>
      <c r="U841" s="104" t="n"/>
    </row>
    <row r="842">
      <c r="A842" s="104" t="inlineStr">
        <is>
          <t>GUIDE000841</t>
        </is>
      </c>
      <c r="B842" s="101" t="inlineStr">
        <is>
          <t>DEV000009</t>
        </is>
      </c>
      <c r="C842" s="103" t="inlineStr">
        <is>
          <t>APL</t>
        </is>
      </c>
      <c r="D842" s="103" t="inlineStr">
        <is>
          <t>PHN</t>
        </is>
      </c>
      <c r="E842" s="60" t="inlineStr">
        <is>
          <t>iPhone 6</t>
        </is>
      </c>
      <c r="F842" s="104" t="inlineStr">
        <is>
          <t>SVC000020</t>
        </is>
      </c>
      <c r="G842" s="104" t="inlineStr">
        <is>
          <t>Headphone Jack Repair</t>
        </is>
      </c>
      <c r="H842" s="104" t="inlineStr">
        <is>
          <t>Audio</t>
        </is>
      </c>
      <c r="I842" s="104" t="n"/>
      <c r="J842" s="104" t="n"/>
      <c r="K842" s="104" t="n"/>
      <c r="L842" s="104" t="n"/>
      <c r="M842" s="104" t="n"/>
      <c r="N842" s="104" t="n"/>
      <c r="O842" s="104" t="n"/>
      <c r="P842" s="104" t="n"/>
      <c r="Q842" s="104" t="n"/>
      <c r="R842" s="104" t="n"/>
      <c r="S842" s="110" t="n"/>
      <c r="T842" s="110" t="n"/>
      <c r="U842" s="104" t="n"/>
    </row>
    <row r="843">
      <c r="A843" s="104" t="inlineStr">
        <is>
          <t>GUIDE000842</t>
        </is>
      </c>
      <c r="B843" s="101" t="inlineStr">
        <is>
          <t>DEV000010</t>
        </is>
      </c>
      <c r="C843" s="103" t="inlineStr">
        <is>
          <t>APL</t>
        </is>
      </c>
      <c r="D843" s="103" t="inlineStr">
        <is>
          <t>PHN</t>
        </is>
      </c>
      <c r="E843" s="60" t="inlineStr">
        <is>
          <t>iPhone 6 Plus</t>
        </is>
      </c>
      <c r="F843" s="104" t="inlineStr">
        <is>
          <t>SVC000020</t>
        </is>
      </c>
      <c r="G843" s="104" t="inlineStr">
        <is>
          <t>Headphone Jack Repair</t>
        </is>
      </c>
      <c r="H843" s="104" t="inlineStr">
        <is>
          <t>Audio</t>
        </is>
      </c>
      <c r="I843" s="104" t="n"/>
      <c r="J843" s="104" t="n"/>
      <c r="K843" s="104" t="n"/>
      <c r="L843" s="104" t="n"/>
      <c r="M843" s="104" t="n"/>
      <c r="N843" s="104" t="n"/>
      <c r="O843" s="104" t="n"/>
      <c r="P843" s="104" t="n"/>
      <c r="Q843" s="104" t="n"/>
      <c r="R843" s="104" t="n"/>
      <c r="S843" s="110" t="n"/>
      <c r="T843" s="110" t="n"/>
      <c r="U843" s="104" t="n"/>
    </row>
    <row r="844">
      <c r="A844" s="105" t="inlineStr">
        <is>
          <t>GUIDE000843</t>
        </is>
      </c>
      <c r="B844" s="101" t="inlineStr">
        <is>
          <t>DEV000011</t>
        </is>
      </c>
      <c r="C844" s="103" t="inlineStr">
        <is>
          <t>APL</t>
        </is>
      </c>
      <c r="D844" s="103" t="inlineStr">
        <is>
          <t>PHN</t>
        </is>
      </c>
      <c r="E844" s="60" t="inlineStr">
        <is>
          <t>iPhone 6s</t>
        </is>
      </c>
      <c r="F844" s="104" t="inlineStr">
        <is>
          <t>SVC000020</t>
        </is>
      </c>
      <c r="G844" s="104" t="inlineStr">
        <is>
          <t>Headphone Jack Repair</t>
        </is>
      </c>
      <c r="H844" s="104" t="inlineStr">
        <is>
          <t>Audio</t>
        </is>
      </c>
      <c r="I844" s="104" t="n"/>
      <c r="J844" s="104" t="n"/>
      <c r="K844" s="104" t="n"/>
      <c r="L844" s="104" t="n"/>
      <c r="M844" s="104" t="n"/>
      <c r="N844" s="104" t="n"/>
      <c r="O844" s="104" t="n"/>
      <c r="P844" s="104" t="n"/>
      <c r="Q844" s="104" t="n"/>
      <c r="R844" s="104" t="n"/>
      <c r="S844" s="110" t="n"/>
      <c r="T844" s="110" t="n"/>
      <c r="U844" s="104" t="n"/>
    </row>
    <row r="845">
      <c r="A845" s="104" t="inlineStr">
        <is>
          <t>GUIDE000844</t>
        </is>
      </c>
      <c r="B845" s="101" t="inlineStr">
        <is>
          <t>DEV000012</t>
        </is>
      </c>
      <c r="C845" s="103" t="inlineStr">
        <is>
          <t>APL</t>
        </is>
      </c>
      <c r="D845" s="103" t="inlineStr">
        <is>
          <t>PHN</t>
        </is>
      </c>
      <c r="E845" s="60" t="inlineStr">
        <is>
          <t>iPhone 6s Plus</t>
        </is>
      </c>
      <c r="F845" s="104" t="inlineStr">
        <is>
          <t>SVC000020</t>
        </is>
      </c>
      <c r="G845" s="104" t="inlineStr">
        <is>
          <t>Headphone Jack Repair</t>
        </is>
      </c>
      <c r="H845" s="104" t="inlineStr">
        <is>
          <t>Audio</t>
        </is>
      </c>
      <c r="I845" s="104" t="n"/>
      <c r="J845" s="104" t="n"/>
      <c r="K845" s="104" t="n"/>
      <c r="L845" s="104" t="n"/>
      <c r="M845" s="104" t="n"/>
      <c r="N845" s="104" t="n"/>
      <c r="O845" s="104" t="n"/>
      <c r="P845" s="104" t="n"/>
      <c r="Q845" s="104" t="n"/>
      <c r="R845" s="104" t="n"/>
      <c r="S845" s="110" t="n"/>
      <c r="T845" s="110" t="n"/>
      <c r="U845" s="104" t="n"/>
    </row>
    <row r="846">
      <c r="A846" s="104" t="inlineStr">
        <is>
          <t>GUIDE000845</t>
        </is>
      </c>
      <c r="B846" s="101" t="inlineStr">
        <is>
          <t>DEV000013</t>
        </is>
      </c>
      <c r="C846" s="103" t="inlineStr">
        <is>
          <t>APL</t>
        </is>
      </c>
      <c r="D846" s="103" t="inlineStr">
        <is>
          <t>PHN</t>
        </is>
      </c>
      <c r="E846" s="60" t="inlineStr">
        <is>
          <t>iPhone SE (1st Gen)</t>
        </is>
      </c>
      <c r="F846" s="104" t="inlineStr">
        <is>
          <t>SVC000020</t>
        </is>
      </c>
      <c r="G846" s="104" t="inlineStr">
        <is>
          <t>Headphone Jack Repair</t>
        </is>
      </c>
      <c r="H846" s="104" t="inlineStr">
        <is>
          <t>Audio</t>
        </is>
      </c>
      <c r="I846" s="104" t="n"/>
      <c r="J846" s="104" t="n"/>
      <c r="K846" s="104" t="n"/>
      <c r="L846" s="104" t="n"/>
      <c r="M846" s="104" t="n"/>
      <c r="N846" s="104" t="n"/>
      <c r="O846" s="104" t="n"/>
      <c r="P846" s="104" t="n"/>
      <c r="Q846" s="104" t="n"/>
      <c r="R846" s="104" t="n"/>
      <c r="S846" s="110" t="n"/>
      <c r="T846" s="110" t="n"/>
      <c r="U846" s="104" t="n"/>
    </row>
    <row r="847">
      <c r="A847" s="104" t="inlineStr">
        <is>
          <t>GUIDE000846</t>
        </is>
      </c>
      <c r="B847" s="101" t="inlineStr">
        <is>
          <t>DEV000014</t>
        </is>
      </c>
      <c r="C847" s="103" t="inlineStr">
        <is>
          <t>APL</t>
        </is>
      </c>
      <c r="D847" s="103" t="inlineStr">
        <is>
          <t>PHN</t>
        </is>
      </c>
      <c r="E847" s="60" t="inlineStr">
        <is>
          <t>iPhone 7</t>
        </is>
      </c>
      <c r="F847" s="104" t="inlineStr">
        <is>
          <t>SVC000020</t>
        </is>
      </c>
      <c r="G847" s="104" t="inlineStr">
        <is>
          <t>Headphone Jack Repair</t>
        </is>
      </c>
      <c r="H847" s="104" t="inlineStr">
        <is>
          <t>Audio</t>
        </is>
      </c>
      <c r="I847" s="104" t="n"/>
      <c r="J847" s="104" t="n"/>
      <c r="K847" s="104" t="n"/>
      <c r="L847" s="104" t="n"/>
      <c r="M847" s="104" t="n"/>
      <c r="N847" s="104" t="n"/>
      <c r="O847" s="104" t="n"/>
      <c r="P847" s="104" t="n"/>
      <c r="Q847" s="104" t="n"/>
      <c r="R847" s="104" t="n"/>
      <c r="S847" s="110" t="n"/>
      <c r="T847" s="110" t="n"/>
      <c r="U847" s="104" t="n"/>
    </row>
    <row r="848">
      <c r="A848" s="104" t="inlineStr">
        <is>
          <t>GUIDE000847</t>
        </is>
      </c>
      <c r="B848" s="101" t="inlineStr">
        <is>
          <t>DEV000015</t>
        </is>
      </c>
      <c r="C848" s="103" t="inlineStr">
        <is>
          <t>APL</t>
        </is>
      </c>
      <c r="D848" s="103" t="inlineStr">
        <is>
          <t>PHN</t>
        </is>
      </c>
      <c r="E848" s="60" t="inlineStr">
        <is>
          <t>iPhone 7 Plus</t>
        </is>
      </c>
      <c r="F848" s="104" t="inlineStr">
        <is>
          <t>SVC000020</t>
        </is>
      </c>
      <c r="G848" s="104" t="inlineStr">
        <is>
          <t>Headphone Jack Repair</t>
        </is>
      </c>
      <c r="H848" s="104" t="inlineStr">
        <is>
          <t>Audio</t>
        </is>
      </c>
      <c r="I848" s="104" t="n"/>
      <c r="J848" s="104" t="n"/>
      <c r="K848" s="104" t="n"/>
      <c r="L848" s="104" t="n"/>
      <c r="M848" s="104" t="n"/>
      <c r="N848" s="104" t="n"/>
      <c r="O848" s="104" t="n"/>
      <c r="P848" s="104" t="n"/>
      <c r="Q848" s="104" t="n"/>
      <c r="R848" s="104" t="n"/>
      <c r="S848" s="110" t="n"/>
      <c r="T848" s="110" t="n"/>
      <c r="U848" s="104" t="n"/>
    </row>
    <row r="849">
      <c r="A849" s="105" t="inlineStr">
        <is>
          <t>GUIDE000848</t>
        </is>
      </c>
      <c r="B849" s="101" t="inlineStr">
        <is>
          <t>DEV000016</t>
        </is>
      </c>
      <c r="C849" s="103" t="inlineStr">
        <is>
          <t>APL</t>
        </is>
      </c>
      <c r="D849" s="103" t="inlineStr">
        <is>
          <t>PHN</t>
        </is>
      </c>
      <c r="E849" s="60" t="inlineStr">
        <is>
          <t>iPhone 8</t>
        </is>
      </c>
      <c r="F849" s="104" t="inlineStr">
        <is>
          <t>SVC000020</t>
        </is>
      </c>
      <c r="G849" s="104" t="inlineStr">
        <is>
          <t>Headphone Jack Repair</t>
        </is>
      </c>
      <c r="H849" s="104" t="inlineStr">
        <is>
          <t>Audio</t>
        </is>
      </c>
      <c r="I849" s="104" t="n"/>
      <c r="J849" s="104" t="n"/>
      <c r="K849" s="104" t="n"/>
      <c r="L849" s="104" t="n"/>
      <c r="M849" s="104" t="n"/>
      <c r="N849" s="104" t="n"/>
      <c r="O849" s="104" t="n"/>
      <c r="P849" s="104" t="n"/>
      <c r="Q849" s="104" t="n"/>
      <c r="R849" s="104" t="n"/>
      <c r="S849" s="110" t="n"/>
      <c r="T849" s="110" t="n"/>
      <c r="U849" s="104" t="n"/>
    </row>
    <row r="850">
      <c r="A850" s="104" t="inlineStr">
        <is>
          <t>GUIDE000849</t>
        </is>
      </c>
      <c r="B850" s="101" t="inlineStr">
        <is>
          <t>DEV000017</t>
        </is>
      </c>
      <c r="C850" s="103" t="inlineStr">
        <is>
          <t>APL</t>
        </is>
      </c>
      <c r="D850" s="103" t="inlineStr">
        <is>
          <t>PHN</t>
        </is>
      </c>
      <c r="E850" s="60" t="inlineStr">
        <is>
          <t>iPhone 8 Plus</t>
        </is>
      </c>
      <c r="F850" s="104" t="inlineStr">
        <is>
          <t>SVC000020</t>
        </is>
      </c>
      <c r="G850" s="104" t="inlineStr">
        <is>
          <t>Headphone Jack Repair</t>
        </is>
      </c>
      <c r="H850" s="104" t="inlineStr">
        <is>
          <t>Audio</t>
        </is>
      </c>
      <c r="I850" s="104" t="n"/>
      <c r="J850" s="104" t="n"/>
      <c r="K850" s="104" t="n"/>
      <c r="L850" s="104" t="n"/>
      <c r="M850" s="104" t="n"/>
      <c r="N850" s="104" t="n"/>
      <c r="O850" s="104" t="n"/>
      <c r="P850" s="104" t="n"/>
      <c r="Q850" s="104" t="n"/>
      <c r="R850" s="104" t="n"/>
      <c r="S850" s="110" t="n"/>
      <c r="T850" s="110" t="n"/>
      <c r="U850" s="104" t="n"/>
    </row>
    <row r="851">
      <c r="A851" s="104" t="inlineStr">
        <is>
          <t>GUIDE000850</t>
        </is>
      </c>
      <c r="B851" s="101" t="inlineStr">
        <is>
          <t>DEV000018</t>
        </is>
      </c>
      <c r="C851" s="103" t="inlineStr">
        <is>
          <t>APL</t>
        </is>
      </c>
      <c r="D851" s="103" t="inlineStr">
        <is>
          <t>PHN</t>
        </is>
      </c>
      <c r="E851" s="60" t="inlineStr">
        <is>
          <t>iPhone X</t>
        </is>
      </c>
      <c r="F851" s="104" t="inlineStr">
        <is>
          <t>SVC000020</t>
        </is>
      </c>
      <c r="G851" s="104" t="inlineStr">
        <is>
          <t>Headphone Jack Repair</t>
        </is>
      </c>
      <c r="H851" s="104" t="inlineStr">
        <is>
          <t>Audio</t>
        </is>
      </c>
      <c r="I851" s="104" t="n"/>
      <c r="J851" s="104" t="n"/>
      <c r="K851" s="104" t="n"/>
      <c r="L851" s="104" t="n"/>
      <c r="M851" s="104" t="n"/>
      <c r="N851" s="104" t="n"/>
      <c r="O851" s="104" t="n"/>
      <c r="P851" s="104" t="n"/>
      <c r="Q851" s="104" t="n"/>
      <c r="R851" s="104" t="n"/>
      <c r="S851" s="110" t="n"/>
      <c r="T851" s="110" t="n"/>
      <c r="U851" s="104" t="n"/>
    </row>
    <row r="852">
      <c r="A852" s="104" t="inlineStr">
        <is>
          <t>GUIDE000851</t>
        </is>
      </c>
      <c r="B852" s="101" t="inlineStr">
        <is>
          <t>DEV000019</t>
        </is>
      </c>
      <c r="C852" s="103" t="inlineStr">
        <is>
          <t>APL</t>
        </is>
      </c>
      <c r="D852" s="103" t="inlineStr">
        <is>
          <t>PHN</t>
        </is>
      </c>
      <c r="E852" s="60" t="inlineStr">
        <is>
          <t>iPhone XR</t>
        </is>
      </c>
      <c r="F852" s="104" t="inlineStr">
        <is>
          <t>SVC000020</t>
        </is>
      </c>
      <c r="G852" s="104" t="inlineStr">
        <is>
          <t>Headphone Jack Repair</t>
        </is>
      </c>
      <c r="H852" s="104" t="inlineStr">
        <is>
          <t>Audio</t>
        </is>
      </c>
      <c r="I852" s="104" t="n"/>
      <c r="J852" s="104" t="n"/>
      <c r="K852" s="104" t="n"/>
      <c r="L852" s="104" t="n"/>
      <c r="M852" s="104" t="n"/>
      <c r="N852" s="104" t="n"/>
      <c r="O852" s="104" t="n"/>
      <c r="P852" s="104" t="n"/>
      <c r="Q852" s="104" t="n"/>
      <c r="R852" s="104" t="n"/>
      <c r="S852" s="110" t="n"/>
      <c r="T852" s="110" t="n"/>
      <c r="U852" s="104" t="n"/>
    </row>
    <row r="853">
      <c r="A853" s="105" t="inlineStr">
        <is>
          <t>GUIDE000852</t>
        </is>
      </c>
      <c r="B853" s="101" t="inlineStr">
        <is>
          <t>DEV000020</t>
        </is>
      </c>
      <c r="C853" s="103" t="inlineStr">
        <is>
          <t>APL</t>
        </is>
      </c>
      <c r="D853" s="103" t="inlineStr">
        <is>
          <t>PHN</t>
        </is>
      </c>
      <c r="E853" s="60" t="inlineStr">
        <is>
          <t>iPhone XS</t>
        </is>
      </c>
      <c r="F853" s="104" t="inlineStr">
        <is>
          <t>SVC000020</t>
        </is>
      </c>
      <c r="G853" s="104" t="inlineStr">
        <is>
          <t>Headphone Jack Repair</t>
        </is>
      </c>
      <c r="H853" s="104" t="inlineStr">
        <is>
          <t>Audio</t>
        </is>
      </c>
      <c r="I853" s="104" t="n"/>
      <c r="J853" s="104" t="n"/>
      <c r="K853" s="104" t="n"/>
      <c r="L853" s="104" t="n"/>
      <c r="M853" s="104" t="n"/>
      <c r="N853" s="104" t="n"/>
      <c r="O853" s="104" t="n"/>
      <c r="P853" s="104" t="n"/>
      <c r="Q853" s="104" t="n"/>
      <c r="R853" s="104" t="n"/>
      <c r="S853" s="110" t="n"/>
      <c r="T853" s="110" t="n"/>
      <c r="U853" s="104" t="n"/>
    </row>
    <row r="854">
      <c r="A854" s="104" t="inlineStr">
        <is>
          <t>GUIDE000853</t>
        </is>
      </c>
      <c r="B854" s="101" t="inlineStr">
        <is>
          <t>DEV000021</t>
        </is>
      </c>
      <c r="C854" s="103" t="inlineStr">
        <is>
          <t>APL</t>
        </is>
      </c>
      <c r="D854" s="103" t="inlineStr">
        <is>
          <t>PHN</t>
        </is>
      </c>
      <c r="E854" s="60" t="inlineStr">
        <is>
          <t>iPhone XS Max</t>
        </is>
      </c>
      <c r="F854" s="104" t="inlineStr">
        <is>
          <t>SVC000020</t>
        </is>
      </c>
      <c r="G854" s="104" t="inlineStr">
        <is>
          <t>Headphone Jack Repair</t>
        </is>
      </c>
      <c r="H854" s="104" t="inlineStr">
        <is>
          <t>Audio</t>
        </is>
      </c>
      <c r="I854" s="104" t="n"/>
      <c r="J854" s="104" t="n"/>
      <c r="K854" s="104" t="n"/>
      <c r="L854" s="104" t="n"/>
      <c r="M854" s="104" t="n"/>
      <c r="N854" s="104" t="n"/>
      <c r="O854" s="104" t="n"/>
      <c r="P854" s="104" t="n"/>
      <c r="Q854" s="104" t="n"/>
      <c r="R854" s="104" t="n"/>
      <c r="S854" s="110" t="n"/>
      <c r="T854" s="110" t="n"/>
      <c r="U854" s="104" t="n"/>
    </row>
    <row r="855">
      <c r="A855" s="104" t="inlineStr">
        <is>
          <t>GUIDE000854</t>
        </is>
      </c>
      <c r="B855" s="101" t="inlineStr">
        <is>
          <t>DEV000022</t>
        </is>
      </c>
      <c r="C855" s="103" t="inlineStr">
        <is>
          <t>APL</t>
        </is>
      </c>
      <c r="D855" s="103" t="inlineStr">
        <is>
          <t>PHN</t>
        </is>
      </c>
      <c r="E855" s="60" t="inlineStr">
        <is>
          <t>iPhone 11</t>
        </is>
      </c>
      <c r="F855" s="104" t="inlineStr">
        <is>
          <t>SVC000020</t>
        </is>
      </c>
      <c r="G855" s="104" t="inlineStr">
        <is>
          <t>Headphone Jack Repair</t>
        </is>
      </c>
      <c r="H855" s="104" t="inlineStr">
        <is>
          <t>Audio</t>
        </is>
      </c>
      <c r="I855" s="104" t="n"/>
      <c r="J855" s="104" t="n"/>
      <c r="K855" s="104" t="n"/>
      <c r="L855" s="104" t="n"/>
      <c r="M855" s="104" t="n"/>
      <c r="N855" s="104" t="n"/>
      <c r="O855" s="104" t="n"/>
      <c r="P855" s="104" t="n"/>
      <c r="Q855" s="104" t="n"/>
      <c r="R855" s="104" t="n"/>
      <c r="S855" s="110" t="n"/>
      <c r="T855" s="110" t="n"/>
      <c r="U855" s="104" t="n"/>
    </row>
    <row r="856">
      <c r="A856" s="104" t="inlineStr">
        <is>
          <t>GUIDE000855</t>
        </is>
      </c>
      <c r="B856" s="101" t="inlineStr">
        <is>
          <t>DEV000023</t>
        </is>
      </c>
      <c r="C856" s="103" t="inlineStr">
        <is>
          <t>APL</t>
        </is>
      </c>
      <c r="D856" s="103" t="inlineStr">
        <is>
          <t>PHN</t>
        </is>
      </c>
      <c r="E856" s="60" t="inlineStr">
        <is>
          <t>iPhone 11 Pro</t>
        </is>
      </c>
      <c r="F856" s="104" t="inlineStr">
        <is>
          <t>SVC000020</t>
        </is>
      </c>
      <c r="G856" s="104" t="inlineStr">
        <is>
          <t>Headphone Jack Repair</t>
        </is>
      </c>
      <c r="H856" s="104" t="inlineStr">
        <is>
          <t>Audio</t>
        </is>
      </c>
      <c r="I856" s="104" t="n"/>
      <c r="J856" s="104" t="n"/>
      <c r="K856" s="104" t="n"/>
      <c r="L856" s="104" t="n"/>
      <c r="M856" s="104" t="n"/>
      <c r="N856" s="104" t="n"/>
      <c r="O856" s="104" t="n"/>
      <c r="P856" s="104" t="n"/>
      <c r="Q856" s="104" t="n"/>
      <c r="R856" s="104" t="n"/>
      <c r="S856" s="110" t="n"/>
      <c r="T856" s="110" t="n"/>
      <c r="U856" s="104" t="n"/>
    </row>
    <row r="857">
      <c r="A857" s="104" t="inlineStr">
        <is>
          <t>GUIDE000856</t>
        </is>
      </c>
      <c r="B857" s="101" t="inlineStr">
        <is>
          <t>DEV000024</t>
        </is>
      </c>
      <c r="C857" s="103" t="inlineStr">
        <is>
          <t>APL</t>
        </is>
      </c>
      <c r="D857" s="103" t="inlineStr">
        <is>
          <t>PHN</t>
        </is>
      </c>
      <c r="E857" s="60" t="inlineStr">
        <is>
          <t>iPhone 11 Pro Max</t>
        </is>
      </c>
      <c r="F857" s="104" t="inlineStr">
        <is>
          <t>SVC000020</t>
        </is>
      </c>
      <c r="G857" s="104" t="inlineStr">
        <is>
          <t>Headphone Jack Repair</t>
        </is>
      </c>
      <c r="H857" s="104" t="inlineStr">
        <is>
          <t>Audio</t>
        </is>
      </c>
      <c r="I857" s="104" t="n"/>
      <c r="J857" s="104" t="n"/>
      <c r="K857" s="104" t="n"/>
      <c r="L857" s="104" t="n"/>
      <c r="M857" s="104" t="n"/>
      <c r="N857" s="104" t="n"/>
      <c r="O857" s="104" t="n"/>
      <c r="P857" s="104" t="n"/>
      <c r="Q857" s="104" t="n"/>
      <c r="R857" s="104" t="n"/>
      <c r="S857" s="110" t="n"/>
      <c r="T857" s="110" t="n"/>
      <c r="U857" s="104" t="n"/>
    </row>
    <row r="858">
      <c r="A858" s="105" t="inlineStr">
        <is>
          <t>GUIDE000857</t>
        </is>
      </c>
      <c r="B858" s="101" t="inlineStr">
        <is>
          <t>DEV000025</t>
        </is>
      </c>
      <c r="C858" s="103" t="inlineStr">
        <is>
          <t>APL</t>
        </is>
      </c>
      <c r="D858" s="103" t="inlineStr">
        <is>
          <t>PHN</t>
        </is>
      </c>
      <c r="E858" s="60" t="inlineStr">
        <is>
          <t>iPhone SE (2nd Generation)</t>
        </is>
      </c>
      <c r="F858" s="104" t="inlineStr">
        <is>
          <t>SVC000020</t>
        </is>
      </c>
      <c r="G858" s="104" t="inlineStr">
        <is>
          <t>Headphone Jack Repair</t>
        </is>
      </c>
      <c r="H858" s="104" t="inlineStr">
        <is>
          <t>Audio</t>
        </is>
      </c>
      <c r="I858" s="104" t="n"/>
      <c r="J858" s="104" t="n"/>
      <c r="K858" s="104" t="n"/>
      <c r="L858" s="104" t="n"/>
      <c r="M858" s="104" t="n"/>
      <c r="N858" s="104" t="n"/>
      <c r="O858" s="104" t="n"/>
      <c r="P858" s="104" t="n"/>
      <c r="Q858" s="104" t="n"/>
      <c r="R858" s="104" t="n"/>
      <c r="S858" s="110" t="n"/>
      <c r="T858" s="110" t="n"/>
      <c r="U858" s="104" t="n"/>
    </row>
    <row r="859">
      <c r="A859" s="104" t="inlineStr">
        <is>
          <t>GUIDE000858</t>
        </is>
      </c>
      <c r="B859" s="101" t="inlineStr">
        <is>
          <t>DEV000026</t>
        </is>
      </c>
      <c r="C859" s="103" t="inlineStr">
        <is>
          <t>APL</t>
        </is>
      </c>
      <c r="D859" s="103" t="inlineStr">
        <is>
          <t>PHN</t>
        </is>
      </c>
      <c r="E859" s="60" t="inlineStr">
        <is>
          <t>iPhone 12 mini</t>
        </is>
      </c>
      <c r="F859" s="104" t="inlineStr">
        <is>
          <t>SVC000020</t>
        </is>
      </c>
      <c r="G859" s="104" t="inlineStr">
        <is>
          <t>Headphone Jack Repair</t>
        </is>
      </c>
      <c r="H859" s="104" t="inlineStr">
        <is>
          <t>Audio</t>
        </is>
      </c>
      <c r="I859" s="104" t="n"/>
      <c r="J859" s="104" t="n"/>
      <c r="K859" s="104" t="n"/>
      <c r="L859" s="104" t="n"/>
      <c r="M859" s="104" t="n"/>
      <c r="N859" s="104" t="n"/>
      <c r="O859" s="104" t="n"/>
      <c r="P859" s="104" t="n"/>
      <c r="Q859" s="104" t="n"/>
      <c r="R859" s="104" t="n"/>
      <c r="S859" s="110" t="n"/>
      <c r="T859" s="110" t="n"/>
      <c r="U859" s="104" t="n"/>
    </row>
    <row r="860">
      <c r="A860" s="104" t="inlineStr">
        <is>
          <t>GUIDE000859</t>
        </is>
      </c>
      <c r="B860" s="101" t="inlineStr">
        <is>
          <t>DEV000027</t>
        </is>
      </c>
      <c r="C860" s="103" t="inlineStr">
        <is>
          <t>APL</t>
        </is>
      </c>
      <c r="D860" s="103" t="inlineStr">
        <is>
          <t>PHN</t>
        </is>
      </c>
      <c r="E860" s="60" t="inlineStr">
        <is>
          <t>iPhone 12</t>
        </is>
      </c>
      <c r="F860" s="104" t="inlineStr">
        <is>
          <t>SVC000020</t>
        </is>
      </c>
      <c r="G860" s="104" t="inlineStr">
        <is>
          <t>Headphone Jack Repair</t>
        </is>
      </c>
      <c r="H860" s="104" t="inlineStr">
        <is>
          <t>Audio</t>
        </is>
      </c>
      <c r="I860" s="104" t="n"/>
      <c r="J860" s="104" t="n"/>
      <c r="K860" s="104" t="n"/>
      <c r="L860" s="104" t="n"/>
      <c r="M860" s="104" t="n"/>
      <c r="N860" s="104" t="n"/>
      <c r="O860" s="104" t="n"/>
      <c r="P860" s="104" t="n"/>
      <c r="Q860" s="104" t="n"/>
      <c r="R860" s="104" t="n"/>
      <c r="S860" s="110" t="n"/>
      <c r="T860" s="110" t="n"/>
      <c r="U860" s="104" t="n"/>
    </row>
    <row r="861">
      <c r="A861" s="104" t="inlineStr">
        <is>
          <t>GUIDE000860</t>
        </is>
      </c>
      <c r="B861" s="101" t="inlineStr">
        <is>
          <t>DEV000028</t>
        </is>
      </c>
      <c r="C861" s="103" t="inlineStr">
        <is>
          <t>APL</t>
        </is>
      </c>
      <c r="D861" s="103" t="inlineStr">
        <is>
          <t>PHN</t>
        </is>
      </c>
      <c r="E861" s="60" t="inlineStr">
        <is>
          <t>iPhone 12 Pro</t>
        </is>
      </c>
      <c r="F861" s="104" t="inlineStr">
        <is>
          <t>SVC000020</t>
        </is>
      </c>
      <c r="G861" s="104" t="inlineStr">
        <is>
          <t>Headphone Jack Repair</t>
        </is>
      </c>
      <c r="H861" s="104" t="inlineStr">
        <is>
          <t>Audio</t>
        </is>
      </c>
      <c r="I861" s="104" t="n"/>
      <c r="J861" s="104" t="n"/>
      <c r="K861" s="104" t="n"/>
      <c r="L861" s="104" t="n"/>
      <c r="M861" s="104" t="n"/>
      <c r="N861" s="104" t="n"/>
      <c r="O861" s="104" t="n"/>
      <c r="P861" s="104" t="n"/>
      <c r="Q861" s="104" t="n"/>
      <c r="R861" s="104" t="n"/>
      <c r="S861" s="110" t="n"/>
      <c r="T861" s="110" t="n"/>
      <c r="U861" s="104" t="n"/>
    </row>
    <row r="862">
      <c r="A862" s="105" t="inlineStr">
        <is>
          <t>GUIDE000861</t>
        </is>
      </c>
      <c r="B862" s="101" t="inlineStr">
        <is>
          <t>DEV000029</t>
        </is>
      </c>
      <c r="C862" s="103" t="inlineStr">
        <is>
          <t>APL</t>
        </is>
      </c>
      <c r="D862" s="103" t="inlineStr">
        <is>
          <t>PHN</t>
        </is>
      </c>
      <c r="E862" s="60" t="inlineStr">
        <is>
          <t>iPhone 12 Pro Max</t>
        </is>
      </c>
      <c r="F862" s="104" t="inlineStr">
        <is>
          <t>SVC000020</t>
        </is>
      </c>
      <c r="G862" s="104" t="inlineStr">
        <is>
          <t>Headphone Jack Repair</t>
        </is>
      </c>
      <c r="H862" s="104" t="inlineStr">
        <is>
          <t>Audio</t>
        </is>
      </c>
      <c r="I862" s="104" t="n"/>
      <c r="J862" s="104" t="n"/>
      <c r="K862" s="104" t="n"/>
      <c r="L862" s="104" t="n"/>
      <c r="M862" s="104" t="n"/>
      <c r="N862" s="104" t="n"/>
      <c r="O862" s="104" t="n"/>
      <c r="P862" s="104" t="n"/>
      <c r="Q862" s="104" t="n"/>
      <c r="R862" s="104" t="n"/>
      <c r="S862" s="110" t="n"/>
      <c r="T862" s="110" t="n"/>
      <c r="U862" s="104" t="n"/>
    </row>
    <row r="863">
      <c r="A863" s="104" t="inlineStr">
        <is>
          <t>GUIDE000862</t>
        </is>
      </c>
      <c r="B863" s="101" t="inlineStr">
        <is>
          <t>DEV000030</t>
        </is>
      </c>
      <c r="C863" s="103" t="inlineStr">
        <is>
          <t>APL</t>
        </is>
      </c>
      <c r="D863" s="103" t="inlineStr">
        <is>
          <t>PHN</t>
        </is>
      </c>
      <c r="E863" s="60" t="inlineStr">
        <is>
          <t>iPhone 13 mini</t>
        </is>
      </c>
      <c r="F863" s="104" t="inlineStr">
        <is>
          <t>SVC000020</t>
        </is>
      </c>
      <c r="G863" s="104" t="inlineStr">
        <is>
          <t>Headphone Jack Repair</t>
        </is>
      </c>
      <c r="H863" s="104" t="inlineStr">
        <is>
          <t>Audio</t>
        </is>
      </c>
      <c r="I863" s="104" t="n"/>
      <c r="J863" s="104" t="n"/>
      <c r="K863" s="104" t="n"/>
      <c r="L863" s="104" t="n"/>
      <c r="M863" s="104" t="n"/>
      <c r="N863" s="104" t="n"/>
      <c r="O863" s="104" t="n"/>
      <c r="P863" s="104" t="n"/>
      <c r="Q863" s="104" t="n"/>
      <c r="R863" s="104" t="n"/>
      <c r="S863" s="110" t="n"/>
      <c r="T863" s="110" t="n"/>
      <c r="U863" s="104" t="n"/>
    </row>
    <row r="864">
      <c r="A864" s="104" t="inlineStr">
        <is>
          <t>GUIDE000863</t>
        </is>
      </c>
      <c r="B864" s="101" t="inlineStr">
        <is>
          <t>DEV000031</t>
        </is>
      </c>
      <c r="C864" s="103" t="inlineStr">
        <is>
          <t>APL</t>
        </is>
      </c>
      <c r="D864" s="103" t="inlineStr">
        <is>
          <t>PHN</t>
        </is>
      </c>
      <c r="E864" s="60" t="inlineStr">
        <is>
          <t>iPhone 13</t>
        </is>
      </c>
      <c r="F864" s="104" t="inlineStr">
        <is>
          <t>SVC000020</t>
        </is>
      </c>
      <c r="G864" s="104" t="inlineStr">
        <is>
          <t>Headphone Jack Repair</t>
        </is>
      </c>
      <c r="H864" s="104" t="inlineStr">
        <is>
          <t>Audio</t>
        </is>
      </c>
      <c r="I864" s="104" t="n"/>
      <c r="J864" s="104" t="n"/>
      <c r="K864" s="104" t="n"/>
      <c r="L864" s="104" t="n"/>
      <c r="M864" s="104" t="n"/>
      <c r="N864" s="104" t="n"/>
      <c r="O864" s="104" t="n"/>
      <c r="P864" s="104" t="n"/>
      <c r="Q864" s="104" t="n"/>
      <c r="R864" s="104" t="n"/>
      <c r="S864" s="110" t="n"/>
      <c r="T864" s="110" t="n"/>
      <c r="U864" s="104" t="n"/>
    </row>
    <row r="865">
      <c r="A865" s="104" t="inlineStr">
        <is>
          <t>GUIDE000864</t>
        </is>
      </c>
      <c r="B865" s="101" t="inlineStr">
        <is>
          <t>DEV000032</t>
        </is>
      </c>
      <c r="C865" s="103" t="inlineStr">
        <is>
          <t>APL</t>
        </is>
      </c>
      <c r="D865" s="103" t="inlineStr">
        <is>
          <t>PHN</t>
        </is>
      </c>
      <c r="E865" s="60" t="inlineStr">
        <is>
          <t>iPhone 13 Pro</t>
        </is>
      </c>
      <c r="F865" s="104" t="inlineStr">
        <is>
          <t>SVC000020</t>
        </is>
      </c>
      <c r="G865" s="104" t="inlineStr">
        <is>
          <t>Headphone Jack Repair</t>
        </is>
      </c>
      <c r="H865" s="104" t="inlineStr">
        <is>
          <t>Audio</t>
        </is>
      </c>
      <c r="I865" s="104" t="n"/>
      <c r="J865" s="104" t="n"/>
      <c r="K865" s="104" t="n"/>
      <c r="L865" s="104" t="n"/>
      <c r="M865" s="104" t="n"/>
      <c r="N865" s="104" t="n"/>
      <c r="O865" s="104" t="n"/>
      <c r="P865" s="104" t="n"/>
      <c r="Q865" s="104" t="n"/>
      <c r="R865" s="104" t="n"/>
      <c r="S865" s="110" t="n"/>
      <c r="T865" s="110" t="n"/>
      <c r="U865" s="104" t="n"/>
    </row>
    <row r="866">
      <c r="A866" s="104" t="inlineStr">
        <is>
          <t>GUIDE000865</t>
        </is>
      </c>
      <c r="B866" s="101" t="inlineStr">
        <is>
          <t>DEV000033</t>
        </is>
      </c>
      <c r="C866" s="103" t="inlineStr">
        <is>
          <t>APL</t>
        </is>
      </c>
      <c r="D866" s="103" t="inlineStr">
        <is>
          <t>PHN</t>
        </is>
      </c>
      <c r="E866" s="60" t="inlineStr">
        <is>
          <t>iPhone 13 Pro Max</t>
        </is>
      </c>
      <c r="F866" s="104" t="inlineStr">
        <is>
          <t>SVC000020</t>
        </is>
      </c>
      <c r="G866" s="104" t="inlineStr">
        <is>
          <t>Headphone Jack Repair</t>
        </is>
      </c>
      <c r="H866" s="104" t="inlineStr">
        <is>
          <t>Audio</t>
        </is>
      </c>
      <c r="I866" s="104" t="n"/>
      <c r="J866" s="104" t="n"/>
      <c r="K866" s="104" t="n"/>
      <c r="L866" s="104" t="n"/>
      <c r="M866" s="104" t="n"/>
      <c r="N866" s="104" t="n"/>
      <c r="O866" s="104" t="n"/>
      <c r="P866" s="104" t="n"/>
      <c r="Q866" s="104" t="n"/>
      <c r="R866" s="104" t="n"/>
      <c r="S866" s="110" t="n"/>
      <c r="T866" s="110" t="n"/>
      <c r="U866" s="104" t="n"/>
    </row>
    <row r="867">
      <c r="A867" s="105" t="inlineStr">
        <is>
          <t>GUIDE000866</t>
        </is>
      </c>
      <c r="B867" s="101" t="inlineStr">
        <is>
          <t>DEV000034</t>
        </is>
      </c>
      <c r="C867" s="103" t="inlineStr">
        <is>
          <t>APL</t>
        </is>
      </c>
      <c r="D867" s="103" t="inlineStr">
        <is>
          <t>PHN</t>
        </is>
      </c>
      <c r="E867" s="60" t="inlineStr">
        <is>
          <t>iPhone SE (3rd Generation)</t>
        </is>
      </c>
      <c r="F867" s="104" t="inlineStr">
        <is>
          <t>SVC000020</t>
        </is>
      </c>
      <c r="G867" s="104" t="inlineStr">
        <is>
          <t>Headphone Jack Repair</t>
        </is>
      </c>
      <c r="H867" s="104" t="inlineStr">
        <is>
          <t>Audio</t>
        </is>
      </c>
      <c r="I867" s="104" t="n"/>
      <c r="J867" s="104" t="n"/>
      <c r="K867" s="104" t="n"/>
      <c r="L867" s="104" t="n"/>
      <c r="M867" s="104" t="n"/>
      <c r="N867" s="104" t="n"/>
      <c r="O867" s="104" t="n"/>
      <c r="P867" s="104" t="n"/>
      <c r="Q867" s="104" t="n"/>
      <c r="R867" s="104" t="n"/>
      <c r="S867" s="110" t="n"/>
      <c r="T867" s="110" t="n"/>
      <c r="U867" s="104" t="n"/>
    </row>
    <row r="868">
      <c r="A868" s="104" t="inlineStr">
        <is>
          <t>GUIDE000867</t>
        </is>
      </c>
      <c r="B868" s="101" t="inlineStr">
        <is>
          <t>DEV000035</t>
        </is>
      </c>
      <c r="C868" s="103" t="inlineStr">
        <is>
          <t>APL</t>
        </is>
      </c>
      <c r="D868" s="103" t="inlineStr">
        <is>
          <t>PHN</t>
        </is>
      </c>
      <c r="E868" s="60" t="inlineStr">
        <is>
          <t>iPhone 14</t>
        </is>
      </c>
      <c r="F868" s="104" t="inlineStr">
        <is>
          <t>SVC000020</t>
        </is>
      </c>
      <c r="G868" s="104" t="inlineStr">
        <is>
          <t>Headphone Jack Repair</t>
        </is>
      </c>
      <c r="H868" s="104" t="inlineStr">
        <is>
          <t>Audio</t>
        </is>
      </c>
      <c r="I868" s="104" t="n"/>
      <c r="J868" s="104" t="n"/>
      <c r="K868" s="104" t="n"/>
      <c r="L868" s="104" t="n"/>
      <c r="M868" s="104" t="n"/>
      <c r="N868" s="104" t="n"/>
      <c r="O868" s="104" t="n"/>
      <c r="P868" s="104" t="n"/>
      <c r="Q868" s="104" t="n"/>
      <c r="R868" s="104" t="n"/>
      <c r="S868" s="110" t="n"/>
      <c r="T868" s="110" t="n"/>
      <c r="U868" s="104" t="n"/>
    </row>
    <row r="869">
      <c r="A869" s="104" t="inlineStr">
        <is>
          <t>GUIDE000868</t>
        </is>
      </c>
      <c r="B869" s="101" t="inlineStr">
        <is>
          <t>DEV000036</t>
        </is>
      </c>
      <c r="C869" s="103" t="inlineStr">
        <is>
          <t>APL</t>
        </is>
      </c>
      <c r="D869" s="103" t="inlineStr">
        <is>
          <t>PHN</t>
        </is>
      </c>
      <c r="E869" s="60" t="inlineStr">
        <is>
          <t>iPhone 14 Plus</t>
        </is>
      </c>
      <c r="F869" s="104" t="inlineStr">
        <is>
          <t>SVC000020</t>
        </is>
      </c>
      <c r="G869" s="104" t="inlineStr">
        <is>
          <t>Headphone Jack Repair</t>
        </is>
      </c>
      <c r="H869" s="104" t="inlineStr">
        <is>
          <t>Audio</t>
        </is>
      </c>
      <c r="I869" s="104" t="n"/>
      <c r="J869" s="104" t="n"/>
      <c r="K869" s="104" t="n"/>
      <c r="L869" s="104" t="n"/>
      <c r="M869" s="104" t="n"/>
      <c r="N869" s="104" t="n"/>
      <c r="O869" s="104" t="n"/>
      <c r="P869" s="104" t="n"/>
      <c r="Q869" s="104" t="n"/>
      <c r="R869" s="104" t="n"/>
      <c r="S869" s="110" t="n"/>
      <c r="T869" s="110" t="n"/>
      <c r="U869" s="104" t="n"/>
    </row>
    <row r="870">
      <c r="A870" s="104" t="inlineStr">
        <is>
          <t>GUIDE000869</t>
        </is>
      </c>
      <c r="B870" s="101" t="inlineStr">
        <is>
          <t>DEV000037</t>
        </is>
      </c>
      <c r="C870" s="103" t="inlineStr">
        <is>
          <t>APL</t>
        </is>
      </c>
      <c r="D870" s="103" t="inlineStr">
        <is>
          <t>PHN</t>
        </is>
      </c>
      <c r="E870" s="60" t="inlineStr">
        <is>
          <t>iPhone 14 Pro</t>
        </is>
      </c>
      <c r="F870" s="104" t="inlineStr">
        <is>
          <t>SVC000020</t>
        </is>
      </c>
      <c r="G870" s="104" t="inlineStr">
        <is>
          <t>Headphone Jack Repair</t>
        </is>
      </c>
      <c r="H870" s="104" t="inlineStr">
        <is>
          <t>Audio</t>
        </is>
      </c>
      <c r="I870" s="104" t="n"/>
      <c r="J870" s="104" t="n"/>
      <c r="K870" s="104" t="n"/>
      <c r="L870" s="104" t="n"/>
      <c r="M870" s="104" t="n"/>
      <c r="N870" s="104" t="n"/>
      <c r="O870" s="104" t="n"/>
      <c r="P870" s="104" t="n"/>
      <c r="Q870" s="104" t="n"/>
      <c r="R870" s="104" t="n"/>
      <c r="S870" s="110" t="n"/>
      <c r="T870" s="110" t="n"/>
      <c r="U870" s="104" t="n"/>
    </row>
    <row r="871">
      <c r="A871" s="105" t="inlineStr">
        <is>
          <t>GUIDE000870</t>
        </is>
      </c>
      <c r="B871" s="101" t="inlineStr">
        <is>
          <t>DEV000038</t>
        </is>
      </c>
      <c r="C871" s="103" t="inlineStr">
        <is>
          <t>APL</t>
        </is>
      </c>
      <c r="D871" s="103" t="inlineStr">
        <is>
          <t>PHN</t>
        </is>
      </c>
      <c r="E871" s="60" t="inlineStr">
        <is>
          <t>iPhone 14 Pro Max</t>
        </is>
      </c>
      <c r="F871" s="104" t="inlineStr">
        <is>
          <t>SVC000020</t>
        </is>
      </c>
      <c r="G871" s="104" t="inlineStr">
        <is>
          <t>Headphone Jack Repair</t>
        </is>
      </c>
      <c r="H871" s="104" t="inlineStr">
        <is>
          <t>Audio</t>
        </is>
      </c>
      <c r="I871" s="104" t="n"/>
      <c r="J871" s="104" t="n"/>
      <c r="K871" s="104" t="n"/>
      <c r="L871" s="104" t="n"/>
      <c r="M871" s="104" t="n"/>
      <c r="N871" s="104" t="n"/>
      <c r="O871" s="104" t="n"/>
      <c r="P871" s="104" t="n"/>
      <c r="Q871" s="104" t="n"/>
      <c r="R871" s="104" t="n"/>
      <c r="S871" s="110" t="n"/>
      <c r="T871" s="110" t="n"/>
      <c r="U871" s="104" t="n"/>
    </row>
    <row r="872">
      <c r="A872" s="104" t="inlineStr">
        <is>
          <t>GUIDE000871</t>
        </is>
      </c>
      <c r="B872" s="101" t="inlineStr">
        <is>
          <t>DEV000039</t>
        </is>
      </c>
      <c r="C872" s="103" t="inlineStr">
        <is>
          <t>APL</t>
        </is>
      </c>
      <c r="D872" s="103" t="inlineStr">
        <is>
          <t>PHN</t>
        </is>
      </c>
      <c r="E872" s="60" t="inlineStr">
        <is>
          <t>iPhone 15</t>
        </is>
      </c>
      <c r="F872" s="104" t="inlineStr">
        <is>
          <t>SVC000020</t>
        </is>
      </c>
      <c r="G872" s="104" t="inlineStr">
        <is>
          <t>Headphone Jack Repair</t>
        </is>
      </c>
      <c r="H872" s="104" t="inlineStr">
        <is>
          <t>Audio</t>
        </is>
      </c>
      <c r="I872" s="104" t="n"/>
      <c r="J872" s="104" t="n"/>
      <c r="K872" s="104" t="n"/>
      <c r="L872" s="104" t="n"/>
      <c r="M872" s="104" t="n"/>
      <c r="N872" s="104" t="n"/>
      <c r="O872" s="104" t="n"/>
      <c r="P872" s="104" t="n"/>
      <c r="Q872" s="104" t="n"/>
      <c r="R872" s="104" t="n"/>
      <c r="S872" s="110" t="n"/>
      <c r="T872" s="110" t="n"/>
      <c r="U872" s="104" t="n"/>
    </row>
    <row r="873">
      <c r="A873" s="104" t="inlineStr">
        <is>
          <t>GUIDE000872</t>
        </is>
      </c>
      <c r="B873" s="101" t="inlineStr">
        <is>
          <t>DEV000040</t>
        </is>
      </c>
      <c r="C873" s="103" t="inlineStr">
        <is>
          <t>APL</t>
        </is>
      </c>
      <c r="D873" s="103" t="inlineStr">
        <is>
          <t>PHN</t>
        </is>
      </c>
      <c r="E873" s="60" t="inlineStr">
        <is>
          <t>iPhone 15 Plus</t>
        </is>
      </c>
      <c r="F873" s="104" t="inlineStr">
        <is>
          <t>SVC000020</t>
        </is>
      </c>
      <c r="G873" s="104" t="inlineStr">
        <is>
          <t>Headphone Jack Repair</t>
        </is>
      </c>
      <c r="H873" s="104" t="inlineStr">
        <is>
          <t>Audio</t>
        </is>
      </c>
      <c r="I873" s="104" t="n"/>
      <c r="J873" s="104" t="n"/>
      <c r="K873" s="104" t="n"/>
      <c r="L873" s="104" t="n"/>
      <c r="M873" s="104" t="n"/>
      <c r="N873" s="104" t="n"/>
      <c r="O873" s="104" t="n"/>
      <c r="P873" s="104" t="n"/>
      <c r="Q873" s="104" t="n"/>
      <c r="R873" s="104" t="n"/>
      <c r="S873" s="110" t="n"/>
      <c r="T873" s="110" t="n"/>
      <c r="U873" s="104" t="n"/>
    </row>
    <row r="874">
      <c r="A874" s="104" t="inlineStr">
        <is>
          <t>GUIDE000873</t>
        </is>
      </c>
      <c r="B874" s="101" t="inlineStr">
        <is>
          <t>DEV000041</t>
        </is>
      </c>
      <c r="C874" s="103" t="inlineStr">
        <is>
          <t>APL</t>
        </is>
      </c>
      <c r="D874" s="103" t="inlineStr">
        <is>
          <t>PHN</t>
        </is>
      </c>
      <c r="E874" s="60" t="inlineStr">
        <is>
          <t>iPhone 15 Pro</t>
        </is>
      </c>
      <c r="F874" s="104" t="inlineStr">
        <is>
          <t>SVC000020</t>
        </is>
      </c>
      <c r="G874" s="104" t="inlineStr">
        <is>
          <t>Headphone Jack Repair</t>
        </is>
      </c>
      <c r="H874" s="104" t="inlineStr">
        <is>
          <t>Audio</t>
        </is>
      </c>
      <c r="I874" s="104" t="n"/>
      <c r="J874" s="104" t="n"/>
      <c r="K874" s="104" t="n"/>
      <c r="L874" s="104" t="n"/>
      <c r="M874" s="104" t="n"/>
      <c r="N874" s="104" t="n"/>
      <c r="O874" s="104" t="n"/>
      <c r="P874" s="104" t="n"/>
      <c r="Q874" s="104" t="n"/>
      <c r="R874" s="104" t="n"/>
      <c r="S874" s="110" t="n"/>
      <c r="T874" s="110" t="n"/>
      <c r="U874" s="104" t="n"/>
    </row>
    <row r="875">
      <c r="A875" s="104" t="inlineStr">
        <is>
          <t>GUIDE000874</t>
        </is>
      </c>
      <c r="B875" s="101" t="inlineStr">
        <is>
          <t>DEV000042</t>
        </is>
      </c>
      <c r="C875" s="103" t="inlineStr">
        <is>
          <t>APL</t>
        </is>
      </c>
      <c r="D875" s="103" t="inlineStr">
        <is>
          <t>PHN</t>
        </is>
      </c>
      <c r="E875" s="60" t="inlineStr">
        <is>
          <t>iPhone 15 Pro Max</t>
        </is>
      </c>
      <c r="F875" s="104" t="inlineStr">
        <is>
          <t>SVC000020</t>
        </is>
      </c>
      <c r="G875" s="104" t="inlineStr">
        <is>
          <t>Headphone Jack Repair</t>
        </is>
      </c>
      <c r="H875" s="104" t="inlineStr">
        <is>
          <t>Audio</t>
        </is>
      </c>
      <c r="I875" s="104" t="n"/>
      <c r="J875" s="104" t="n"/>
      <c r="K875" s="104" t="n"/>
      <c r="L875" s="104" t="n"/>
      <c r="M875" s="104" t="n"/>
      <c r="N875" s="104" t="n"/>
      <c r="O875" s="104" t="n"/>
      <c r="P875" s="104" t="n"/>
      <c r="Q875" s="104" t="n"/>
      <c r="R875" s="104" t="n"/>
      <c r="S875" s="110" t="n"/>
      <c r="T875" s="110" t="n"/>
      <c r="U875" s="104" t="n"/>
    </row>
    <row r="876">
      <c r="A876" s="105" t="inlineStr">
        <is>
          <t>GUIDE000875</t>
        </is>
      </c>
      <c r="B876" s="101" t="inlineStr">
        <is>
          <t>DEV000043</t>
        </is>
      </c>
      <c r="C876" s="103" t="inlineStr">
        <is>
          <t>APL</t>
        </is>
      </c>
      <c r="D876" s="103" t="inlineStr">
        <is>
          <t>PHN</t>
        </is>
      </c>
      <c r="E876" s="60" t="inlineStr">
        <is>
          <t>iPhone 16</t>
        </is>
      </c>
      <c r="F876" s="104" t="inlineStr">
        <is>
          <t>SVC000020</t>
        </is>
      </c>
      <c r="G876" s="104" t="inlineStr">
        <is>
          <t>Headphone Jack Repair</t>
        </is>
      </c>
      <c r="H876" s="104" t="inlineStr">
        <is>
          <t>Audio</t>
        </is>
      </c>
      <c r="I876" s="104" t="n"/>
      <c r="J876" s="104" t="n"/>
      <c r="K876" s="104" t="n"/>
      <c r="L876" s="104" t="n"/>
      <c r="M876" s="104" t="n"/>
      <c r="N876" s="104" t="n"/>
      <c r="O876" s="104" t="n"/>
      <c r="P876" s="104" t="n"/>
      <c r="Q876" s="104" t="n"/>
      <c r="R876" s="104" t="n"/>
      <c r="S876" s="110" t="n"/>
      <c r="T876" s="110" t="n"/>
      <c r="U876" s="104" t="n"/>
    </row>
    <row r="877">
      <c r="A877" s="104" t="inlineStr">
        <is>
          <t>GUIDE000876</t>
        </is>
      </c>
      <c r="B877" s="101" t="inlineStr">
        <is>
          <t>DEV000044</t>
        </is>
      </c>
      <c r="C877" s="103" t="inlineStr">
        <is>
          <t>APL</t>
        </is>
      </c>
      <c r="D877" s="103" t="inlineStr">
        <is>
          <t>PHN</t>
        </is>
      </c>
      <c r="E877" s="60" t="inlineStr">
        <is>
          <t>iPhone 16 Plus</t>
        </is>
      </c>
      <c r="F877" s="104" t="inlineStr">
        <is>
          <t>SVC000020</t>
        </is>
      </c>
      <c r="G877" s="104" t="inlineStr">
        <is>
          <t>Headphone Jack Repair</t>
        </is>
      </c>
      <c r="H877" s="104" t="inlineStr">
        <is>
          <t>Audio</t>
        </is>
      </c>
      <c r="I877" s="104" t="n"/>
      <c r="J877" s="104" t="n"/>
      <c r="K877" s="104" t="n"/>
      <c r="L877" s="104" t="n"/>
      <c r="M877" s="104" t="n"/>
      <c r="N877" s="104" t="n"/>
      <c r="O877" s="104" t="n"/>
      <c r="P877" s="104" t="n"/>
      <c r="Q877" s="104" t="n"/>
      <c r="R877" s="104" t="n"/>
      <c r="S877" s="110" t="n"/>
      <c r="T877" s="110" t="n"/>
      <c r="U877" s="104" t="n"/>
    </row>
    <row r="878">
      <c r="A878" s="104" t="inlineStr">
        <is>
          <t>GUIDE000877</t>
        </is>
      </c>
      <c r="B878" s="101" t="inlineStr">
        <is>
          <t>DEV000045</t>
        </is>
      </c>
      <c r="C878" s="103" t="inlineStr">
        <is>
          <t>APL</t>
        </is>
      </c>
      <c r="D878" s="103" t="inlineStr">
        <is>
          <t>PHN</t>
        </is>
      </c>
      <c r="E878" s="60" t="inlineStr">
        <is>
          <t>iPhone 16 Pro</t>
        </is>
      </c>
      <c r="F878" s="104" t="inlineStr">
        <is>
          <t>SVC000020</t>
        </is>
      </c>
      <c r="G878" s="104" t="inlineStr">
        <is>
          <t>Headphone Jack Repair</t>
        </is>
      </c>
      <c r="H878" s="104" t="inlineStr">
        <is>
          <t>Audio</t>
        </is>
      </c>
      <c r="I878" s="104" t="n"/>
      <c r="J878" s="104" t="n"/>
      <c r="K878" s="104" t="n"/>
      <c r="L878" s="104" t="n"/>
      <c r="M878" s="104" t="n"/>
      <c r="N878" s="104" t="n"/>
      <c r="O878" s="104" t="n"/>
      <c r="P878" s="104" t="n"/>
      <c r="Q878" s="104" t="n"/>
      <c r="R878" s="104" t="n"/>
      <c r="S878" s="110" t="n"/>
      <c r="T878" s="110" t="n"/>
      <c r="U878" s="104" t="n"/>
    </row>
    <row r="879">
      <c r="A879" s="104" t="inlineStr">
        <is>
          <t>GUIDE000878</t>
        </is>
      </c>
      <c r="B879" s="101" t="inlineStr">
        <is>
          <t>DEV000046</t>
        </is>
      </c>
      <c r="C879" s="103" t="inlineStr">
        <is>
          <t>APL</t>
        </is>
      </c>
      <c r="D879" s="103" t="inlineStr">
        <is>
          <t>PHN</t>
        </is>
      </c>
      <c r="E879" s="60" t="inlineStr">
        <is>
          <t>iPhone 16 Pro Max</t>
        </is>
      </c>
      <c r="F879" s="104" t="inlineStr">
        <is>
          <t>SVC000020</t>
        </is>
      </c>
      <c r="G879" s="104" t="inlineStr">
        <is>
          <t>Headphone Jack Repair</t>
        </is>
      </c>
      <c r="H879" s="104" t="inlineStr">
        <is>
          <t>Audio</t>
        </is>
      </c>
      <c r="I879" s="104" t="n"/>
      <c r="J879" s="104" t="n"/>
      <c r="K879" s="104" t="n"/>
      <c r="L879" s="104" t="n"/>
      <c r="M879" s="104" t="n"/>
      <c r="N879" s="104" t="n"/>
      <c r="O879" s="104" t="n"/>
      <c r="P879" s="104" t="n"/>
      <c r="Q879" s="104" t="n"/>
      <c r="R879" s="104" t="n"/>
      <c r="S879" s="110" t="n"/>
      <c r="T879" s="110" t="n"/>
      <c r="U879" s="104" t="n"/>
    </row>
    <row r="880">
      <c r="A880" s="105" t="inlineStr">
        <is>
          <t>GUIDE000879</t>
        </is>
      </c>
      <c r="B880" s="101" t="inlineStr">
        <is>
          <t>DEV000047</t>
        </is>
      </c>
      <c r="C880" s="103" t="inlineStr">
        <is>
          <t>APL</t>
        </is>
      </c>
      <c r="D880" s="103" t="inlineStr">
        <is>
          <t>PHN</t>
        </is>
      </c>
      <c r="E880" s="60" t="inlineStr">
        <is>
          <t>iPhone 16e</t>
        </is>
      </c>
      <c r="F880" s="104" t="inlineStr">
        <is>
          <t>SVC000020</t>
        </is>
      </c>
      <c r="G880" s="104" t="inlineStr">
        <is>
          <t>Headphone Jack Repair</t>
        </is>
      </c>
      <c r="H880" s="104" t="inlineStr">
        <is>
          <t>Audio</t>
        </is>
      </c>
      <c r="I880" s="104" t="n"/>
      <c r="J880" s="104" t="n"/>
      <c r="K880" s="104" t="n"/>
      <c r="L880" s="104" t="n"/>
      <c r="M880" s="104" t="n"/>
      <c r="N880" s="104" t="n"/>
      <c r="O880" s="104" t="n"/>
      <c r="P880" s="104" t="n"/>
      <c r="Q880" s="104" t="n"/>
      <c r="R880" s="104" t="n"/>
      <c r="S880" s="110" t="n"/>
      <c r="T880" s="110" t="n"/>
      <c r="U880" s="104" t="n"/>
    </row>
    <row r="881">
      <c r="A881" s="104" t="inlineStr">
        <is>
          <t>GUIDE000880</t>
        </is>
      </c>
      <c r="B881" s="101" t="inlineStr">
        <is>
          <t>DEV000048</t>
        </is>
      </c>
      <c r="C881" s="103" t="inlineStr">
        <is>
          <t>APL</t>
        </is>
      </c>
      <c r="D881" s="103" t="inlineStr">
        <is>
          <t>PHN</t>
        </is>
      </c>
      <c r="E881" s="60" t="inlineStr">
        <is>
          <t>iPhone 17</t>
        </is>
      </c>
      <c r="F881" s="104" t="inlineStr">
        <is>
          <t>SVC000020</t>
        </is>
      </c>
      <c r="G881" s="104" t="inlineStr">
        <is>
          <t>Headphone Jack Repair</t>
        </is>
      </c>
      <c r="H881" s="104" t="inlineStr">
        <is>
          <t>Audio</t>
        </is>
      </c>
      <c r="I881" s="104" t="n"/>
      <c r="J881" s="104" t="n"/>
      <c r="K881" s="104" t="n"/>
      <c r="L881" s="104" t="n"/>
      <c r="M881" s="104" t="n"/>
      <c r="N881" s="104" t="n"/>
      <c r="O881" s="104" t="n"/>
      <c r="P881" s="104" t="n"/>
      <c r="Q881" s="104" t="n"/>
      <c r="R881" s="104" t="n"/>
      <c r="S881" s="110" t="n"/>
      <c r="T881" s="110" t="n"/>
      <c r="U881" s="104" t="n"/>
    </row>
    <row r="882">
      <c r="A882" s="104" t="inlineStr">
        <is>
          <t>GUIDE000881</t>
        </is>
      </c>
      <c r="B882" s="101" t="inlineStr">
        <is>
          <t>DEV000049</t>
        </is>
      </c>
      <c r="C882" s="103" t="inlineStr">
        <is>
          <t>APL</t>
        </is>
      </c>
      <c r="D882" s="103" t="inlineStr">
        <is>
          <t>PHN</t>
        </is>
      </c>
      <c r="E882" s="60" t="inlineStr">
        <is>
          <t>iPhone 17 Pro</t>
        </is>
      </c>
      <c r="F882" s="104" t="inlineStr">
        <is>
          <t>SVC000020</t>
        </is>
      </c>
      <c r="G882" s="104" t="inlineStr">
        <is>
          <t>Headphone Jack Repair</t>
        </is>
      </c>
      <c r="H882" s="104" t="inlineStr">
        <is>
          <t>Audio</t>
        </is>
      </c>
      <c r="I882" s="104" t="n"/>
      <c r="J882" s="104" t="n"/>
      <c r="K882" s="104" t="n"/>
      <c r="L882" s="104" t="n"/>
      <c r="M882" s="104" t="n"/>
      <c r="N882" s="104" t="n"/>
      <c r="O882" s="104" t="n"/>
      <c r="P882" s="104" t="n"/>
      <c r="Q882" s="104" t="n"/>
      <c r="R882" s="104" t="n"/>
      <c r="S882" s="110" t="n"/>
      <c r="T882" s="110" t="n"/>
      <c r="U882" s="104" t="n"/>
    </row>
    <row r="883">
      <c r="A883" s="104" t="inlineStr">
        <is>
          <t>GUIDE000882</t>
        </is>
      </c>
      <c r="B883" s="101" t="inlineStr">
        <is>
          <t>DEV000050</t>
        </is>
      </c>
      <c r="C883" s="103" t="inlineStr">
        <is>
          <t>APL</t>
        </is>
      </c>
      <c r="D883" s="103" t="inlineStr">
        <is>
          <t>PHN</t>
        </is>
      </c>
      <c r="E883" s="60" t="inlineStr">
        <is>
          <t>iPhone 17 Pro Max</t>
        </is>
      </c>
      <c r="F883" s="104" t="inlineStr">
        <is>
          <t>SVC000020</t>
        </is>
      </c>
      <c r="G883" s="104" t="inlineStr">
        <is>
          <t>Headphone Jack Repair</t>
        </is>
      </c>
      <c r="H883" s="104" t="inlineStr">
        <is>
          <t>Audio</t>
        </is>
      </c>
      <c r="I883" s="104" t="n"/>
      <c r="J883" s="104" t="n"/>
      <c r="K883" s="104" t="n"/>
      <c r="L883" s="104" t="n"/>
      <c r="M883" s="104" t="n"/>
      <c r="N883" s="104" t="n"/>
      <c r="O883" s="104" t="n"/>
      <c r="P883" s="104" t="n"/>
      <c r="Q883" s="104" t="n"/>
      <c r="R883" s="104" t="n"/>
      <c r="S883" s="110" t="n"/>
      <c r="T883" s="110" t="n"/>
      <c r="U883" s="104" t="n"/>
    </row>
    <row r="884">
      <c r="A884" s="104" t="inlineStr">
        <is>
          <t>GUIDE000883</t>
        </is>
      </c>
      <c r="B884" s="101" t="inlineStr">
        <is>
          <t>DEV000051</t>
        </is>
      </c>
      <c r="C884" s="103" t="inlineStr">
        <is>
          <t>APL</t>
        </is>
      </c>
      <c r="D884" s="103" t="inlineStr">
        <is>
          <t>PHN</t>
        </is>
      </c>
      <c r="E884" s="60" t="inlineStr">
        <is>
          <t>iPhone Air</t>
        </is>
      </c>
      <c r="F884" s="104" t="inlineStr">
        <is>
          <t>SVC000020</t>
        </is>
      </c>
      <c r="G884" s="104" t="inlineStr">
        <is>
          <t>Headphone Jack Repair</t>
        </is>
      </c>
      <c r="H884" s="104" t="inlineStr">
        <is>
          <t>Audio</t>
        </is>
      </c>
      <c r="I884" s="104" t="n"/>
      <c r="J884" s="104" t="n"/>
      <c r="K884" s="104" t="n"/>
      <c r="L884" s="104" t="n"/>
      <c r="M884" s="104" t="n"/>
      <c r="N884" s="104" t="n"/>
      <c r="O884" s="104" t="n"/>
      <c r="P884" s="104" t="n"/>
      <c r="Q884" s="104" t="n"/>
      <c r="R884" s="104" t="n"/>
      <c r="S884" s="110" t="n"/>
      <c r="T884" s="110" t="n"/>
      <c r="U884" s="104" t="n"/>
    </row>
    <row r="885">
      <c r="A885" s="105" t="inlineStr">
        <is>
          <t>GUIDE000884</t>
        </is>
      </c>
      <c r="B885" s="101" t="inlineStr">
        <is>
          <t>DEV000052</t>
        </is>
      </c>
      <c r="C885" s="103" t="inlineStr">
        <is>
          <t>APL</t>
        </is>
      </c>
      <c r="D885" s="103" t="inlineStr">
        <is>
          <t>PHN</t>
        </is>
      </c>
      <c r="E885" s="60" t="inlineStr">
        <is>
          <t>iPhone 17e</t>
        </is>
      </c>
      <c r="F885" s="104" t="inlineStr">
        <is>
          <t>SVC000020</t>
        </is>
      </c>
      <c r="G885" s="104" t="inlineStr">
        <is>
          <t>Headphone Jack Repair</t>
        </is>
      </c>
      <c r="H885" s="104" t="inlineStr">
        <is>
          <t>Audio</t>
        </is>
      </c>
      <c r="I885" s="104" t="n"/>
      <c r="J885" s="104" t="n"/>
      <c r="K885" s="104" t="n"/>
      <c r="L885" s="104" t="n"/>
      <c r="M885" s="104" t="n"/>
      <c r="N885" s="104" t="n"/>
      <c r="O885" s="104" t="n"/>
      <c r="P885" s="104" t="n"/>
      <c r="Q885" s="104" t="n"/>
      <c r="R885" s="104" t="n"/>
      <c r="S885" s="110" t="n"/>
      <c r="T885" s="110" t="n"/>
      <c r="U885" s="104" t="n"/>
    </row>
    <row r="886">
      <c r="A886" s="104" t="inlineStr">
        <is>
          <t>GUIDE000885</t>
        </is>
      </c>
      <c r="B886" s="101" t="inlineStr">
        <is>
          <t>DEV000001</t>
        </is>
      </c>
      <c r="C886" s="103" t="inlineStr">
        <is>
          <t>APL</t>
        </is>
      </c>
      <c r="D886" s="103" t="inlineStr">
        <is>
          <t>PHN</t>
        </is>
      </c>
      <c r="E886" s="60" t="inlineStr">
        <is>
          <t>iPhone (2G)</t>
        </is>
      </c>
      <c r="F886" s="104" t="inlineStr">
        <is>
          <t>SVC000021</t>
        </is>
      </c>
      <c r="G886" s="104" t="inlineStr">
        <is>
          <t>Power Button Repair</t>
        </is>
      </c>
      <c r="H886" s="104" t="inlineStr">
        <is>
          <t>Buttons</t>
        </is>
      </c>
      <c r="I886" s="104" t="n"/>
      <c r="J886" s="104" t="n"/>
      <c r="K886" s="104" t="n"/>
      <c r="L886" s="104" t="n"/>
      <c r="M886" s="104" t="n"/>
      <c r="N886" s="104" t="n"/>
      <c r="O886" s="104" t="n"/>
      <c r="P886" s="104" t="n"/>
      <c r="Q886" s="104" t="n"/>
      <c r="R886" s="104" t="n"/>
      <c r="S886" s="110" t="n"/>
      <c r="T886" s="110" t="n"/>
      <c r="U886" s="104" t="n"/>
    </row>
    <row r="887">
      <c r="A887" s="104" t="inlineStr">
        <is>
          <t>GUIDE000886</t>
        </is>
      </c>
      <c r="B887" s="101" t="inlineStr">
        <is>
          <t>DEV000002</t>
        </is>
      </c>
      <c r="C887" s="103" t="inlineStr">
        <is>
          <t>APL</t>
        </is>
      </c>
      <c r="D887" s="103" t="inlineStr">
        <is>
          <t>PHN</t>
        </is>
      </c>
      <c r="E887" s="60" t="inlineStr">
        <is>
          <t>iPhone 3G</t>
        </is>
      </c>
      <c r="F887" s="104" t="inlineStr">
        <is>
          <t>SVC000021</t>
        </is>
      </c>
      <c r="G887" s="104" t="inlineStr">
        <is>
          <t>Power Button Repair</t>
        </is>
      </c>
      <c r="H887" s="104" t="inlineStr">
        <is>
          <t>Buttons</t>
        </is>
      </c>
      <c r="I887" s="104" t="n"/>
      <c r="J887" s="104" t="n"/>
      <c r="K887" s="104" t="n"/>
      <c r="L887" s="104" t="n"/>
      <c r="M887" s="104" t="n"/>
      <c r="N887" s="104" t="n"/>
      <c r="O887" s="104" t="n"/>
      <c r="P887" s="104" t="n"/>
      <c r="Q887" s="104" t="n"/>
      <c r="R887" s="104" t="n"/>
      <c r="S887" s="110" t="n"/>
      <c r="T887" s="110" t="n"/>
      <c r="U887" s="104" t="n"/>
    </row>
    <row r="888">
      <c r="A888" s="104" t="inlineStr">
        <is>
          <t>GUIDE000887</t>
        </is>
      </c>
      <c r="B888" s="101" t="inlineStr">
        <is>
          <t>DEV000003</t>
        </is>
      </c>
      <c r="C888" s="103" t="inlineStr">
        <is>
          <t>APL</t>
        </is>
      </c>
      <c r="D888" s="103" t="inlineStr">
        <is>
          <t>PHN</t>
        </is>
      </c>
      <c r="E888" s="60" t="inlineStr">
        <is>
          <t>iPhone 3GS</t>
        </is>
      </c>
      <c r="F888" s="104" t="inlineStr">
        <is>
          <t>SVC000021</t>
        </is>
      </c>
      <c r="G888" s="104" t="inlineStr">
        <is>
          <t>Power Button Repair</t>
        </is>
      </c>
      <c r="H888" s="104" t="inlineStr">
        <is>
          <t>Buttons</t>
        </is>
      </c>
      <c r="I888" s="104" t="n"/>
      <c r="J888" s="104" t="n"/>
      <c r="K888" s="104" t="n"/>
      <c r="L888" s="104" t="n"/>
      <c r="M888" s="104" t="n"/>
      <c r="N888" s="104" t="n"/>
      <c r="O888" s="104" t="n"/>
      <c r="P888" s="104" t="n"/>
      <c r="Q888" s="104" t="n"/>
      <c r="R888" s="104" t="n"/>
      <c r="S888" s="110" t="n"/>
      <c r="T888" s="110" t="n"/>
      <c r="U888" s="104" t="n"/>
    </row>
    <row r="889">
      <c r="A889" s="105" t="inlineStr">
        <is>
          <t>GUIDE000888</t>
        </is>
      </c>
      <c r="B889" s="101" t="inlineStr">
        <is>
          <t>DEV000004</t>
        </is>
      </c>
      <c r="C889" s="103" t="inlineStr">
        <is>
          <t>APL</t>
        </is>
      </c>
      <c r="D889" s="103" t="inlineStr">
        <is>
          <t>PHN</t>
        </is>
      </c>
      <c r="E889" s="60" t="inlineStr">
        <is>
          <t>iPhone 4</t>
        </is>
      </c>
      <c r="F889" s="104" t="inlineStr">
        <is>
          <t>SVC000021</t>
        </is>
      </c>
      <c r="G889" s="104" t="inlineStr">
        <is>
          <t>Power Button Repair</t>
        </is>
      </c>
      <c r="H889" s="104" t="inlineStr">
        <is>
          <t>Buttons</t>
        </is>
      </c>
      <c r="I889" s="104" t="n"/>
      <c r="J889" s="104" t="n"/>
      <c r="K889" s="104" t="n"/>
      <c r="L889" s="104" t="n"/>
      <c r="M889" s="104" t="n"/>
      <c r="N889" s="104" t="n"/>
      <c r="O889" s="104" t="n"/>
      <c r="P889" s="104" t="n"/>
      <c r="Q889" s="104" t="n"/>
      <c r="R889" s="104" t="n"/>
      <c r="S889" s="110" t="n"/>
      <c r="T889" s="110" t="n"/>
      <c r="U889" s="104" t="n"/>
    </row>
    <row r="890">
      <c r="A890" s="104" t="inlineStr">
        <is>
          <t>GUIDE000889</t>
        </is>
      </c>
      <c r="B890" s="101" t="inlineStr">
        <is>
          <t>DEV000005</t>
        </is>
      </c>
      <c r="C890" s="103" t="inlineStr">
        <is>
          <t>APL</t>
        </is>
      </c>
      <c r="D890" s="103" t="inlineStr">
        <is>
          <t>PHN</t>
        </is>
      </c>
      <c r="E890" s="60" t="inlineStr">
        <is>
          <t>iPhone 4s</t>
        </is>
      </c>
      <c r="F890" s="104" t="inlineStr">
        <is>
          <t>SVC000021</t>
        </is>
      </c>
      <c r="G890" s="104" t="inlineStr">
        <is>
          <t>Power Button Repair</t>
        </is>
      </c>
      <c r="H890" s="104" t="inlineStr">
        <is>
          <t>Buttons</t>
        </is>
      </c>
      <c r="I890" s="104" t="n"/>
      <c r="J890" s="104" t="n"/>
      <c r="K890" s="104" t="n"/>
      <c r="L890" s="104" t="n"/>
      <c r="M890" s="104" t="n"/>
      <c r="N890" s="104" t="n"/>
      <c r="O890" s="104" t="n"/>
      <c r="P890" s="104" t="n"/>
      <c r="Q890" s="104" t="n"/>
      <c r="R890" s="104" t="n"/>
      <c r="S890" s="110" t="n"/>
      <c r="T890" s="110" t="n"/>
      <c r="U890" s="104" t="n"/>
    </row>
    <row r="891">
      <c r="A891" s="104" t="inlineStr">
        <is>
          <t>GUIDE000890</t>
        </is>
      </c>
      <c r="B891" s="101" t="inlineStr">
        <is>
          <t>DEV000006</t>
        </is>
      </c>
      <c r="C891" s="103" t="inlineStr">
        <is>
          <t>APL</t>
        </is>
      </c>
      <c r="D891" s="103" t="inlineStr">
        <is>
          <t>PHN</t>
        </is>
      </c>
      <c r="E891" s="60" t="inlineStr">
        <is>
          <t>iPhone 5</t>
        </is>
      </c>
      <c r="F891" s="104" t="inlineStr">
        <is>
          <t>SVC000021</t>
        </is>
      </c>
      <c r="G891" s="104" t="inlineStr">
        <is>
          <t>Power Button Repair</t>
        </is>
      </c>
      <c r="H891" s="104" t="inlineStr">
        <is>
          <t>Buttons</t>
        </is>
      </c>
      <c r="I891" s="104" t="n"/>
      <c r="J891" s="104" t="n"/>
      <c r="K891" s="104" t="n"/>
      <c r="L891" s="104" t="n"/>
      <c r="M891" s="104" t="n"/>
      <c r="N891" s="104" t="n"/>
      <c r="O891" s="104" t="n"/>
      <c r="P891" s="104" t="n"/>
      <c r="Q891" s="104" t="n"/>
      <c r="R891" s="104" t="n"/>
      <c r="S891" s="110" t="n"/>
      <c r="T891" s="110" t="n"/>
      <c r="U891" s="104" t="n"/>
    </row>
    <row r="892">
      <c r="A892" s="104" t="inlineStr">
        <is>
          <t>GUIDE000891</t>
        </is>
      </c>
      <c r="B892" s="101" t="inlineStr">
        <is>
          <t>DEV000007</t>
        </is>
      </c>
      <c r="C892" s="103" t="inlineStr">
        <is>
          <t>APL</t>
        </is>
      </c>
      <c r="D892" s="103" t="inlineStr">
        <is>
          <t>PHN</t>
        </is>
      </c>
      <c r="E892" s="60" t="inlineStr">
        <is>
          <t>iPhone 5c</t>
        </is>
      </c>
      <c r="F892" s="104" t="inlineStr">
        <is>
          <t>SVC000021</t>
        </is>
      </c>
      <c r="G892" s="104" t="inlineStr">
        <is>
          <t>Power Button Repair</t>
        </is>
      </c>
      <c r="H892" s="104" t="inlineStr">
        <is>
          <t>Buttons</t>
        </is>
      </c>
      <c r="I892" s="104" t="n"/>
      <c r="J892" s="104" t="n"/>
      <c r="K892" s="104" t="n"/>
      <c r="L892" s="104" t="n"/>
      <c r="M892" s="104" t="n"/>
      <c r="N892" s="104" t="n"/>
      <c r="O892" s="104" t="n"/>
      <c r="P892" s="104" t="n"/>
      <c r="Q892" s="104" t="n"/>
      <c r="R892" s="104" t="n"/>
      <c r="S892" s="110" t="n"/>
      <c r="T892" s="110" t="n"/>
      <c r="U892" s="104" t="n"/>
    </row>
    <row r="893">
      <c r="A893" s="104" t="inlineStr">
        <is>
          <t>GUIDE000892</t>
        </is>
      </c>
      <c r="B893" s="101" t="inlineStr">
        <is>
          <t>DEV000008</t>
        </is>
      </c>
      <c r="C893" s="103" t="inlineStr">
        <is>
          <t>APL</t>
        </is>
      </c>
      <c r="D893" s="103" t="inlineStr">
        <is>
          <t>PHN</t>
        </is>
      </c>
      <c r="E893" s="60" t="inlineStr">
        <is>
          <t>iPhone 5s</t>
        </is>
      </c>
      <c r="F893" s="104" t="inlineStr">
        <is>
          <t>SVC000021</t>
        </is>
      </c>
      <c r="G893" s="104" t="inlineStr">
        <is>
          <t>Power Button Repair</t>
        </is>
      </c>
      <c r="H893" s="104" t="inlineStr">
        <is>
          <t>Buttons</t>
        </is>
      </c>
      <c r="I893" s="104" t="n"/>
      <c r="J893" s="104" t="n"/>
      <c r="K893" s="104" t="n"/>
      <c r="L893" s="104" t="n"/>
      <c r="M893" s="104" t="n"/>
      <c r="N893" s="104" t="n"/>
      <c r="O893" s="104" t="n"/>
      <c r="P893" s="104" t="n"/>
      <c r="Q893" s="104" t="n"/>
      <c r="R893" s="104" t="n"/>
      <c r="S893" s="110" t="n"/>
      <c r="T893" s="110" t="n"/>
      <c r="U893" s="104" t="n"/>
    </row>
    <row r="894">
      <c r="A894" s="105" t="inlineStr">
        <is>
          <t>GUIDE000893</t>
        </is>
      </c>
      <c r="B894" s="101" t="inlineStr">
        <is>
          <t>DEV000009</t>
        </is>
      </c>
      <c r="C894" s="103" t="inlineStr">
        <is>
          <t>APL</t>
        </is>
      </c>
      <c r="D894" s="103" t="inlineStr">
        <is>
          <t>PHN</t>
        </is>
      </c>
      <c r="E894" s="60" t="inlineStr">
        <is>
          <t>iPhone 6</t>
        </is>
      </c>
      <c r="F894" s="104" t="inlineStr">
        <is>
          <t>SVC000021</t>
        </is>
      </c>
      <c r="G894" s="104" t="inlineStr">
        <is>
          <t>Power Button Repair</t>
        </is>
      </c>
      <c r="H894" s="104" t="inlineStr">
        <is>
          <t>Buttons</t>
        </is>
      </c>
      <c r="I894" s="104" t="n"/>
      <c r="J894" s="104" t="n"/>
      <c r="K894" s="104" t="n"/>
      <c r="L894" s="104" t="n"/>
      <c r="M894" s="104" t="n"/>
      <c r="N894" s="104" t="n"/>
      <c r="O894" s="104" t="n"/>
      <c r="P894" s="104" t="n"/>
      <c r="Q894" s="104" t="n"/>
      <c r="R894" s="104" t="n"/>
      <c r="S894" s="110" t="n"/>
      <c r="T894" s="110" t="n"/>
      <c r="U894" s="104" t="n"/>
    </row>
    <row r="895">
      <c r="A895" s="104" t="inlineStr">
        <is>
          <t>GUIDE000894</t>
        </is>
      </c>
      <c r="B895" s="101" t="inlineStr">
        <is>
          <t>DEV000010</t>
        </is>
      </c>
      <c r="C895" s="103" t="inlineStr">
        <is>
          <t>APL</t>
        </is>
      </c>
      <c r="D895" s="103" t="inlineStr">
        <is>
          <t>PHN</t>
        </is>
      </c>
      <c r="E895" s="60" t="inlineStr">
        <is>
          <t>iPhone 6 Plus</t>
        </is>
      </c>
      <c r="F895" s="104" t="inlineStr">
        <is>
          <t>SVC000021</t>
        </is>
      </c>
      <c r="G895" s="104" t="inlineStr">
        <is>
          <t>Power Button Repair</t>
        </is>
      </c>
      <c r="H895" s="104" t="inlineStr">
        <is>
          <t>Buttons</t>
        </is>
      </c>
      <c r="I895" s="104" t="n"/>
      <c r="J895" s="104" t="n"/>
      <c r="K895" s="104" t="n"/>
      <c r="L895" s="104" t="n"/>
      <c r="M895" s="104" t="n"/>
      <c r="N895" s="104" t="n"/>
      <c r="O895" s="104" t="n"/>
      <c r="P895" s="104" t="n"/>
      <c r="Q895" s="104" t="n"/>
      <c r="R895" s="104" t="n"/>
      <c r="S895" s="110" t="n"/>
      <c r="T895" s="110" t="n"/>
      <c r="U895" s="104" t="n"/>
    </row>
    <row r="896">
      <c r="A896" s="104" t="inlineStr">
        <is>
          <t>GUIDE000895</t>
        </is>
      </c>
      <c r="B896" s="101" t="inlineStr">
        <is>
          <t>DEV000011</t>
        </is>
      </c>
      <c r="C896" s="103" t="inlineStr">
        <is>
          <t>APL</t>
        </is>
      </c>
      <c r="D896" s="103" t="inlineStr">
        <is>
          <t>PHN</t>
        </is>
      </c>
      <c r="E896" s="60" t="inlineStr">
        <is>
          <t>iPhone 6s</t>
        </is>
      </c>
      <c r="F896" s="104" t="inlineStr">
        <is>
          <t>SVC000021</t>
        </is>
      </c>
      <c r="G896" s="104" t="inlineStr">
        <is>
          <t>Power Button Repair</t>
        </is>
      </c>
      <c r="H896" s="104" t="inlineStr">
        <is>
          <t>Buttons</t>
        </is>
      </c>
      <c r="I896" s="104" t="n"/>
      <c r="J896" s="104" t="n"/>
      <c r="K896" s="104" t="n"/>
      <c r="L896" s="104" t="n"/>
      <c r="M896" s="104" t="n"/>
      <c r="N896" s="104" t="n"/>
      <c r="O896" s="104" t="n"/>
      <c r="P896" s="104" t="n"/>
      <c r="Q896" s="104" t="n"/>
      <c r="R896" s="104" t="n"/>
      <c r="S896" s="110" t="n"/>
      <c r="T896" s="110" t="n"/>
      <c r="U896" s="104" t="n"/>
    </row>
    <row r="897">
      <c r="A897" s="104" t="inlineStr">
        <is>
          <t>GUIDE000896</t>
        </is>
      </c>
      <c r="B897" s="101" t="inlineStr">
        <is>
          <t>DEV000012</t>
        </is>
      </c>
      <c r="C897" s="103" t="inlineStr">
        <is>
          <t>APL</t>
        </is>
      </c>
      <c r="D897" s="103" t="inlineStr">
        <is>
          <t>PHN</t>
        </is>
      </c>
      <c r="E897" s="60" t="inlineStr">
        <is>
          <t>iPhone 6s Plus</t>
        </is>
      </c>
      <c r="F897" s="104" t="inlineStr">
        <is>
          <t>SVC000021</t>
        </is>
      </c>
      <c r="G897" s="104" t="inlineStr">
        <is>
          <t>Power Button Repair</t>
        </is>
      </c>
      <c r="H897" s="104" t="inlineStr">
        <is>
          <t>Buttons</t>
        </is>
      </c>
      <c r="I897" s="104" t="n"/>
      <c r="J897" s="104" t="n"/>
      <c r="K897" s="104" t="n"/>
      <c r="L897" s="104" t="n"/>
      <c r="M897" s="104" t="n"/>
      <c r="N897" s="104" t="n"/>
      <c r="O897" s="104" t="n"/>
      <c r="P897" s="104" t="n"/>
      <c r="Q897" s="104" t="n"/>
      <c r="R897" s="104" t="n"/>
      <c r="S897" s="110" t="n"/>
      <c r="T897" s="110" t="n"/>
      <c r="U897" s="104" t="n"/>
    </row>
    <row r="898">
      <c r="A898" s="105" t="inlineStr">
        <is>
          <t>GUIDE000897</t>
        </is>
      </c>
      <c r="B898" s="101" t="inlineStr">
        <is>
          <t>DEV000013</t>
        </is>
      </c>
      <c r="C898" s="103" t="inlineStr">
        <is>
          <t>APL</t>
        </is>
      </c>
      <c r="D898" s="103" t="inlineStr">
        <is>
          <t>PHN</t>
        </is>
      </c>
      <c r="E898" s="60" t="inlineStr">
        <is>
          <t>iPhone SE (1st Gen)</t>
        </is>
      </c>
      <c r="F898" s="104" t="inlineStr">
        <is>
          <t>SVC000021</t>
        </is>
      </c>
      <c r="G898" s="104" t="inlineStr">
        <is>
          <t>Power Button Repair</t>
        </is>
      </c>
      <c r="H898" s="104" t="inlineStr">
        <is>
          <t>Buttons</t>
        </is>
      </c>
      <c r="I898" s="104" t="n"/>
      <c r="J898" s="104" t="n"/>
      <c r="K898" s="104" t="n"/>
      <c r="L898" s="104" t="n"/>
      <c r="M898" s="104" t="n"/>
      <c r="N898" s="104" t="n"/>
      <c r="O898" s="104" t="n"/>
      <c r="P898" s="104" t="n"/>
      <c r="Q898" s="104" t="n"/>
      <c r="R898" s="104" t="n"/>
      <c r="S898" s="110" t="n"/>
      <c r="T898" s="110" t="n"/>
      <c r="U898" s="104" t="n"/>
    </row>
    <row r="899">
      <c r="A899" s="104" t="inlineStr">
        <is>
          <t>GUIDE000898</t>
        </is>
      </c>
      <c r="B899" s="101" t="inlineStr">
        <is>
          <t>DEV000014</t>
        </is>
      </c>
      <c r="C899" s="103" t="inlineStr">
        <is>
          <t>APL</t>
        </is>
      </c>
      <c r="D899" s="103" t="inlineStr">
        <is>
          <t>PHN</t>
        </is>
      </c>
      <c r="E899" s="60" t="inlineStr">
        <is>
          <t>iPhone 7</t>
        </is>
      </c>
      <c r="F899" s="104" t="inlineStr">
        <is>
          <t>SVC000021</t>
        </is>
      </c>
      <c r="G899" s="104" t="inlineStr">
        <is>
          <t>Power Button Repair</t>
        </is>
      </c>
      <c r="H899" s="104" t="inlineStr">
        <is>
          <t>Buttons</t>
        </is>
      </c>
      <c r="I899" s="104" t="n"/>
      <c r="J899" s="104" t="n"/>
      <c r="K899" s="104" t="n"/>
      <c r="L899" s="104" t="n"/>
      <c r="M899" s="104" t="n"/>
      <c r="N899" s="104" t="n"/>
      <c r="O899" s="104" t="n"/>
      <c r="P899" s="104" t="n"/>
      <c r="Q899" s="104" t="n"/>
      <c r="R899" s="104" t="n"/>
      <c r="S899" s="110" t="n"/>
      <c r="T899" s="110" t="n"/>
      <c r="U899" s="104" t="n"/>
    </row>
    <row r="900">
      <c r="A900" s="104" t="inlineStr">
        <is>
          <t>GUIDE000899</t>
        </is>
      </c>
      <c r="B900" s="101" t="inlineStr">
        <is>
          <t>DEV000015</t>
        </is>
      </c>
      <c r="C900" s="103" t="inlineStr">
        <is>
          <t>APL</t>
        </is>
      </c>
      <c r="D900" s="103" t="inlineStr">
        <is>
          <t>PHN</t>
        </is>
      </c>
      <c r="E900" s="60" t="inlineStr">
        <is>
          <t>iPhone 7 Plus</t>
        </is>
      </c>
      <c r="F900" s="104" t="inlineStr">
        <is>
          <t>SVC000021</t>
        </is>
      </c>
      <c r="G900" s="104" t="inlineStr">
        <is>
          <t>Power Button Repair</t>
        </is>
      </c>
      <c r="H900" s="104" t="inlineStr">
        <is>
          <t>Buttons</t>
        </is>
      </c>
      <c r="I900" s="104" t="n"/>
      <c r="J900" s="104" t="n"/>
      <c r="K900" s="104" t="n"/>
      <c r="L900" s="104" t="n"/>
      <c r="M900" s="104" t="n"/>
      <c r="N900" s="104" t="n"/>
      <c r="O900" s="104" t="n"/>
      <c r="P900" s="104" t="n"/>
      <c r="Q900" s="104" t="n"/>
      <c r="R900" s="104" t="n"/>
      <c r="S900" s="110" t="n"/>
      <c r="T900" s="110" t="n"/>
      <c r="U900" s="104" t="n"/>
    </row>
    <row r="901">
      <c r="A901" s="104" t="inlineStr">
        <is>
          <t>GUIDE000900</t>
        </is>
      </c>
      <c r="B901" s="101" t="inlineStr">
        <is>
          <t>DEV000016</t>
        </is>
      </c>
      <c r="C901" s="103" t="inlineStr">
        <is>
          <t>APL</t>
        </is>
      </c>
      <c r="D901" s="103" t="inlineStr">
        <is>
          <t>PHN</t>
        </is>
      </c>
      <c r="E901" s="60" t="inlineStr">
        <is>
          <t>iPhone 8</t>
        </is>
      </c>
      <c r="F901" s="104" t="inlineStr">
        <is>
          <t>SVC000021</t>
        </is>
      </c>
      <c r="G901" s="104" t="inlineStr">
        <is>
          <t>Power Button Repair</t>
        </is>
      </c>
      <c r="H901" s="104" t="inlineStr">
        <is>
          <t>Buttons</t>
        </is>
      </c>
      <c r="I901" s="104" t="n"/>
      <c r="J901" s="104" t="n"/>
      <c r="K901" s="104" t="n"/>
      <c r="L901" s="104" t="n"/>
      <c r="M901" s="104" t="n"/>
      <c r="N901" s="104" t="n"/>
      <c r="O901" s="104" t="n"/>
      <c r="P901" s="104" t="n"/>
      <c r="Q901" s="104" t="n"/>
      <c r="R901" s="104" t="n"/>
      <c r="S901" s="110" t="n"/>
      <c r="T901" s="110" t="n"/>
      <c r="U901" s="104" t="n"/>
    </row>
    <row r="902">
      <c r="A902" s="104" t="inlineStr">
        <is>
          <t>GUIDE000901</t>
        </is>
      </c>
      <c r="B902" s="101" t="inlineStr">
        <is>
          <t>DEV000017</t>
        </is>
      </c>
      <c r="C902" s="103" t="inlineStr">
        <is>
          <t>APL</t>
        </is>
      </c>
      <c r="D902" s="103" t="inlineStr">
        <is>
          <t>PHN</t>
        </is>
      </c>
      <c r="E902" s="60" t="inlineStr">
        <is>
          <t>iPhone 8 Plus</t>
        </is>
      </c>
      <c r="F902" s="104" t="inlineStr">
        <is>
          <t>SVC000021</t>
        </is>
      </c>
      <c r="G902" s="104" t="inlineStr">
        <is>
          <t>Power Button Repair</t>
        </is>
      </c>
      <c r="H902" s="104" t="inlineStr">
        <is>
          <t>Buttons</t>
        </is>
      </c>
      <c r="I902" s="104" t="n"/>
      <c r="J902" s="104" t="n"/>
      <c r="K902" s="104" t="n"/>
      <c r="L902" s="104" t="n"/>
      <c r="M902" s="104" t="n"/>
      <c r="N902" s="104" t="n"/>
      <c r="O902" s="104" t="n"/>
      <c r="P902" s="104" t="n"/>
      <c r="Q902" s="104" t="n"/>
      <c r="R902" s="104" t="n"/>
      <c r="S902" s="110" t="n"/>
      <c r="T902" s="110" t="n"/>
      <c r="U902" s="104" t="n"/>
    </row>
    <row r="903">
      <c r="A903" s="105" t="inlineStr">
        <is>
          <t>GUIDE000902</t>
        </is>
      </c>
      <c r="B903" s="101" t="inlineStr">
        <is>
          <t>DEV000018</t>
        </is>
      </c>
      <c r="C903" s="103" t="inlineStr">
        <is>
          <t>APL</t>
        </is>
      </c>
      <c r="D903" s="103" t="inlineStr">
        <is>
          <t>PHN</t>
        </is>
      </c>
      <c r="E903" s="60" t="inlineStr">
        <is>
          <t>iPhone X</t>
        </is>
      </c>
      <c r="F903" s="104" t="inlineStr">
        <is>
          <t>SVC000021</t>
        </is>
      </c>
      <c r="G903" s="104" t="inlineStr">
        <is>
          <t>Power Button Repair</t>
        </is>
      </c>
      <c r="H903" s="104" t="inlineStr">
        <is>
          <t>Buttons</t>
        </is>
      </c>
      <c r="I903" s="104" t="n"/>
      <c r="J903" s="104" t="n"/>
      <c r="K903" s="104" t="n"/>
      <c r="L903" s="104" t="n"/>
      <c r="M903" s="104" t="n"/>
      <c r="N903" s="104" t="n"/>
      <c r="O903" s="104" t="n"/>
      <c r="P903" s="104" t="n"/>
      <c r="Q903" s="104" t="n"/>
      <c r="R903" s="104" t="n"/>
      <c r="S903" s="110" t="n"/>
      <c r="T903" s="110" t="n"/>
      <c r="U903" s="104" t="n"/>
    </row>
    <row r="904">
      <c r="A904" s="104" t="inlineStr">
        <is>
          <t>GUIDE000903</t>
        </is>
      </c>
      <c r="B904" s="101" t="inlineStr">
        <is>
          <t>DEV000019</t>
        </is>
      </c>
      <c r="C904" s="103" t="inlineStr">
        <is>
          <t>APL</t>
        </is>
      </c>
      <c r="D904" s="103" t="inlineStr">
        <is>
          <t>PHN</t>
        </is>
      </c>
      <c r="E904" s="60" t="inlineStr">
        <is>
          <t>iPhone XR</t>
        </is>
      </c>
      <c r="F904" s="104" t="inlineStr">
        <is>
          <t>SVC000021</t>
        </is>
      </c>
      <c r="G904" s="104" t="inlineStr">
        <is>
          <t>Power Button Repair</t>
        </is>
      </c>
      <c r="H904" s="104" t="inlineStr">
        <is>
          <t>Buttons</t>
        </is>
      </c>
      <c r="I904" s="104" t="n"/>
      <c r="J904" s="104" t="n"/>
      <c r="K904" s="104" t="n"/>
      <c r="L904" s="104" t="n"/>
      <c r="M904" s="104" t="n"/>
      <c r="N904" s="104" t="n"/>
      <c r="O904" s="104" t="n"/>
      <c r="P904" s="104" t="n"/>
      <c r="Q904" s="104" t="n"/>
      <c r="R904" s="104" t="n"/>
      <c r="S904" s="110" t="n"/>
      <c r="T904" s="110" t="n"/>
      <c r="U904" s="104" t="n"/>
    </row>
    <row r="905">
      <c r="A905" s="104" t="inlineStr">
        <is>
          <t>GUIDE000904</t>
        </is>
      </c>
      <c r="B905" s="101" t="inlineStr">
        <is>
          <t>DEV000020</t>
        </is>
      </c>
      <c r="C905" s="103" t="inlineStr">
        <is>
          <t>APL</t>
        </is>
      </c>
      <c r="D905" s="103" t="inlineStr">
        <is>
          <t>PHN</t>
        </is>
      </c>
      <c r="E905" s="60" t="inlineStr">
        <is>
          <t>iPhone XS</t>
        </is>
      </c>
      <c r="F905" s="104" t="inlineStr">
        <is>
          <t>SVC000021</t>
        </is>
      </c>
      <c r="G905" s="104" t="inlineStr">
        <is>
          <t>Power Button Repair</t>
        </is>
      </c>
      <c r="H905" s="104" t="inlineStr">
        <is>
          <t>Buttons</t>
        </is>
      </c>
      <c r="I905" s="104" t="n"/>
      <c r="J905" s="104" t="n"/>
      <c r="K905" s="104" t="n"/>
      <c r="L905" s="104" t="n"/>
      <c r="M905" s="104" t="n"/>
      <c r="N905" s="104" t="n"/>
      <c r="O905" s="104" t="n"/>
      <c r="P905" s="104" t="n"/>
      <c r="Q905" s="104" t="n"/>
      <c r="R905" s="104" t="n"/>
      <c r="S905" s="110" t="n"/>
      <c r="T905" s="110" t="n"/>
      <c r="U905" s="104" t="n"/>
    </row>
    <row r="906">
      <c r="A906" s="104" t="inlineStr">
        <is>
          <t>GUIDE000905</t>
        </is>
      </c>
      <c r="B906" s="101" t="inlineStr">
        <is>
          <t>DEV000021</t>
        </is>
      </c>
      <c r="C906" s="103" t="inlineStr">
        <is>
          <t>APL</t>
        </is>
      </c>
      <c r="D906" s="103" t="inlineStr">
        <is>
          <t>PHN</t>
        </is>
      </c>
      <c r="E906" s="60" t="inlineStr">
        <is>
          <t>iPhone XS Max</t>
        </is>
      </c>
      <c r="F906" s="104" t="inlineStr">
        <is>
          <t>SVC000021</t>
        </is>
      </c>
      <c r="G906" s="104" t="inlineStr">
        <is>
          <t>Power Button Repair</t>
        </is>
      </c>
      <c r="H906" s="104" t="inlineStr">
        <is>
          <t>Buttons</t>
        </is>
      </c>
      <c r="I906" s="104" t="n"/>
      <c r="J906" s="104" t="n"/>
      <c r="K906" s="104" t="n"/>
      <c r="L906" s="104" t="n"/>
      <c r="M906" s="104" t="n"/>
      <c r="N906" s="104" t="n"/>
      <c r="O906" s="104" t="n"/>
      <c r="P906" s="104" t="n"/>
      <c r="Q906" s="104" t="n"/>
      <c r="R906" s="104" t="n"/>
      <c r="S906" s="110" t="n"/>
      <c r="T906" s="110" t="n"/>
      <c r="U906" s="104" t="n"/>
    </row>
    <row r="907">
      <c r="A907" s="105" t="inlineStr">
        <is>
          <t>GUIDE000906</t>
        </is>
      </c>
      <c r="B907" s="101" t="inlineStr">
        <is>
          <t>DEV000022</t>
        </is>
      </c>
      <c r="C907" s="103" t="inlineStr">
        <is>
          <t>APL</t>
        </is>
      </c>
      <c r="D907" s="103" t="inlineStr">
        <is>
          <t>PHN</t>
        </is>
      </c>
      <c r="E907" s="60" t="inlineStr">
        <is>
          <t>iPhone 11</t>
        </is>
      </c>
      <c r="F907" s="104" t="inlineStr">
        <is>
          <t>SVC000021</t>
        </is>
      </c>
      <c r="G907" s="104" t="inlineStr">
        <is>
          <t>Power Button Repair</t>
        </is>
      </c>
      <c r="H907" s="104" t="inlineStr">
        <is>
          <t>Buttons</t>
        </is>
      </c>
      <c r="I907" s="104" t="n"/>
      <c r="J907" s="104" t="n"/>
      <c r="K907" s="104" t="n"/>
      <c r="L907" s="104" t="n"/>
      <c r="M907" s="104" t="n"/>
      <c r="N907" s="104" t="n"/>
      <c r="O907" s="104" t="n"/>
      <c r="P907" s="104" t="n"/>
      <c r="Q907" s="104" t="n"/>
      <c r="R907" s="104" t="n"/>
      <c r="S907" s="110" t="n"/>
      <c r="T907" s="110" t="n"/>
      <c r="U907" s="104" t="n"/>
    </row>
    <row r="908">
      <c r="A908" s="104" t="inlineStr">
        <is>
          <t>GUIDE000907</t>
        </is>
      </c>
      <c r="B908" s="101" t="inlineStr">
        <is>
          <t>DEV000023</t>
        </is>
      </c>
      <c r="C908" s="103" t="inlineStr">
        <is>
          <t>APL</t>
        </is>
      </c>
      <c r="D908" s="103" t="inlineStr">
        <is>
          <t>PHN</t>
        </is>
      </c>
      <c r="E908" s="60" t="inlineStr">
        <is>
          <t>iPhone 11 Pro</t>
        </is>
      </c>
      <c r="F908" s="104" t="inlineStr">
        <is>
          <t>SVC000021</t>
        </is>
      </c>
      <c r="G908" s="104" t="inlineStr">
        <is>
          <t>Power Button Repair</t>
        </is>
      </c>
      <c r="H908" s="104" t="inlineStr">
        <is>
          <t>Buttons</t>
        </is>
      </c>
      <c r="I908" s="104" t="n"/>
      <c r="J908" s="104" t="n"/>
      <c r="K908" s="104" t="n"/>
      <c r="L908" s="104" t="n"/>
      <c r="M908" s="104" t="n"/>
      <c r="N908" s="104" t="n"/>
      <c r="O908" s="104" t="n"/>
      <c r="P908" s="104" t="n"/>
      <c r="Q908" s="104" t="n"/>
      <c r="R908" s="104" t="n"/>
      <c r="S908" s="110" t="n"/>
      <c r="T908" s="110" t="n"/>
      <c r="U908" s="104" t="n"/>
    </row>
    <row r="909">
      <c r="A909" s="104" t="inlineStr">
        <is>
          <t>GUIDE000908</t>
        </is>
      </c>
      <c r="B909" s="101" t="inlineStr">
        <is>
          <t>DEV000024</t>
        </is>
      </c>
      <c r="C909" s="103" t="inlineStr">
        <is>
          <t>APL</t>
        </is>
      </c>
      <c r="D909" s="103" t="inlineStr">
        <is>
          <t>PHN</t>
        </is>
      </c>
      <c r="E909" s="60" t="inlineStr">
        <is>
          <t>iPhone 11 Pro Max</t>
        </is>
      </c>
      <c r="F909" s="104" t="inlineStr">
        <is>
          <t>SVC000021</t>
        </is>
      </c>
      <c r="G909" s="104" t="inlineStr">
        <is>
          <t>Power Button Repair</t>
        </is>
      </c>
      <c r="H909" s="104" t="inlineStr">
        <is>
          <t>Buttons</t>
        </is>
      </c>
      <c r="I909" s="104" t="n"/>
      <c r="J909" s="104" t="n"/>
      <c r="K909" s="104" t="n"/>
      <c r="L909" s="104" t="n"/>
      <c r="M909" s="104" t="n"/>
      <c r="N909" s="104" t="n"/>
      <c r="O909" s="104" t="n"/>
      <c r="P909" s="104" t="n"/>
      <c r="Q909" s="104" t="n"/>
      <c r="R909" s="104" t="n"/>
      <c r="S909" s="110" t="n"/>
      <c r="T909" s="110" t="n"/>
      <c r="U909" s="104" t="n"/>
    </row>
    <row r="910">
      <c r="A910" s="104" t="inlineStr">
        <is>
          <t>GUIDE000909</t>
        </is>
      </c>
      <c r="B910" s="101" t="inlineStr">
        <is>
          <t>DEV000025</t>
        </is>
      </c>
      <c r="C910" s="103" t="inlineStr">
        <is>
          <t>APL</t>
        </is>
      </c>
      <c r="D910" s="103" t="inlineStr">
        <is>
          <t>PHN</t>
        </is>
      </c>
      <c r="E910" s="60" t="inlineStr">
        <is>
          <t>iPhone SE (2nd Generation)</t>
        </is>
      </c>
      <c r="F910" s="104" t="inlineStr">
        <is>
          <t>SVC000021</t>
        </is>
      </c>
      <c r="G910" s="104" t="inlineStr">
        <is>
          <t>Power Button Repair</t>
        </is>
      </c>
      <c r="H910" s="104" t="inlineStr">
        <is>
          <t>Buttons</t>
        </is>
      </c>
      <c r="I910" s="104" t="n"/>
      <c r="J910" s="104" t="n"/>
      <c r="K910" s="104" t="n"/>
      <c r="L910" s="104" t="n"/>
      <c r="M910" s="104" t="n"/>
      <c r="N910" s="104" t="n"/>
      <c r="O910" s="104" t="n"/>
      <c r="P910" s="104" t="n"/>
      <c r="Q910" s="104" t="n"/>
      <c r="R910" s="104" t="n"/>
      <c r="S910" s="110" t="n"/>
      <c r="T910" s="110" t="n"/>
      <c r="U910" s="104" t="n"/>
    </row>
    <row r="911">
      <c r="A911" s="104" t="inlineStr">
        <is>
          <t>GUIDE000910</t>
        </is>
      </c>
      <c r="B911" s="101" t="inlineStr">
        <is>
          <t>DEV000026</t>
        </is>
      </c>
      <c r="C911" s="103" t="inlineStr">
        <is>
          <t>APL</t>
        </is>
      </c>
      <c r="D911" s="103" t="inlineStr">
        <is>
          <t>PHN</t>
        </is>
      </c>
      <c r="E911" s="60" t="inlineStr">
        <is>
          <t>iPhone 12 mini</t>
        </is>
      </c>
      <c r="F911" s="104" t="inlineStr">
        <is>
          <t>SVC000021</t>
        </is>
      </c>
      <c r="G911" s="104" t="inlineStr">
        <is>
          <t>Power Button Repair</t>
        </is>
      </c>
      <c r="H911" s="104" t="inlineStr">
        <is>
          <t>Buttons</t>
        </is>
      </c>
      <c r="I911" s="104" t="n"/>
      <c r="J911" s="104" t="n"/>
      <c r="K911" s="104" t="n"/>
      <c r="L911" s="104" t="n"/>
      <c r="M911" s="104" t="n"/>
      <c r="N911" s="104" t="n"/>
      <c r="O911" s="104" t="n"/>
      <c r="P911" s="104" t="n"/>
      <c r="Q911" s="104" t="n"/>
      <c r="R911" s="104" t="n"/>
      <c r="S911" s="110" t="n"/>
      <c r="T911" s="110" t="n"/>
      <c r="U911" s="104" t="n"/>
    </row>
    <row r="912">
      <c r="A912" s="105" t="inlineStr">
        <is>
          <t>GUIDE000911</t>
        </is>
      </c>
      <c r="B912" s="101" t="inlineStr">
        <is>
          <t>DEV000027</t>
        </is>
      </c>
      <c r="C912" s="103" t="inlineStr">
        <is>
          <t>APL</t>
        </is>
      </c>
      <c r="D912" s="103" t="inlineStr">
        <is>
          <t>PHN</t>
        </is>
      </c>
      <c r="E912" s="60" t="inlineStr">
        <is>
          <t>iPhone 12</t>
        </is>
      </c>
      <c r="F912" s="104" t="inlineStr">
        <is>
          <t>SVC000021</t>
        </is>
      </c>
      <c r="G912" s="104" t="inlineStr">
        <is>
          <t>Power Button Repair</t>
        </is>
      </c>
      <c r="H912" s="104" t="inlineStr">
        <is>
          <t>Buttons</t>
        </is>
      </c>
      <c r="I912" s="104" t="n"/>
      <c r="J912" s="104" t="n"/>
      <c r="K912" s="104" t="n"/>
      <c r="L912" s="104" t="n"/>
      <c r="M912" s="104" t="n"/>
      <c r="N912" s="104" t="n"/>
      <c r="O912" s="104" t="n"/>
      <c r="P912" s="104" t="n"/>
      <c r="Q912" s="104" t="n"/>
      <c r="R912" s="104" t="n"/>
      <c r="S912" s="110" t="n"/>
      <c r="T912" s="110" t="n"/>
      <c r="U912" s="104" t="n"/>
    </row>
    <row r="913">
      <c r="A913" s="104" t="inlineStr">
        <is>
          <t>GUIDE000912</t>
        </is>
      </c>
      <c r="B913" s="101" t="inlineStr">
        <is>
          <t>DEV000028</t>
        </is>
      </c>
      <c r="C913" s="103" t="inlineStr">
        <is>
          <t>APL</t>
        </is>
      </c>
      <c r="D913" s="103" t="inlineStr">
        <is>
          <t>PHN</t>
        </is>
      </c>
      <c r="E913" s="60" t="inlineStr">
        <is>
          <t>iPhone 12 Pro</t>
        </is>
      </c>
      <c r="F913" s="104" t="inlineStr">
        <is>
          <t>SVC000021</t>
        </is>
      </c>
      <c r="G913" s="104" t="inlineStr">
        <is>
          <t>Power Button Repair</t>
        </is>
      </c>
      <c r="H913" s="104" t="inlineStr">
        <is>
          <t>Buttons</t>
        </is>
      </c>
      <c r="I913" s="104" t="n"/>
      <c r="J913" s="104" t="n"/>
      <c r="K913" s="104" t="n"/>
      <c r="L913" s="104" t="n"/>
      <c r="M913" s="104" t="n"/>
      <c r="N913" s="104" t="n"/>
      <c r="O913" s="104" t="n"/>
      <c r="P913" s="104" t="n"/>
      <c r="Q913" s="104" t="n"/>
      <c r="R913" s="104" t="n"/>
      <c r="S913" s="110" t="n"/>
      <c r="T913" s="110" t="n"/>
      <c r="U913" s="104" t="n"/>
    </row>
    <row r="914">
      <c r="A914" s="104" t="inlineStr">
        <is>
          <t>GUIDE000913</t>
        </is>
      </c>
      <c r="B914" s="101" t="inlineStr">
        <is>
          <t>DEV000029</t>
        </is>
      </c>
      <c r="C914" s="103" t="inlineStr">
        <is>
          <t>APL</t>
        </is>
      </c>
      <c r="D914" s="103" t="inlineStr">
        <is>
          <t>PHN</t>
        </is>
      </c>
      <c r="E914" s="60" t="inlineStr">
        <is>
          <t>iPhone 12 Pro Max</t>
        </is>
      </c>
      <c r="F914" s="104" t="inlineStr">
        <is>
          <t>SVC000021</t>
        </is>
      </c>
      <c r="G914" s="104" t="inlineStr">
        <is>
          <t>Power Button Repair</t>
        </is>
      </c>
      <c r="H914" s="104" t="inlineStr">
        <is>
          <t>Buttons</t>
        </is>
      </c>
      <c r="I914" s="104" t="n"/>
      <c r="J914" s="104" t="n"/>
      <c r="K914" s="104" t="n"/>
      <c r="L914" s="104" t="n"/>
      <c r="M914" s="104" t="n"/>
      <c r="N914" s="104" t="n"/>
      <c r="O914" s="104" t="n"/>
      <c r="P914" s="104" t="n"/>
      <c r="Q914" s="104" t="n"/>
      <c r="R914" s="104" t="n"/>
      <c r="S914" s="110" t="n"/>
      <c r="T914" s="110" t="n"/>
      <c r="U914" s="104" t="n"/>
    </row>
    <row r="915">
      <c r="A915" s="104" t="inlineStr">
        <is>
          <t>GUIDE000914</t>
        </is>
      </c>
      <c r="B915" s="101" t="inlineStr">
        <is>
          <t>DEV000030</t>
        </is>
      </c>
      <c r="C915" s="103" t="inlineStr">
        <is>
          <t>APL</t>
        </is>
      </c>
      <c r="D915" s="103" t="inlineStr">
        <is>
          <t>PHN</t>
        </is>
      </c>
      <c r="E915" s="60" t="inlineStr">
        <is>
          <t>iPhone 13 mini</t>
        </is>
      </c>
      <c r="F915" s="104" t="inlineStr">
        <is>
          <t>SVC000021</t>
        </is>
      </c>
      <c r="G915" s="104" t="inlineStr">
        <is>
          <t>Power Button Repair</t>
        </is>
      </c>
      <c r="H915" s="104" t="inlineStr">
        <is>
          <t>Buttons</t>
        </is>
      </c>
      <c r="I915" s="104" t="n"/>
      <c r="J915" s="104" t="n"/>
      <c r="K915" s="104" t="n"/>
      <c r="L915" s="104" t="n"/>
      <c r="M915" s="104" t="n"/>
      <c r="N915" s="104" t="n"/>
      <c r="O915" s="104" t="n"/>
      <c r="P915" s="104" t="n"/>
      <c r="Q915" s="104" t="n"/>
      <c r="R915" s="104" t="n"/>
      <c r="S915" s="110" t="n"/>
      <c r="T915" s="110" t="n"/>
      <c r="U915" s="104" t="n"/>
    </row>
    <row r="916">
      <c r="A916" s="105" t="inlineStr">
        <is>
          <t>GUIDE000915</t>
        </is>
      </c>
      <c r="B916" s="101" t="inlineStr">
        <is>
          <t>DEV000031</t>
        </is>
      </c>
      <c r="C916" s="103" t="inlineStr">
        <is>
          <t>APL</t>
        </is>
      </c>
      <c r="D916" s="103" t="inlineStr">
        <is>
          <t>PHN</t>
        </is>
      </c>
      <c r="E916" s="60" t="inlineStr">
        <is>
          <t>iPhone 13</t>
        </is>
      </c>
      <c r="F916" s="104" t="inlineStr">
        <is>
          <t>SVC000021</t>
        </is>
      </c>
      <c r="G916" s="104" t="inlineStr">
        <is>
          <t>Power Button Repair</t>
        </is>
      </c>
      <c r="H916" s="104" t="inlineStr">
        <is>
          <t>Buttons</t>
        </is>
      </c>
      <c r="I916" s="104" t="n"/>
      <c r="J916" s="104" t="n"/>
      <c r="K916" s="104" t="n"/>
      <c r="L916" s="104" t="n"/>
      <c r="M916" s="104" t="n"/>
      <c r="N916" s="104" t="n"/>
      <c r="O916" s="104" t="n"/>
      <c r="P916" s="104" t="n"/>
      <c r="Q916" s="104" t="n"/>
      <c r="R916" s="104" t="n"/>
      <c r="S916" s="110" t="n"/>
      <c r="T916" s="110" t="n"/>
      <c r="U916" s="104" t="n"/>
    </row>
    <row r="917">
      <c r="A917" s="104" t="inlineStr">
        <is>
          <t>GUIDE000916</t>
        </is>
      </c>
      <c r="B917" s="101" t="inlineStr">
        <is>
          <t>DEV000032</t>
        </is>
      </c>
      <c r="C917" s="103" t="inlineStr">
        <is>
          <t>APL</t>
        </is>
      </c>
      <c r="D917" s="103" t="inlineStr">
        <is>
          <t>PHN</t>
        </is>
      </c>
      <c r="E917" s="60" t="inlineStr">
        <is>
          <t>iPhone 13 Pro</t>
        </is>
      </c>
      <c r="F917" s="104" t="inlineStr">
        <is>
          <t>SVC000021</t>
        </is>
      </c>
      <c r="G917" s="104" t="inlineStr">
        <is>
          <t>Power Button Repair</t>
        </is>
      </c>
      <c r="H917" s="104" t="inlineStr">
        <is>
          <t>Buttons</t>
        </is>
      </c>
      <c r="I917" s="104" t="n"/>
      <c r="J917" s="104" t="n"/>
      <c r="K917" s="104" t="n"/>
      <c r="L917" s="104" t="n"/>
      <c r="M917" s="104" t="n"/>
      <c r="N917" s="104" t="n"/>
      <c r="O917" s="104" t="n"/>
      <c r="P917" s="104" t="n"/>
      <c r="Q917" s="104" t="n"/>
      <c r="R917" s="104" t="n"/>
      <c r="S917" s="110" t="n"/>
      <c r="T917" s="110" t="n"/>
      <c r="U917" s="104" t="n"/>
    </row>
    <row r="918">
      <c r="A918" s="104" t="inlineStr">
        <is>
          <t>GUIDE000917</t>
        </is>
      </c>
      <c r="B918" s="101" t="inlineStr">
        <is>
          <t>DEV000033</t>
        </is>
      </c>
      <c r="C918" s="103" t="inlineStr">
        <is>
          <t>APL</t>
        </is>
      </c>
      <c r="D918" s="103" t="inlineStr">
        <is>
          <t>PHN</t>
        </is>
      </c>
      <c r="E918" s="60" t="inlineStr">
        <is>
          <t>iPhone 13 Pro Max</t>
        </is>
      </c>
      <c r="F918" s="104" t="inlineStr">
        <is>
          <t>SVC000021</t>
        </is>
      </c>
      <c r="G918" s="104" t="inlineStr">
        <is>
          <t>Power Button Repair</t>
        </is>
      </c>
      <c r="H918" s="104" t="inlineStr">
        <is>
          <t>Buttons</t>
        </is>
      </c>
      <c r="I918" s="104" t="n"/>
      <c r="J918" s="104" t="n"/>
      <c r="K918" s="104" t="n"/>
      <c r="L918" s="104" t="n"/>
      <c r="M918" s="104" t="n"/>
      <c r="N918" s="104" t="n"/>
      <c r="O918" s="104" t="n"/>
      <c r="P918" s="104" t="n"/>
      <c r="Q918" s="104" t="n"/>
      <c r="R918" s="104" t="n"/>
      <c r="S918" s="110" t="n"/>
      <c r="T918" s="110" t="n"/>
      <c r="U918" s="104" t="n"/>
    </row>
    <row r="919">
      <c r="A919" s="104" t="inlineStr">
        <is>
          <t>GUIDE000918</t>
        </is>
      </c>
      <c r="B919" s="101" t="inlineStr">
        <is>
          <t>DEV000034</t>
        </is>
      </c>
      <c r="C919" s="103" t="inlineStr">
        <is>
          <t>APL</t>
        </is>
      </c>
      <c r="D919" s="103" t="inlineStr">
        <is>
          <t>PHN</t>
        </is>
      </c>
      <c r="E919" s="60" t="inlineStr">
        <is>
          <t>iPhone SE (3rd Generation)</t>
        </is>
      </c>
      <c r="F919" s="104" t="inlineStr">
        <is>
          <t>SVC000021</t>
        </is>
      </c>
      <c r="G919" s="104" t="inlineStr">
        <is>
          <t>Power Button Repair</t>
        </is>
      </c>
      <c r="H919" s="104" t="inlineStr">
        <is>
          <t>Buttons</t>
        </is>
      </c>
      <c r="I919" s="104" t="n"/>
      <c r="J919" s="104" t="n"/>
      <c r="K919" s="104" t="n"/>
      <c r="L919" s="104" t="n"/>
      <c r="M919" s="104" t="n"/>
      <c r="N919" s="104" t="n"/>
      <c r="O919" s="104" t="n"/>
      <c r="P919" s="104" t="n"/>
      <c r="Q919" s="104" t="n"/>
      <c r="R919" s="104" t="n"/>
      <c r="S919" s="110" t="n"/>
      <c r="T919" s="110" t="n"/>
      <c r="U919" s="104" t="n"/>
    </row>
    <row r="920">
      <c r="A920" s="104" t="inlineStr">
        <is>
          <t>GUIDE000919</t>
        </is>
      </c>
      <c r="B920" s="101" t="inlineStr">
        <is>
          <t>DEV000035</t>
        </is>
      </c>
      <c r="C920" s="103" t="inlineStr">
        <is>
          <t>APL</t>
        </is>
      </c>
      <c r="D920" s="103" t="inlineStr">
        <is>
          <t>PHN</t>
        </is>
      </c>
      <c r="E920" s="60" t="inlineStr">
        <is>
          <t>iPhone 14</t>
        </is>
      </c>
      <c r="F920" s="104" t="inlineStr">
        <is>
          <t>SVC000021</t>
        </is>
      </c>
      <c r="G920" s="104" t="inlineStr">
        <is>
          <t>Power Button Repair</t>
        </is>
      </c>
      <c r="H920" s="104" t="inlineStr">
        <is>
          <t>Buttons</t>
        </is>
      </c>
      <c r="I920" s="104" t="n"/>
      <c r="J920" s="104" t="n"/>
      <c r="K920" s="104" t="n"/>
      <c r="L920" s="104" t="n"/>
      <c r="M920" s="104" t="n"/>
      <c r="N920" s="104" t="n"/>
      <c r="O920" s="104" t="n"/>
      <c r="P920" s="104" t="n"/>
      <c r="Q920" s="104" t="n"/>
      <c r="R920" s="104" t="n"/>
      <c r="S920" s="110" t="n"/>
      <c r="T920" s="110" t="n"/>
      <c r="U920" s="104" t="n"/>
    </row>
    <row r="921">
      <c r="A921" s="105" t="inlineStr">
        <is>
          <t>GUIDE000920</t>
        </is>
      </c>
      <c r="B921" s="101" t="inlineStr">
        <is>
          <t>DEV000036</t>
        </is>
      </c>
      <c r="C921" s="103" t="inlineStr">
        <is>
          <t>APL</t>
        </is>
      </c>
      <c r="D921" s="103" t="inlineStr">
        <is>
          <t>PHN</t>
        </is>
      </c>
      <c r="E921" s="60" t="inlineStr">
        <is>
          <t>iPhone 14 Plus</t>
        </is>
      </c>
      <c r="F921" s="104" t="inlineStr">
        <is>
          <t>SVC000021</t>
        </is>
      </c>
      <c r="G921" s="104" t="inlineStr">
        <is>
          <t>Power Button Repair</t>
        </is>
      </c>
      <c r="H921" s="104" t="inlineStr">
        <is>
          <t>Buttons</t>
        </is>
      </c>
      <c r="I921" s="104" t="n"/>
      <c r="J921" s="104" t="n"/>
      <c r="K921" s="104" t="n"/>
      <c r="L921" s="104" t="n"/>
      <c r="M921" s="104" t="n"/>
      <c r="N921" s="104" t="n"/>
      <c r="O921" s="104" t="n"/>
      <c r="P921" s="104" t="n"/>
      <c r="Q921" s="104" t="n"/>
      <c r="R921" s="104" t="n"/>
      <c r="S921" s="110" t="n"/>
      <c r="T921" s="110" t="n"/>
      <c r="U921" s="104" t="n"/>
    </row>
    <row r="922">
      <c r="A922" s="104" t="inlineStr">
        <is>
          <t>GUIDE000921</t>
        </is>
      </c>
      <c r="B922" s="101" t="inlineStr">
        <is>
          <t>DEV000037</t>
        </is>
      </c>
      <c r="C922" s="103" t="inlineStr">
        <is>
          <t>APL</t>
        </is>
      </c>
      <c r="D922" s="103" t="inlineStr">
        <is>
          <t>PHN</t>
        </is>
      </c>
      <c r="E922" s="60" t="inlineStr">
        <is>
          <t>iPhone 14 Pro</t>
        </is>
      </c>
      <c r="F922" s="104" t="inlineStr">
        <is>
          <t>SVC000021</t>
        </is>
      </c>
      <c r="G922" s="104" t="inlineStr">
        <is>
          <t>Power Button Repair</t>
        </is>
      </c>
      <c r="H922" s="104" t="inlineStr">
        <is>
          <t>Buttons</t>
        </is>
      </c>
      <c r="I922" s="104" t="n"/>
      <c r="J922" s="104" t="n"/>
      <c r="K922" s="104" t="n"/>
      <c r="L922" s="104" t="n"/>
      <c r="M922" s="104" t="n"/>
      <c r="N922" s="104" t="n"/>
      <c r="O922" s="104" t="n"/>
      <c r="P922" s="104" t="n"/>
      <c r="Q922" s="104" t="n"/>
      <c r="R922" s="104" t="n"/>
      <c r="S922" s="110" t="n"/>
      <c r="T922" s="110" t="n"/>
      <c r="U922" s="104" t="n"/>
    </row>
    <row r="923">
      <c r="A923" s="104" t="inlineStr">
        <is>
          <t>GUIDE000922</t>
        </is>
      </c>
      <c r="B923" s="101" t="inlineStr">
        <is>
          <t>DEV000038</t>
        </is>
      </c>
      <c r="C923" s="103" t="inlineStr">
        <is>
          <t>APL</t>
        </is>
      </c>
      <c r="D923" s="103" t="inlineStr">
        <is>
          <t>PHN</t>
        </is>
      </c>
      <c r="E923" s="60" t="inlineStr">
        <is>
          <t>iPhone 14 Pro Max</t>
        </is>
      </c>
      <c r="F923" s="104" t="inlineStr">
        <is>
          <t>SVC000021</t>
        </is>
      </c>
      <c r="G923" s="104" t="inlineStr">
        <is>
          <t>Power Button Repair</t>
        </is>
      </c>
      <c r="H923" s="104" t="inlineStr">
        <is>
          <t>Buttons</t>
        </is>
      </c>
      <c r="I923" s="104" t="n"/>
      <c r="J923" s="104" t="n"/>
      <c r="K923" s="104" t="n"/>
      <c r="L923" s="104" t="n"/>
      <c r="M923" s="104" t="n"/>
      <c r="N923" s="104" t="n"/>
      <c r="O923" s="104" t="n"/>
      <c r="P923" s="104" t="n"/>
      <c r="Q923" s="104" t="n"/>
      <c r="R923" s="104" t="n"/>
      <c r="S923" s="110" t="n"/>
      <c r="T923" s="110" t="n"/>
      <c r="U923" s="104" t="n"/>
    </row>
    <row r="924">
      <c r="A924" s="104" t="inlineStr">
        <is>
          <t>GUIDE000923</t>
        </is>
      </c>
      <c r="B924" s="101" t="inlineStr">
        <is>
          <t>DEV000039</t>
        </is>
      </c>
      <c r="C924" s="103" t="inlineStr">
        <is>
          <t>APL</t>
        </is>
      </c>
      <c r="D924" s="103" t="inlineStr">
        <is>
          <t>PHN</t>
        </is>
      </c>
      <c r="E924" s="60" t="inlineStr">
        <is>
          <t>iPhone 15</t>
        </is>
      </c>
      <c r="F924" s="104" t="inlineStr">
        <is>
          <t>SVC000021</t>
        </is>
      </c>
      <c r="G924" s="104" t="inlineStr">
        <is>
          <t>Power Button Repair</t>
        </is>
      </c>
      <c r="H924" s="104" t="inlineStr">
        <is>
          <t>Buttons</t>
        </is>
      </c>
      <c r="I924" s="104" t="n"/>
      <c r="J924" s="104" t="n"/>
      <c r="K924" s="104" t="n"/>
      <c r="L924" s="104" t="n"/>
      <c r="M924" s="104" t="n"/>
      <c r="N924" s="104" t="n"/>
      <c r="O924" s="104" t="n"/>
      <c r="P924" s="104" t="n"/>
      <c r="Q924" s="104" t="n"/>
      <c r="R924" s="104" t="n"/>
      <c r="S924" s="110" t="n"/>
      <c r="T924" s="110" t="n"/>
      <c r="U924" s="104" t="n"/>
    </row>
    <row r="925">
      <c r="A925" s="105" t="inlineStr">
        <is>
          <t>GUIDE000924</t>
        </is>
      </c>
      <c r="B925" s="101" t="inlineStr">
        <is>
          <t>DEV000040</t>
        </is>
      </c>
      <c r="C925" s="103" t="inlineStr">
        <is>
          <t>APL</t>
        </is>
      </c>
      <c r="D925" s="103" t="inlineStr">
        <is>
          <t>PHN</t>
        </is>
      </c>
      <c r="E925" s="60" t="inlineStr">
        <is>
          <t>iPhone 15 Plus</t>
        </is>
      </c>
      <c r="F925" s="104" t="inlineStr">
        <is>
          <t>SVC000021</t>
        </is>
      </c>
      <c r="G925" s="104" t="inlineStr">
        <is>
          <t>Power Button Repair</t>
        </is>
      </c>
      <c r="H925" s="104" t="inlineStr">
        <is>
          <t>Buttons</t>
        </is>
      </c>
      <c r="I925" s="104" t="n"/>
      <c r="J925" s="104" t="n"/>
      <c r="K925" s="104" t="n"/>
      <c r="L925" s="104" t="n"/>
      <c r="M925" s="104" t="n"/>
      <c r="N925" s="104" t="n"/>
      <c r="O925" s="104" t="n"/>
      <c r="P925" s="104" t="n"/>
      <c r="Q925" s="104" t="n"/>
      <c r="R925" s="104" t="n"/>
      <c r="S925" s="110" t="n"/>
      <c r="T925" s="110" t="n"/>
      <c r="U925" s="104" t="n"/>
    </row>
    <row r="926">
      <c r="A926" s="104" t="inlineStr">
        <is>
          <t>GUIDE000925</t>
        </is>
      </c>
      <c r="B926" s="101" t="inlineStr">
        <is>
          <t>DEV000041</t>
        </is>
      </c>
      <c r="C926" s="103" t="inlineStr">
        <is>
          <t>APL</t>
        </is>
      </c>
      <c r="D926" s="103" t="inlineStr">
        <is>
          <t>PHN</t>
        </is>
      </c>
      <c r="E926" s="60" t="inlineStr">
        <is>
          <t>iPhone 15 Pro</t>
        </is>
      </c>
      <c r="F926" s="104" t="inlineStr">
        <is>
          <t>SVC000021</t>
        </is>
      </c>
      <c r="G926" s="104" t="inlineStr">
        <is>
          <t>Power Button Repair</t>
        </is>
      </c>
      <c r="H926" s="104" t="inlineStr">
        <is>
          <t>Buttons</t>
        </is>
      </c>
      <c r="I926" s="104" t="n"/>
      <c r="J926" s="104" t="n"/>
      <c r="K926" s="104" t="n"/>
      <c r="L926" s="104" t="n"/>
      <c r="M926" s="104" t="n"/>
      <c r="N926" s="104" t="n"/>
      <c r="O926" s="104" t="n"/>
      <c r="P926" s="104" t="n"/>
      <c r="Q926" s="104" t="n"/>
      <c r="R926" s="104" t="n"/>
      <c r="S926" s="110" t="n"/>
      <c r="T926" s="110" t="n"/>
      <c r="U926" s="104" t="n"/>
    </row>
    <row r="927">
      <c r="A927" s="104" t="inlineStr">
        <is>
          <t>GUIDE000926</t>
        </is>
      </c>
      <c r="B927" s="101" t="inlineStr">
        <is>
          <t>DEV000042</t>
        </is>
      </c>
      <c r="C927" s="103" t="inlineStr">
        <is>
          <t>APL</t>
        </is>
      </c>
      <c r="D927" s="103" t="inlineStr">
        <is>
          <t>PHN</t>
        </is>
      </c>
      <c r="E927" s="60" t="inlineStr">
        <is>
          <t>iPhone 15 Pro Max</t>
        </is>
      </c>
      <c r="F927" s="104" t="inlineStr">
        <is>
          <t>SVC000021</t>
        </is>
      </c>
      <c r="G927" s="104" t="inlineStr">
        <is>
          <t>Power Button Repair</t>
        </is>
      </c>
      <c r="H927" s="104" t="inlineStr">
        <is>
          <t>Buttons</t>
        </is>
      </c>
      <c r="I927" s="104" t="n"/>
      <c r="J927" s="104" t="n"/>
      <c r="K927" s="104" t="n"/>
      <c r="L927" s="104" t="n"/>
      <c r="M927" s="104" t="n"/>
      <c r="N927" s="104" t="n"/>
      <c r="O927" s="104" t="n"/>
      <c r="P927" s="104" t="n"/>
      <c r="Q927" s="104" t="n"/>
      <c r="R927" s="104" t="n"/>
      <c r="S927" s="110" t="n"/>
      <c r="T927" s="110" t="n"/>
      <c r="U927" s="104" t="n"/>
    </row>
    <row r="928">
      <c r="A928" s="104" t="inlineStr">
        <is>
          <t>GUIDE000927</t>
        </is>
      </c>
      <c r="B928" s="101" t="inlineStr">
        <is>
          <t>DEV000043</t>
        </is>
      </c>
      <c r="C928" s="103" t="inlineStr">
        <is>
          <t>APL</t>
        </is>
      </c>
      <c r="D928" s="103" t="inlineStr">
        <is>
          <t>PHN</t>
        </is>
      </c>
      <c r="E928" s="60" t="inlineStr">
        <is>
          <t>iPhone 16</t>
        </is>
      </c>
      <c r="F928" s="104" t="inlineStr">
        <is>
          <t>SVC000021</t>
        </is>
      </c>
      <c r="G928" s="104" t="inlineStr">
        <is>
          <t>Power Button Repair</t>
        </is>
      </c>
      <c r="H928" s="104" t="inlineStr">
        <is>
          <t>Buttons</t>
        </is>
      </c>
      <c r="I928" s="104" t="n"/>
      <c r="J928" s="104" t="n"/>
      <c r="K928" s="104" t="n"/>
      <c r="L928" s="104" t="n"/>
      <c r="M928" s="104" t="n"/>
      <c r="N928" s="104" t="n"/>
      <c r="O928" s="104" t="n"/>
      <c r="P928" s="104" t="n"/>
      <c r="Q928" s="104" t="n"/>
      <c r="R928" s="104" t="n"/>
      <c r="S928" s="110" t="n"/>
      <c r="T928" s="110" t="n"/>
      <c r="U928" s="104" t="n"/>
    </row>
    <row r="929">
      <c r="A929" s="104" t="inlineStr">
        <is>
          <t>GUIDE000928</t>
        </is>
      </c>
      <c r="B929" s="101" t="inlineStr">
        <is>
          <t>DEV000044</t>
        </is>
      </c>
      <c r="C929" s="103" t="inlineStr">
        <is>
          <t>APL</t>
        </is>
      </c>
      <c r="D929" s="103" t="inlineStr">
        <is>
          <t>PHN</t>
        </is>
      </c>
      <c r="E929" s="60" t="inlineStr">
        <is>
          <t>iPhone 16 Plus</t>
        </is>
      </c>
      <c r="F929" s="104" t="inlineStr">
        <is>
          <t>SVC000021</t>
        </is>
      </c>
      <c r="G929" s="104" t="inlineStr">
        <is>
          <t>Power Button Repair</t>
        </is>
      </c>
      <c r="H929" s="104" t="inlineStr">
        <is>
          <t>Buttons</t>
        </is>
      </c>
      <c r="I929" s="104" t="n"/>
      <c r="J929" s="104" t="n"/>
      <c r="K929" s="104" t="n"/>
      <c r="L929" s="104" t="n"/>
      <c r="M929" s="104" t="n"/>
      <c r="N929" s="104" t="n"/>
      <c r="O929" s="104" t="n"/>
      <c r="P929" s="104" t="n"/>
      <c r="Q929" s="104" t="n"/>
      <c r="R929" s="104" t="n"/>
      <c r="S929" s="110" t="n"/>
      <c r="T929" s="110" t="n"/>
      <c r="U929" s="104" t="n"/>
    </row>
    <row r="930">
      <c r="A930" s="105" t="inlineStr">
        <is>
          <t>GUIDE000929</t>
        </is>
      </c>
      <c r="B930" s="101" t="inlineStr">
        <is>
          <t>DEV000045</t>
        </is>
      </c>
      <c r="C930" s="103" t="inlineStr">
        <is>
          <t>APL</t>
        </is>
      </c>
      <c r="D930" s="103" t="inlineStr">
        <is>
          <t>PHN</t>
        </is>
      </c>
      <c r="E930" s="60" t="inlineStr">
        <is>
          <t>iPhone 16 Pro</t>
        </is>
      </c>
      <c r="F930" s="104" t="inlineStr">
        <is>
          <t>SVC000021</t>
        </is>
      </c>
      <c r="G930" s="104" t="inlineStr">
        <is>
          <t>Power Button Repair</t>
        </is>
      </c>
      <c r="H930" s="104" t="inlineStr">
        <is>
          <t>Buttons</t>
        </is>
      </c>
      <c r="I930" s="104" t="n"/>
      <c r="J930" s="104" t="n"/>
      <c r="K930" s="104" t="n"/>
      <c r="L930" s="104" t="n"/>
      <c r="M930" s="104" t="n"/>
      <c r="N930" s="104" t="n"/>
      <c r="O930" s="104" t="n"/>
      <c r="P930" s="104" t="n"/>
      <c r="Q930" s="104" t="n"/>
      <c r="R930" s="104" t="n"/>
      <c r="S930" s="110" t="n"/>
      <c r="T930" s="110" t="n"/>
      <c r="U930" s="104" t="n"/>
    </row>
    <row r="931">
      <c r="A931" s="104" t="inlineStr">
        <is>
          <t>GUIDE000930</t>
        </is>
      </c>
      <c r="B931" s="101" t="inlineStr">
        <is>
          <t>DEV000046</t>
        </is>
      </c>
      <c r="C931" s="103" t="inlineStr">
        <is>
          <t>APL</t>
        </is>
      </c>
      <c r="D931" s="103" t="inlineStr">
        <is>
          <t>PHN</t>
        </is>
      </c>
      <c r="E931" s="60" t="inlineStr">
        <is>
          <t>iPhone 16 Pro Max</t>
        </is>
      </c>
      <c r="F931" s="104" t="inlineStr">
        <is>
          <t>SVC000021</t>
        </is>
      </c>
      <c r="G931" s="104" t="inlineStr">
        <is>
          <t>Power Button Repair</t>
        </is>
      </c>
      <c r="H931" s="104" t="inlineStr">
        <is>
          <t>Buttons</t>
        </is>
      </c>
      <c r="I931" s="104" t="n"/>
      <c r="J931" s="104" t="n"/>
      <c r="K931" s="104" t="n"/>
      <c r="L931" s="104" t="n"/>
      <c r="M931" s="104" t="n"/>
      <c r="N931" s="104" t="n"/>
      <c r="O931" s="104" t="n"/>
      <c r="P931" s="104" t="n"/>
      <c r="Q931" s="104" t="n"/>
      <c r="R931" s="104" t="n"/>
      <c r="S931" s="110" t="n"/>
      <c r="T931" s="110" t="n"/>
      <c r="U931" s="104" t="n"/>
    </row>
    <row r="932">
      <c r="A932" s="104" t="inlineStr">
        <is>
          <t>GUIDE000931</t>
        </is>
      </c>
      <c r="B932" s="101" t="inlineStr">
        <is>
          <t>DEV000047</t>
        </is>
      </c>
      <c r="C932" s="103" t="inlineStr">
        <is>
          <t>APL</t>
        </is>
      </c>
      <c r="D932" s="103" t="inlineStr">
        <is>
          <t>PHN</t>
        </is>
      </c>
      <c r="E932" s="60" t="inlineStr">
        <is>
          <t>iPhone 16e</t>
        </is>
      </c>
      <c r="F932" s="104" t="inlineStr">
        <is>
          <t>SVC000021</t>
        </is>
      </c>
      <c r="G932" s="104" t="inlineStr">
        <is>
          <t>Power Button Repair</t>
        </is>
      </c>
      <c r="H932" s="104" t="inlineStr">
        <is>
          <t>Buttons</t>
        </is>
      </c>
      <c r="I932" s="104" t="n"/>
      <c r="J932" s="104" t="n"/>
      <c r="K932" s="104" t="n"/>
      <c r="L932" s="104" t="n"/>
      <c r="M932" s="104" t="n"/>
      <c r="N932" s="104" t="n"/>
      <c r="O932" s="104" t="n"/>
      <c r="P932" s="104" t="n"/>
      <c r="Q932" s="104" t="n"/>
      <c r="R932" s="104" t="n"/>
      <c r="S932" s="110" t="n"/>
      <c r="T932" s="110" t="n"/>
      <c r="U932" s="104" t="n"/>
    </row>
    <row r="933">
      <c r="A933" s="104" t="inlineStr">
        <is>
          <t>GUIDE000932</t>
        </is>
      </c>
      <c r="B933" s="101" t="inlineStr">
        <is>
          <t>DEV000048</t>
        </is>
      </c>
      <c r="C933" s="103" t="inlineStr">
        <is>
          <t>APL</t>
        </is>
      </c>
      <c r="D933" s="103" t="inlineStr">
        <is>
          <t>PHN</t>
        </is>
      </c>
      <c r="E933" s="60" t="inlineStr">
        <is>
          <t>iPhone 17</t>
        </is>
      </c>
      <c r="F933" s="104" t="inlineStr">
        <is>
          <t>SVC000021</t>
        </is>
      </c>
      <c r="G933" s="104" t="inlineStr">
        <is>
          <t>Power Button Repair</t>
        </is>
      </c>
      <c r="H933" s="104" t="inlineStr">
        <is>
          <t>Buttons</t>
        </is>
      </c>
      <c r="I933" s="104" t="n"/>
      <c r="J933" s="104" t="n"/>
      <c r="K933" s="104" t="n"/>
      <c r="L933" s="104" t="n"/>
      <c r="M933" s="104" t="n"/>
      <c r="N933" s="104" t="n"/>
      <c r="O933" s="104" t="n"/>
      <c r="P933" s="104" t="n"/>
      <c r="Q933" s="104" t="n"/>
      <c r="R933" s="104" t="n"/>
      <c r="S933" s="110" t="n"/>
      <c r="T933" s="110" t="n"/>
      <c r="U933" s="104" t="n"/>
    </row>
    <row r="934">
      <c r="A934" s="105" t="inlineStr">
        <is>
          <t>GUIDE000933</t>
        </is>
      </c>
      <c r="B934" s="101" t="inlineStr">
        <is>
          <t>DEV000049</t>
        </is>
      </c>
      <c r="C934" s="103" t="inlineStr">
        <is>
          <t>APL</t>
        </is>
      </c>
      <c r="D934" s="103" t="inlineStr">
        <is>
          <t>PHN</t>
        </is>
      </c>
      <c r="E934" s="60" t="inlineStr">
        <is>
          <t>iPhone 17 Pro</t>
        </is>
      </c>
      <c r="F934" s="104" t="inlineStr">
        <is>
          <t>SVC000021</t>
        </is>
      </c>
      <c r="G934" s="104" t="inlineStr">
        <is>
          <t>Power Button Repair</t>
        </is>
      </c>
      <c r="H934" s="104" t="inlineStr">
        <is>
          <t>Buttons</t>
        </is>
      </c>
      <c r="I934" s="104" t="n"/>
      <c r="J934" s="104" t="n"/>
      <c r="K934" s="104" t="n"/>
      <c r="L934" s="104" t="n"/>
      <c r="M934" s="104" t="n"/>
      <c r="N934" s="104" t="n"/>
      <c r="O934" s="104" t="n"/>
      <c r="P934" s="104" t="n"/>
      <c r="Q934" s="104" t="n"/>
      <c r="R934" s="104" t="n"/>
      <c r="S934" s="110" t="n"/>
      <c r="T934" s="110" t="n"/>
      <c r="U934" s="104" t="n"/>
    </row>
    <row r="935">
      <c r="A935" s="104" t="inlineStr">
        <is>
          <t>GUIDE000934</t>
        </is>
      </c>
      <c r="B935" s="101" t="inlineStr">
        <is>
          <t>DEV000050</t>
        </is>
      </c>
      <c r="C935" s="103" t="inlineStr">
        <is>
          <t>APL</t>
        </is>
      </c>
      <c r="D935" s="103" t="inlineStr">
        <is>
          <t>PHN</t>
        </is>
      </c>
      <c r="E935" s="60" t="inlineStr">
        <is>
          <t>iPhone 17 Pro Max</t>
        </is>
      </c>
      <c r="F935" s="104" t="inlineStr">
        <is>
          <t>SVC000021</t>
        </is>
      </c>
      <c r="G935" s="104" t="inlineStr">
        <is>
          <t>Power Button Repair</t>
        </is>
      </c>
      <c r="H935" s="104" t="inlineStr">
        <is>
          <t>Buttons</t>
        </is>
      </c>
      <c r="I935" s="104" t="n"/>
      <c r="J935" s="104" t="n"/>
      <c r="K935" s="104" t="n"/>
      <c r="L935" s="104" t="n"/>
      <c r="M935" s="104" t="n"/>
      <c r="N935" s="104" t="n"/>
      <c r="O935" s="104" t="n"/>
      <c r="P935" s="104" t="n"/>
      <c r="Q935" s="104" t="n"/>
      <c r="R935" s="104" t="n"/>
      <c r="S935" s="110" t="n"/>
      <c r="T935" s="110" t="n"/>
      <c r="U935" s="104" t="n"/>
    </row>
    <row r="936">
      <c r="A936" s="104" t="inlineStr">
        <is>
          <t>GUIDE000935</t>
        </is>
      </c>
      <c r="B936" s="101" t="inlineStr">
        <is>
          <t>DEV000051</t>
        </is>
      </c>
      <c r="C936" s="103" t="inlineStr">
        <is>
          <t>APL</t>
        </is>
      </c>
      <c r="D936" s="103" t="inlineStr">
        <is>
          <t>PHN</t>
        </is>
      </c>
      <c r="E936" s="60" t="inlineStr">
        <is>
          <t>iPhone Air</t>
        </is>
      </c>
      <c r="F936" s="104" t="inlineStr">
        <is>
          <t>SVC000021</t>
        </is>
      </c>
      <c r="G936" s="104" t="inlineStr">
        <is>
          <t>Power Button Repair</t>
        </is>
      </c>
      <c r="H936" s="104" t="inlineStr">
        <is>
          <t>Buttons</t>
        </is>
      </c>
      <c r="I936" s="104" t="n"/>
      <c r="J936" s="104" t="n"/>
      <c r="K936" s="104" t="n"/>
      <c r="L936" s="104" t="n"/>
      <c r="M936" s="104" t="n"/>
      <c r="N936" s="104" t="n"/>
      <c r="O936" s="104" t="n"/>
      <c r="P936" s="104" t="n"/>
      <c r="Q936" s="104" t="n"/>
      <c r="R936" s="104" t="n"/>
      <c r="S936" s="110" t="n"/>
      <c r="T936" s="110" t="n"/>
      <c r="U936" s="104" t="n"/>
    </row>
    <row r="937">
      <c r="A937" s="104" t="inlineStr">
        <is>
          <t>GUIDE000936</t>
        </is>
      </c>
      <c r="B937" s="101" t="inlineStr">
        <is>
          <t>DEV000052</t>
        </is>
      </c>
      <c r="C937" s="103" t="inlineStr">
        <is>
          <t>APL</t>
        </is>
      </c>
      <c r="D937" s="103" t="inlineStr">
        <is>
          <t>PHN</t>
        </is>
      </c>
      <c r="E937" s="60" t="inlineStr">
        <is>
          <t>iPhone 17e</t>
        </is>
      </c>
      <c r="F937" s="104" t="inlineStr">
        <is>
          <t>SVC000021</t>
        </is>
      </c>
      <c r="G937" s="104" t="inlineStr">
        <is>
          <t>Power Button Repair</t>
        </is>
      </c>
      <c r="H937" s="104" t="inlineStr">
        <is>
          <t>Buttons</t>
        </is>
      </c>
      <c r="I937" s="104" t="n"/>
      <c r="J937" s="104" t="n"/>
      <c r="K937" s="104" t="n"/>
      <c r="L937" s="104" t="n"/>
      <c r="M937" s="104" t="n"/>
      <c r="N937" s="104" t="n"/>
      <c r="O937" s="104" t="n"/>
      <c r="P937" s="104" t="n"/>
      <c r="Q937" s="104" t="n"/>
      <c r="R937" s="104" t="n"/>
      <c r="S937" s="110" t="n"/>
      <c r="T937" s="110" t="n"/>
      <c r="U937" s="104" t="n"/>
    </row>
    <row r="938">
      <c r="A938" s="104" t="inlineStr">
        <is>
          <t>GUIDE000937</t>
        </is>
      </c>
      <c r="B938" s="101" t="inlineStr">
        <is>
          <t>DEV000001</t>
        </is>
      </c>
      <c r="C938" s="103" t="inlineStr">
        <is>
          <t>APL</t>
        </is>
      </c>
      <c r="D938" s="103" t="inlineStr">
        <is>
          <t>PHN</t>
        </is>
      </c>
      <c r="E938" s="60" t="inlineStr">
        <is>
          <t>iPhone (2G)</t>
        </is>
      </c>
      <c r="F938" s="104" t="inlineStr">
        <is>
          <t>SVC000022</t>
        </is>
      </c>
      <c r="G938" s="104" t="inlineStr">
        <is>
          <t>Volume Button Repair</t>
        </is>
      </c>
      <c r="H938" s="104" t="inlineStr">
        <is>
          <t>Buttons</t>
        </is>
      </c>
      <c r="I938" s="104" t="n"/>
      <c r="J938" s="104" t="n"/>
      <c r="K938" s="104" t="n"/>
      <c r="L938" s="104" t="n"/>
      <c r="M938" s="104" t="n"/>
      <c r="N938" s="104" t="n"/>
      <c r="O938" s="104" t="n"/>
      <c r="P938" s="104" t="n"/>
      <c r="Q938" s="104" t="n"/>
      <c r="R938" s="104" t="n"/>
      <c r="S938" s="110" t="n"/>
      <c r="T938" s="110" t="n"/>
      <c r="U938" s="104" t="n"/>
    </row>
    <row r="939">
      <c r="A939" s="105" t="inlineStr">
        <is>
          <t>GUIDE000938</t>
        </is>
      </c>
      <c r="B939" s="101" t="inlineStr">
        <is>
          <t>DEV000002</t>
        </is>
      </c>
      <c r="C939" s="103" t="inlineStr">
        <is>
          <t>APL</t>
        </is>
      </c>
      <c r="D939" s="103" t="inlineStr">
        <is>
          <t>PHN</t>
        </is>
      </c>
      <c r="E939" s="60" t="inlineStr">
        <is>
          <t>iPhone 3G</t>
        </is>
      </c>
      <c r="F939" s="104" t="inlineStr">
        <is>
          <t>SVC000022</t>
        </is>
      </c>
      <c r="G939" s="104" t="inlineStr">
        <is>
          <t>Volume Button Repair</t>
        </is>
      </c>
      <c r="H939" s="104" t="inlineStr">
        <is>
          <t>Buttons</t>
        </is>
      </c>
      <c r="I939" s="104" t="n"/>
      <c r="J939" s="104" t="n"/>
      <c r="K939" s="104" t="n"/>
      <c r="L939" s="104" t="n"/>
      <c r="M939" s="104" t="n"/>
      <c r="N939" s="104" t="n"/>
      <c r="O939" s="104" t="n"/>
      <c r="P939" s="104" t="n"/>
      <c r="Q939" s="104" t="n"/>
      <c r="R939" s="104" t="n"/>
      <c r="S939" s="110" t="n"/>
      <c r="T939" s="110" t="n"/>
      <c r="U939" s="104" t="n"/>
    </row>
    <row r="940">
      <c r="A940" s="104" t="inlineStr">
        <is>
          <t>GUIDE000939</t>
        </is>
      </c>
      <c r="B940" s="101" t="inlineStr">
        <is>
          <t>DEV000003</t>
        </is>
      </c>
      <c r="C940" s="103" t="inlineStr">
        <is>
          <t>APL</t>
        </is>
      </c>
      <c r="D940" s="103" t="inlineStr">
        <is>
          <t>PHN</t>
        </is>
      </c>
      <c r="E940" s="60" t="inlineStr">
        <is>
          <t>iPhone 3GS</t>
        </is>
      </c>
      <c r="F940" s="104" t="inlineStr">
        <is>
          <t>SVC000022</t>
        </is>
      </c>
      <c r="G940" s="104" t="inlineStr">
        <is>
          <t>Volume Button Repair</t>
        </is>
      </c>
      <c r="H940" s="104" t="inlineStr">
        <is>
          <t>Buttons</t>
        </is>
      </c>
      <c r="I940" s="104" t="n"/>
      <c r="J940" s="104" t="n"/>
      <c r="K940" s="104" t="n"/>
      <c r="L940" s="104" t="n"/>
      <c r="M940" s="104" t="n"/>
      <c r="N940" s="104" t="n"/>
      <c r="O940" s="104" t="n"/>
      <c r="P940" s="104" t="n"/>
      <c r="Q940" s="104" t="n"/>
      <c r="R940" s="104" t="n"/>
      <c r="S940" s="110" t="n"/>
      <c r="T940" s="110" t="n"/>
      <c r="U940" s="104" t="n"/>
    </row>
    <row r="941">
      <c r="A941" s="104" t="inlineStr">
        <is>
          <t>GUIDE000940</t>
        </is>
      </c>
      <c r="B941" s="101" t="inlineStr">
        <is>
          <t>DEV000004</t>
        </is>
      </c>
      <c r="C941" s="103" t="inlineStr">
        <is>
          <t>APL</t>
        </is>
      </c>
      <c r="D941" s="103" t="inlineStr">
        <is>
          <t>PHN</t>
        </is>
      </c>
      <c r="E941" s="60" t="inlineStr">
        <is>
          <t>iPhone 4</t>
        </is>
      </c>
      <c r="F941" s="104" t="inlineStr">
        <is>
          <t>SVC000022</t>
        </is>
      </c>
      <c r="G941" s="104" t="inlineStr">
        <is>
          <t>Volume Button Repair</t>
        </is>
      </c>
      <c r="H941" s="104" t="inlineStr">
        <is>
          <t>Buttons</t>
        </is>
      </c>
      <c r="I941" s="104" t="n"/>
      <c r="J941" s="104" t="n"/>
      <c r="K941" s="104" t="n"/>
      <c r="L941" s="104" t="n"/>
      <c r="M941" s="104" t="n"/>
      <c r="N941" s="104" t="n"/>
      <c r="O941" s="104" t="n"/>
      <c r="P941" s="104" t="n"/>
      <c r="Q941" s="104" t="n"/>
      <c r="R941" s="104" t="n"/>
      <c r="S941" s="110" t="n"/>
      <c r="T941" s="110" t="n"/>
      <c r="U941" s="104" t="n"/>
    </row>
    <row r="942">
      <c r="A942" s="104" t="inlineStr">
        <is>
          <t>GUIDE000941</t>
        </is>
      </c>
      <c r="B942" s="101" t="inlineStr">
        <is>
          <t>DEV000005</t>
        </is>
      </c>
      <c r="C942" s="103" t="inlineStr">
        <is>
          <t>APL</t>
        </is>
      </c>
      <c r="D942" s="103" t="inlineStr">
        <is>
          <t>PHN</t>
        </is>
      </c>
      <c r="E942" s="60" t="inlineStr">
        <is>
          <t>iPhone 4s</t>
        </is>
      </c>
      <c r="F942" s="104" t="inlineStr">
        <is>
          <t>SVC000022</t>
        </is>
      </c>
      <c r="G942" s="104" t="inlineStr">
        <is>
          <t>Volume Button Repair</t>
        </is>
      </c>
      <c r="H942" s="104" t="inlineStr">
        <is>
          <t>Buttons</t>
        </is>
      </c>
      <c r="I942" s="104" t="n"/>
      <c r="J942" s="104" t="n"/>
      <c r="K942" s="104" t="n"/>
      <c r="L942" s="104" t="n"/>
      <c r="M942" s="104" t="n"/>
      <c r="N942" s="104" t="n"/>
      <c r="O942" s="104" t="n"/>
      <c r="P942" s="104" t="n"/>
      <c r="Q942" s="104" t="n"/>
      <c r="R942" s="104" t="n"/>
      <c r="S942" s="110" t="n"/>
      <c r="T942" s="110" t="n"/>
      <c r="U942" s="104" t="n"/>
    </row>
    <row r="943">
      <c r="A943" s="105" t="inlineStr">
        <is>
          <t>GUIDE000942</t>
        </is>
      </c>
      <c r="B943" s="101" t="inlineStr">
        <is>
          <t>DEV000006</t>
        </is>
      </c>
      <c r="C943" s="103" t="inlineStr">
        <is>
          <t>APL</t>
        </is>
      </c>
      <c r="D943" s="103" t="inlineStr">
        <is>
          <t>PHN</t>
        </is>
      </c>
      <c r="E943" s="60" t="inlineStr">
        <is>
          <t>iPhone 5</t>
        </is>
      </c>
      <c r="F943" s="104" t="inlineStr">
        <is>
          <t>SVC000022</t>
        </is>
      </c>
      <c r="G943" s="104" t="inlineStr">
        <is>
          <t>Volume Button Repair</t>
        </is>
      </c>
      <c r="H943" s="104" t="inlineStr">
        <is>
          <t>Buttons</t>
        </is>
      </c>
      <c r="I943" s="104" t="n"/>
      <c r="J943" s="104" t="n"/>
      <c r="K943" s="104" t="n"/>
      <c r="L943" s="104" t="n"/>
      <c r="M943" s="104" t="n"/>
      <c r="N943" s="104" t="n"/>
      <c r="O943" s="104" t="n"/>
      <c r="P943" s="104" t="n"/>
      <c r="Q943" s="104" t="n"/>
      <c r="R943" s="104" t="n"/>
      <c r="S943" s="110" t="n"/>
      <c r="T943" s="110" t="n"/>
      <c r="U943" s="104" t="n"/>
    </row>
    <row r="944">
      <c r="A944" s="104" t="inlineStr">
        <is>
          <t>GUIDE000943</t>
        </is>
      </c>
      <c r="B944" s="101" t="inlineStr">
        <is>
          <t>DEV000007</t>
        </is>
      </c>
      <c r="C944" s="103" t="inlineStr">
        <is>
          <t>APL</t>
        </is>
      </c>
      <c r="D944" s="103" t="inlineStr">
        <is>
          <t>PHN</t>
        </is>
      </c>
      <c r="E944" s="60" t="inlineStr">
        <is>
          <t>iPhone 5c</t>
        </is>
      </c>
      <c r="F944" s="104" t="inlineStr">
        <is>
          <t>SVC000022</t>
        </is>
      </c>
      <c r="G944" s="104" t="inlineStr">
        <is>
          <t>Volume Button Repair</t>
        </is>
      </c>
      <c r="H944" s="104" t="inlineStr">
        <is>
          <t>Buttons</t>
        </is>
      </c>
      <c r="I944" s="104" t="n"/>
      <c r="J944" s="104" t="n"/>
      <c r="K944" s="104" t="n"/>
      <c r="L944" s="104" t="n"/>
      <c r="M944" s="104" t="n"/>
      <c r="N944" s="104" t="n"/>
      <c r="O944" s="104" t="n"/>
      <c r="P944" s="104" t="n"/>
      <c r="Q944" s="104" t="n"/>
      <c r="R944" s="104" t="n"/>
      <c r="S944" s="110" t="n"/>
      <c r="T944" s="110" t="n"/>
      <c r="U944" s="104" t="n"/>
    </row>
    <row r="945">
      <c r="A945" s="104" t="inlineStr">
        <is>
          <t>GUIDE000944</t>
        </is>
      </c>
      <c r="B945" s="101" t="inlineStr">
        <is>
          <t>DEV000008</t>
        </is>
      </c>
      <c r="C945" s="103" t="inlineStr">
        <is>
          <t>APL</t>
        </is>
      </c>
      <c r="D945" s="103" t="inlineStr">
        <is>
          <t>PHN</t>
        </is>
      </c>
      <c r="E945" s="60" t="inlineStr">
        <is>
          <t>iPhone 5s</t>
        </is>
      </c>
      <c r="F945" s="104" t="inlineStr">
        <is>
          <t>SVC000022</t>
        </is>
      </c>
      <c r="G945" s="104" t="inlineStr">
        <is>
          <t>Volume Button Repair</t>
        </is>
      </c>
      <c r="H945" s="104" t="inlineStr">
        <is>
          <t>Buttons</t>
        </is>
      </c>
      <c r="I945" s="104" t="n"/>
      <c r="J945" s="104" t="n"/>
      <c r="K945" s="104" t="n"/>
      <c r="L945" s="104" t="n"/>
      <c r="M945" s="104" t="n"/>
      <c r="N945" s="104" t="n"/>
      <c r="O945" s="104" t="n"/>
      <c r="P945" s="104" t="n"/>
      <c r="Q945" s="104" t="n"/>
      <c r="R945" s="104" t="n"/>
      <c r="S945" s="110" t="n"/>
      <c r="T945" s="110" t="n"/>
      <c r="U945" s="104" t="n"/>
    </row>
    <row r="946">
      <c r="A946" s="104" t="inlineStr">
        <is>
          <t>GUIDE000945</t>
        </is>
      </c>
      <c r="B946" s="101" t="inlineStr">
        <is>
          <t>DEV000009</t>
        </is>
      </c>
      <c r="C946" s="103" t="inlineStr">
        <is>
          <t>APL</t>
        </is>
      </c>
      <c r="D946" s="103" t="inlineStr">
        <is>
          <t>PHN</t>
        </is>
      </c>
      <c r="E946" s="60" t="inlineStr">
        <is>
          <t>iPhone 6</t>
        </is>
      </c>
      <c r="F946" s="104" t="inlineStr">
        <is>
          <t>SVC000022</t>
        </is>
      </c>
      <c r="G946" s="104" t="inlineStr">
        <is>
          <t>Volume Button Repair</t>
        </is>
      </c>
      <c r="H946" s="104" t="inlineStr">
        <is>
          <t>Buttons</t>
        </is>
      </c>
      <c r="I946" s="104" t="n"/>
      <c r="J946" s="104" t="n"/>
      <c r="K946" s="104" t="n"/>
      <c r="L946" s="104" t="n"/>
      <c r="M946" s="104" t="n"/>
      <c r="N946" s="104" t="n"/>
      <c r="O946" s="104" t="n"/>
      <c r="P946" s="104" t="n"/>
      <c r="Q946" s="104" t="n"/>
      <c r="R946" s="104" t="n"/>
      <c r="S946" s="110" t="n"/>
      <c r="T946" s="110" t="n"/>
      <c r="U946" s="104" t="n"/>
    </row>
    <row r="947">
      <c r="A947" s="104" t="inlineStr">
        <is>
          <t>GUIDE000946</t>
        </is>
      </c>
      <c r="B947" s="101" t="inlineStr">
        <is>
          <t>DEV000010</t>
        </is>
      </c>
      <c r="C947" s="103" t="inlineStr">
        <is>
          <t>APL</t>
        </is>
      </c>
      <c r="D947" s="103" t="inlineStr">
        <is>
          <t>PHN</t>
        </is>
      </c>
      <c r="E947" s="60" t="inlineStr">
        <is>
          <t>iPhone 6 Plus</t>
        </is>
      </c>
      <c r="F947" s="104" t="inlineStr">
        <is>
          <t>SVC000022</t>
        </is>
      </c>
      <c r="G947" s="104" t="inlineStr">
        <is>
          <t>Volume Button Repair</t>
        </is>
      </c>
      <c r="H947" s="104" t="inlineStr">
        <is>
          <t>Buttons</t>
        </is>
      </c>
      <c r="I947" s="104" t="n"/>
      <c r="J947" s="104" t="n"/>
      <c r="K947" s="104" t="n"/>
      <c r="L947" s="104" t="n"/>
      <c r="M947" s="104" t="n"/>
      <c r="N947" s="104" t="n"/>
      <c r="O947" s="104" t="n"/>
      <c r="P947" s="104" t="n"/>
      <c r="Q947" s="104" t="n"/>
      <c r="R947" s="104" t="n"/>
      <c r="S947" s="110" t="n"/>
      <c r="T947" s="110" t="n"/>
      <c r="U947" s="104" t="n"/>
    </row>
    <row r="948">
      <c r="A948" s="105" t="inlineStr">
        <is>
          <t>GUIDE000947</t>
        </is>
      </c>
      <c r="B948" s="101" t="inlineStr">
        <is>
          <t>DEV000011</t>
        </is>
      </c>
      <c r="C948" s="103" t="inlineStr">
        <is>
          <t>APL</t>
        </is>
      </c>
      <c r="D948" s="103" t="inlineStr">
        <is>
          <t>PHN</t>
        </is>
      </c>
      <c r="E948" s="60" t="inlineStr">
        <is>
          <t>iPhone 6s</t>
        </is>
      </c>
      <c r="F948" s="104" t="inlineStr">
        <is>
          <t>SVC000022</t>
        </is>
      </c>
      <c r="G948" s="104" t="inlineStr">
        <is>
          <t>Volume Button Repair</t>
        </is>
      </c>
      <c r="H948" s="104" t="inlineStr">
        <is>
          <t>Buttons</t>
        </is>
      </c>
      <c r="I948" s="104" t="n"/>
      <c r="J948" s="104" t="n"/>
      <c r="K948" s="104" t="n"/>
      <c r="L948" s="104" t="n"/>
      <c r="M948" s="104" t="n"/>
      <c r="N948" s="104" t="n"/>
      <c r="O948" s="104" t="n"/>
      <c r="P948" s="104" t="n"/>
      <c r="Q948" s="104" t="n"/>
      <c r="R948" s="104" t="n"/>
      <c r="S948" s="110" t="n"/>
      <c r="T948" s="110" t="n"/>
      <c r="U948" s="104" t="n"/>
    </row>
    <row r="949">
      <c r="A949" s="104" t="inlineStr">
        <is>
          <t>GUIDE000948</t>
        </is>
      </c>
      <c r="B949" s="101" t="inlineStr">
        <is>
          <t>DEV000012</t>
        </is>
      </c>
      <c r="C949" s="103" t="inlineStr">
        <is>
          <t>APL</t>
        </is>
      </c>
      <c r="D949" s="103" t="inlineStr">
        <is>
          <t>PHN</t>
        </is>
      </c>
      <c r="E949" s="60" t="inlineStr">
        <is>
          <t>iPhone 6s Plus</t>
        </is>
      </c>
      <c r="F949" s="104" t="inlineStr">
        <is>
          <t>SVC000022</t>
        </is>
      </c>
      <c r="G949" s="104" t="inlineStr">
        <is>
          <t>Volume Button Repair</t>
        </is>
      </c>
      <c r="H949" s="104" t="inlineStr">
        <is>
          <t>Buttons</t>
        </is>
      </c>
      <c r="I949" s="104" t="n"/>
      <c r="J949" s="104" t="n"/>
      <c r="K949" s="104" t="n"/>
      <c r="L949" s="104" t="n"/>
      <c r="M949" s="104" t="n"/>
      <c r="N949" s="104" t="n"/>
      <c r="O949" s="104" t="n"/>
      <c r="P949" s="104" t="n"/>
      <c r="Q949" s="104" t="n"/>
      <c r="R949" s="104" t="n"/>
      <c r="S949" s="110" t="n"/>
      <c r="T949" s="110" t="n"/>
      <c r="U949" s="104" t="n"/>
    </row>
    <row r="950">
      <c r="A950" s="104" t="inlineStr">
        <is>
          <t>GUIDE000949</t>
        </is>
      </c>
      <c r="B950" s="101" t="inlineStr">
        <is>
          <t>DEV000013</t>
        </is>
      </c>
      <c r="C950" s="103" t="inlineStr">
        <is>
          <t>APL</t>
        </is>
      </c>
      <c r="D950" s="103" t="inlineStr">
        <is>
          <t>PHN</t>
        </is>
      </c>
      <c r="E950" s="60" t="inlineStr">
        <is>
          <t>iPhone SE (1st Gen)</t>
        </is>
      </c>
      <c r="F950" s="104" t="inlineStr">
        <is>
          <t>SVC000022</t>
        </is>
      </c>
      <c r="G950" s="104" t="inlineStr">
        <is>
          <t>Volume Button Repair</t>
        </is>
      </c>
      <c r="H950" s="104" t="inlineStr">
        <is>
          <t>Buttons</t>
        </is>
      </c>
      <c r="I950" s="104" t="n"/>
      <c r="J950" s="104" t="n"/>
      <c r="K950" s="104" t="n"/>
      <c r="L950" s="104" t="n"/>
      <c r="M950" s="104" t="n"/>
      <c r="N950" s="104" t="n"/>
      <c r="O950" s="104" t="n"/>
      <c r="P950" s="104" t="n"/>
      <c r="Q950" s="104" t="n"/>
      <c r="R950" s="104" t="n"/>
      <c r="S950" s="110" t="n"/>
      <c r="T950" s="110" t="n"/>
      <c r="U950" s="104" t="n"/>
    </row>
    <row r="951">
      <c r="A951" s="104" t="inlineStr">
        <is>
          <t>GUIDE000950</t>
        </is>
      </c>
      <c r="B951" s="101" t="inlineStr">
        <is>
          <t>DEV000014</t>
        </is>
      </c>
      <c r="C951" s="103" t="inlineStr">
        <is>
          <t>APL</t>
        </is>
      </c>
      <c r="D951" s="103" t="inlineStr">
        <is>
          <t>PHN</t>
        </is>
      </c>
      <c r="E951" s="60" t="inlineStr">
        <is>
          <t>iPhone 7</t>
        </is>
      </c>
      <c r="F951" s="104" t="inlineStr">
        <is>
          <t>SVC000022</t>
        </is>
      </c>
      <c r="G951" s="104" t="inlineStr">
        <is>
          <t>Volume Button Repair</t>
        </is>
      </c>
      <c r="H951" s="104" t="inlineStr">
        <is>
          <t>Buttons</t>
        </is>
      </c>
      <c r="I951" s="104" t="n"/>
      <c r="J951" s="104" t="n"/>
      <c r="K951" s="104" t="n"/>
      <c r="L951" s="104" t="n"/>
      <c r="M951" s="104" t="n"/>
      <c r="N951" s="104" t="n"/>
      <c r="O951" s="104" t="n"/>
      <c r="P951" s="104" t="n"/>
      <c r="Q951" s="104" t="n"/>
      <c r="R951" s="104" t="n"/>
      <c r="S951" s="110" t="n"/>
      <c r="T951" s="110" t="n"/>
      <c r="U951" s="104" t="n"/>
    </row>
    <row r="952">
      <c r="A952" s="105" t="inlineStr">
        <is>
          <t>GUIDE000951</t>
        </is>
      </c>
      <c r="B952" s="101" t="inlineStr">
        <is>
          <t>DEV000015</t>
        </is>
      </c>
      <c r="C952" s="103" t="inlineStr">
        <is>
          <t>APL</t>
        </is>
      </c>
      <c r="D952" s="103" t="inlineStr">
        <is>
          <t>PHN</t>
        </is>
      </c>
      <c r="E952" s="60" t="inlineStr">
        <is>
          <t>iPhone 7 Plus</t>
        </is>
      </c>
      <c r="F952" s="104" t="inlineStr">
        <is>
          <t>SVC000022</t>
        </is>
      </c>
      <c r="G952" s="104" t="inlineStr">
        <is>
          <t>Volume Button Repair</t>
        </is>
      </c>
      <c r="H952" s="104" t="inlineStr">
        <is>
          <t>Buttons</t>
        </is>
      </c>
      <c r="I952" s="104" t="n"/>
      <c r="J952" s="104" t="n"/>
      <c r="K952" s="104" t="n"/>
      <c r="L952" s="104" t="n"/>
      <c r="M952" s="104" t="n"/>
      <c r="N952" s="104" t="n"/>
      <c r="O952" s="104" t="n"/>
      <c r="P952" s="104" t="n"/>
      <c r="Q952" s="104" t="n"/>
      <c r="R952" s="104" t="n"/>
      <c r="S952" s="110" t="n"/>
      <c r="T952" s="110" t="n"/>
      <c r="U952" s="104" t="n"/>
    </row>
    <row r="953">
      <c r="A953" s="104" t="inlineStr">
        <is>
          <t>GUIDE000952</t>
        </is>
      </c>
      <c r="B953" s="101" t="inlineStr">
        <is>
          <t>DEV000016</t>
        </is>
      </c>
      <c r="C953" s="103" t="inlineStr">
        <is>
          <t>APL</t>
        </is>
      </c>
      <c r="D953" s="103" t="inlineStr">
        <is>
          <t>PHN</t>
        </is>
      </c>
      <c r="E953" s="60" t="inlineStr">
        <is>
          <t>iPhone 8</t>
        </is>
      </c>
      <c r="F953" s="104" t="inlineStr">
        <is>
          <t>SVC000022</t>
        </is>
      </c>
      <c r="G953" s="104" t="inlineStr">
        <is>
          <t>Volume Button Repair</t>
        </is>
      </c>
      <c r="H953" s="104" t="inlineStr">
        <is>
          <t>Buttons</t>
        </is>
      </c>
      <c r="I953" s="104" t="n"/>
      <c r="J953" s="104" t="n"/>
      <c r="K953" s="104" t="n"/>
      <c r="L953" s="104" t="n"/>
      <c r="M953" s="104" t="n"/>
      <c r="N953" s="104" t="n"/>
      <c r="O953" s="104" t="n"/>
      <c r="P953" s="104" t="n"/>
      <c r="Q953" s="104" t="n"/>
      <c r="R953" s="104" t="n"/>
      <c r="S953" s="110" t="n"/>
      <c r="T953" s="110" t="n"/>
      <c r="U953" s="104" t="n"/>
    </row>
    <row r="954">
      <c r="A954" s="104" t="inlineStr">
        <is>
          <t>GUIDE000953</t>
        </is>
      </c>
      <c r="B954" s="101" t="inlineStr">
        <is>
          <t>DEV000017</t>
        </is>
      </c>
      <c r="C954" s="103" t="inlineStr">
        <is>
          <t>APL</t>
        </is>
      </c>
      <c r="D954" s="103" t="inlineStr">
        <is>
          <t>PHN</t>
        </is>
      </c>
      <c r="E954" s="60" t="inlineStr">
        <is>
          <t>iPhone 8 Plus</t>
        </is>
      </c>
      <c r="F954" s="104" t="inlineStr">
        <is>
          <t>SVC000022</t>
        </is>
      </c>
      <c r="G954" s="104" t="inlineStr">
        <is>
          <t>Volume Button Repair</t>
        </is>
      </c>
      <c r="H954" s="104" t="inlineStr">
        <is>
          <t>Buttons</t>
        </is>
      </c>
      <c r="I954" s="104" t="n"/>
      <c r="J954" s="104" t="n"/>
      <c r="K954" s="104" t="n"/>
      <c r="L954" s="104" t="n"/>
      <c r="M954" s="104" t="n"/>
      <c r="N954" s="104" t="n"/>
      <c r="O954" s="104" t="n"/>
      <c r="P954" s="104" t="n"/>
      <c r="Q954" s="104" t="n"/>
      <c r="R954" s="104" t="n"/>
      <c r="S954" s="110" t="n"/>
      <c r="T954" s="110" t="n"/>
      <c r="U954" s="104" t="n"/>
    </row>
    <row r="955">
      <c r="A955" s="104" t="inlineStr">
        <is>
          <t>GUIDE000954</t>
        </is>
      </c>
      <c r="B955" s="101" t="inlineStr">
        <is>
          <t>DEV000018</t>
        </is>
      </c>
      <c r="C955" s="103" t="inlineStr">
        <is>
          <t>APL</t>
        </is>
      </c>
      <c r="D955" s="103" t="inlineStr">
        <is>
          <t>PHN</t>
        </is>
      </c>
      <c r="E955" s="60" t="inlineStr">
        <is>
          <t>iPhone X</t>
        </is>
      </c>
      <c r="F955" s="104" t="inlineStr">
        <is>
          <t>SVC000022</t>
        </is>
      </c>
      <c r="G955" s="104" t="inlineStr">
        <is>
          <t>Volume Button Repair</t>
        </is>
      </c>
      <c r="H955" s="104" t="inlineStr">
        <is>
          <t>Buttons</t>
        </is>
      </c>
      <c r="I955" s="104" t="n"/>
      <c r="J955" s="104" t="n"/>
      <c r="K955" s="104" t="n"/>
      <c r="L955" s="104" t="n"/>
      <c r="M955" s="104" t="n"/>
      <c r="N955" s="104" t="n"/>
      <c r="O955" s="104" t="n"/>
      <c r="P955" s="104" t="n"/>
      <c r="Q955" s="104" t="n"/>
      <c r="R955" s="104" t="n"/>
      <c r="S955" s="110" t="n"/>
      <c r="T955" s="110" t="n"/>
      <c r="U955" s="104" t="n"/>
    </row>
    <row r="956">
      <c r="A956" s="104" t="inlineStr">
        <is>
          <t>GUIDE000955</t>
        </is>
      </c>
      <c r="B956" s="101" t="inlineStr">
        <is>
          <t>DEV000019</t>
        </is>
      </c>
      <c r="C956" s="103" t="inlineStr">
        <is>
          <t>APL</t>
        </is>
      </c>
      <c r="D956" s="103" t="inlineStr">
        <is>
          <t>PHN</t>
        </is>
      </c>
      <c r="E956" s="60" t="inlineStr">
        <is>
          <t>iPhone XR</t>
        </is>
      </c>
      <c r="F956" s="104" t="inlineStr">
        <is>
          <t>SVC000022</t>
        </is>
      </c>
      <c r="G956" s="104" t="inlineStr">
        <is>
          <t>Volume Button Repair</t>
        </is>
      </c>
      <c r="H956" s="104" t="inlineStr">
        <is>
          <t>Buttons</t>
        </is>
      </c>
      <c r="I956" s="104" t="n"/>
      <c r="J956" s="104" t="n"/>
      <c r="K956" s="104" t="n"/>
      <c r="L956" s="104" t="n"/>
      <c r="M956" s="104" t="n"/>
      <c r="N956" s="104" t="n"/>
      <c r="O956" s="104" t="n"/>
      <c r="P956" s="104" t="n"/>
      <c r="Q956" s="104" t="n"/>
      <c r="R956" s="104" t="n"/>
      <c r="S956" s="110" t="n"/>
      <c r="T956" s="110" t="n"/>
      <c r="U956" s="104" t="n"/>
    </row>
    <row r="957">
      <c r="A957" s="105" t="inlineStr">
        <is>
          <t>GUIDE000956</t>
        </is>
      </c>
      <c r="B957" s="101" t="inlineStr">
        <is>
          <t>DEV000020</t>
        </is>
      </c>
      <c r="C957" s="103" t="inlineStr">
        <is>
          <t>APL</t>
        </is>
      </c>
      <c r="D957" s="103" t="inlineStr">
        <is>
          <t>PHN</t>
        </is>
      </c>
      <c r="E957" s="60" t="inlineStr">
        <is>
          <t>iPhone XS</t>
        </is>
      </c>
      <c r="F957" s="104" t="inlineStr">
        <is>
          <t>SVC000022</t>
        </is>
      </c>
      <c r="G957" s="104" t="inlineStr">
        <is>
          <t>Volume Button Repair</t>
        </is>
      </c>
      <c r="H957" s="104" t="inlineStr">
        <is>
          <t>Buttons</t>
        </is>
      </c>
      <c r="I957" s="104" t="n"/>
      <c r="J957" s="104" t="n"/>
      <c r="K957" s="104" t="n"/>
      <c r="L957" s="104" t="n"/>
      <c r="M957" s="104" t="n"/>
      <c r="N957" s="104" t="n"/>
      <c r="O957" s="104" t="n"/>
      <c r="P957" s="104" t="n"/>
      <c r="Q957" s="104" t="n"/>
      <c r="R957" s="104" t="n"/>
      <c r="S957" s="110" t="n"/>
      <c r="T957" s="110" t="n"/>
      <c r="U957" s="104" t="n"/>
    </row>
    <row r="958">
      <c r="A958" s="104" t="inlineStr">
        <is>
          <t>GUIDE000957</t>
        </is>
      </c>
      <c r="B958" s="101" t="inlineStr">
        <is>
          <t>DEV000021</t>
        </is>
      </c>
      <c r="C958" s="103" t="inlineStr">
        <is>
          <t>APL</t>
        </is>
      </c>
      <c r="D958" s="103" t="inlineStr">
        <is>
          <t>PHN</t>
        </is>
      </c>
      <c r="E958" s="60" t="inlineStr">
        <is>
          <t>iPhone XS Max</t>
        </is>
      </c>
      <c r="F958" s="104" t="inlineStr">
        <is>
          <t>SVC000022</t>
        </is>
      </c>
      <c r="G958" s="104" t="inlineStr">
        <is>
          <t>Volume Button Repair</t>
        </is>
      </c>
      <c r="H958" s="104" t="inlineStr">
        <is>
          <t>Buttons</t>
        </is>
      </c>
      <c r="I958" s="104" t="n"/>
      <c r="J958" s="104" t="n"/>
      <c r="K958" s="104" t="n"/>
      <c r="L958" s="104" t="n"/>
      <c r="M958" s="104" t="n"/>
      <c r="N958" s="104" t="n"/>
      <c r="O958" s="104" t="n"/>
      <c r="P958" s="104" t="n"/>
      <c r="Q958" s="104" t="n"/>
      <c r="R958" s="104" t="n"/>
      <c r="S958" s="110" t="n"/>
      <c r="T958" s="110" t="n"/>
      <c r="U958" s="104" t="n"/>
    </row>
    <row r="959">
      <c r="A959" s="104" t="inlineStr">
        <is>
          <t>GUIDE000958</t>
        </is>
      </c>
      <c r="B959" s="101" t="inlineStr">
        <is>
          <t>DEV000022</t>
        </is>
      </c>
      <c r="C959" s="103" t="inlineStr">
        <is>
          <t>APL</t>
        </is>
      </c>
      <c r="D959" s="103" t="inlineStr">
        <is>
          <t>PHN</t>
        </is>
      </c>
      <c r="E959" s="60" t="inlineStr">
        <is>
          <t>iPhone 11</t>
        </is>
      </c>
      <c r="F959" s="104" t="inlineStr">
        <is>
          <t>SVC000022</t>
        </is>
      </c>
      <c r="G959" s="104" t="inlineStr">
        <is>
          <t>Volume Button Repair</t>
        </is>
      </c>
      <c r="H959" s="104" t="inlineStr">
        <is>
          <t>Buttons</t>
        </is>
      </c>
      <c r="I959" s="104" t="n"/>
      <c r="J959" s="104" t="n"/>
      <c r="K959" s="104" t="n"/>
      <c r="L959" s="104" t="n"/>
      <c r="M959" s="104" t="n"/>
      <c r="N959" s="104" t="n"/>
      <c r="O959" s="104" t="n"/>
      <c r="P959" s="104" t="n"/>
      <c r="Q959" s="104" t="n"/>
      <c r="R959" s="104" t="n"/>
      <c r="S959" s="110" t="n"/>
      <c r="T959" s="110" t="n"/>
      <c r="U959" s="104" t="n"/>
    </row>
    <row r="960">
      <c r="A960" s="104" t="inlineStr">
        <is>
          <t>GUIDE000959</t>
        </is>
      </c>
      <c r="B960" s="101" t="inlineStr">
        <is>
          <t>DEV000023</t>
        </is>
      </c>
      <c r="C960" s="103" t="inlineStr">
        <is>
          <t>APL</t>
        </is>
      </c>
      <c r="D960" s="103" t="inlineStr">
        <is>
          <t>PHN</t>
        </is>
      </c>
      <c r="E960" s="60" t="inlineStr">
        <is>
          <t>iPhone 11 Pro</t>
        </is>
      </c>
      <c r="F960" s="104" t="inlineStr">
        <is>
          <t>SVC000022</t>
        </is>
      </c>
      <c r="G960" s="104" t="inlineStr">
        <is>
          <t>Volume Button Repair</t>
        </is>
      </c>
      <c r="H960" s="104" t="inlineStr">
        <is>
          <t>Buttons</t>
        </is>
      </c>
      <c r="I960" s="104" t="n"/>
      <c r="J960" s="104" t="n"/>
      <c r="K960" s="104" t="n"/>
      <c r="L960" s="104" t="n"/>
      <c r="M960" s="104" t="n"/>
      <c r="N960" s="104" t="n"/>
      <c r="O960" s="104" t="n"/>
      <c r="P960" s="104" t="n"/>
      <c r="Q960" s="104" t="n"/>
      <c r="R960" s="104" t="n"/>
      <c r="S960" s="110" t="n"/>
      <c r="T960" s="110" t="n"/>
      <c r="U960" s="104" t="n"/>
    </row>
    <row r="961">
      <c r="A961" s="105" t="inlineStr">
        <is>
          <t>GUIDE000960</t>
        </is>
      </c>
      <c r="B961" s="101" t="inlineStr">
        <is>
          <t>DEV000024</t>
        </is>
      </c>
      <c r="C961" s="103" t="inlineStr">
        <is>
          <t>APL</t>
        </is>
      </c>
      <c r="D961" s="103" t="inlineStr">
        <is>
          <t>PHN</t>
        </is>
      </c>
      <c r="E961" s="60" t="inlineStr">
        <is>
          <t>iPhone 11 Pro Max</t>
        </is>
      </c>
      <c r="F961" s="104" t="inlineStr">
        <is>
          <t>SVC000022</t>
        </is>
      </c>
      <c r="G961" s="104" t="inlineStr">
        <is>
          <t>Volume Button Repair</t>
        </is>
      </c>
      <c r="H961" s="104" t="inlineStr">
        <is>
          <t>Buttons</t>
        </is>
      </c>
      <c r="I961" s="104" t="n"/>
      <c r="J961" s="104" t="n"/>
      <c r="K961" s="104" t="n"/>
      <c r="L961" s="104" t="n"/>
      <c r="M961" s="104" t="n"/>
      <c r="N961" s="104" t="n"/>
      <c r="O961" s="104" t="n"/>
      <c r="P961" s="104" t="n"/>
      <c r="Q961" s="104" t="n"/>
      <c r="R961" s="104" t="n"/>
      <c r="S961" s="110" t="n"/>
      <c r="T961" s="110" t="n"/>
      <c r="U961" s="104" t="n"/>
    </row>
    <row r="962">
      <c r="A962" s="104" t="inlineStr">
        <is>
          <t>GUIDE000961</t>
        </is>
      </c>
      <c r="B962" s="101" t="inlineStr">
        <is>
          <t>DEV000025</t>
        </is>
      </c>
      <c r="C962" s="103" t="inlineStr">
        <is>
          <t>APL</t>
        </is>
      </c>
      <c r="D962" s="103" t="inlineStr">
        <is>
          <t>PHN</t>
        </is>
      </c>
      <c r="E962" s="60" t="inlineStr">
        <is>
          <t>iPhone SE (2nd Generation)</t>
        </is>
      </c>
      <c r="F962" s="104" t="inlineStr">
        <is>
          <t>SVC000022</t>
        </is>
      </c>
      <c r="G962" s="104" t="inlineStr">
        <is>
          <t>Volume Button Repair</t>
        </is>
      </c>
      <c r="H962" s="104" t="inlineStr">
        <is>
          <t>Buttons</t>
        </is>
      </c>
      <c r="I962" s="104" t="n"/>
      <c r="J962" s="104" t="n"/>
      <c r="K962" s="104" t="n"/>
      <c r="L962" s="104" t="n"/>
      <c r="M962" s="104" t="n"/>
      <c r="N962" s="104" t="n"/>
      <c r="O962" s="104" t="n"/>
      <c r="P962" s="104" t="n"/>
      <c r="Q962" s="104" t="n"/>
      <c r="R962" s="104" t="n"/>
      <c r="S962" s="110" t="n"/>
      <c r="T962" s="110" t="n"/>
      <c r="U962" s="104" t="n"/>
    </row>
    <row r="963">
      <c r="A963" s="104" t="inlineStr">
        <is>
          <t>GUIDE000962</t>
        </is>
      </c>
      <c r="B963" s="101" t="inlineStr">
        <is>
          <t>DEV000026</t>
        </is>
      </c>
      <c r="C963" s="103" t="inlineStr">
        <is>
          <t>APL</t>
        </is>
      </c>
      <c r="D963" s="103" t="inlineStr">
        <is>
          <t>PHN</t>
        </is>
      </c>
      <c r="E963" s="60" t="inlineStr">
        <is>
          <t>iPhone 12 mini</t>
        </is>
      </c>
      <c r="F963" s="104" t="inlineStr">
        <is>
          <t>SVC000022</t>
        </is>
      </c>
      <c r="G963" s="104" t="inlineStr">
        <is>
          <t>Volume Button Repair</t>
        </is>
      </c>
      <c r="H963" s="104" t="inlineStr">
        <is>
          <t>Buttons</t>
        </is>
      </c>
      <c r="I963" s="104" t="n"/>
      <c r="J963" s="104" t="n"/>
      <c r="K963" s="104" t="n"/>
      <c r="L963" s="104" t="n"/>
      <c r="M963" s="104" t="n"/>
      <c r="N963" s="104" t="n"/>
      <c r="O963" s="104" t="n"/>
      <c r="P963" s="104" t="n"/>
      <c r="Q963" s="104" t="n"/>
      <c r="R963" s="104" t="n"/>
      <c r="S963" s="110" t="n"/>
      <c r="T963" s="110" t="n"/>
      <c r="U963" s="104" t="n"/>
    </row>
    <row r="964">
      <c r="A964" s="104" t="inlineStr">
        <is>
          <t>GUIDE000963</t>
        </is>
      </c>
      <c r="B964" s="101" t="inlineStr">
        <is>
          <t>DEV000027</t>
        </is>
      </c>
      <c r="C964" s="103" t="inlineStr">
        <is>
          <t>APL</t>
        </is>
      </c>
      <c r="D964" s="103" t="inlineStr">
        <is>
          <t>PHN</t>
        </is>
      </c>
      <c r="E964" s="60" t="inlineStr">
        <is>
          <t>iPhone 12</t>
        </is>
      </c>
      <c r="F964" s="104" t="inlineStr">
        <is>
          <t>SVC000022</t>
        </is>
      </c>
      <c r="G964" s="104" t="inlineStr">
        <is>
          <t>Volume Button Repair</t>
        </is>
      </c>
      <c r="H964" s="104" t="inlineStr">
        <is>
          <t>Buttons</t>
        </is>
      </c>
      <c r="I964" s="104" t="n"/>
      <c r="J964" s="104" t="n"/>
      <c r="K964" s="104" t="n"/>
      <c r="L964" s="104" t="n"/>
      <c r="M964" s="104" t="n"/>
      <c r="N964" s="104" t="n"/>
      <c r="O964" s="104" t="n"/>
      <c r="P964" s="104" t="n"/>
      <c r="Q964" s="104" t="n"/>
      <c r="R964" s="104" t="n"/>
      <c r="S964" s="110" t="n"/>
      <c r="T964" s="110" t="n"/>
      <c r="U964" s="104" t="n"/>
    </row>
    <row r="965">
      <c r="A965" s="104" t="inlineStr">
        <is>
          <t>GUIDE000964</t>
        </is>
      </c>
      <c r="B965" s="101" t="inlineStr">
        <is>
          <t>DEV000028</t>
        </is>
      </c>
      <c r="C965" s="103" t="inlineStr">
        <is>
          <t>APL</t>
        </is>
      </c>
      <c r="D965" s="103" t="inlineStr">
        <is>
          <t>PHN</t>
        </is>
      </c>
      <c r="E965" s="60" t="inlineStr">
        <is>
          <t>iPhone 12 Pro</t>
        </is>
      </c>
      <c r="F965" s="104" t="inlineStr">
        <is>
          <t>SVC000022</t>
        </is>
      </c>
      <c r="G965" s="104" t="inlineStr">
        <is>
          <t>Volume Button Repair</t>
        </is>
      </c>
      <c r="H965" s="104" t="inlineStr">
        <is>
          <t>Buttons</t>
        </is>
      </c>
      <c r="I965" s="104" t="n"/>
      <c r="J965" s="104" t="n"/>
      <c r="K965" s="104" t="n"/>
      <c r="L965" s="104" t="n"/>
      <c r="M965" s="104" t="n"/>
      <c r="N965" s="104" t="n"/>
      <c r="O965" s="104" t="n"/>
      <c r="P965" s="104" t="n"/>
      <c r="Q965" s="104" t="n"/>
      <c r="R965" s="104" t="n"/>
      <c r="S965" s="110" t="n"/>
      <c r="T965" s="110" t="n"/>
      <c r="U965" s="104" t="n"/>
    </row>
    <row r="966">
      <c r="A966" s="105" t="inlineStr">
        <is>
          <t>GUIDE000965</t>
        </is>
      </c>
      <c r="B966" s="101" t="inlineStr">
        <is>
          <t>DEV000029</t>
        </is>
      </c>
      <c r="C966" s="103" t="inlineStr">
        <is>
          <t>APL</t>
        </is>
      </c>
      <c r="D966" s="103" t="inlineStr">
        <is>
          <t>PHN</t>
        </is>
      </c>
      <c r="E966" s="60" t="inlineStr">
        <is>
          <t>iPhone 12 Pro Max</t>
        </is>
      </c>
      <c r="F966" s="104" t="inlineStr">
        <is>
          <t>SVC000022</t>
        </is>
      </c>
      <c r="G966" s="104" t="inlineStr">
        <is>
          <t>Volume Button Repair</t>
        </is>
      </c>
      <c r="H966" s="104" t="inlineStr">
        <is>
          <t>Buttons</t>
        </is>
      </c>
      <c r="I966" s="104" t="n"/>
      <c r="J966" s="104" t="n"/>
      <c r="K966" s="104" t="n"/>
      <c r="L966" s="104" t="n"/>
      <c r="M966" s="104" t="n"/>
      <c r="N966" s="104" t="n"/>
      <c r="O966" s="104" t="n"/>
      <c r="P966" s="104" t="n"/>
      <c r="Q966" s="104" t="n"/>
      <c r="R966" s="104" t="n"/>
      <c r="S966" s="110" t="n"/>
      <c r="T966" s="110" t="n"/>
      <c r="U966" s="104" t="n"/>
    </row>
    <row r="967">
      <c r="A967" s="104" t="inlineStr">
        <is>
          <t>GUIDE000966</t>
        </is>
      </c>
      <c r="B967" s="101" t="inlineStr">
        <is>
          <t>DEV000030</t>
        </is>
      </c>
      <c r="C967" s="103" t="inlineStr">
        <is>
          <t>APL</t>
        </is>
      </c>
      <c r="D967" s="103" t="inlineStr">
        <is>
          <t>PHN</t>
        </is>
      </c>
      <c r="E967" s="60" t="inlineStr">
        <is>
          <t>iPhone 13 mini</t>
        </is>
      </c>
      <c r="F967" s="104" t="inlineStr">
        <is>
          <t>SVC000022</t>
        </is>
      </c>
      <c r="G967" s="104" t="inlineStr">
        <is>
          <t>Volume Button Repair</t>
        </is>
      </c>
      <c r="H967" s="104" t="inlineStr">
        <is>
          <t>Buttons</t>
        </is>
      </c>
      <c r="I967" s="104" t="n"/>
      <c r="J967" s="104" t="n"/>
      <c r="K967" s="104" t="n"/>
      <c r="L967" s="104" t="n"/>
      <c r="M967" s="104" t="n"/>
      <c r="N967" s="104" t="n"/>
      <c r="O967" s="104" t="n"/>
      <c r="P967" s="104" t="n"/>
      <c r="Q967" s="104" t="n"/>
      <c r="R967" s="104" t="n"/>
      <c r="S967" s="110" t="n"/>
      <c r="T967" s="110" t="n"/>
      <c r="U967" s="104" t="n"/>
    </row>
    <row r="968">
      <c r="A968" s="104" t="inlineStr">
        <is>
          <t>GUIDE000967</t>
        </is>
      </c>
      <c r="B968" s="101" t="inlineStr">
        <is>
          <t>DEV000031</t>
        </is>
      </c>
      <c r="C968" s="103" t="inlineStr">
        <is>
          <t>APL</t>
        </is>
      </c>
      <c r="D968" s="103" t="inlineStr">
        <is>
          <t>PHN</t>
        </is>
      </c>
      <c r="E968" s="60" t="inlineStr">
        <is>
          <t>iPhone 13</t>
        </is>
      </c>
      <c r="F968" s="104" t="inlineStr">
        <is>
          <t>SVC000022</t>
        </is>
      </c>
      <c r="G968" s="104" t="inlineStr">
        <is>
          <t>Volume Button Repair</t>
        </is>
      </c>
      <c r="H968" s="104" t="inlineStr">
        <is>
          <t>Buttons</t>
        </is>
      </c>
      <c r="I968" s="104" t="n"/>
      <c r="J968" s="104" t="n"/>
      <c r="K968" s="104" t="n"/>
      <c r="L968" s="104" t="n"/>
      <c r="M968" s="104" t="n"/>
      <c r="N968" s="104" t="n"/>
      <c r="O968" s="104" t="n"/>
      <c r="P968" s="104" t="n"/>
      <c r="Q968" s="104" t="n"/>
      <c r="R968" s="104" t="n"/>
      <c r="S968" s="110" t="n"/>
      <c r="T968" s="110" t="n"/>
      <c r="U968" s="104" t="n"/>
    </row>
    <row r="969">
      <c r="A969" s="104" t="inlineStr">
        <is>
          <t>GUIDE000968</t>
        </is>
      </c>
      <c r="B969" s="101" t="inlineStr">
        <is>
          <t>DEV000032</t>
        </is>
      </c>
      <c r="C969" s="103" t="inlineStr">
        <is>
          <t>APL</t>
        </is>
      </c>
      <c r="D969" s="103" t="inlineStr">
        <is>
          <t>PHN</t>
        </is>
      </c>
      <c r="E969" s="60" t="inlineStr">
        <is>
          <t>iPhone 13 Pro</t>
        </is>
      </c>
      <c r="F969" s="104" t="inlineStr">
        <is>
          <t>SVC000022</t>
        </is>
      </c>
      <c r="G969" s="104" t="inlineStr">
        <is>
          <t>Volume Button Repair</t>
        </is>
      </c>
      <c r="H969" s="104" t="inlineStr">
        <is>
          <t>Buttons</t>
        </is>
      </c>
      <c r="I969" s="104" t="n"/>
      <c r="J969" s="104" t="n"/>
      <c r="K969" s="104" t="n"/>
      <c r="L969" s="104" t="n"/>
      <c r="M969" s="104" t="n"/>
      <c r="N969" s="104" t="n"/>
      <c r="O969" s="104" t="n"/>
      <c r="P969" s="104" t="n"/>
      <c r="Q969" s="104" t="n"/>
      <c r="R969" s="104" t="n"/>
      <c r="S969" s="110" t="n"/>
      <c r="T969" s="110" t="n"/>
      <c r="U969" s="104" t="n"/>
    </row>
    <row r="970">
      <c r="A970" s="105" t="inlineStr">
        <is>
          <t>GUIDE000969</t>
        </is>
      </c>
      <c r="B970" s="101" t="inlineStr">
        <is>
          <t>DEV000033</t>
        </is>
      </c>
      <c r="C970" s="103" t="inlineStr">
        <is>
          <t>APL</t>
        </is>
      </c>
      <c r="D970" s="103" t="inlineStr">
        <is>
          <t>PHN</t>
        </is>
      </c>
      <c r="E970" s="60" t="inlineStr">
        <is>
          <t>iPhone 13 Pro Max</t>
        </is>
      </c>
      <c r="F970" s="104" t="inlineStr">
        <is>
          <t>SVC000022</t>
        </is>
      </c>
      <c r="G970" s="104" t="inlineStr">
        <is>
          <t>Volume Button Repair</t>
        </is>
      </c>
      <c r="H970" s="104" t="inlineStr">
        <is>
          <t>Buttons</t>
        </is>
      </c>
      <c r="I970" s="104" t="n"/>
      <c r="J970" s="104" t="n"/>
      <c r="K970" s="104" t="n"/>
      <c r="L970" s="104" t="n"/>
      <c r="M970" s="104" t="n"/>
      <c r="N970" s="104" t="n"/>
      <c r="O970" s="104" t="n"/>
      <c r="P970" s="104" t="n"/>
      <c r="Q970" s="104" t="n"/>
      <c r="R970" s="104" t="n"/>
      <c r="S970" s="110" t="n"/>
      <c r="T970" s="110" t="n"/>
      <c r="U970" s="104" t="n"/>
    </row>
    <row r="971">
      <c r="A971" s="104" t="inlineStr">
        <is>
          <t>GUIDE000970</t>
        </is>
      </c>
      <c r="B971" s="101" t="inlineStr">
        <is>
          <t>DEV000034</t>
        </is>
      </c>
      <c r="C971" s="103" t="inlineStr">
        <is>
          <t>APL</t>
        </is>
      </c>
      <c r="D971" s="103" t="inlineStr">
        <is>
          <t>PHN</t>
        </is>
      </c>
      <c r="E971" s="60" t="inlineStr">
        <is>
          <t>iPhone SE (3rd Generation)</t>
        </is>
      </c>
      <c r="F971" s="104" t="inlineStr">
        <is>
          <t>SVC000022</t>
        </is>
      </c>
      <c r="G971" s="104" t="inlineStr">
        <is>
          <t>Volume Button Repair</t>
        </is>
      </c>
      <c r="H971" s="104" t="inlineStr">
        <is>
          <t>Buttons</t>
        </is>
      </c>
      <c r="I971" s="104" t="n"/>
      <c r="J971" s="104" t="n"/>
      <c r="K971" s="104" t="n"/>
      <c r="L971" s="104" t="n"/>
      <c r="M971" s="104" t="n"/>
      <c r="N971" s="104" t="n"/>
      <c r="O971" s="104" t="n"/>
      <c r="P971" s="104" t="n"/>
      <c r="Q971" s="104" t="n"/>
      <c r="R971" s="104" t="n"/>
      <c r="S971" s="110" t="n"/>
      <c r="T971" s="110" t="n"/>
      <c r="U971" s="104" t="n"/>
    </row>
    <row r="972">
      <c r="A972" s="104" t="inlineStr">
        <is>
          <t>GUIDE000971</t>
        </is>
      </c>
      <c r="B972" s="101" t="inlineStr">
        <is>
          <t>DEV000035</t>
        </is>
      </c>
      <c r="C972" s="103" t="inlineStr">
        <is>
          <t>APL</t>
        </is>
      </c>
      <c r="D972" s="103" t="inlineStr">
        <is>
          <t>PHN</t>
        </is>
      </c>
      <c r="E972" s="60" t="inlineStr">
        <is>
          <t>iPhone 14</t>
        </is>
      </c>
      <c r="F972" s="104" t="inlineStr">
        <is>
          <t>SVC000022</t>
        </is>
      </c>
      <c r="G972" s="104" t="inlineStr">
        <is>
          <t>Volume Button Repair</t>
        </is>
      </c>
      <c r="H972" s="104" t="inlineStr">
        <is>
          <t>Buttons</t>
        </is>
      </c>
      <c r="I972" s="104" t="n"/>
      <c r="J972" s="104" t="n"/>
      <c r="K972" s="104" t="n"/>
      <c r="L972" s="104" t="n"/>
      <c r="M972" s="104" t="n"/>
      <c r="N972" s="104" t="n"/>
      <c r="O972" s="104" t="n"/>
      <c r="P972" s="104" t="n"/>
      <c r="Q972" s="104" t="n"/>
      <c r="R972" s="104" t="n"/>
      <c r="S972" s="110" t="n"/>
      <c r="T972" s="110" t="n"/>
      <c r="U972" s="104" t="n"/>
    </row>
    <row r="973">
      <c r="A973" s="104" t="inlineStr">
        <is>
          <t>GUIDE000972</t>
        </is>
      </c>
      <c r="B973" s="101" t="inlineStr">
        <is>
          <t>DEV000036</t>
        </is>
      </c>
      <c r="C973" s="103" t="inlineStr">
        <is>
          <t>APL</t>
        </is>
      </c>
      <c r="D973" s="103" t="inlineStr">
        <is>
          <t>PHN</t>
        </is>
      </c>
      <c r="E973" s="60" t="inlineStr">
        <is>
          <t>iPhone 14 Plus</t>
        </is>
      </c>
      <c r="F973" s="104" t="inlineStr">
        <is>
          <t>SVC000022</t>
        </is>
      </c>
      <c r="G973" s="104" t="inlineStr">
        <is>
          <t>Volume Button Repair</t>
        </is>
      </c>
      <c r="H973" s="104" t="inlineStr">
        <is>
          <t>Buttons</t>
        </is>
      </c>
      <c r="I973" s="104" t="n"/>
      <c r="J973" s="104" t="n"/>
      <c r="K973" s="104" t="n"/>
      <c r="L973" s="104" t="n"/>
      <c r="M973" s="104" t="n"/>
      <c r="N973" s="104" t="n"/>
      <c r="O973" s="104" t="n"/>
      <c r="P973" s="104" t="n"/>
      <c r="Q973" s="104" t="n"/>
      <c r="R973" s="104" t="n"/>
      <c r="S973" s="110" t="n"/>
      <c r="T973" s="110" t="n"/>
      <c r="U973" s="104" t="n"/>
    </row>
    <row r="974">
      <c r="A974" s="104" t="inlineStr">
        <is>
          <t>GUIDE000973</t>
        </is>
      </c>
      <c r="B974" s="101" t="inlineStr">
        <is>
          <t>DEV000037</t>
        </is>
      </c>
      <c r="C974" s="103" t="inlineStr">
        <is>
          <t>APL</t>
        </is>
      </c>
      <c r="D974" s="103" t="inlineStr">
        <is>
          <t>PHN</t>
        </is>
      </c>
      <c r="E974" s="60" t="inlineStr">
        <is>
          <t>iPhone 14 Pro</t>
        </is>
      </c>
      <c r="F974" s="104" t="inlineStr">
        <is>
          <t>SVC000022</t>
        </is>
      </c>
      <c r="G974" s="104" t="inlineStr">
        <is>
          <t>Volume Button Repair</t>
        </is>
      </c>
      <c r="H974" s="104" t="inlineStr">
        <is>
          <t>Buttons</t>
        </is>
      </c>
      <c r="I974" s="104" t="n"/>
      <c r="J974" s="104" t="n"/>
      <c r="K974" s="104" t="n"/>
      <c r="L974" s="104" t="n"/>
      <c r="M974" s="104" t="n"/>
      <c r="N974" s="104" t="n"/>
      <c r="O974" s="104" t="n"/>
      <c r="P974" s="104" t="n"/>
      <c r="Q974" s="104" t="n"/>
      <c r="R974" s="104" t="n"/>
      <c r="S974" s="110" t="n"/>
      <c r="T974" s="110" t="n"/>
      <c r="U974" s="104" t="n"/>
    </row>
    <row r="975">
      <c r="A975" s="105" t="inlineStr">
        <is>
          <t>GUIDE000974</t>
        </is>
      </c>
      <c r="B975" s="101" t="inlineStr">
        <is>
          <t>DEV000038</t>
        </is>
      </c>
      <c r="C975" s="103" t="inlineStr">
        <is>
          <t>APL</t>
        </is>
      </c>
      <c r="D975" s="103" t="inlineStr">
        <is>
          <t>PHN</t>
        </is>
      </c>
      <c r="E975" s="60" t="inlineStr">
        <is>
          <t>iPhone 14 Pro Max</t>
        </is>
      </c>
      <c r="F975" s="104" t="inlineStr">
        <is>
          <t>SVC000022</t>
        </is>
      </c>
      <c r="G975" s="104" t="inlineStr">
        <is>
          <t>Volume Button Repair</t>
        </is>
      </c>
      <c r="H975" s="104" t="inlineStr">
        <is>
          <t>Buttons</t>
        </is>
      </c>
      <c r="I975" s="104" t="n"/>
      <c r="J975" s="104" t="n"/>
      <c r="K975" s="104" t="n"/>
      <c r="L975" s="104" t="n"/>
      <c r="M975" s="104" t="n"/>
      <c r="N975" s="104" t="n"/>
      <c r="O975" s="104" t="n"/>
      <c r="P975" s="104" t="n"/>
      <c r="Q975" s="104" t="n"/>
      <c r="R975" s="104" t="n"/>
      <c r="S975" s="110" t="n"/>
      <c r="T975" s="110" t="n"/>
      <c r="U975" s="104" t="n"/>
    </row>
    <row r="976">
      <c r="A976" s="104" t="inlineStr">
        <is>
          <t>GUIDE000975</t>
        </is>
      </c>
      <c r="B976" s="101" t="inlineStr">
        <is>
          <t>DEV000039</t>
        </is>
      </c>
      <c r="C976" s="103" t="inlineStr">
        <is>
          <t>APL</t>
        </is>
      </c>
      <c r="D976" s="103" t="inlineStr">
        <is>
          <t>PHN</t>
        </is>
      </c>
      <c r="E976" s="60" t="inlineStr">
        <is>
          <t>iPhone 15</t>
        </is>
      </c>
      <c r="F976" s="104" t="inlineStr">
        <is>
          <t>SVC000022</t>
        </is>
      </c>
      <c r="G976" s="104" t="inlineStr">
        <is>
          <t>Volume Button Repair</t>
        </is>
      </c>
      <c r="H976" s="104" t="inlineStr">
        <is>
          <t>Buttons</t>
        </is>
      </c>
      <c r="I976" s="104" t="n"/>
      <c r="J976" s="104" t="n"/>
      <c r="K976" s="104" t="n"/>
      <c r="L976" s="104" t="n"/>
      <c r="M976" s="104" t="n"/>
      <c r="N976" s="104" t="n"/>
      <c r="O976" s="104" t="n"/>
      <c r="P976" s="104" t="n"/>
      <c r="Q976" s="104" t="n"/>
      <c r="R976" s="104" t="n"/>
      <c r="S976" s="110" t="n"/>
      <c r="T976" s="110" t="n"/>
      <c r="U976" s="104" t="n"/>
    </row>
    <row r="977">
      <c r="A977" s="104" t="inlineStr">
        <is>
          <t>GUIDE000976</t>
        </is>
      </c>
      <c r="B977" s="101" t="inlineStr">
        <is>
          <t>DEV000040</t>
        </is>
      </c>
      <c r="C977" s="103" t="inlineStr">
        <is>
          <t>APL</t>
        </is>
      </c>
      <c r="D977" s="103" t="inlineStr">
        <is>
          <t>PHN</t>
        </is>
      </c>
      <c r="E977" s="60" t="inlineStr">
        <is>
          <t>iPhone 15 Plus</t>
        </is>
      </c>
      <c r="F977" s="104" t="inlineStr">
        <is>
          <t>SVC000022</t>
        </is>
      </c>
      <c r="G977" s="104" t="inlineStr">
        <is>
          <t>Volume Button Repair</t>
        </is>
      </c>
      <c r="H977" s="104" t="inlineStr">
        <is>
          <t>Buttons</t>
        </is>
      </c>
      <c r="I977" s="104" t="n"/>
      <c r="J977" s="104" t="n"/>
      <c r="K977" s="104" t="n"/>
      <c r="L977" s="104" t="n"/>
      <c r="M977" s="104" t="n"/>
      <c r="N977" s="104" t="n"/>
      <c r="O977" s="104" t="n"/>
      <c r="P977" s="104" t="n"/>
      <c r="Q977" s="104" t="n"/>
      <c r="R977" s="104" t="n"/>
      <c r="S977" s="110" t="n"/>
      <c r="T977" s="110" t="n"/>
      <c r="U977" s="104" t="n"/>
    </row>
    <row r="978">
      <c r="A978" s="104" t="inlineStr">
        <is>
          <t>GUIDE000977</t>
        </is>
      </c>
      <c r="B978" s="101" t="inlineStr">
        <is>
          <t>DEV000041</t>
        </is>
      </c>
      <c r="C978" s="103" t="inlineStr">
        <is>
          <t>APL</t>
        </is>
      </c>
      <c r="D978" s="103" t="inlineStr">
        <is>
          <t>PHN</t>
        </is>
      </c>
      <c r="E978" s="60" t="inlineStr">
        <is>
          <t>iPhone 15 Pro</t>
        </is>
      </c>
      <c r="F978" s="104" t="inlineStr">
        <is>
          <t>SVC000022</t>
        </is>
      </c>
      <c r="G978" s="104" t="inlineStr">
        <is>
          <t>Volume Button Repair</t>
        </is>
      </c>
      <c r="H978" s="104" t="inlineStr">
        <is>
          <t>Buttons</t>
        </is>
      </c>
      <c r="I978" s="104" t="n"/>
      <c r="J978" s="104" t="n"/>
      <c r="K978" s="104" t="n"/>
      <c r="L978" s="104" t="n"/>
      <c r="M978" s="104" t="n"/>
      <c r="N978" s="104" t="n"/>
      <c r="O978" s="104" t="n"/>
      <c r="P978" s="104" t="n"/>
      <c r="Q978" s="104" t="n"/>
      <c r="R978" s="104" t="n"/>
      <c r="S978" s="110" t="n"/>
      <c r="T978" s="110" t="n"/>
      <c r="U978" s="104" t="n"/>
    </row>
    <row r="979">
      <c r="A979" s="105" t="inlineStr">
        <is>
          <t>GUIDE000978</t>
        </is>
      </c>
      <c r="B979" s="101" t="inlineStr">
        <is>
          <t>DEV000042</t>
        </is>
      </c>
      <c r="C979" s="103" t="inlineStr">
        <is>
          <t>APL</t>
        </is>
      </c>
      <c r="D979" s="103" t="inlineStr">
        <is>
          <t>PHN</t>
        </is>
      </c>
      <c r="E979" s="60" t="inlineStr">
        <is>
          <t>iPhone 15 Pro Max</t>
        </is>
      </c>
      <c r="F979" s="104" t="inlineStr">
        <is>
          <t>SVC000022</t>
        </is>
      </c>
      <c r="G979" s="104" t="inlineStr">
        <is>
          <t>Volume Button Repair</t>
        </is>
      </c>
      <c r="H979" s="104" t="inlineStr">
        <is>
          <t>Buttons</t>
        </is>
      </c>
      <c r="I979" s="104" t="n"/>
      <c r="J979" s="104" t="n"/>
      <c r="K979" s="104" t="n"/>
      <c r="L979" s="104" t="n"/>
      <c r="M979" s="104" t="n"/>
      <c r="N979" s="104" t="n"/>
      <c r="O979" s="104" t="n"/>
      <c r="P979" s="104" t="n"/>
      <c r="Q979" s="104" t="n"/>
      <c r="R979" s="104" t="n"/>
      <c r="S979" s="110" t="n"/>
      <c r="T979" s="110" t="n"/>
      <c r="U979" s="104" t="n"/>
    </row>
    <row r="980">
      <c r="A980" s="104" t="inlineStr">
        <is>
          <t>GUIDE000979</t>
        </is>
      </c>
      <c r="B980" s="101" t="inlineStr">
        <is>
          <t>DEV000043</t>
        </is>
      </c>
      <c r="C980" s="103" t="inlineStr">
        <is>
          <t>APL</t>
        </is>
      </c>
      <c r="D980" s="103" t="inlineStr">
        <is>
          <t>PHN</t>
        </is>
      </c>
      <c r="E980" s="60" t="inlineStr">
        <is>
          <t>iPhone 16</t>
        </is>
      </c>
      <c r="F980" s="104" t="inlineStr">
        <is>
          <t>SVC000022</t>
        </is>
      </c>
      <c r="G980" s="104" t="inlineStr">
        <is>
          <t>Volume Button Repair</t>
        </is>
      </c>
      <c r="H980" s="104" t="inlineStr">
        <is>
          <t>Buttons</t>
        </is>
      </c>
      <c r="I980" s="104" t="n"/>
      <c r="J980" s="104" t="n"/>
      <c r="K980" s="104" t="n"/>
      <c r="L980" s="104" t="n"/>
      <c r="M980" s="104" t="n"/>
      <c r="N980" s="104" t="n"/>
      <c r="O980" s="104" t="n"/>
      <c r="P980" s="104" t="n"/>
      <c r="Q980" s="104" t="n"/>
      <c r="R980" s="104" t="n"/>
      <c r="S980" s="110" t="n"/>
      <c r="T980" s="110" t="n"/>
      <c r="U980" s="104" t="n"/>
    </row>
    <row r="981">
      <c r="A981" s="104" t="inlineStr">
        <is>
          <t>GUIDE000980</t>
        </is>
      </c>
      <c r="B981" s="101" t="inlineStr">
        <is>
          <t>DEV000044</t>
        </is>
      </c>
      <c r="C981" s="103" t="inlineStr">
        <is>
          <t>APL</t>
        </is>
      </c>
      <c r="D981" s="103" t="inlineStr">
        <is>
          <t>PHN</t>
        </is>
      </c>
      <c r="E981" s="60" t="inlineStr">
        <is>
          <t>iPhone 16 Plus</t>
        </is>
      </c>
      <c r="F981" s="104" t="inlineStr">
        <is>
          <t>SVC000022</t>
        </is>
      </c>
      <c r="G981" s="104" t="inlineStr">
        <is>
          <t>Volume Button Repair</t>
        </is>
      </c>
      <c r="H981" s="104" t="inlineStr">
        <is>
          <t>Buttons</t>
        </is>
      </c>
      <c r="I981" s="104" t="n"/>
      <c r="J981" s="104" t="n"/>
      <c r="K981" s="104" t="n"/>
      <c r="L981" s="104" t="n"/>
      <c r="M981" s="104" t="n"/>
      <c r="N981" s="104" t="n"/>
      <c r="O981" s="104" t="n"/>
      <c r="P981" s="104" t="n"/>
      <c r="Q981" s="104" t="n"/>
      <c r="R981" s="104" t="n"/>
      <c r="S981" s="110" t="n"/>
      <c r="T981" s="110" t="n"/>
      <c r="U981" s="104" t="n"/>
    </row>
    <row r="982">
      <c r="A982" s="104" t="inlineStr">
        <is>
          <t>GUIDE000981</t>
        </is>
      </c>
      <c r="B982" s="101" t="inlineStr">
        <is>
          <t>DEV000045</t>
        </is>
      </c>
      <c r="C982" s="103" t="inlineStr">
        <is>
          <t>APL</t>
        </is>
      </c>
      <c r="D982" s="103" t="inlineStr">
        <is>
          <t>PHN</t>
        </is>
      </c>
      <c r="E982" s="60" t="inlineStr">
        <is>
          <t>iPhone 16 Pro</t>
        </is>
      </c>
      <c r="F982" s="104" t="inlineStr">
        <is>
          <t>SVC000022</t>
        </is>
      </c>
      <c r="G982" s="104" t="inlineStr">
        <is>
          <t>Volume Button Repair</t>
        </is>
      </c>
      <c r="H982" s="104" t="inlineStr">
        <is>
          <t>Buttons</t>
        </is>
      </c>
      <c r="I982" s="104" t="n"/>
      <c r="J982" s="104" t="n"/>
      <c r="K982" s="104" t="n"/>
      <c r="L982" s="104" t="n"/>
      <c r="M982" s="104" t="n"/>
      <c r="N982" s="104" t="n"/>
      <c r="O982" s="104" t="n"/>
      <c r="P982" s="104" t="n"/>
      <c r="Q982" s="104" t="n"/>
      <c r="R982" s="104" t="n"/>
      <c r="S982" s="110" t="n"/>
      <c r="T982" s="110" t="n"/>
      <c r="U982" s="104" t="n"/>
    </row>
    <row r="983">
      <c r="A983" s="104" t="inlineStr">
        <is>
          <t>GUIDE000982</t>
        </is>
      </c>
      <c r="B983" s="101" t="inlineStr">
        <is>
          <t>DEV000046</t>
        </is>
      </c>
      <c r="C983" s="103" t="inlineStr">
        <is>
          <t>APL</t>
        </is>
      </c>
      <c r="D983" s="103" t="inlineStr">
        <is>
          <t>PHN</t>
        </is>
      </c>
      <c r="E983" s="60" t="inlineStr">
        <is>
          <t>iPhone 16 Pro Max</t>
        </is>
      </c>
      <c r="F983" s="104" t="inlineStr">
        <is>
          <t>SVC000022</t>
        </is>
      </c>
      <c r="G983" s="104" t="inlineStr">
        <is>
          <t>Volume Button Repair</t>
        </is>
      </c>
      <c r="H983" s="104" t="inlineStr">
        <is>
          <t>Buttons</t>
        </is>
      </c>
      <c r="I983" s="104" t="n"/>
      <c r="J983" s="104" t="n"/>
      <c r="K983" s="104" t="n"/>
      <c r="L983" s="104" t="n"/>
      <c r="M983" s="104" t="n"/>
      <c r="N983" s="104" t="n"/>
      <c r="O983" s="104" t="n"/>
      <c r="P983" s="104" t="n"/>
      <c r="Q983" s="104" t="n"/>
      <c r="R983" s="104" t="n"/>
      <c r="S983" s="110" t="n"/>
      <c r="T983" s="110" t="n"/>
      <c r="U983" s="104" t="n"/>
    </row>
    <row r="984">
      <c r="A984" s="105" t="inlineStr">
        <is>
          <t>GUIDE000983</t>
        </is>
      </c>
      <c r="B984" s="101" t="inlineStr">
        <is>
          <t>DEV000047</t>
        </is>
      </c>
      <c r="C984" s="103" t="inlineStr">
        <is>
          <t>APL</t>
        </is>
      </c>
      <c r="D984" s="103" t="inlineStr">
        <is>
          <t>PHN</t>
        </is>
      </c>
      <c r="E984" s="60" t="inlineStr">
        <is>
          <t>iPhone 16e</t>
        </is>
      </c>
      <c r="F984" s="104" t="inlineStr">
        <is>
          <t>SVC000022</t>
        </is>
      </c>
      <c r="G984" s="104" t="inlineStr">
        <is>
          <t>Volume Button Repair</t>
        </is>
      </c>
      <c r="H984" s="104" t="inlineStr">
        <is>
          <t>Buttons</t>
        </is>
      </c>
      <c r="I984" s="104" t="n"/>
      <c r="J984" s="104" t="n"/>
      <c r="K984" s="104" t="n"/>
      <c r="L984" s="104" t="n"/>
      <c r="M984" s="104" t="n"/>
      <c r="N984" s="104" t="n"/>
      <c r="O984" s="104" t="n"/>
      <c r="P984" s="104" t="n"/>
      <c r="Q984" s="104" t="n"/>
      <c r="R984" s="104" t="n"/>
      <c r="S984" s="110" t="n"/>
      <c r="T984" s="110" t="n"/>
      <c r="U984" s="104" t="n"/>
    </row>
    <row r="985">
      <c r="A985" s="104" t="inlineStr">
        <is>
          <t>GUIDE000984</t>
        </is>
      </c>
      <c r="B985" s="101" t="inlineStr">
        <is>
          <t>DEV000048</t>
        </is>
      </c>
      <c r="C985" s="103" t="inlineStr">
        <is>
          <t>APL</t>
        </is>
      </c>
      <c r="D985" s="103" t="inlineStr">
        <is>
          <t>PHN</t>
        </is>
      </c>
      <c r="E985" s="60" t="inlineStr">
        <is>
          <t>iPhone 17</t>
        </is>
      </c>
      <c r="F985" s="104" t="inlineStr">
        <is>
          <t>SVC000022</t>
        </is>
      </c>
      <c r="G985" s="104" t="inlineStr">
        <is>
          <t>Volume Button Repair</t>
        </is>
      </c>
      <c r="H985" s="104" t="inlineStr">
        <is>
          <t>Buttons</t>
        </is>
      </c>
      <c r="I985" s="104" t="n"/>
      <c r="J985" s="104" t="n"/>
      <c r="K985" s="104" t="n"/>
      <c r="L985" s="104" t="n"/>
      <c r="M985" s="104" t="n"/>
      <c r="N985" s="104" t="n"/>
      <c r="O985" s="104" t="n"/>
      <c r="P985" s="104" t="n"/>
      <c r="Q985" s="104" t="n"/>
      <c r="R985" s="104" t="n"/>
      <c r="S985" s="110" t="n"/>
      <c r="T985" s="110" t="n"/>
      <c r="U985" s="104" t="n"/>
    </row>
    <row r="986">
      <c r="A986" s="104" t="inlineStr">
        <is>
          <t>GUIDE000985</t>
        </is>
      </c>
      <c r="B986" s="101" t="inlineStr">
        <is>
          <t>DEV000049</t>
        </is>
      </c>
      <c r="C986" s="103" t="inlineStr">
        <is>
          <t>APL</t>
        </is>
      </c>
      <c r="D986" s="103" t="inlineStr">
        <is>
          <t>PHN</t>
        </is>
      </c>
      <c r="E986" s="60" t="inlineStr">
        <is>
          <t>iPhone 17 Pro</t>
        </is>
      </c>
      <c r="F986" s="104" t="inlineStr">
        <is>
          <t>SVC000022</t>
        </is>
      </c>
      <c r="G986" s="104" t="inlineStr">
        <is>
          <t>Volume Button Repair</t>
        </is>
      </c>
      <c r="H986" s="104" t="inlineStr">
        <is>
          <t>Buttons</t>
        </is>
      </c>
      <c r="I986" s="104" t="n"/>
      <c r="J986" s="104" t="n"/>
      <c r="K986" s="104" t="n"/>
      <c r="L986" s="104" t="n"/>
      <c r="M986" s="104" t="n"/>
      <c r="N986" s="104" t="n"/>
      <c r="O986" s="104" t="n"/>
      <c r="P986" s="104" t="n"/>
      <c r="Q986" s="104" t="n"/>
      <c r="R986" s="104" t="n"/>
      <c r="S986" s="110" t="n"/>
      <c r="T986" s="110" t="n"/>
      <c r="U986" s="104" t="n"/>
    </row>
    <row r="987">
      <c r="A987" s="104" t="inlineStr">
        <is>
          <t>GUIDE000986</t>
        </is>
      </c>
      <c r="B987" s="101" t="inlineStr">
        <is>
          <t>DEV000050</t>
        </is>
      </c>
      <c r="C987" s="103" t="inlineStr">
        <is>
          <t>APL</t>
        </is>
      </c>
      <c r="D987" s="103" t="inlineStr">
        <is>
          <t>PHN</t>
        </is>
      </c>
      <c r="E987" s="60" t="inlineStr">
        <is>
          <t>iPhone 17 Pro Max</t>
        </is>
      </c>
      <c r="F987" s="104" t="inlineStr">
        <is>
          <t>SVC000022</t>
        </is>
      </c>
      <c r="G987" s="104" t="inlineStr">
        <is>
          <t>Volume Button Repair</t>
        </is>
      </c>
      <c r="H987" s="104" t="inlineStr">
        <is>
          <t>Buttons</t>
        </is>
      </c>
      <c r="I987" s="104" t="n"/>
      <c r="J987" s="104" t="n"/>
      <c r="K987" s="104" t="n"/>
      <c r="L987" s="104" t="n"/>
      <c r="M987" s="104" t="n"/>
      <c r="N987" s="104" t="n"/>
      <c r="O987" s="104" t="n"/>
      <c r="P987" s="104" t="n"/>
      <c r="Q987" s="104" t="n"/>
      <c r="R987" s="104" t="n"/>
      <c r="S987" s="110" t="n"/>
      <c r="T987" s="110" t="n"/>
      <c r="U987" s="104" t="n"/>
    </row>
    <row r="988">
      <c r="A988" s="105" t="inlineStr">
        <is>
          <t>GUIDE000987</t>
        </is>
      </c>
      <c r="B988" s="101" t="inlineStr">
        <is>
          <t>DEV000051</t>
        </is>
      </c>
      <c r="C988" s="103" t="inlineStr">
        <is>
          <t>APL</t>
        </is>
      </c>
      <c r="D988" s="103" t="inlineStr">
        <is>
          <t>PHN</t>
        </is>
      </c>
      <c r="E988" s="60" t="inlineStr">
        <is>
          <t>iPhone Air</t>
        </is>
      </c>
      <c r="F988" s="104" t="inlineStr">
        <is>
          <t>SVC000022</t>
        </is>
      </c>
      <c r="G988" s="104" t="inlineStr">
        <is>
          <t>Volume Button Repair</t>
        </is>
      </c>
      <c r="H988" s="104" t="inlineStr">
        <is>
          <t>Buttons</t>
        </is>
      </c>
      <c r="I988" s="104" t="n"/>
      <c r="J988" s="104" t="n"/>
      <c r="K988" s="104" t="n"/>
      <c r="L988" s="104" t="n"/>
      <c r="M988" s="104" t="n"/>
      <c r="N988" s="104" t="n"/>
      <c r="O988" s="104" t="n"/>
      <c r="P988" s="104" t="n"/>
      <c r="Q988" s="104" t="n"/>
      <c r="R988" s="104" t="n"/>
      <c r="S988" s="110" t="n"/>
      <c r="T988" s="110" t="n"/>
      <c r="U988" s="104" t="n"/>
    </row>
    <row r="989">
      <c r="A989" s="104" t="inlineStr">
        <is>
          <t>GUIDE000988</t>
        </is>
      </c>
      <c r="B989" s="101" t="inlineStr">
        <is>
          <t>DEV000052</t>
        </is>
      </c>
      <c r="C989" s="103" t="inlineStr">
        <is>
          <t>APL</t>
        </is>
      </c>
      <c r="D989" s="103" t="inlineStr">
        <is>
          <t>PHN</t>
        </is>
      </c>
      <c r="E989" s="60" t="inlineStr">
        <is>
          <t>iPhone 17e</t>
        </is>
      </c>
      <c r="F989" s="104" t="inlineStr">
        <is>
          <t>SVC000022</t>
        </is>
      </c>
      <c r="G989" s="104" t="inlineStr">
        <is>
          <t>Volume Button Repair</t>
        </is>
      </c>
      <c r="H989" s="104" t="inlineStr">
        <is>
          <t>Buttons</t>
        </is>
      </c>
      <c r="I989" s="104" t="n"/>
      <c r="J989" s="104" t="n"/>
      <c r="K989" s="104" t="n"/>
      <c r="L989" s="104" t="n"/>
      <c r="M989" s="104" t="n"/>
      <c r="N989" s="104" t="n"/>
      <c r="O989" s="104" t="n"/>
      <c r="P989" s="104" t="n"/>
      <c r="Q989" s="104" t="n"/>
      <c r="R989" s="104" t="n"/>
      <c r="S989" s="110" t="n"/>
      <c r="T989" s="110" t="n"/>
      <c r="U989" s="104" t="n"/>
    </row>
    <row r="990">
      <c r="A990" s="104" t="inlineStr">
        <is>
          <t>GUIDE000989</t>
        </is>
      </c>
      <c r="B990" s="101" t="inlineStr">
        <is>
          <t>DEV000001</t>
        </is>
      </c>
      <c r="C990" s="103" t="inlineStr">
        <is>
          <t>APL</t>
        </is>
      </c>
      <c r="D990" s="103" t="inlineStr">
        <is>
          <t>PHN</t>
        </is>
      </c>
      <c r="E990" s="60" t="inlineStr">
        <is>
          <t>iPhone (2G)</t>
        </is>
      </c>
      <c r="F990" s="104" t="inlineStr">
        <is>
          <t>SVC000023</t>
        </is>
      </c>
      <c r="G990" s="104" t="inlineStr">
        <is>
          <t>Home Button Repair</t>
        </is>
      </c>
      <c r="H990" s="104" t="inlineStr">
        <is>
          <t>Buttons</t>
        </is>
      </c>
      <c r="I990" s="104" t="n"/>
      <c r="J990" s="104" t="n"/>
      <c r="K990" s="104" t="n"/>
      <c r="L990" s="104" t="n"/>
      <c r="M990" s="104" t="n"/>
      <c r="N990" s="104" t="n"/>
      <c r="O990" s="104" t="n"/>
      <c r="P990" s="104" t="n"/>
      <c r="Q990" s="104" t="n"/>
      <c r="R990" s="104" t="n"/>
      <c r="S990" s="110" t="n"/>
      <c r="T990" s="110" t="n"/>
      <c r="U990" s="104" t="n"/>
    </row>
    <row r="991">
      <c r="A991" s="104" t="inlineStr">
        <is>
          <t>GUIDE000990</t>
        </is>
      </c>
      <c r="B991" s="101" t="inlineStr">
        <is>
          <t>DEV000002</t>
        </is>
      </c>
      <c r="C991" s="103" t="inlineStr">
        <is>
          <t>APL</t>
        </is>
      </c>
      <c r="D991" s="103" t="inlineStr">
        <is>
          <t>PHN</t>
        </is>
      </c>
      <c r="E991" s="60" t="inlineStr">
        <is>
          <t>iPhone 3G</t>
        </is>
      </c>
      <c r="F991" s="104" t="inlineStr">
        <is>
          <t>SVC000023</t>
        </is>
      </c>
      <c r="G991" s="104" t="inlineStr">
        <is>
          <t>Home Button Repair</t>
        </is>
      </c>
      <c r="H991" s="104" t="inlineStr">
        <is>
          <t>Buttons</t>
        </is>
      </c>
      <c r="I991" s="104" t="n"/>
      <c r="J991" s="104" t="n"/>
      <c r="K991" s="104" t="n"/>
      <c r="L991" s="104" t="n"/>
      <c r="M991" s="104" t="n"/>
      <c r="N991" s="104" t="n"/>
      <c r="O991" s="104" t="n"/>
      <c r="P991" s="104" t="n"/>
      <c r="Q991" s="104" t="n"/>
      <c r="R991" s="104" t="n"/>
      <c r="S991" s="110" t="n"/>
      <c r="T991" s="110" t="n"/>
      <c r="U991" s="104" t="n"/>
    </row>
    <row r="992">
      <c r="A992" s="104" t="inlineStr">
        <is>
          <t>GUIDE000991</t>
        </is>
      </c>
      <c r="B992" s="101" t="inlineStr">
        <is>
          <t>DEV000003</t>
        </is>
      </c>
      <c r="C992" s="103" t="inlineStr">
        <is>
          <t>APL</t>
        </is>
      </c>
      <c r="D992" s="103" t="inlineStr">
        <is>
          <t>PHN</t>
        </is>
      </c>
      <c r="E992" s="60" t="inlineStr">
        <is>
          <t>iPhone 3GS</t>
        </is>
      </c>
      <c r="F992" s="104" t="inlineStr">
        <is>
          <t>SVC000023</t>
        </is>
      </c>
      <c r="G992" s="104" t="inlineStr">
        <is>
          <t>Home Button Repair</t>
        </is>
      </c>
      <c r="H992" s="104" t="inlineStr">
        <is>
          <t>Buttons</t>
        </is>
      </c>
      <c r="I992" s="104" t="n"/>
      <c r="J992" s="104" t="n"/>
      <c r="K992" s="104" t="n"/>
      <c r="L992" s="104" t="n"/>
      <c r="M992" s="104" t="n"/>
      <c r="N992" s="104" t="n"/>
      <c r="O992" s="104" t="n"/>
      <c r="P992" s="104" t="n"/>
      <c r="Q992" s="104" t="n"/>
      <c r="R992" s="104" t="n"/>
      <c r="S992" s="110" t="n"/>
      <c r="T992" s="110" t="n"/>
      <c r="U992" s="104" t="n"/>
    </row>
    <row r="993">
      <c r="A993" s="105" t="inlineStr">
        <is>
          <t>GUIDE000992</t>
        </is>
      </c>
      <c r="B993" s="101" t="inlineStr">
        <is>
          <t>DEV000004</t>
        </is>
      </c>
      <c r="C993" s="103" t="inlineStr">
        <is>
          <t>APL</t>
        </is>
      </c>
      <c r="D993" s="103" t="inlineStr">
        <is>
          <t>PHN</t>
        </is>
      </c>
      <c r="E993" s="60" t="inlineStr">
        <is>
          <t>iPhone 4</t>
        </is>
      </c>
      <c r="F993" s="104" t="inlineStr">
        <is>
          <t>SVC000023</t>
        </is>
      </c>
      <c r="G993" s="104" t="inlineStr">
        <is>
          <t>Home Button Repair</t>
        </is>
      </c>
      <c r="H993" s="104" t="inlineStr">
        <is>
          <t>Buttons</t>
        </is>
      </c>
      <c r="I993" s="104" t="n"/>
      <c r="J993" s="104" t="n"/>
      <c r="K993" s="104" t="n"/>
      <c r="L993" s="104" t="n"/>
      <c r="M993" s="104" t="n"/>
      <c r="N993" s="104" t="n"/>
      <c r="O993" s="104" t="n"/>
      <c r="P993" s="104" t="n"/>
      <c r="Q993" s="104" t="n"/>
      <c r="R993" s="104" t="n"/>
      <c r="S993" s="110" t="n"/>
      <c r="T993" s="110" t="n"/>
      <c r="U993" s="104" t="n"/>
    </row>
    <row r="994">
      <c r="A994" s="104" t="inlineStr">
        <is>
          <t>GUIDE000993</t>
        </is>
      </c>
      <c r="B994" s="101" t="inlineStr">
        <is>
          <t>DEV000005</t>
        </is>
      </c>
      <c r="C994" s="103" t="inlineStr">
        <is>
          <t>APL</t>
        </is>
      </c>
      <c r="D994" s="103" t="inlineStr">
        <is>
          <t>PHN</t>
        </is>
      </c>
      <c r="E994" s="60" t="inlineStr">
        <is>
          <t>iPhone 4s</t>
        </is>
      </c>
      <c r="F994" s="104" t="inlineStr">
        <is>
          <t>SVC000023</t>
        </is>
      </c>
      <c r="G994" s="104" t="inlineStr">
        <is>
          <t>Home Button Repair</t>
        </is>
      </c>
      <c r="H994" s="104" t="inlineStr">
        <is>
          <t>Buttons</t>
        </is>
      </c>
      <c r="I994" s="104" t="n"/>
      <c r="J994" s="104" t="n"/>
      <c r="K994" s="104" t="n"/>
      <c r="L994" s="104" t="n"/>
      <c r="M994" s="104" t="n"/>
      <c r="N994" s="104" t="n"/>
      <c r="O994" s="104" t="n"/>
      <c r="P994" s="104" t="n"/>
      <c r="Q994" s="104" t="n"/>
      <c r="R994" s="104" t="n"/>
      <c r="S994" s="110" t="n"/>
      <c r="T994" s="110" t="n"/>
      <c r="U994" s="104" t="n"/>
    </row>
    <row r="995">
      <c r="A995" s="104" t="inlineStr">
        <is>
          <t>GUIDE000994</t>
        </is>
      </c>
      <c r="B995" s="101" t="inlineStr">
        <is>
          <t>DEV000006</t>
        </is>
      </c>
      <c r="C995" s="103" t="inlineStr">
        <is>
          <t>APL</t>
        </is>
      </c>
      <c r="D995" s="103" t="inlineStr">
        <is>
          <t>PHN</t>
        </is>
      </c>
      <c r="E995" s="60" t="inlineStr">
        <is>
          <t>iPhone 5</t>
        </is>
      </c>
      <c r="F995" s="104" t="inlineStr">
        <is>
          <t>SVC000023</t>
        </is>
      </c>
      <c r="G995" s="104" t="inlineStr">
        <is>
          <t>Home Button Repair</t>
        </is>
      </c>
      <c r="H995" s="104" t="inlineStr">
        <is>
          <t>Buttons</t>
        </is>
      </c>
      <c r="I995" s="104" t="n"/>
      <c r="J995" s="104" t="n"/>
      <c r="K995" s="104" t="n"/>
      <c r="L995" s="104" t="n"/>
      <c r="M995" s="104" t="n"/>
      <c r="N995" s="104" t="n"/>
      <c r="O995" s="104" t="n"/>
      <c r="P995" s="104" t="n"/>
      <c r="Q995" s="104" t="n"/>
      <c r="R995" s="104" t="n"/>
      <c r="S995" s="110" t="n"/>
      <c r="T995" s="110" t="n"/>
      <c r="U995" s="104" t="n"/>
    </row>
    <row r="996">
      <c r="A996" s="104" t="inlineStr">
        <is>
          <t>GUIDE000995</t>
        </is>
      </c>
      <c r="B996" s="101" t="inlineStr">
        <is>
          <t>DEV000007</t>
        </is>
      </c>
      <c r="C996" s="103" t="inlineStr">
        <is>
          <t>APL</t>
        </is>
      </c>
      <c r="D996" s="103" t="inlineStr">
        <is>
          <t>PHN</t>
        </is>
      </c>
      <c r="E996" s="60" t="inlineStr">
        <is>
          <t>iPhone 5c</t>
        </is>
      </c>
      <c r="F996" s="104" t="inlineStr">
        <is>
          <t>SVC000023</t>
        </is>
      </c>
      <c r="G996" s="104" t="inlineStr">
        <is>
          <t>Home Button Repair</t>
        </is>
      </c>
      <c r="H996" s="104" t="inlineStr">
        <is>
          <t>Buttons</t>
        </is>
      </c>
      <c r="I996" s="104" t="n"/>
      <c r="J996" s="104" t="n"/>
      <c r="K996" s="104" t="n"/>
      <c r="L996" s="104" t="n"/>
      <c r="M996" s="104" t="n"/>
      <c r="N996" s="104" t="n"/>
      <c r="O996" s="104" t="n"/>
      <c r="P996" s="104" t="n"/>
      <c r="Q996" s="104" t="n"/>
      <c r="R996" s="104" t="n"/>
      <c r="S996" s="110" t="n"/>
      <c r="T996" s="110" t="n"/>
      <c r="U996" s="104" t="n"/>
    </row>
    <row r="997">
      <c r="A997" s="105" t="inlineStr">
        <is>
          <t>GUIDE000996</t>
        </is>
      </c>
      <c r="B997" s="101" t="inlineStr">
        <is>
          <t>DEV000008</t>
        </is>
      </c>
      <c r="C997" s="103" t="inlineStr">
        <is>
          <t>APL</t>
        </is>
      </c>
      <c r="D997" s="103" t="inlineStr">
        <is>
          <t>PHN</t>
        </is>
      </c>
      <c r="E997" s="60" t="inlineStr">
        <is>
          <t>iPhone 5s</t>
        </is>
      </c>
      <c r="F997" s="104" t="inlineStr">
        <is>
          <t>SVC000023</t>
        </is>
      </c>
      <c r="G997" s="104" t="inlineStr">
        <is>
          <t>Home Button Repair</t>
        </is>
      </c>
      <c r="H997" s="104" t="inlineStr">
        <is>
          <t>Buttons</t>
        </is>
      </c>
      <c r="I997" s="104" t="n"/>
      <c r="J997" s="104" t="n"/>
      <c r="K997" s="104" t="n"/>
      <c r="L997" s="104" t="n"/>
      <c r="M997" s="104" t="n"/>
      <c r="N997" s="104" t="n"/>
      <c r="O997" s="104" t="n"/>
      <c r="P997" s="104" t="n"/>
      <c r="Q997" s="104" t="n"/>
      <c r="R997" s="104" t="n"/>
      <c r="S997" s="110" t="n"/>
      <c r="T997" s="110" t="n"/>
      <c r="U997" s="104" t="n"/>
    </row>
    <row r="998">
      <c r="A998" s="104" t="inlineStr">
        <is>
          <t>GUIDE000997</t>
        </is>
      </c>
      <c r="B998" s="101" t="inlineStr">
        <is>
          <t>DEV000009</t>
        </is>
      </c>
      <c r="C998" s="103" t="inlineStr">
        <is>
          <t>APL</t>
        </is>
      </c>
      <c r="D998" s="103" t="inlineStr">
        <is>
          <t>PHN</t>
        </is>
      </c>
      <c r="E998" s="60" t="inlineStr">
        <is>
          <t>iPhone 6</t>
        </is>
      </c>
      <c r="F998" s="104" t="inlineStr">
        <is>
          <t>SVC000023</t>
        </is>
      </c>
      <c r="G998" s="104" t="inlineStr">
        <is>
          <t>Home Button Repair</t>
        </is>
      </c>
      <c r="H998" s="104" t="inlineStr">
        <is>
          <t>Buttons</t>
        </is>
      </c>
      <c r="I998" s="104" t="n"/>
      <c r="J998" s="104" t="n"/>
      <c r="K998" s="104" t="n"/>
      <c r="L998" s="104" t="n"/>
      <c r="M998" s="104" t="n"/>
      <c r="N998" s="104" t="n"/>
      <c r="O998" s="104" t="n"/>
      <c r="P998" s="104" t="n"/>
      <c r="Q998" s="104" t="n"/>
      <c r="R998" s="104" t="n"/>
      <c r="S998" s="110" t="n"/>
      <c r="T998" s="110" t="n"/>
      <c r="U998" s="104" t="n"/>
    </row>
    <row r="999">
      <c r="A999" s="104" t="inlineStr">
        <is>
          <t>GUIDE000998</t>
        </is>
      </c>
      <c r="B999" s="101" t="inlineStr">
        <is>
          <t>DEV000010</t>
        </is>
      </c>
      <c r="C999" s="103" t="inlineStr">
        <is>
          <t>APL</t>
        </is>
      </c>
      <c r="D999" s="103" t="inlineStr">
        <is>
          <t>PHN</t>
        </is>
      </c>
      <c r="E999" s="60" t="inlineStr">
        <is>
          <t>iPhone 6 Plus</t>
        </is>
      </c>
      <c r="F999" s="104" t="inlineStr">
        <is>
          <t>SVC000023</t>
        </is>
      </c>
      <c r="G999" s="104" t="inlineStr">
        <is>
          <t>Home Button Repair</t>
        </is>
      </c>
      <c r="H999" s="104" t="inlineStr">
        <is>
          <t>Buttons</t>
        </is>
      </c>
      <c r="I999" s="104" t="n"/>
      <c r="J999" s="104" t="n"/>
      <c r="K999" s="104" t="n"/>
      <c r="L999" s="104" t="n"/>
      <c r="M999" s="104" t="n"/>
      <c r="N999" s="104" t="n"/>
      <c r="O999" s="104" t="n"/>
      <c r="P999" s="104" t="n"/>
      <c r="Q999" s="104" t="n"/>
      <c r="R999" s="104" t="n"/>
      <c r="S999" s="110" t="n"/>
      <c r="T999" s="110" t="n"/>
      <c r="U999" s="104" t="n"/>
    </row>
    <row r="1000">
      <c r="A1000" s="104" t="inlineStr">
        <is>
          <t>GUIDE000999</t>
        </is>
      </c>
      <c r="B1000" s="101" t="inlineStr">
        <is>
          <t>DEV000011</t>
        </is>
      </c>
      <c r="C1000" s="103" t="inlineStr">
        <is>
          <t>APL</t>
        </is>
      </c>
      <c r="D1000" s="103" t="inlineStr">
        <is>
          <t>PHN</t>
        </is>
      </c>
      <c r="E1000" s="60" t="inlineStr">
        <is>
          <t>iPhone 6s</t>
        </is>
      </c>
      <c r="F1000" s="104" t="inlineStr">
        <is>
          <t>SVC000023</t>
        </is>
      </c>
      <c r="G1000" s="104" t="inlineStr">
        <is>
          <t>Home Button Repair</t>
        </is>
      </c>
      <c r="H1000" s="104" t="inlineStr">
        <is>
          <t>Buttons</t>
        </is>
      </c>
      <c r="I1000" s="104" t="n"/>
      <c r="J1000" s="104" t="n"/>
      <c r="K1000" s="104" t="n"/>
      <c r="L1000" s="104" t="n"/>
      <c r="M1000" s="104" t="n"/>
      <c r="N1000" s="104" t="n"/>
      <c r="O1000" s="104" t="n"/>
      <c r="P1000" s="104" t="n"/>
      <c r="Q1000" s="104" t="n"/>
      <c r="R1000" s="104" t="n"/>
      <c r="S1000" s="110" t="n"/>
      <c r="T1000" s="110" t="n"/>
      <c r="U1000" s="104" t="n"/>
    </row>
    <row r="1001">
      <c r="A1001" s="104" t="inlineStr">
        <is>
          <t>GUIDE001000</t>
        </is>
      </c>
      <c r="B1001" s="101" t="inlineStr">
        <is>
          <t>DEV000012</t>
        </is>
      </c>
      <c r="C1001" s="103" t="inlineStr">
        <is>
          <t>APL</t>
        </is>
      </c>
      <c r="D1001" s="103" t="inlineStr">
        <is>
          <t>PHN</t>
        </is>
      </c>
      <c r="E1001" s="60" t="inlineStr">
        <is>
          <t>iPhone 6s Plus</t>
        </is>
      </c>
      <c r="F1001" s="104" t="inlineStr">
        <is>
          <t>SVC000023</t>
        </is>
      </c>
      <c r="G1001" s="104" t="inlineStr">
        <is>
          <t>Home Button Repair</t>
        </is>
      </c>
      <c r="H1001" s="104" t="inlineStr">
        <is>
          <t>Buttons</t>
        </is>
      </c>
      <c r="I1001" s="104" t="n"/>
      <c r="J1001" s="104" t="n"/>
      <c r="K1001" s="104" t="n"/>
      <c r="L1001" s="104" t="n"/>
      <c r="M1001" s="104" t="n"/>
      <c r="N1001" s="104" t="n"/>
      <c r="O1001" s="104" t="n"/>
      <c r="P1001" s="104" t="n"/>
      <c r="Q1001" s="104" t="n"/>
      <c r="R1001" s="104" t="n"/>
      <c r="S1001" s="110" t="n"/>
      <c r="T1001" s="110" t="n"/>
      <c r="U1001" s="104" t="n"/>
    </row>
    <row r="1002">
      <c r="A1002" s="105" t="inlineStr">
        <is>
          <t>GUIDE001001</t>
        </is>
      </c>
      <c r="B1002" s="101" t="inlineStr">
        <is>
          <t>DEV000013</t>
        </is>
      </c>
      <c r="C1002" s="103" t="inlineStr">
        <is>
          <t>APL</t>
        </is>
      </c>
      <c r="D1002" s="103" t="inlineStr">
        <is>
          <t>PHN</t>
        </is>
      </c>
      <c r="E1002" s="60" t="inlineStr">
        <is>
          <t>iPhone SE (1st Gen)</t>
        </is>
      </c>
      <c r="F1002" s="104" t="inlineStr">
        <is>
          <t>SVC000023</t>
        </is>
      </c>
      <c r="G1002" s="104" t="inlineStr">
        <is>
          <t>Home Button Repair</t>
        </is>
      </c>
      <c r="H1002" s="104" t="inlineStr">
        <is>
          <t>Buttons</t>
        </is>
      </c>
      <c r="I1002" s="104" t="n"/>
      <c r="J1002" s="104" t="n"/>
      <c r="K1002" s="104" t="n"/>
      <c r="L1002" s="104" t="n"/>
      <c r="M1002" s="104" t="n"/>
      <c r="N1002" s="104" t="n"/>
      <c r="O1002" s="104" t="n"/>
      <c r="P1002" s="104" t="n"/>
      <c r="Q1002" s="104" t="n"/>
      <c r="R1002" s="104" t="n"/>
      <c r="S1002" s="110" t="n"/>
      <c r="T1002" s="110" t="n"/>
      <c r="U1002" s="104" t="n"/>
    </row>
    <row r="1003">
      <c r="A1003" s="104" t="inlineStr">
        <is>
          <t>GUIDE001002</t>
        </is>
      </c>
      <c r="B1003" s="101" t="inlineStr">
        <is>
          <t>DEV000014</t>
        </is>
      </c>
      <c r="C1003" s="103" t="inlineStr">
        <is>
          <t>APL</t>
        </is>
      </c>
      <c r="D1003" s="103" t="inlineStr">
        <is>
          <t>PHN</t>
        </is>
      </c>
      <c r="E1003" s="60" t="inlineStr">
        <is>
          <t>iPhone 7</t>
        </is>
      </c>
      <c r="F1003" s="104" t="inlineStr">
        <is>
          <t>SVC000023</t>
        </is>
      </c>
      <c r="G1003" s="104" t="inlineStr">
        <is>
          <t>Home Button Repair</t>
        </is>
      </c>
      <c r="H1003" s="104" t="inlineStr">
        <is>
          <t>Buttons</t>
        </is>
      </c>
      <c r="I1003" s="104" t="n"/>
      <c r="J1003" s="104" t="n"/>
      <c r="K1003" s="104" t="n"/>
      <c r="L1003" s="104" t="n"/>
      <c r="M1003" s="104" t="n"/>
      <c r="N1003" s="104" t="n"/>
      <c r="O1003" s="104" t="n"/>
      <c r="P1003" s="104" t="n"/>
      <c r="Q1003" s="104" t="n"/>
      <c r="R1003" s="104" t="n"/>
      <c r="S1003" s="110" t="n"/>
      <c r="T1003" s="110" t="n"/>
      <c r="U1003" s="104" t="n"/>
    </row>
    <row r="1004">
      <c r="A1004" s="104" t="inlineStr">
        <is>
          <t>GUIDE001003</t>
        </is>
      </c>
      <c r="B1004" s="101" t="inlineStr">
        <is>
          <t>DEV000015</t>
        </is>
      </c>
      <c r="C1004" s="103" t="inlineStr">
        <is>
          <t>APL</t>
        </is>
      </c>
      <c r="D1004" s="103" t="inlineStr">
        <is>
          <t>PHN</t>
        </is>
      </c>
      <c r="E1004" s="60" t="inlineStr">
        <is>
          <t>iPhone 7 Plus</t>
        </is>
      </c>
      <c r="F1004" s="104" t="inlineStr">
        <is>
          <t>SVC000023</t>
        </is>
      </c>
      <c r="G1004" s="104" t="inlineStr">
        <is>
          <t>Home Button Repair</t>
        </is>
      </c>
      <c r="H1004" s="104" t="inlineStr">
        <is>
          <t>Buttons</t>
        </is>
      </c>
      <c r="I1004" s="104" t="n"/>
      <c r="J1004" s="104" t="n"/>
      <c r="K1004" s="104" t="n"/>
      <c r="L1004" s="104" t="n"/>
      <c r="M1004" s="104" t="n"/>
      <c r="N1004" s="104" t="n"/>
      <c r="O1004" s="104" t="n"/>
      <c r="P1004" s="104" t="n"/>
      <c r="Q1004" s="104" t="n"/>
      <c r="R1004" s="104" t="n"/>
      <c r="S1004" s="110" t="n"/>
      <c r="T1004" s="110" t="n"/>
      <c r="U1004" s="104" t="n"/>
    </row>
    <row r="1005">
      <c r="A1005" s="104" t="inlineStr">
        <is>
          <t>GUIDE001004</t>
        </is>
      </c>
      <c r="B1005" s="101" t="inlineStr">
        <is>
          <t>DEV000016</t>
        </is>
      </c>
      <c r="C1005" s="103" t="inlineStr">
        <is>
          <t>APL</t>
        </is>
      </c>
      <c r="D1005" s="103" t="inlineStr">
        <is>
          <t>PHN</t>
        </is>
      </c>
      <c r="E1005" s="60" t="inlineStr">
        <is>
          <t>iPhone 8</t>
        </is>
      </c>
      <c r="F1005" s="104" t="inlineStr">
        <is>
          <t>SVC000023</t>
        </is>
      </c>
      <c r="G1005" s="104" t="inlineStr">
        <is>
          <t>Home Button Repair</t>
        </is>
      </c>
      <c r="H1005" s="104" t="inlineStr">
        <is>
          <t>Buttons</t>
        </is>
      </c>
      <c r="I1005" s="104" t="n"/>
      <c r="J1005" s="104" t="n"/>
      <c r="K1005" s="104" t="n"/>
      <c r="L1005" s="104" t="n"/>
      <c r="M1005" s="104" t="n"/>
      <c r="N1005" s="104" t="n"/>
      <c r="O1005" s="104" t="n"/>
      <c r="P1005" s="104" t="n"/>
      <c r="Q1005" s="104" t="n"/>
      <c r="R1005" s="104" t="n"/>
      <c r="S1005" s="110" t="n"/>
      <c r="T1005" s="110" t="n"/>
      <c r="U1005" s="104" t="n"/>
    </row>
    <row r="1006">
      <c r="A1006" s="105" t="inlineStr">
        <is>
          <t>GUIDE001005</t>
        </is>
      </c>
      <c r="B1006" s="101" t="inlineStr">
        <is>
          <t>DEV000017</t>
        </is>
      </c>
      <c r="C1006" s="103" t="inlineStr">
        <is>
          <t>APL</t>
        </is>
      </c>
      <c r="D1006" s="103" t="inlineStr">
        <is>
          <t>PHN</t>
        </is>
      </c>
      <c r="E1006" s="60" t="inlineStr">
        <is>
          <t>iPhone 8 Plus</t>
        </is>
      </c>
      <c r="F1006" s="104" t="inlineStr">
        <is>
          <t>SVC000023</t>
        </is>
      </c>
      <c r="G1006" s="104" t="inlineStr">
        <is>
          <t>Home Button Repair</t>
        </is>
      </c>
      <c r="H1006" s="104" t="inlineStr">
        <is>
          <t>Buttons</t>
        </is>
      </c>
      <c r="I1006" s="104" t="n"/>
      <c r="J1006" s="104" t="n"/>
      <c r="K1006" s="104" t="n"/>
      <c r="L1006" s="104" t="n"/>
      <c r="M1006" s="104" t="n"/>
      <c r="N1006" s="104" t="n"/>
      <c r="O1006" s="104" t="n"/>
      <c r="P1006" s="104" t="n"/>
      <c r="Q1006" s="104" t="n"/>
      <c r="R1006" s="104" t="n"/>
      <c r="S1006" s="110" t="n"/>
      <c r="T1006" s="110" t="n"/>
      <c r="U1006" s="104" t="n"/>
    </row>
    <row r="1007">
      <c r="A1007" s="104" t="inlineStr">
        <is>
          <t>GUIDE001006</t>
        </is>
      </c>
      <c r="B1007" s="101" t="inlineStr">
        <is>
          <t>DEV000018</t>
        </is>
      </c>
      <c r="C1007" s="103" t="inlineStr">
        <is>
          <t>APL</t>
        </is>
      </c>
      <c r="D1007" s="103" t="inlineStr">
        <is>
          <t>PHN</t>
        </is>
      </c>
      <c r="E1007" s="60" t="inlineStr">
        <is>
          <t>iPhone X</t>
        </is>
      </c>
      <c r="F1007" s="104" t="inlineStr">
        <is>
          <t>SVC000023</t>
        </is>
      </c>
      <c r="G1007" s="104" t="inlineStr">
        <is>
          <t>Home Button Repair</t>
        </is>
      </c>
      <c r="H1007" s="104" t="inlineStr">
        <is>
          <t>Buttons</t>
        </is>
      </c>
      <c r="I1007" s="104" t="n"/>
      <c r="J1007" s="104" t="n"/>
      <c r="K1007" s="104" t="n"/>
      <c r="L1007" s="104" t="n"/>
      <c r="M1007" s="104" t="n"/>
      <c r="N1007" s="104" t="n"/>
      <c r="O1007" s="104" t="n"/>
      <c r="P1007" s="104" t="n"/>
      <c r="Q1007" s="104" t="n"/>
      <c r="R1007" s="104" t="n"/>
      <c r="S1007" s="110" t="n"/>
      <c r="T1007" s="110" t="n"/>
      <c r="U1007" s="104" t="n"/>
    </row>
    <row r="1008">
      <c r="A1008" s="104" t="inlineStr">
        <is>
          <t>GUIDE001007</t>
        </is>
      </c>
      <c r="B1008" s="101" t="inlineStr">
        <is>
          <t>DEV000019</t>
        </is>
      </c>
      <c r="C1008" s="103" t="inlineStr">
        <is>
          <t>APL</t>
        </is>
      </c>
      <c r="D1008" s="103" t="inlineStr">
        <is>
          <t>PHN</t>
        </is>
      </c>
      <c r="E1008" s="60" t="inlineStr">
        <is>
          <t>iPhone XR</t>
        </is>
      </c>
      <c r="F1008" s="104" t="inlineStr">
        <is>
          <t>SVC000023</t>
        </is>
      </c>
      <c r="G1008" s="104" t="inlineStr">
        <is>
          <t>Home Button Repair</t>
        </is>
      </c>
      <c r="H1008" s="104" t="inlineStr">
        <is>
          <t>Buttons</t>
        </is>
      </c>
      <c r="I1008" s="104" t="n"/>
      <c r="J1008" s="104" t="n"/>
      <c r="K1008" s="104" t="n"/>
      <c r="L1008" s="104" t="n"/>
      <c r="M1008" s="104" t="n"/>
      <c r="N1008" s="104" t="n"/>
      <c r="O1008" s="104" t="n"/>
      <c r="P1008" s="104" t="n"/>
      <c r="Q1008" s="104" t="n"/>
      <c r="R1008" s="104" t="n"/>
      <c r="S1008" s="110" t="n"/>
      <c r="T1008" s="110" t="n"/>
      <c r="U1008" s="104" t="n"/>
    </row>
    <row r="1009">
      <c r="A1009" s="104" t="inlineStr">
        <is>
          <t>GUIDE001008</t>
        </is>
      </c>
      <c r="B1009" s="101" t="inlineStr">
        <is>
          <t>DEV000020</t>
        </is>
      </c>
      <c r="C1009" s="103" t="inlineStr">
        <is>
          <t>APL</t>
        </is>
      </c>
      <c r="D1009" s="103" t="inlineStr">
        <is>
          <t>PHN</t>
        </is>
      </c>
      <c r="E1009" s="60" t="inlineStr">
        <is>
          <t>iPhone XS</t>
        </is>
      </c>
      <c r="F1009" s="104" t="inlineStr">
        <is>
          <t>SVC000023</t>
        </is>
      </c>
      <c r="G1009" s="104" t="inlineStr">
        <is>
          <t>Home Button Repair</t>
        </is>
      </c>
      <c r="H1009" s="104" t="inlineStr">
        <is>
          <t>Buttons</t>
        </is>
      </c>
      <c r="I1009" s="104" t="n"/>
      <c r="J1009" s="104" t="n"/>
      <c r="K1009" s="104" t="n"/>
      <c r="L1009" s="104" t="n"/>
      <c r="M1009" s="104" t="n"/>
      <c r="N1009" s="104" t="n"/>
      <c r="O1009" s="104" t="n"/>
      <c r="P1009" s="104" t="n"/>
      <c r="Q1009" s="104" t="n"/>
      <c r="R1009" s="104" t="n"/>
      <c r="S1009" s="110" t="n"/>
      <c r="T1009" s="110" t="n"/>
      <c r="U1009" s="104" t="n"/>
    </row>
    <row r="1010">
      <c r="A1010" s="104" t="inlineStr">
        <is>
          <t>GUIDE001009</t>
        </is>
      </c>
      <c r="B1010" s="101" t="inlineStr">
        <is>
          <t>DEV000021</t>
        </is>
      </c>
      <c r="C1010" s="103" t="inlineStr">
        <is>
          <t>APL</t>
        </is>
      </c>
      <c r="D1010" s="103" t="inlineStr">
        <is>
          <t>PHN</t>
        </is>
      </c>
      <c r="E1010" s="60" t="inlineStr">
        <is>
          <t>iPhone XS Max</t>
        </is>
      </c>
      <c r="F1010" s="104" t="inlineStr">
        <is>
          <t>SVC000023</t>
        </is>
      </c>
      <c r="G1010" s="104" t="inlineStr">
        <is>
          <t>Home Button Repair</t>
        </is>
      </c>
      <c r="H1010" s="104" t="inlineStr">
        <is>
          <t>Buttons</t>
        </is>
      </c>
      <c r="I1010" s="104" t="n"/>
      <c r="J1010" s="104" t="n"/>
      <c r="K1010" s="104" t="n"/>
      <c r="L1010" s="104" t="n"/>
      <c r="M1010" s="104" t="n"/>
      <c r="N1010" s="104" t="n"/>
      <c r="O1010" s="104" t="n"/>
      <c r="P1010" s="104" t="n"/>
      <c r="Q1010" s="104" t="n"/>
      <c r="R1010" s="104" t="n"/>
      <c r="S1010" s="110" t="n"/>
      <c r="T1010" s="110" t="n"/>
      <c r="U1010" s="104" t="n"/>
    </row>
    <row r="1011">
      <c r="A1011" s="105" t="inlineStr">
        <is>
          <t>GUIDE001010</t>
        </is>
      </c>
      <c r="B1011" s="101" t="inlineStr">
        <is>
          <t>DEV000022</t>
        </is>
      </c>
      <c r="C1011" s="103" t="inlineStr">
        <is>
          <t>APL</t>
        </is>
      </c>
      <c r="D1011" s="103" t="inlineStr">
        <is>
          <t>PHN</t>
        </is>
      </c>
      <c r="E1011" s="60" t="inlineStr">
        <is>
          <t>iPhone 11</t>
        </is>
      </c>
      <c r="F1011" s="104" t="inlineStr">
        <is>
          <t>SVC000023</t>
        </is>
      </c>
      <c r="G1011" s="104" t="inlineStr">
        <is>
          <t>Home Button Repair</t>
        </is>
      </c>
      <c r="H1011" s="104" t="inlineStr">
        <is>
          <t>Buttons</t>
        </is>
      </c>
      <c r="I1011" s="104" t="n"/>
      <c r="J1011" s="104" t="n"/>
      <c r="K1011" s="104" t="n"/>
      <c r="L1011" s="104" t="n"/>
      <c r="M1011" s="104" t="n"/>
      <c r="N1011" s="104" t="n"/>
      <c r="O1011" s="104" t="n"/>
      <c r="P1011" s="104" t="n"/>
      <c r="Q1011" s="104" t="n"/>
      <c r="R1011" s="104" t="n"/>
      <c r="S1011" s="110" t="n"/>
      <c r="T1011" s="110" t="n"/>
      <c r="U1011" s="104" t="n"/>
    </row>
    <row r="1012">
      <c r="A1012" s="104" t="inlineStr">
        <is>
          <t>GUIDE001011</t>
        </is>
      </c>
      <c r="B1012" s="101" t="inlineStr">
        <is>
          <t>DEV000023</t>
        </is>
      </c>
      <c r="C1012" s="103" t="inlineStr">
        <is>
          <t>APL</t>
        </is>
      </c>
      <c r="D1012" s="103" t="inlineStr">
        <is>
          <t>PHN</t>
        </is>
      </c>
      <c r="E1012" s="60" t="inlineStr">
        <is>
          <t>iPhone 11 Pro</t>
        </is>
      </c>
      <c r="F1012" s="104" t="inlineStr">
        <is>
          <t>SVC000023</t>
        </is>
      </c>
      <c r="G1012" s="104" t="inlineStr">
        <is>
          <t>Home Button Repair</t>
        </is>
      </c>
      <c r="H1012" s="104" t="inlineStr">
        <is>
          <t>Buttons</t>
        </is>
      </c>
      <c r="I1012" s="104" t="n"/>
      <c r="J1012" s="104" t="n"/>
      <c r="K1012" s="104" t="n"/>
      <c r="L1012" s="104" t="n"/>
      <c r="M1012" s="104" t="n"/>
      <c r="N1012" s="104" t="n"/>
      <c r="O1012" s="104" t="n"/>
      <c r="P1012" s="104" t="n"/>
      <c r="Q1012" s="104" t="n"/>
      <c r="R1012" s="104" t="n"/>
      <c r="S1012" s="110" t="n"/>
      <c r="T1012" s="110" t="n"/>
      <c r="U1012" s="104" t="n"/>
    </row>
    <row r="1013">
      <c r="A1013" s="104" t="inlineStr">
        <is>
          <t>GUIDE001012</t>
        </is>
      </c>
      <c r="B1013" s="101" t="inlineStr">
        <is>
          <t>DEV000024</t>
        </is>
      </c>
      <c r="C1013" s="103" t="inlineStr">
        <is>
          <t>APL</t>
        </is>
      </c>
      <c r="D1013" s="103" t="inlineStr">
        <is>
          <t>PHN</t>
        </is>
      </c>
      <c r="E1013" s="60" t="inlineStr">
        <is>
          <t>iPhone 11 Pro Max</t>
        </is>
      </c>
      <c r="F1013" s="104" t="inlineStr">
        <is>
          <t>SVC000023</t>
        </is>
      </c>
      <c r="G1013" s="104" t="inlineStr">
        <is>
          <t>Home Button Repair</t>
        </is>
      </c>
      <c r="H1013" s="104" t="inlineStr">
        <is>
          <t>Buttons</t>
        </is>
      </c>
      <c r="I1013" s="104" t="n"/>
      <c r="J1013" s="104" t="n"/>
      <c r="K1013" s="104" t="n"/>
      <c r="L1013" s="104" t="n"/>
      <c r="M1013" s="104" t="n"/>
      <c r="N1013" s="104" t="n"/>
      <c r="O1013" s="104" t="n"/>
      <c r="P1013" s="104" t="n"/>
      <c r="Q1013" s="104" t="n"/>
      <c r="R1013" s="104" t="n"/>
      <c r="S1013" s="110" t="n"/>
      <c r="T1013" s="110" t="n"/>
      <c r="U1013" s="104" t="n"/>
    </row>
    <row r="1014">
      <c r="A1014" s="104" t="inlineStr">
        <is>
          <t>GUIDE001013</t>
        </is>
      </c>
      <c r="B1014" s="101" t="inlineStr">
        <is>
          <t>DEV000025</t>
        </is>
      </c>
      <c r="C1014" s="103" t="inlineStr">
        <is>
          <t>APL</t>
        </is>
      </c>
      <c r="D1014" s="103" t="inlineStr">
        <is>
          <t>PHN</t>
        </is>
      </c>
      <c r="E1014" s="60" t="inlineStr">
        <is>
          <t>iPhone SE (2nd Generation)</t>
        </is>
      </c>
      <c r="F1014" s="104" t="inlineStr">
        <is>
          <t>SVC000023</t>
        </is>
      </c>
      <c r="G1014" s="104" t="inlineStr">
        <is>
          <t>Home Button Repair</t>
        </is>
      </c>
      <c r="H1014" s="104" t="inlineStr">
        <is>
          <t>Buttons</t>
        </is>
      </c>
      <c r="I1014" s="104" t="n"/>
      <c r="J1014" s="104" t="n"/>
      <c r="K1014" s="104" t="n"/>
      <c r="L1014" s="104" t="n"/>
      <c r="M1014" s="104" t="n"/>
      <c r="N1014" s="104" t="n"/>
      <c r="O1014" s="104" t="n"/>
      <c r="P1014" s="104" t="n"/>
      <c r="Q1014" s="104" t="n"/>
      <c r="R1014" s="104" t="n"/>
      <c r="S1014" s="110" t="n"/>
      <c r="T1014" s="110" t="n"/>
      <c r="U1014" s="104" t="n"/>
    </row>
    <row r="1015">
      <c r="A1015" s="105" t="inlineStr">
        <is>
          <t>GUIDE001014</t>
        </is>
      </c>
      <c r="B1015" s="101" t="inlineStr">
        <is>
          <t>DEV000026</t>
        </is>
      </c>
      <c r="C1015" s="103" t="inlineStr">
        <is>
          <t>APL</t>
        </is>
      </c>
      <c r="D1015" s="103" t="inlineStr">
        <is>
          <t>PHN</t>
        </is>
      </c>
      <c r="E1015" s="60" t="inlineStr">
        <is>
          <t>iPhone 12 mini</t>
        </is>
      </c>
      <c r="F1015" s="104" t="inlineStr">
        <is>
          <t>SVC000023</t>
        </is>
      </c>
      <c r="G1015" s="104" t="inlineStr">
        <is>
          <t>Home Button Repair</t>
        </is>
      </c>
      <c r="H1015" s="104" t="inlineStr">
        <is>
          <t>Buttons</t>
        </is>
      </c>
      <c r="I1015" s="104" t="n"/>
      <c r="J1015" s="104" t="n"/>
      <c r="K1015" s="104" t="n"/>
      <c r="L1015" s="104" t="n"/>
      <c r="M1015" s="104" t="n"/>
      <c r="N1015" s="104" t="n"/>
      <c r="O1015" s="104" t="n"/>
      <c r="P1015" s="104" t="n"/>
      <c r="Q1015" s="104" t="n"/>
      <c r="R1015" s="104" t="n"/>
      <c r="S1015" s="110" t="n"/>
      <c r="T1015" s="110" t="n"/>
      <c r="U1015" s="104" t="n"/>
    </row>
    <row r="1016">
      <c r="A1016" s="104" t="inlineStr">
        <is>
          <t>GUIDE001015</t>
        </is>
      </c>
      <c r="B1016" s="101" t="inlineStr">
        <is>
          <t>DEV000027</t>
        </is>
      </c>
      <c r="C1016" s="103" t="inlineStr">
        <is>
          <t>APL</t>
        </is>
      </c>
      <c r="D1016" s="103" t="inlineStr">
        <is>
          <t>PHN</t>
        </is>
      </c>
      <c r="E1016" s="60" t="inlineStr">
        <is>
          <t>iPhone 12</t>
        </is>
      </c>
      <c r="F1016" s="104" t="inlineStr">
        <is>
          <t>SVC000023</t>
        </is>
      </c>
      <c r="G1016" s="104" t="inlineStr">
        <is>
          <t>Home Button Repair</t>
        </is>
      </c>
      <c r="H1016" s="104" t="inlineStr">
        <is>
          <t>Buttons</t>
        </is>
      </c>
      <c r="I1016" s="104" t="n"/>
      <c r="J1016" s="104" t="n"/>
      <c r="K1016" s="104" t="n"/>
      <c r="L1016" s="104" t="n"/>
      <c r="M1016" s="104" t="n"/>
      <c r="N1016" s="104" t="n"/>
      <c r="O1016" s="104" t="n"/>
      <c r="P1016" s="104" t="n"/>
      <c r="Q1016" s="104" t="n"/>
      <c r="R1016" s="104" t="n"/>
      <c r="S1016" s="110" t="n"/>
      <c r="T1016" s="110" t="n"/>
      <c r="U1016" s="104" t="n"/>
    </row>
    <row r="1017">
      <c r="A1017" s="104" t="inlineStr">
        <is>
          <t>GUIDE001016</t>
        </is>
      </c>
      <c r="B1017" s="101" t="inlineStr">
        <is>
          <t>DEV000028</t>
        </is>
      </c>
      <c r="C1017" s="103" t="inlineStr">
        <is>
          <t>APL</t>
        </is>
      </c>
      <c r="D1017" s="103" t="inlineStr">
        <is>
          <t>PHN</t>
        </is>
      </c>
      <c r="E1017" s="60" t="inlineStr">
        <is>
          <t>iPhone 12 Pro</t>
        </is>
      </c>
      <c r="F1017" s="104" t="inlineStr">
        <is>
          <t>SVC000023</t>
        </is>
      </c>
      <c r="G1017" s="104" t="inlineStr">
        <is>
          <t>Home Button Repair</t>
        </is>
      </c>
      <c r="H1017" s="104" t="inlineStr">
        <is>
          <t>Buttons</t>
        </is>
      </c>
      <c r="I1017" s="104" t="n"/>
      <c r="J1017" s="104" t="n"/>
      <c r="K1017" s="104" t="n"/>
      <c r="L1017" s="104" t="n"/>
      <c r="M1017" s="104" t="n"/>
      <c r="N1017" s="104" t="n"/>
      <c r="O1017" s="104" t="n"/>
      <c r="P1017" s="104" t="n"/>
      <c r="Q1017" s="104" t="n"/>
      <c r="R1017" s="104" t="n"/>
      <c r="S1017" s="110" t="n"/>
      <c r="T1017" s="110" t="n"/>
      <c r="U1017" s="104" t="n"/>
    </row>
    <row r="1018">
      <c r="A1018" s="104" t="inlineStr">
        <is>
          <t>GUIDE001017</t>
        </is>
      </c>
      <c r="B1018" s="101" t="inlineStr">
        <is>
          <t>DEV000029</t>
        </is>
      </c>
      <c r="C1018" s="103" t="inlineStr">
        <is>
          <t>APL</t>
        </is>
      </c>
      <c r="D1018" s="103" t="inlineStr">
        <is>
          <t>PHN</t>
        </is>
      </c>
      <c r="E1018" s="60" t="inlineStr">
        <is>
          <t>iPhone 12 Pro Max</t>
        </is>
      </c>
      <c r="F1018" s="104" t="inlineStr">
        <is>
          <t>SVC000023</t>
        </is>
      </c>
      <c r="G1018" s="104" t="inlineStr">
        <is>
          <t>Home Button Repair</t>
        </is>
      </c>
      <c r="H1018" s="104" t="inlineStr">
        <is>
          <t>Buttons</t>
        </is>
      </c>
      <c r="I1018" s="104" t="n"/>
      <c r="J1018" s="104" t="n"/>
      <c r="K1018" s="104" t="n"/>
      <c r="L1018" s="104" t="n"/>
      <c r="M1018" s="104" t="n"/>
      <c r="N1018" s="104" t="n"/>
      <c r="O1018" s="104" t="n"/>
      <c r="P1018" s="104" t="n"/>
      <c r="Q1018" s="104" t="n"/>
      <c r="R1018" s="104" t="n"/>
      <c r="S1018" s="110" t="n"/>
      <c r="T1018" s="110" t="n"/>
      <c r="U1018" s="104" t="n"/>
    </row>
    <row r="1019">
      <c r="A1019" s="104" t="inlineStr">
        <is>
          <t>GUIDE001018</t>
        </is>
      </c>
      <c r="B1019" s="101" t="inlineStr">
        <is>
          <t>DEV000030</t>
        </is>
      </c>
      <c r="C1019" s="103" t="inlineStr">
        <is>
          <t>APL</t>
        </is>
      </c>
      <c r="D1019" s="103" t="inlineStr">
        <is>
          <t>PHN</t>
        </is>
      </c>
      <c r="E1019" s="60" t="inlineStr">
        <is>
          <t>iPhone 13 mini</t>
        </is>
      </c>
      <c r="F1019" s="104" t="inlineStr">
        <is>
          <t>SVC000023</t>
        </is>
      </c>
      <c r="G1019" s="104" t="inlineStr">
        <is>
          <t>Home Button Repair</t>
        </is>
      </c>
      <c r="H1019" s="104" t="inlineStr">
        <is>
          <t>Buttons</t>
        </is>
      </c>
      <c r="I1019" s="104" t="n"/>
      <c r="J1019" s="104" t="n"/>
      <c r="K1019" s="104" t="n"/>
      <c r="L1019" s="104" t="n"/>
      <c r="M1019" s="104" t="n"/>
      <c r="N1019" s="104" t="n"/>
      <c r="O1019" s="104" t="n"/>
      <c r="P1019" s="104" t="n"/>
      <c r="Q1019" s="104" t="n"/>
      <c r="R1019" s="104" t="n"/>
      <c r="S1019" s="110" t="n"/>
      <c r="T1019" s="110" t="n"/>
      <c r="U1019" s="104" t="n"/>
    </row>
    <row r="1020">
      <c r="A1020" s="105" t="inlineStr">
        <is>
          <t>GUIDE001019</t>
        </is>
      </c>
      <c r="B1020" s="101" t="inlineStr">
        <is>
          <t>DEV000031</t>
        </is>
      </c>
      <c r="C1020" s="103" t="inlineStr">
        <is>
          <t>APL</t>
        </is>
      </c>
      <c r="D1020" s="103" t="inlineStr">
        <is>
          <t>PHN</t>
        </is>
      </c>
      <c r="E1020" s="60" t="inlineStr">
        <is>
          <t>iPhone 13</t>
        </is>
      </c>
      <c r="F1020" s="104" t="inlineStr">
        <is>
          <t>SVC000023</t>
        </is>
      </c>
      <c r="G1020" s="104" t="inlineStr">
        <is>
          <t>Home Button Repair</t>
        </is>
      </c>
      <c r="H1020" s="104" t="inlineStr">
        <is>
          <t>Buttons</t>
        </is>
      </c>
      <c r="I1020" s="104" t="n"/>
      <c r="J1020" s="104" t="n"/>
      <c r="K1020" s="104" t="n"/>
      <c r="L1020" s="104" t="n"/>
      <c r="M1020" s="104" t="n"/>
      <c r="N1020" s="104" t="n"/>
      <c r="O1020" s="104" t="n"/>
      <c r="P1020" s="104" t="n"/>
      <c r="Q1020" s="104" t="n"/>
      <c r="R1020" s="104" t="n"/>
      <c r="S1020" s="110" t="n"/>
      <c r="T1020" s="110" t="n"/>
      <c r="U1020" s="104" t="n"/>
    </row>
    <row r="1021">
      <c r="A1021" s="104" t="inlineStr">
        <is>
          <t>GUIDE001020</t>
        </is>
      </c>
      <c r="B1021" s="101" t="inlineStr">
        <is>
          <t>DEV000032</t>
        </is>
      </c>
      <c r="C1021" s="103" t="inlineStr">
        <is>
          <t>APL</t>
        </is>
      </c>
      <c r="D1021" s="103" t="inlineStr">
        <is>
          <t>PHN</t>
        </is>
      </c>
      <c r="E1021" s="60" t="inlineStr">
        <is>
          <t>iPhone 13 Pro</t>
        </is>
      </c>
      <c r="F1021" s="104" t="inlineStr">
        <is>
          <t>SVC000023</t>
        </is>
      </c>
      <c r="G1021" s="104" t="inlineStr">
        <is>
          <t>Home Button Repair</t>
        </is>
      </c>
      <c r="H1021" s="104" t="inlineStr">
        <is>
          <t>Buttons</t>
        </is>
      </c>
      <c r="I1021" s="104" t="n"/>
      <c r="J1021" s="104" t="n"/>
      <c r="K1021" s="104" t="n"/>
      <c r="L1021" s="104" t="n"/>
      <c r="M1021" s="104" t="n"/>
      <c r="N1021" s="104" t="n"/>
      <c r="O1021" s="104" t="n"/>
      <c r="P1021" s="104" t="n"/>
      <c r="Q1021" s="104" t="n"/>
      <c r="R1021" s="104" t="n"/>
      <c r="S1021" s="110" t="n"/>
      <c r="T1021" s="110" t="n"/>
      <c r="U1021" s="104" t="n"/>
    </row>
    <row r="1022">
      <c r="A1022" s="104" t="inlineStr">
        <is>
          <t>GUIDE001021</t>
        </is>
      </c>
      <c r="B1022" s="101" t="inlineStr">
        <is>
          <t>DEV000033</t>
        </is>
      </c>
      <c r="C1022" s="103" t="inlineStr">
        <is>
          <t>APL</t>
        </is>
      </c>
      <c r="D1022" s="103" t="inlineStr">
        <is>
          <t>PHN</t>
        </is>
      </c>
      <c r="E1022" s="60" t="inlineStr">
        <is>
          <t>iPhone 13 Pro Max</t>
        </is>
      </c>
      <c r="F1022" s="104" t="inlineStr">
        <is>
          <t>SVC000023</t>
        </is>
      </c>
      <c r="G1022" s="104" t="inlineStr">
        <is>
          <t>Home Button Repair</t>
        </is>
      </c>
      <c r="H1022" s="104" t="inlineStr">
        <is>
          <t>Buttons</t>
        </is>
      </c>
      <c r="I1022" s="104" t="n"/>
      <c r="J1022" s="104" t="n"/>
      <c r="K1022" s="104" t="n"/>
      <c r="L1022" s="104" t="n"/>
      <c r="M1022" s="104" t="n"/>
      <c r="N1022" s="104" t="n"/>
      <c r="O1022" s="104" t="n"/>
      <c r="P1022" s="104" t="n"/>
      <c r="Q1022" s="104" t="n"/>
      <c r="R1022" s="104" t="n"/>
      <c r="S1022" s="110" t="n"/>
      <c r="T1022" s="110" t="n"/>
      <c r="U1022" s="104" t="n"/>
    </row>
    <row r="1023">
      <c r="A1023" s="104" t="inlineStr">
        <is>
          <t>GUIDE001022</t>
        </is>
      </c>
      <c r="B1023" s="101" t="inlineStr">
        <is>
          <t>DEV000034</t>
        </is>
      </c>
      <c r="C1023" s="103" t="inlineStr">
        <is>
          <t>APL</t>
        </is>
      </c>
      <c r="D1023" s="103" t="inlineStr">
        <is>
          <t>PHN</t>
        </is>
      </c>
      <c r="E1023" s="60" t="inlineStr">
        <is>
          <t>iPhone SE (3rd Generation)</t>
        </is>
      </c>
      <c r="F1023" s="104" t="inlineStr">
        <is>
          <t>SVC000023</t>
        </is>
      </c>
      <c r="G1023" s="104" t="inlineStr">
        <is>
          <t>Home Button Repair</t>
        </is>
      </c>
      <c r="H1023" s="104" t="inlineStr">
        <is>
          <t>Buttons</t>
        </is>
      </c>
      <c r="I1023" s="104" t="n"/>
      <c r="J1023" s="104" t="n"/>
      <c r="K1023" s="104" t="n"/>
      <c r="L1023" s="104" t="n"/>
      <c r="M1023" s="104" t="n"/>
      <c r="N1023" s="104" t="n"/>
      <c r="O1023" s="104" t="n"/>
      <c r="P1023" s="104" t="n"/>
      <c r="Q1023" s="104" t="n"/>
      <c r="R1023" s="104" t="n"/>
      <c r="S1023" s="110" t="n"/>
      <c r="T1023" s="110" t="n"/>
      <c r="U1023" s="104" t="n"/>
    </row>
    <row r="1024">
      <c r="A1024" s="105" t="inlineStr">
        <is>
          <t>GUIDE001023</t>
        </is>
      </c>
      <c r="B1024" s="101" t="inlineStr">
        <is>
          <t>DEV000035</t>
        </is>
      </c>
      <c r="C1024" s="103" t="inlineStr">
        <is>
          <t>APL</t>
        </is>
      </c>
      <c r="D1024" s="103" t="inlineStr">
        <is>
          <t>PHN</t>
        </is>
      </c>
      <c r="E1024" s="60" t="inlineStr">
        <is>
          <t>iPhone 14</t>
        </is>
      </c>
      <c r="F1024" s="104" t="inlineStr">
        <is>
          <t>SVC000023</t>
        </is>
      </c>
      <c r="G1024" s="104" t="inlineStr">
        <is>
          <t>Home Button Repair</t>
        </is>
      </c>
      <c r="H1024" s="104" t="inlineStr">
        <is>
          <t>Buttons</t>
        </is>
      </c>
      <c r="I1024" s="104" t="n"/>
      <c r="J1024" s="104" t="n"/>
      <c r="K1024" s="104" t="n"/>
      <c r="L1024" s="104" t="n"/>
      <c r="M1024" s="104" t="n"/>
      <c r="N1024" s="104" t="n"/>
      <c r="O1024" s="104" t="n"/>
      <c r="P1024" s="104" t="n"/>
      <c r="Q1024" s="104" t="n"/>
      <c r="R1024" s="104" t="n"/>
      <c r="S1024" s="110" t="n"/>
      <c r="T1024" s="110" t="n"/>
      <c r="U1024" s="104" t="n"/>
    </row>
    <row r="1025">
      <c r="A1025" s="104" t="inlineStr">
        <is>
          <t>GUIDE001024</t>
        </is>
      </c>
      <c r="B1025" s="101" t="inlineStr">
        <is>
          <t>DEV000036</t>
        </is>
      </c>
      <c r="C1025" s="103" t="inlineStr">
        <is>
          <t>APL</t>
        </is>
      </c>
      <c r="D1025" s="103" t="inlineStr">
        <is>
          <t>PHN</t>
        </is>
      </c>
      <c r="E1025" s="60" t="inlineStr">
        <is>
          <t>iPhone 14 Plus</t>
        </is>
      </c>
      <c r="F1025" s="104" t="inlineStr">
        <is>
          <t>SVC000023</t>
        </is>
      </c>
      <c r="G1025" s="104" t="inlineStr">
        <is>
          <t>Home Button Repair</t>
        </is>
      </c>
      <c r="H1025" s="104" t="inlineStr">
        <is>
          <t>Buttons</t>
        </is>
      </c>
      <c r="I1025" s="104" t="n"/>
      <c r="J1025" s="104" t="n"/>
      <c r="K1025" s="104" t="n"/>
      <c r="L1025" s="104" t="n"/>
      <c r="M1025" s="104" t="n"/>
      <c r="N1025" s="104" t="n"/>
      <c r="O1025" s="104" t="n"/>
      <c r="P1025" s="104" t="n"/>
      <c r="Q1025" s="104" t="n"/>
      <c r="R1025" s="104" t="n"/>
      <c r="S1025" s="110" t="n"/>
      <c r="T1025" s="110" t="n"/>
      <c r="U1025" s="104" t="n"/>
    </row>
    <row r="1026">
      <c r="A1026" s="104" t="inlineStr">
        <is>
          <t>GUIDE001025</t>
        </is>
      </c>
      <c r="B1026" s="101" t="inlineStr">
        <is>
          <t>DEV000037</t>
        </is>
      </c>
      <c r="C1026" s="103" t="inlineStr">
        <is>
          <t>APL</t>
        </is>
      </c>
      <c r="D1026" s="103" t="inlineStr">
        <is>
          <t>PHN</t>
        </is>
      </c>
      <c r="E1026" s="60" t="inlineStr">
        <is>
          <t>iPhone 14 Pro</t>
        </is>
      </c>
      <c r="F1026" s="104" t="inlineStr">
        <is>
          <t>SVC000023</t>
        </is>
      </c>
      <c r="G1026" s="104" t="inlineStr">
        <is>
          <t>Home Button Repair</t>
        </is>
      </c>
      <c r="H1026" s="104" t="inlineStr">
        <is>
          <t>Buttons</t>
        </is>
      </c>
      <c r="I1026" s="104" t="n"/>
      <c r="J1026" s="104" t="n"/>
      <c r="K1026" s="104" t="n"/>
      <c r="L1026" s="104" t="n"/>
      <c r="M1026" s="104" t="n"/>
      <c r="N1026" s="104" t="n"/>
      <c r="O1026" s="104" t="n"/>
      <c r="P1026" s="104" t="n"/>
      <c r="Q1026" s="104" t="n"/>
      <c r="R1026" s="104" t="n"/>
      <c r="S1026" s="110" t="n"/>
      <c r="T1026" s="110" t="n"/>
      <c r="U1026" s="104" t="n"/>
    </row>
    <row r="1027">
      <c r="A1027" s="104" t="inlineStr">
        <is>
          <t>GUIDE001026</t>
        </is>
      </c>
      <c r="B1027" s="101" t="inlineStr">
        <is>
          <t>DEV000038</t>
        </is>
      </c>
      <c r="C1027" s="103" t="inlineStr">
        <is>
          <t>APL</t>
        </is>
      </c>
      <c r="D1027" s="103" t="inlineStr">
        <is>
          <t>PHN</t>
        </is>
      </c>
      <c r="E1027" s="60" t="inlineStr">
        <is>
          <t>iPhone 14 Pro Max</t>
        </is>
      </c>
      <c r="F1027" s="104" t="inlineStr">
        <is>
          <t>SVC000023</t>
        </is>
      </c>
      <c r="G1027" s="104" t="inlineStr">
        <is>
          <t>Home Button Repair</t>
        </is>
      </c>
      <c r="H1027" s="104" t="inlineStr">
        <is>
          <t>Buttons</t>
        </is>
      </c>
      <c r="I1027" s="104" t="n"/>
      <c r="J1027" s="104" t="n"/>
      <c r="K1027" s="104" t="n"/>
      <c r="L1027" s="104" t="n"/>
      <c r="M1027" s="104" t="n"/>
      <c r="N1027" s="104" t="n"/>
      <c r="O1027" s="104" t="n"/>
      <c r="P1027" s="104" t="n"/>
      <c r="Q1027" s="104" t="n"/>
      <c r="R1027" s="104" t="n"/>
      <c r="S1027" s="110" t="n"/>
      <c r="T1027" s="110" t="n"/>
      <c r="U1027" s="104" t="n"/>
    </row>
    <row r="1028">
      <c r="A1028" s="104" t="inlineStr">
        <is>
          <t>GUIDE001027</t>
        </is>
      </c>
      <c r="B1028" s="101" t="inlineStr">
        <is>
          <t>DEV000039</t>
        </is>
      </c>
      <c r="C1028" s="103" t="inlineStr">
        <is>
          <t>APL</t>
        </is>
      </c>
      <c r="D1028" s="103" t="inlineStr">
        <is>
          <t>PHN</t>
        </is>
      </c>
      <c r="E1028" s="60" t="inlineStr">
        <is>
          <t>iPhone 15</t>
        </is>
      </c>
      <c r="F1028" s="104" t="inlineStr">
        <is>
          <t>SVC000023</t>
        </is>
      </c>
      <c r="G1028" s="104" t="inlineStr">
        <is>
          <t>Home Button Repair</t>
        </is>
      </c>
      <c r="H1028" s="104" t="inlineStr">
        <is>
          <t>Buttons</t>
        </is>
      </c>
      <c r="I1028" s="104" t="n"/>
      <c r="J1028" s="104" t="n"/>
      <c r="K1028" s="104" t="n"/>
      <c r="L1028" s="104" t="n"/>
      <c r="M1028" s="104" t="n"/>
      <c r="N1028" s="104" t="n"/>
      <c r="O1028" s="104" t="n"/>
      <c r="P1028" s="104" t="n"/>
      <c r="Q1028" s="104" t="n"/>
      <c r="R1028" s="104" t="n"/>
      <c r="S1028" s="110" t="n"/>
      <c r="T1028" s="110" t="n"/>
      <c r="U1028" s="104" t="n"/>
    </row>
    <row r="1029">
      <c r="A1029" s="105" t="inlineStr">
        <is>
          <t>GUIDE001028</t>
        </is>
      </c>
      <c r="B1029" s="101" t="inlineStr">
        <is>
          <t>DEV000040</t>
        </is>
      </c>
      <c r="C1029" s="103" t="inlineStr">
        <is>
          <t>APL</t>
        </is>
      </c>
      <c r="D1029" s="103" t="inlineStr">
        <is>
          <t>PHN</t>
        </is>
      </c>
      <c r="E1029" s="60" t="inlineStr">
        <is>
          <t>iPhone 15 Plus</t>
        </is>
      </c>
      <c r="F1029" s="104" t="inlineStr">
        <is>
          <t>SVC000023</t>
        </is>
      </c>
      <c r="G1029" s="104" t="inlineStr">
        <is>
          <t>Home Button Repair</t>
        </is>
      </c>
      <c r="H1029" s="104" t="inlineStr">
        <is>
          <t>Buttons</t>
        </is>
      </c>
      <c r="I1029" s="104" t="n"/>
      <c r="J1029" s="104" t="n"/>
      <c r="K1029" s="104" t="n"/>
      <c r="L1029" s="104" t="n"/>
      <c r="M1029" s="104" t="n"/>
      <c r="N1029" s="104" t="n"/>
      <c r="O1029" s="104" t="n"/>
      <c r="P1029" s="104" t="n"/>
      <c r="Q1029" s="104" t="n"/>
      <c r="R1029" s="104" t="n"/>
      <c r="S1029" s="110" t="n"/>
      <c r="T1029" s="110" t="n"/>
      <c r="U1029" s="104" t="n"/>
    </row>
    <row r="1030">
      <c r="A1030" s="104" t="inlineStr">
        <is>
          <t>GUIDE001029</t>
        </is>
      </c>
      <c r="B1030" s="101" t="inlineStr">
        <is>
          <t>DEV000041</t>
        </is>
      </c>
      <c r="C1030" s="103" t="inlineStr">
        <is>
          <t>APL</t>
        </is>
      </c>
      <c r="D1030" s="103" t="inlineStr">
        <is>
          <t>PHN</t>
        </is>
      </c>
      <c r="E1030" s="60" t="inlineStr">
        <is>
          <t>iPhone 15 Pro</t>
        </is>
      </c>
      <c r="F1030" s="104" t="inlineStr">
        <is>
          <t>SVC000023</t>
        </is>
      </c>
      <c r="G1030" s="104" t="inlineStr">
        <is>
          <t>Home Button Repair</t>
        </is>
      </c>
      <c r="H1030" s="104" t="inlineStr">
        <is>
          <t>Buttons</t>
        </is>
      </c>
      <c r="I1030" s="104" t="n"/>
      <c r="J1030" s="104" t="n"/>
      <c r="K1030" s="104" t="n"/>
      <c r="L1030" s="104" t="n"/>
      <c r="M1030" s="104" t="n"/>
      <c r="N1030" s="104" t="n"/>
      <c r="O1030" s="104" t="n"/>
      <c r="P1030" s="104" t="n"/>
      <c r="Q1030" s="104" t="n"/>
      <c r="R1030" s="104" t="n"/>
      <c r="S1030" s="110" t="n"/>
      <c r="T1030" s="110" t="n"/>
      <c r="U1030" s="104" t="n"/>
    </row>
    <row r="1031">
      <c r="A1031" s="104" t="inlineStr">
        <is>
          <t>GUIDE001030</t>
        </is>
      </c>
      <c r="B1031" s="101" t="inlineStr">
        <is>
          <t>DEV000042</t>
        </is>
      </c>
      <c r="C1031" s="103" t="inlineStr">
        <is>
          <t>APL</t>
        </is>
      </c>
      <c r="D1031" s="103" t="inlineStr">
        <is>
          <t>PHN</t>
        </is>
      </c>
      <c r="E1031" s="60" t="inlineStr">
        <is>
          <t>iPhone 15 Pro Max</t>
        </is>
      </c>
      <c r="F1031" s="104" t="inlineStr">
        <is>
          <t>SVC000023</t>
        </is>
      </c>
      <c r="G1031" s="104" t="inlineStr">
        <is>
          <t>Home Button Repair</t>
        </is>
      </c>
      <c r="H1031" s="104" t="inlineStr">
        <is>
          <t>Buttons</t>
        </is>
      </c>
      <c r="I1031" s="104" t="n"/>
      <c r="J1031" s="104" t="n"/>
      <c r="K1031" s="104" t="n"/>
      <c r="L1031" s="104" t="n"/>
      <c r="M1031" s="104" t="n"/>
      <c r="N1031" s="104" t="n"/>
      <c r="O1031" s="104" t="n"/>
      <c r="P1031" s="104" t="n"/>
      <c r="Q1031" s="104" t="n"/>
      <c r="R1031" s="104" t="n"/>
      <c r="S1031" s="110" t="n"/>
      <c r="T1031" s="110" t="n"/>
      <c r="U1031" s="104" t="n"/>
    </row>
    <row r="1032">
      <c r="A1032" s="104" t="inlineStr">
        <is>
          <t>GUIDE001031</t>
        </is>
      </c>
      <c r="B1032" s="101" t="inlineStr">
        <is>
          <t>DEV000043</t>
        </is>
      </c>
      <c r="C1032" s="103" t="inlineStr">
        <is>
          <t>APL</t>
        </is>
      </c>
      <c r="D1032" s="103" t="inlineStr">
        <is>
          <t>PHN</t>
        </is>
      </c>
      <c r="E1032" s="60" t="inlineStr">
        <is>
          <t>iPhone 16</t>
        </is>
      </c>
      <c r="F1032" s="104" t="inlineStr">
        <is>
          <t>SVC000023</t>
        </is>
      </c>
      <c r="G1032" s="104" t="inlineStr">
        <is>
          <t>Home Button Repair</t>
        </is>
      </c>
      <c r="H1032" s="104" t="inlineStr">
        <is>
          <t>Buttons</t>
        </is>
      </c>
      <c r="I1032" s="104" t="n"/>
      <c r="J1032" s="104" t="n"/>
      <c r="K1032" s="104" t="n"/>
      <c r="L1032" s="104" t="n"/>
      <c r="M1032" s="104" t="n"/>
      <c r="N1032" s="104" t="n"/>
      <c r="O1032" s="104" t="n"/>
      <c r="P1032" s="104" t="n"/>
      <c r="Q1032" s="104" t="n"/>
      <c r="R1032" s="104" t="n"/>
      <c r="S1032" s="110" t="n"/>
      <c r="T1032" s="110" t="n"/>
      <c r="U1032" s="104" t="n"/>
    </row>
    <row r="1033">
      <c r="A1033" s="105" t="inlineStr">
        <is>
          <t>GUIDE001032</t>
        </is>
      </c>
      <c r="B1033" s="101" t="inlineStr">
        <is>
          <t>DEV000044</t>
        </is>
      </c>
      <c r="C1033" s="103" t="inlineStr">
        <is>
          <t>APL</t>
        </is>
      </c>
      <c r="D1033" s="103" t="inlineStr">
        <is>
          <t>PHN</t>
        </is>
      </c>
      <c r="E1033" s="60" t="inlineStr">
        <is>
          <t>iPhone 16 Plus</t>
        </is>
      </c>
      <c r="F1033" s="104" t="inlineStr">
        <is>
          <t>SVC000023</t>
        </is>
      </c>
      <c r="G1033" s="104" t="inlineStr">
        <is>
          <t>Home Button Repair</t>
        </is>
      </c>
      <c r="H1033" s="104" t="inlineStr">
        <is>
          <t>Buttons</t>
        </is>
      </c>
      <c r="I1033" s="104" t="n"/>
      <c r="J1033" s="104" t="n"/>
      <c r="K1033" s="104" t="n"/>
      <c r="L1033" s="104" t="n"/>
      <c r="M1033" s="104" t="n"/>
      <c r="N1033" s="104" t="n"/>
      <c r="O1033" s="104" t="n"/>
      <c r="P1033" s="104" t="n"/>
      <c r="Q1033" s="104" t="n"/>
      <c r="R1033" s="104" t="n"/>
      <c r="S1033" s="110" t="n"/>
      <c r="T1033" s="110" t="n"/>
      <c r="U1033" s="104" t="n"/>
    </row>
    <row r="1034">
      <c r="A1034" s="104" t="inlineStr">
        <is>
          <t>GUIDE001033</t>
        </is>
      </c>
      <c r="B1034" s="101" t="inlineStr">
        <is>
          <t>DEV000045</t>
        </is>
      </c>
      <c r="C1034" s="103" t="inlineStr">
        <is>
          <t>APL</t>
        </is>
      </c>
      <c r="D1034" s="103" t="inlineStr">
        <is>
          <t>PHN</t>
        </is>
      </c>
      <c r="E1034" s="60" t="inlineStr">
        <is>
          <t>iPhone 16 Pro</t>
        </is>
      </c>
      <c r="F1034" s="104" t="inlineStr">
        <is>
          <t>SVC000023</t>
        </is>
      </c>
      <c r="G1034" s="104" t="inlineStr">
        <is>
          <t>Home Button Repair</t>
        </is>
      </c>
      <c r="H1034" s="104" t="inlineStr">
        <is>
          <t>Buttons</t>
        </is>
      </c>
      <c r="I1034" s="104" t="n"/>
      <c r="J1034" s="104" t="n"/>
      <c r="K1034" s="104" t="n"/>
      <c r="L1034" s="104" t="n"/>
      <c r="M1034" s="104" t="n"/>
      <c r="N1034" s="104" t="n"/>
      <c r="O1034" s="104" t="n"/>
      <c r="P1034" s="104" t="n"/>
      <c r="Q1034" s="104" t="n"/>
      <c r="R1034" s="104" t="n"/>
      <c r="S1034" s="110" t="n"/>
      <c r="T1034" s="110" t="n"/>
      <c r="U1034" s="104" t="n"/>
    </row>
    <row r="1035">
      <c r="A1035" s="104" t="inlineStr">
        <is>
          <t>GUIDE001034</t>
        </is>
      </c>
      <c r="B1035" s="101" t="inlineStr">
        <is>
          <t>DEV000046</t>
        </is>
      </c>
      <c r="C1035" s="103" t="inlineStr">
        <is>
          <t>APL</t>
        </is>
      </c>
      <c r="D1035" s="103" t="inlineStr">
        <is>
          <t>PHN</t>
        </is>
      </c>
      <c r="E1035" s="60" t="inlineStr">
        <is>
          <t>iPhone 16 Pro Max</t>
        </is>
      </c>
      <c r="F1035" s="104" t="inlineStr">
        <is>
          <t>SVC000023</t>
        </is>
      </c>
      <c r="G1035" s="104" t="inlineStr">
        <is>
          <t>Home Button Repair</t>
        </is>
      </c>
      <c r="H1035" s="104" t="inlineStr">
        <is>
          <t>Buttons</t>
        </is>
      </c>
      <c r="I1035" s="104" t="n"/>
      <c r="J1035" s="104" t="n"/>
      <c r="K1035" s="104" t="n"/>
      <c r="L1035" s="104" t="n"/>
      <c r="M1035" s="104" t="n"/>
      <c r="N1035" s="104" t="n"/>
      <c r="O1035" s="104" t="n"/>
      <c r="P1035" s="104" t="n"/>
      <c r="Q1035" s="104" t="n"/>
      <c r="R1035" s="104" t="n"/>
      <c r="S1035" s="110" t="n"/>
      <c r="T1035" s="110" t="n"/>
      <c r="U1035" s="104" t="n"/>
    </row>
    <row r="1036">
      <c r="A1036" s="104" t="inlineStr">
        <is>
          <t>GUIDE001035</t>
        </is>
      </c>
      <c r="B1036" s="101" t="inlineStr">
        <is>
          <t>DEV000047</t>
        </is>
      </c>
      <c r="C1036" s="103" t="inlineStr">
        <is>
          <t>APL</t>
        </is>
      </c>
      <c r="D1036" s="103" t="inlineStr">
        <is>
          <t>PHN</t>
        </is>
      </c>
      <c r="E1036" s="60" t="inlineStr">
        <is>
          <t>iPhone 16e</t>
        </is>
      </c>
      <c r="F1036" s="104" t="inlineStr">
        <is>
          <t>SVC000023</t>
        </is>
      </c>
      <c r="G1036" s="104" t="inlineStr">
        <is>
          <t>Home Button Repair</t>
        </is>
      </c>
      <c r="H1036" s="104" t="inlineStr">
        <is>
          <t>Buttons</t>
        </is>
      </c>
      <c r="I1036" s="104" t="n"/>
      <c r="J1036" s="104" t="n"/>
      <c r="K1036" s="104" t="n"/>
      <c r="L1036" s="104" t="n"/>
      <c r="M1036" s="104" t="n"/>
      <c r="N1036" s="104" t="n"/>
      <c r="O1036" s="104" t="n"/>
      <c r="P1036" s="104" t="n"/>
      <c r="Q1036" s="104" t="n"/>
      <c r="R1036" s="104" t="n"/>
      <c r="S1036" s="110" t="n"/>
      <c r="T1036" s="110" t="n"/>
      <c r="U1036" s="104" t="n"/>
    </row>
    <row r="1037">
      <c r="A1037" s="104" t="inlineStr">
        <is>
          <t>GUIDE001036</t>
        </is>
      </c>
      <c r="B1037" s="101" t="inlineStr">
        <is>
          <t>DEV000048</t>
        </is>
      </c>
      <c r="C1037" s="103" t="inlineStr">
        <is>
          <t>APL</t>
        </is>
      </c>
      <c r="D1037" s="103" t="inlineStr">
        <is>
          <t>PHN</t>
        </is>
      </c>
      <c r="E1037" s="60" t="inlineStr">
        <is>
          <t>iPhone 17</t>
        </is>
      </c>
      <c r="F1037" s="104" t="inlineStr">
        <is>
          <t>SVC000023</t>
        </is>
      </c>
      <c r="G1037" s="104" t="inlineStr">
        <is>
          <t>Home Button Repair</t>
        </is>
      </c>
      <c r="H1037" s="104" t="inlineStr">
        <is>
          <t>Buttons</t>
        </is>
      </c>
      <c r="I1037" s="104" t="n"/>
      <c r="J1037" s="104" t="n"/>
      <c r="K1037" s="104" t="n"/>
      <c r="L1037" s="104" t="n"/>
      <c r="M1037" s="104" t="n"/>
      <c r="N1037" s="104" t="n"/>
      <c r="O1037" s="104" t="n"/>
      <c r="P1037" s="104" t="n"/>
      <c r="Q1037" s="104" t="n"/>
      <c r="R1037" s="104" t="n"/>
      <c r="S1037" s="110" t="n"/>
      <c r="T1037" s="110" t="n"/>
      <c r="U1037" s="104" t="n"/>
    </row>
    <row r="1038">
      <c r="A1038" s="105" t="inlineStr">
        <is>
          <t>GUIDE001037</t>
        </is>
      </c>
      <c r="B1038" s="101" t="inlineStr">
        <is>
          <t>DEV000049</t>
        </is>
      </c>
      <c r="C1038" s="103" t="inlineStr">
        <is>
          <t>APL</t>
        </is>
      </c>
      <c r="D1038" s="103" t="inlineStr">
        <is>
          <t>PHN</t>
        </is>
      </c>
      <c r="E1038" s="60" t="inlineStr">
        <is>
          <t>iPhone 17 Pro</t>
        </is>
      </c>
      <c r="F1038" s="104" t="inlineStr">
        <is>
          <t>SVC000023</t>
        </is>
      </c>
      <c r="G1038" s="104" t="inlineStr">
        <is>
          <t>Home Button Repair</t>
        </is>
      </c>
      <c r="H1038" s="104" t="inlineStr">
        <is>
          <t>Buttons</t>
        </is>
      </c>
      <c r="I1038" s="104" t="n"/>
      <c r="J1038" s="104" t="n"/>
      <c r="K1038" s="104" t="n"/>
      <c r="L1038" s="104" t="n"/>
      <c r="M1038" s="104" t="n"/>
      <c r="N1038" s="104" t="n"/>
      <c r="O1038" s="104" t="n"/>
      <c r="P1038" s="104" t="n"/>
      <c r="Q1038" s="104" t="n"/>
      <c r="R1038" s="104" t="n"/>
      <c r="S1038" s="110" t="n"/>
      <c r="T1038" s="110" t="n"/>
      <c r="U1038" s="104" t="n"/>
    </row>
    <row r="1039">
      <c r="A1039" s="104" t="inlineStr">
        <is>
          <t>GUIDE001038</t>
        </is>
      </c>
      <c r="B1039" s="101" t="inlineStr">
        <is>
          <t>DEV000050</t>
        </is>
      </c>
      <c r="C1039" s="103" t="inlineStr">
        <is>
          <t>APL</t>
        </is>
      </c>
      <c r="D1039" s="103" t="inlineStr">
        <is>
          <t>PHN</t>
        </is>
      </c>
      <c r="E1039" s="60" t="inlineStr">
        <is>
          <t>iPhone 17 Pro Max</t>
        </is>
      </c>
      <c r="F1039" s="104" t="inlineStr">
        <is>
          <t>SVC000023</t>
        </is>
      </c>
      <c r="G1039" s="104" t="inlineStr">
        <is>
          <t>Home Button Repair</t>
        </is>
      </c>
      <c r="H1039" s="104" t="inlineStr">
        <is>
          <t>Buttons</t>
        </is>
      </c>
      <c r="I1039" s="104" t="n"/>
      <c r="J1039" s="104" t="n"/>
      <c r="K1039" s="104" t="n"/>
      <c r="L1039" s="104" t="n"/>
      <c r="M1039" s="104" t="n"/>
      <c r="N1039" s="104" t="n"/>
      <c r="O1039" s="104" t="n"/>
      <c r="P1039" s="104" t="n"/>
      <c r="Q1039" s="104" t="n"/>
      <c r="R1039" s="104" t="n"/>
      <c r="S1039" s="110" t="n"/>
      <c r="T1039" s="110" t="n"/>
      <c r="U1039" s="104" t="n"/>
    </row>
    <row r="1040">
      <c r="A1040" s="104" t="inlineStr">
        <is>
          <t>GUIDE001039</t>
        </is>
      </c>
      <c r="B1040" s="101" t="inlineStr">
        <is>
          <t>DEV000051</t>
        </is>
      </c>
      <c r="C1040" s="103" t="inlineStr">
        <is>
          <t>APL</t>
        </is>
      </c>
      <c r="D1040" s="103" t="inlineStr">
        <is>
          <t>PHN</t>
        </is>
      </c>
      <c r="E1040" s="60" t="inlineStr">
        <is>
          <t>iPhone Air</t>
        </is>
      </c>
      <c r="F1040" s="104" t="inlineStr">
        <is>
          <t>SVC000023</t>
        </is>
      </c>
      <c r="G1040" s="104" t="inlineStr">
        <is>
          <t>Home Button Repair</t>
        </is>
      </c>
      <c r="H1040" s="104" t="inlineStr">
        <is>
          <t>Buttons</t>
        </is>
      </c>
      <c r="I1040" s="104" t="n"/>
      <c r="J1040" s="104" t="n"/>
      <c r="K1040" s="104" t="n"/>
      <c r="L1040" s="104" t="n"/>
      <c r="M1040" s="104" t="n"/>
      <c r="N1040" s="104" t="n"/>
      <c r="O1040" s="104" t="n"/>
      <c r="P1040" s="104" t="n"/>
      <c r="Q1040" s="104" t="n"/>
      <c r="R1040" s="104" t="n"/>
      <c r="S1040" s="110" t="n"/>
      <c r="T1040" s="110" t="n"/>
      <c r="U1040" s="104" t="n"/>
    </row>
    <row r="1041">
      <c r="A1041" s="104" t="inlineStr">
        <is>
          <t>GUIDE001040</t>
        </is>
      </c>
      <c r="B1041" s="101" t="inlineStr">
        <is>
          <t>DEV000052</t>
        </is>
      </c>
      <c r="C1041" s="103" t="inlineStr">
        <is>
          <t>APL</t>
        </is>
      </c>
      <c r="D1041" s="103" t="inlineStr">
        <is>
          <t>PHN</t>
        </is>
      </c>
      <c r="E1041" s="60" t="inlineStr">
        <is>
          <t>iPhone 17e</t>
        </is>
      </c>
      <c r="F1041" s="104" t="inlineStr">
        <is>
          <t>SVC000023</t>
        </is>
      </c>
      <c r="G1041" s="104" t="inlineStr">
        <is>
          <t>Home Button Repair</t>
        </is>
      </c>
      <c r="H1041" s="104" t="inlineStr">
        <is>
          <t>Buttons</t>
        </is>
      </c>
      <c r="I1041" s="104" t="n"/>
      <c r="J1041" s="104" t="n"/>
      <c r="K1041" s="104" t="n"/>
      <c r="L1041" s="104" t="n"/>
      <c r="M1041" s="104" t="n"/>
      <c r="N1041" s="104" t="n"/>
      <c r="O1041" s="104" t="n"/>
      <c r="P1041" s="104" t="n"/>
      <c r="Q1041" s="104" t="n"/>
      <c r="R1041" s="104" t="n"/>
      <c r="S1041" s="110" t="n"/>
      <c r="T1041" s="110" t="n"/>
      <c r="U1041" s="104" t="n"/>
    </row>
    <row r="1042">
      <c r="A1042" s="105" t="inlineStr">
        <is>
          <t>GUIDE001041</t>
        </is>
      </c>
      <c r="B1042" s="101" t="inlineStr">
        <is>
          <t>DEV000001</t>
        </is>
      </c>
      <c r="C1042" s="103" t="inlineStr">
        <is>
          <t>APL</t>
        </is>
      </c>
      <c r="D1042" s="103" t="inlineStr">
        <is>
          <t>PHN</t>
        </is>
      </c>
      <c r="E1042" s="60" t="inlineStr">
        <is>
          <t>iPhone (2G)</t>
        </is>
      </c>
      <c r="F1042" s="104" t="inlineStr">
        <is>
          <t>SVC000024</t>
        </is>
      </c>
      <c r="G1042" s="104" t="inlineStr">
        <is>
          <t>Mute Switch Repair</t>
        </is>
      </c>
      <c r="H1042" s="104" t="inlineStr">
        <is>
          <t>Buttons</t>
        </is>
      </c>
      <c r="I1042" s="104" t="n"/>
      <c r="J1042" s="104" t="n"/>
      <c r="K1042" s="104" t="n"/>
      <c r="L1042" s="104" t="n"/>
      <c r="M1042" s="104" t="n"/>
      <c r="N1042" s="104" t="n"/>
      <c r="O1042" s="104" t="n"/>
      <c r="P1042" s="104" t="n"/>
      <c r="Q1042" s="104" t="n"/>
      <c r="R1042" s="104" t="n"/>
      <c r="S1042" s="110" t="n"/>
      <c r="T1042" s="110" t="n"/>
      <c r="U1042" s="104" t="n"/>
    </row>
    <row r="1043">
      <c r="A1043" s="104" t="inlineStr">
        <is>
          <t>GUIDE001042</t>
        </is>
      </c>
      <c r="B1043" s="101" t="inlineStr">
        <is>
          <t>DEV000002</t>
        </is>
      </c>
      <c r="C1043" s="103" t="inlineStr">
        <is>
          <t>APL</t>
        </is>
      </c>
      <c r="D1043" s="103" t="inlineStr">
        <is>
          <t>PHN</t>
        </is>
      </c>
      <c r="E1043" s="60" t="inlineStr">
        <is>
          <t>iPhone 3G</t>
        </is>
      </c>
      <c r="F1043" s="104" t="inlineStr">
        <is>
          <t>SVC000024</t>
        </is>
      </c>
      <c r="G1043" s="104" t="inlineStr">
        <is>
          <t>Mute Switch Repair</t>
        </is>
      </c>
      <c r="H1043" s="104" t="inlineStr">
        <is>
          <t>Buttons</t>
        </is>
      </c>
      <c r="I1043" s="104" t="n"/>
      <c r="J1043" s="104" t="n"/>
      <c r="K1043" s="104" t="n"/>
      <c r="L1043" s="104" t="n"/>
      <c r="M1043" s="104" t="n"/>
      <c r="N1043" s="104" t="n"/>
      <c r="O1043" s="104" t="n"/>
      <c r="P1043" s="104" t="n"/>
      <c r="Q1043" s="104" t="n"/>
      <c r="R1043" s="104" t="n"/>
      <c r="S1043" s="110" t="n"/>
      <c r="T1043" s="110" t="n"/>
      <c r="U1043" s="104" t="n"/>
    </row>
    <row r="1044">
      <c r="A1044" s="104" t="inlineStr">
        <is>
          <t>GUIDE001043</t>
        </is>
      </c>
      <c r="B1044" s="101" t="inlineStr">
        <is>
          <t>DEV000003</t>
        </is>
      </c>
      <c r="C1044" s="103" t="inlineStr">
        <is>
          <t>APL</t>
        </is>
      </c>
      <c r="D1044" s="103" t="inlineStr">
        <is>
          <t>PHN</t>
        </is>
      </c>
      <c r="E1044" s="60" t="inlineStr">
        <is>
          <t>iPhone 3GS</t>
        </is>
      </c>
      <c r="F1044" s="104" t="inlineStr">
        <is>
          <t>SVC000024</t>
        </is>
      </c>
      <c r="G1044" s="104" t="inlineStr">
        <is>
          <t>Mute Switch Repair</t>
        </is>
      </c>
      <c r="H1044" s="104" t="inlineStr">
        <is>
          <t>Buttons</t>
        </is>
      </c>
      <c r="I1044" s="104" t="n"/>
      <c r="J1044" s="104" t="n"/>
      <c r="K1044" s="104" t="n"/>
      <c r="L1044" s="104" t="n"/>
      <c r="M1044" s="104" t="n"/>
      <c r="N1044" s="104" t="n"/>
      <c r="O1044" s="104" t="n"/>
      <c r="P1044" s="104" t="n"/>
      <c r="Q1044" s="104" t="n"/>
      <c r="R1044" s="104" t="n"/>
      <c r="S1044" s="110" t="n"/>
      <c r="T1044" s="110" t="n"/>
      <c r="U1044" s="104" t="n"/>
    </row>
    <row r="1045">
      <c r="A1045" s="104" t="inlineStr">
        <is>
          <t>GUIDE001044</t>
        </is>
      </c>
      <c r="B1045" s="101" t="inlineStr">
        <is>
          <t>DEV000004</t>
        </is>
      </c>
      <c r="C1045" s="103" t="inlineStr">
        <is>
          <t>APL</t>
        </is>
      </c>
      <c r="D1045" s="103" t="inlineStr">
        <is>
          <t>PHN</t>
        </is>
      </c>
      <c r="E1045" s="60" t="inlineStr">
        <is>
          <t>iPhone 4</t>
        </is>
      </c>
      <c r="F1045" s="104" t="inlineStr">
        <is>
          <t>SVC000024</t>
        </is>
      </c>
      <c r="G1045" s="104" t="inlineStr">
        <is>
          <t>Mute Switch Repair</t>
        </is>
      </c>
      <c r="H1045" s="104" t="inlineStr">
        <is>
          <t>Buttons</t>
        </is>
      </c>
      <c r="I1045" s="104" t="n"/>
      <c r="J1045" s="104" t="n"/>
      <c r="K1045" s="104" t="n"/>
      <c r="L1045" s="104" t="n"/>
      <c r="M1045" s="104" t="n"/>
      <c r="N1045" s="104" t="n"/>
      <c r="O1045" s="104" t="n"/>
      <c r="P1045" s="104" t="n"/>
      <c r="Q1045" s="104" t="n"/>
      <c r="R1045" s="104" t="n"/>
      <c r="S1045" s="110" t="n"/>
      <c r="T1045" s="110" t="n"/>
      <c r="U1045" s="104" t="n"/>
    </row>
    <row r="1046">
      <c r="A1046" s="104" t="inlineStr">
        <is>
          <t>GUIDE001045</t>
        </is>
      </c>
      <c r="B1046" s="101" t="inlineStr">
        <is>
          <t>DEV000005</t>
        </is>
      </c>
      <c r="C1046" s="103" t="inlineStr">
        <is>
          <t>APL</t>
        </is>
      </c>
      <c r="D1046" s="103" t="inlineStr">
        <is>
          <t>PHN</t>
        </is>
      </c>
      <c r="E1046" s="60" t="inlineStr">
        <is>
          <t>iPhone 4s</t>
        </is>
      </c>
      <c r="F1046" s="104" t="inlineStr">
        <is>
          <t>SVC000024</t>
        </is>
      </c>
      <c r="G1046" s="104" t="inlineStr">
        <is>
          <t>Mute Switch Repair</t>
        </is>
      </c>
      <c r="H1046" s="104" t="inlineStr">
        <is>
          <t>Buttons</t>
        </is>
      </c>
      <c r="I1046" s="104" t="n"/>
      <c r="J1046" s="104" t="n"/>
      <c r="K1046" s="104" t="n"/>
      <c r="L1046" s="104" t="n"/>
      <c r="M1046" s="104" t="n"/>
      <c r="N1046" s="104" t="n"/>
      <c r="O1046" s="104" t="n"/>
      <c r="P1046" s="104" t="n"/>
      <c r="Q1046" s="104" t="n"/>
      <c r="R1046" s="104" t="n"/>
      <c r="S1046" s="110" t="n"/>
      <c r="T1046" s="110" t="n"/>
      <c r="U1046" s="104" t="n"/>
    </row>
    <row r="1047">
      <c r="A1047" s="105" t="inlineStr">
        <is>
          <t>GUIDE001046</t>
        </is>
      </c>
      <c r="B1047" s="101" t="inlineStr">
        <is>
          <t>DEV000006</t>
        </is>
      </c>
      <c r="C1047" s="103" t="inlineStr">
        <is>
          <t>APL</t>
        </is>
      </c>
      <c r="D1047" s="103" t="inlineStr">
        <is>
          <t>PHN</t>
        </is>
      </c>
      <c r="E1047" s="60" t="inlineStr">
        <is>
          <t>iPhone 5</t>
        </is>
      </c>
      <c r="F1047" s="104" t="inlineStr">
        <is>
          <t>SVC000024</t>
        </is>
      </c>
      <c r="G1047" s="104" t="inlineStr">
        <is>
          <t>Mute Switch Repair</t>
        </is>
      </c>
      <c r="H1047" s="104" t="inlineStr">
        <is>
          <t>Buttons</t>
        </is>
      </c>
      <c r="I1047" s="104" t="n"/>
      <c r="J1047" s="104" t="n"/>
      <c r="K1047" s="104" t="n"/>
      <c r="L1047" s="104" t="n"/>
      <c r="M1047" s="104" t="n"/>
      <c r="N1047" s="104" t="n"/>
      <c r="O1047" s="104" t="n"/>
      <c r="P1047" s="104" t="n"/>
      <c r="Q1047" s="104" t="n"/>
      <c r="R1047" s="104" t="n"/>
      <c r="S1047" s="110" t="n"/>
      <c r="T1047" s="110" t="n"/>
      <c r="U1047" s="104" t="n"/>
    </row>
    <row r="1048">
      <c r="A1048" s="104" t="inlineStr">
        <is>
          <t>GUIDE001047</t>
        </is>
      </c>
      <c r="B1048" s="101" t="inlineStr">
        <is>
          <t>DEV000007</t>
        </is>
      </c>
      <c r="C1048" s="103" t="inlineStr">
        <is>
          <t>APL</t>
        </is>
      </c>
      <c r="D1048" s="103" t="inlineStr">
        <is>
          <t>PHN</t>
        </is>
      </c>
      <c r="E1048" s="60" t="inlineStr">
        <is>
          <t>iPhone 5c</t>
        </is>
      </c>
      <c r="F1048" s="104" t="inlineStr">
        <is>
          <t>SVC000024</t>
        </is>
      </c>
      <c r="G1048" s="104" t="inlineStr">
        <is>
          <t>Mute Switch Repair</t>
        </is>
      </c>
      <c r="H1048" s="104" t="inlineStr">
        <is>
          <t>Buttons</t>
        </is>
      </c>
      <c r="I1048" s="104" t="n"/>
      <c r="J1048" s="104" t="n"/>
      <c r="K1048" s="104" t="n"/>
      <c r="L1048" s="104" t="n"/>
      <c r="M1048" s="104" t="n"/>
      <c r="N1048" s="104" t="n"/>
      <c r="O1048" s="104" t="n"/>
      <c r="P1048" s="104" t="n"/>
      <c r="Q1048" s="104" t="n"/>
      <c r="R1048" s="104" t="n"/>
      <c r="S1048" s="110" t="n"/>
      <c r="T1048" s="110" t="n"/>
      <c r="U1048" s="104" t="n"/>
    </row>
    <row r="1049">
      <c r="A1049" s="104" t="inlineStr">
        <is>
          <t>GUIDE001048</t>
        </is>
      </c>
      <c r="B1049" s="101" t="inlineStr">
        <is>
          <t>DEV000008</t>
        </is>
      </c>
      <c r="C1049" s="103" t="inlineStr">
        <is>
          <t>APL</t>
        </is>
      </c>
      <c r="D1049" s="103" t="inlineStr">
        <is>
          <t>PHN</t>
        </is>
      </c>
      <c r="E1049" s="60" t="inlineStr">
        <is>
          <t>iPhone 5s</t>
        </is>
      </c>
      <c r="F1049" s="104" t="inlineStr">
        <is>
          <t>SVC000024</t>
        </is>
      </c>
      <c r="G1049" s="104" t="inlineStr">
        <is>
          <t>Mute Switch Repair</t>
        </is>
      </c>
      <c r="H1049" s="104" t="inlineStr">
        <is>
          <t>Buttons</t>
        </is>
      </c>
      <c r="I1049" s="104" t="n"/>
      <c r="J1049" s="104" t="n"/>
      <c r="K1049" s="104" t="n"/>
      <c r="L1049" s="104" t="n"/>
      <c r="M1049" s="104" t="n"/>
      <c r="N1049" s="104" t="n"/>
      <c r="O1049" s="104" t="n"/>
      <c r="P1049" s="104" t="n"/>
      <c r="Q1049" s="104" t="n"/>
      <c r="R1049" s="104" t="n"/>
      <c r="S1049" s="110" t="n"/>
      <c r="T1049" s="110" t="n"/>
      <c r="U1049" s="104" t="n"/>
    </row>
    <row r="1050">
      <c r="A1050" s="104" t="inlineStr">
        <is>
          <t>GUIDE001049</t>
        </is>
      </c>
      <c r="B1050" s="101" t="inlineStr">
        <is>
          <t>DEV000009</t>
        </is>
      </c>
      <c r="C1050" s="103" t="inlineStr">
        <is>
          <t>APL</t>
        </is>
      </c>
      <c r="D1050" s="103" t="inlineStr">
        <is>
          <t>PHN</t>
        </is>
      </c>
      <c r="E1050" s="60" t="inlineStr">
        <is>
          <t>iPhone 6</t>
        </is>
      </c>
      <c r="F1050" s="104" t="inlineStr">
        <is>
          <t>SVC000024</t>
        </is>
      </c>
      <c r="G1050" s="104" t="inlineStr">
        <is>
          <t>Mute Switch Repair</t>
        </is>
      </c>
      <c r="H1050" s="104" t="inlineStr">
        <is>
          <t>Buttons</t>
        </is>
      </c>
      <c r="I1050" s="104" t="n"/>
      <c r="J1050" s="104" t="n"/>
      <c r="K1050" s="104" t="n"/>
      <c r="L1050" s="104" t="n"/>
      <c r="M1050" s="104" t="n"/>
      <c r="N1050" s="104" t="n"/>
      <c r="O1050" s="104" t="n"/>
      <c r="P1050" s="104" t="n"/>
      <c r="Q1050" s="104" t="n"/>
      <c r="R1050" s="104" t="n"/>
      <c r="S1050" s="110" t="n"/>
      <c r="T1050" s="110" t="n"/>
      <c r="U1050" s="104" t="n"/>
    </row>
    <row r="1051">
      <c r="A1051" s="105" t="inlineStr">
        <is>
          <t>GUIDE001050</t>
        </is>
      </c>
      <c r="B1051" s="101" t="inlineStr">
        <is>
          <t>DEV000010</t>
        </is>
      </c>
      <c r="C1051" s="103" t="inlineStr">
        <is>
          <t>APL</t>
        </is>
      </c>
      <c r="D1051" s="103" t="inlineStr">
        <is>
          <t>PHN</t>
        </is>
      </c>
      <c r="E1051" s="60" t="inlineStr">
        <is>
          <t>iPhone 6 Plus</t>
        </is>
      </c>
      <c r="F1051" s="104" t="inlineStr">
        <is>
          <t>SVC000024</t>
        </is>
      </c>
      <c r="G1051" s="104" t="inlineStr">
        <is>
          <t>Mute Switch Repair</t>
        </is>
      </c>
      <c r="H1051" s="104" t="inlineStr">
        <is>
          <t>Buttons</t>
        </is>
      </c>
      <c r="I1051" s="104" t="n"/>
      <c r="J1051" s="104" t="n"/>
      <c r="K1051" s="104" t="n"/>
      <c r="L1051" s="104" t="n"/>
      <c r="M1051" s="104" t="n"/>
      <c r="N1051" s="104" t="n"/>
      <c r="O1051" s="104" t="n"/>
      <c r="P1051" s="104" t="n"/>
      <c r="Q1051" s="104" t="n"/>
      <c r="R1051" s="104" t="n"/>
      <c r="S1051" s="110" t="n"/>
      <c r="T1051" s="110" t="n"/>
      <c r="U1051" s="104" t="n"/>
    </row>
    <row r="1052">
      <c r="A1052" s="104" t="inlineStr">
        <is>
          <t>GUIDE001051</t>
        </is>
      </c>
      <c r="B1052" s="101" t="inlineStr">
        <is>
          <t>DEV000011</t>
        </is>
      </c>
      <c r="C1052" s="103" t="inlineStr">
        <is>
          <t>APL</t>
        </is>
      </c>
      <c r="D1052" s="103" t="inlineStr">
        <is>
          <t>PHN</t>
        </is>
      </c>
      <c r="E1052" s="60" t="inlineStr">
        <is>
          <t>iPhone 6s</t>
        </is>
      </c>
      <c r="F1052" s="104" t="inlineStr">
        <is>
          <t>SVC000024</t>
        </is>
      </c>
      <c r="G1052" s="104" t="inlineStr">
        <is>
          <t>Mute Switch Repair</t>
        </is>
      </c>
      <c r="H1052" s="104" t="inlineStr">
        <is>
          <t>Buttons</t>
        </is>
      </c>
      <c r="I1052" s="104" t="n"/>
      <c r="J1052" s="104" t="n"/>
      <c r="K1052" s="104" t="n"/>
      <c r="L1052" s="104" t="n"/>
      <c r="M1052" s="104" t="n"/>
      <c r="N1052" s="104" t="n"/>
      <c r="O1052" s="104" t="n"/>
      <c r="P1052" s="104" t="n"/>
      <c r="Q1052" s="104" t="n"/>
      <c r="R1052" s="104" t="n"/>
      <c r="S1052" s="110" t="n"/>
      <c r="T1052" s="110" t="n"/>
      <c r="U1052" s="104" t="n"/>
    </row>
    <row r="1053" ht="21" customHeight="1" s="125">
      <c r="A1053" s="104" t="inlineStr">
        <is>
          <t>GUIDE001052</t>
        </is>
      </c>
      <c r="B1053" s="101" t="inlineStr">
        <is>
          <t>DEV000012</t>
        </is>
      </c>
      <c r="C1053" s="103" t="inlineStr">
        <is>
          <t>APL</t>
        </is>
      </c>
      <c r="D1053" s="103" t="inlineStr">
        <is>
          <t>PHN</t>
        </is>
      </c>
      <c r="E1053" s="60" t="inlineStr">
        <is>
          <t>iPhone 6s Plus</t>
        </is>
      </c>
      <c r="F1053" s="104" t="inlineStr">
        <is>
          <t>SVC000024</t>
        </is>
      </c>
      <c r="G1053" s="104" t="inlineStr">
        <is>
          <t>Mute Switch Repair</t>
        </is>
      </c>
      <c r="H1053" s="104" t="inlineStr">
        <is>
          <t>Buttons</t>
        </is>
      </c>
      <c r="I1053" s="104" t="n"/>
      <c r="J1053" s="104" t="n"/>
      <c r="K1053" s="104" t="n"/>
      <c r="L1053" s="104" t="n"/>
      <c r="M1053" s="104" t="n"/>
      <c r="N1053" s="104" t="n"/>
      <c r="O1053" s="104" t="n"/>
      <c r="P1053" s="104" t="n"/>
      <c r="Q1053" s="104" t="n"/>
      <c r="R1053" s="104" t="n"/>
      <c r="S1053" s="110" t="n"/>
      <c r="T1053" s="110" t="n"/>
      <c r="U1053" s="104" t="n"/>
    </row>
    <row r="1054">
      <c r="A1054" s="104" t="inlineStr">
        <is>
          <t>GUIDE001053</t>
        </is>
      </c>
      <c r="B1054" s="101" t="inlineStr">
        <is>
          <t>DEV000013</t>
        </is>
      </c>
      <c r="C1054" s="103" t="inlineStr">
        <is>
          <t>APL</t>
        </is>
      </c>
      <c r="D1054" s="103" t="inlineStr">
        <is>
          <t>PHN</t>
        </is>
      </c>
      <c r="E1054" s="60" t="inlineStr">
        <is>
          <t>iPhone SE (1st Gen)</t>
        </is>
      </c>
      <c r="F1054" s="104" t="inlineStr">
        <is>
          <t>SVC000024</t>
        </is>
      </c>
      <c r="G1054" s="104" t="inlineStr">
        <is>
          <t>Mute Switch Repair</t>
        </is>
      </c>
      <c r="H1054" s="104" t="inlineStr">
        <is>
          <t>Buttons</t>
        </is>
      </c>
      <c r="I1054" s="104" t="n"/>
      <c r="J1054" s="104" t="n"/>
      <c r="K1054" s="104" t="n"/>
      <c r="L1054" s="104" t="n"/>
      <c r="M1054" s="104" t="n"/>
      <c r="N1054" s="104" t="n"/>
      <c r="O1054" s="104" t="n"/>
      <c r="P1054" s="104" t="n"/>
      <c r="Q1054" s="104" t="n"/>
      <c r="R1054" s="104" t="n"/>
      <c r="S1054" s="110" t="n"/>
      <c r="T1054" s="110" t="n"/>
      <c r="U1054" s="104" t="n"/>
    </row>
    <row r="1055">
      <c r="A1055" s="104" t="inlineStr">
        <is>
          <t>GUIDE001054</t>
        </is>
      </c>
      <c r="B1055" s="101" t="inlineStr">
        <is>
          <t>DEV000014</t>
        </is>
      </c>
      <c r="C1055" s="103" t="inlineStr">
        <is>
          <t>APL</t>
        </is>
      </c>
      <c r="D1055" s="103" t="inlineStr">
        <is>
          <t>PHN</t>
        </is>
      </c>
      <c r="E1055" s="60" t="inlineStr">
        <is>
          <t>iPhone 7</t>
        </is>
      </c>
      <c r="F1055" s="104" t="inlineStr">
        <is>
          <t>SVC000024</t>
        </is>
      </c>
      <c r="G1055" s="104" t="inlineStr">
        <is>
          <t>Mute Switch Repair</t>
        </is>
      </c>
      <c r="H1055" s="104" t="inlineStr">
        <is>
          <t>Buttons</t>
        </is>
      </c>
      <c r="I1055" s="104" t="n"/>
      <c r="J1055" s="104" t="n"/>
      <c r="K1055" s="104" t="n"/>
      <c r="L1055" s="104" t="n"/>
      <c r="M1055" s="104" t="n"/>
      <c r="N1055" s="104" t="n"/>
      <c r="O1055" s="104" t="n"/>
      <c r="P1055" s="104" t="n"/>
      <c r="Q1055" s="104" t="n"/>
      <c r="R1055" s="104" t="n"/>
      <c r="S1055" s="110" t="n"/>
      <c r="T1055" s="110" t="n"/>
      <c r="U1055" s="104" t="n"/>
    </row>
    <row r="1056">
      <c r="A1056" s="104" t="inlineStr">
        <is>
          <t>GUIDE001055</t>
        </is>
      </c>
      <c r="B1056" s="101" t="inlineStr">
        <is>
          <t>DEV000015</t>
        </is>
      </c>
      <c r="C1056" s="103" t="inlineStr">
        <is>
          <t>APL</t>
        </is>
      </c>
      <c r="D1056" s="103" t="inlineStr">
        <is>
          <t>PHN</t>
        </is>
      </c>
      <c r="E1056" s="60" t="inlineStr">
        <is>
          <t>iPhone 7 Plus</t>
        </is>
      </c>
      <c r="F1056" s="104" t="inlineStr">
        <is>
          <t>SVC000024</t>
        </is>
      </c>
      <c r="G1056" s="104" t="inlineStr">
        <is>
          <t>Mute Switch Repair</t>
        </is>
      </c>
      <c r="H1056" s="104" t="inlineStr">
        <is>
          <t>Buttons</t>
        </is>
      </c>
      <c r="I1056" s="104" t="n"/>
      <c r="J1056" s="104" t="n"/>
      <c r="K1056" s="104" t="n"/>
      <c r="L1056" s="104" t="n"/>
      <c r="M1056" s="104" t="n"/>
      <c r="N1056" s="104" t="n"/>
      <c r="O1056" s="104" t="n"/>
      <c r="P1056" s="104" t="n"/>
      <c r="Q1056" s="104" t="n"/>
      <c r="R1056" s="104" t="n"/>
      <c r="S1056" s="110" t="n"/>
      <c r="T1056" s="110" t="n"/>
      <c r="U1056" s="104" t="n"/>
    </row>
    <row r="1057">
      <c r="A1057" s="105" t="inlineStr">
        <is>
          <t>GUIDE001056</t>
        </is>
      </c>
      <c r="B1057" s="101" t="inlineStr">
        <is>
          <t>DEV000016</t>
        </is>
      </c>
      <c r="C1057" s="103" t="inlineStr">
        <is>
          <t>APL</t>
        </is>
      </c>
      <c r="D1057" s="103" t="inlineStr">
        <is>
          <t>PHN</t>
        </is>
      </c>
      <c r="E1057" s="60" t="inlineStr">
        <is>
          <t>iPhone 8</t>
        </is>
      </c>
      <c r="F1057" s="104" t="inlineStr">
        <is>
          <t>SVC000024</t>
        </is>
      </c>
      <c r="G1057" s="104" t="inlineStr">
        <is>
          <t>Mute Switch Repair</t>
        </is>
      </c>
      <c r="H1057" s="104" t="inlineStr">
        <is>
          <t>Buttons</t>
        </is>
      </c>
      <c r="I1057" s="104" t="n"/>
      <c r="J1057" s="104" t="n"/>
      <c r="K1057" s="104" t="n"/>
      <c r="L1057" s="104" t="n"/>
      <c r="M1057" s="104" t="n"/>
      <c r="N1057" s="104" t="n"/>
      <c r="O1057" s="104" t="n"/>
      <c r="P1057" s="104" t="n"/>
      <c r="Q1057" s="104" t="n"/>
      <c r="R1057" s="104" t="n"/>
      <c r="S1057" s="110" t="n"/>
      <c r="T1057" s="110" t="n"/>
      <c r="U1057" s="104" t="n"/>
    </row>
    <row r="1058">
      <c r="A1058" s="104" t="inlineStr">
        <is>
          <t>GUIDE001057</t>
        </is>
      </c>
      <c r="B1058" s="101" t="inlineStr">
        <is>
          <t>DEV000017</t>
        </is>
      </c>
      <c r="C1058" s="103" t="inlineStr">
        <is>
          <t>APL</t>
        </is>
      </c>
      <c r="D1058" s="103" t="inlineStr">
        <is>
          <t>PHN</t>
        </is>
      </c>
      <c r="E1058" s="60" t="inlineStr">
        <is>
          <t>iPhone 8 Plus</t>
        </is>
      </c>
      <c r="F1058" s="104" t="inlineStr">
        <is>
          <t>SVC000024</t>
        </is>
      </c>
      <c r="G1058" s="104" t="inlineStr">
        <is>
          <t>Mute Switch Repair</t>
        </is>
      </c>
      <c r="H1058" s="104" t="inlineStr">
        <is>
          <t>Buttons</t>
        </is>
      </c>
      <c r="I1058" s="104" t="n"/>
      <c r="J1058" s="104" t="n"/>
      <c r="K1058" s="104" t="n"/>
      <c r="L1058" s="104" t="n"/>
      <c r="M1058" s="104" t="n"/>
      <c r="N1058" s="104" t="n"/>
      <c r="O1058" s="104" t="n"/>
      <c r="P1058" s="104" t="n"/>
      <c r="Q1058" s="104" t="n"/>
      <c r="R1058" s="104" t="n"/>
      <c r="S1058" s="110" t="n"/>
      <c r="T1058" s="110" t="n"/>
      <c r="U1058" s="104" t="n"/>
    </row>
    <row r="1059">
      <c r="A1059" s="104" t="inlineStr">
        <is>
          <t>GUIDE001058</t>
        </is>
      </c>
      <c r="B1059" s="101" t="inlineStr">
        <is>
          <t>DEV000018</t>
        </is>
      </c>
      <c r="C1059" s="103" t="inlineStr">
        <is>
          <t>APL</t>
        </is>
      </c>
      <c r="D1059" s="103" t="inlineStr">
        <is>
          <t>PHN</t>
        </is>
      </c>
      <c r="E1059" s="60" t="inlineStr">
        <is>
          <t>iPhone X</t>
        </is>
      </c>
      <c r="F1059" s="104" t="inlineStr">
        <is>
          <t>SVC000024</t>
        </is>
      </c>
      <c r="G1059" s="104" t="inlineStr">
        <is>
          <t>Mute Switch Repair</t>
        </is>
      </c>
      <c r="H1059" s="104" t="inlineStr">
        <is>
          <t>Buttons</t>
        </is>
      </c>
      <c r="I1059" s="104" t="n"/>
      <c r="J1059" s="104" t="n"/>
      <c r="K1059" s="104" t="n"/>
      <c r="L1059" s="104" t="n"/>
      <c r="M1059" s="104" t="n"/>
      <c r="N1059" s="104" t="n"/>
      <c r="O1059" s="104" t="n"/>
      <c r="P1059" s="104" t="n"/>
      <c r="Q1059" s="104" t="n"/>
      <c r="R1059" s="104" t="n"/>
      <c r="S1059" s="110" t="n"/>
      <c r="T1059" s="110" t="n"/>
      <c r="U1059" s="104" t="n"/>
    </row>
    <row r="1060">
      <c r="A1060" s="104" t="inlineStr">
        <is>
          <t>GUIDE001059</t>
        </is>
      </c>
      <c r="B1060" s="101" t="inlineStr">
        <is>
          <t>DEV000019</t>
        </is>
      </c>
      <c r="C1060" s="103" t="inlineStr">
        <is>
          <t>APL</t>
        </is>
      </c>
      <c r="D1060" s="103" t="inlineStr">
        <is>
          <t>PHN</t>
        </is>
      </c>
      <c r="E1060" s="60" t="inlineStr">
        <is>
          <t>iPhone XR</t>
        </is>
      </c>
      <c r="F1060" s="104" t="inlineStr">
        <is>
          <t>SVC000024</t>
        </is>
      </c>
      <c r="G1060" s="104" t="inlineStr">
        <is>
          <t>Mute Switch Repair</t>
        </is>
      </c>
      <c r="H1060" s="104" t="inlineStr">
        <is>
          <t>Buttons</t>
        </is>
      </c>
      <c r="I1060" s="104" t="n"/>
      <c r="J1060" s="104" t="n"/>
      <c r="K1060" s="104" t="n"/>
      <c r="L1060" s="104" t="n"/>
      <c r="M1060" s="104" t="n"/>
      <c r="N1060" s="104" t="n"/>
      <c r="O1060" s="104" t="n"/>
      <c r="P1060" s="104" t="n"/>
      <c r="Q1060" s="104" t="n"/>
      <c r="R1060" s="104" t="n"/>
      <c r="S1060" s="110" t="n"/>
      <c r="T1060" s="110" t="n"/>
      <c r="U1060" s="104" t="n"/>
    </row>
    <row r="1061">
      <c r="A1061" s="104" t="inlineStr">
        <is>
          <t>GUIDE001060</t>
        </is>
      </c>
      <c r="B1061" s="101" t="inlineStr">
        <is>
          <t>DEV000020</t>
        </is>
      </c>
      <c r="C1061" s="103" t="inlineStr">
        <is>
          <t>APL</t>
        </is>
      </c>
      <c r="D1061" s="103" t="inlineStr">
        <is>
          <t>PHN</t>
        </is>
      </c>
      <c r="E1061" s="60" t="inlineStr">
        <is>
          <t>iPhone XS</t>
        </is>
      </c>
      <c r="F1061" s="104" t="inlineStr">
        <is>
          <t>SVC000024</t>
        </is>
      </c>
      <c r="G1061" s="104" t="inlineStr">
        <is>
          <t>Mute Switch Repair</t>
        </is>
      </c>
      <c r="H1061" s="104" t="inlineStr">
        <is>
          <t>Buttons</t>
        </is>
      </c>
      <c r="I1061" s="104" t="n"/>
      <c r="J1061" s="104" t="n"/>
      <c r="K1061" s="104" t="n"/>
      <c r="L1061" s="104" t="n"/>
      <c r="M1061" s="104" t="n"/>
      <c r="N1061" s="104" t="n"/>
      <c r="O1061" s="104" t="n"/>
      <c r="P1061" s="104" t="n"/>
      <c r="Q1061" s="104" t="n"/>
      <c r="R1061" s="104" t="n"/>
      <c r="S1061" s="110" t="n"/>
      <c r="T1061" s="110" t="n"/>
      <c r="U1061" s="104" t="n"/>
    </row>
    <row r="1062">
      <c r="A1062" s="104" t="inlineStr">
        <is>
          <t>GUIDE001061</t>
        </is>
      </c>
      <c r="B1062" s="101" t="inlineStr">
        <is>
          <t>DEV000021</t>
        </is>
      </c>
      <c r="C1062" s="103" t="inlineStr">
        <is>
          <t>APL</t>
        </is>
      </c>
      <c r="D1062" s="103" t="inlineStr">
        <is>
          <t>PHN</t>
        </is>
      </c>
      <c r="E1062" s="60" t="inlineStr">
        <is>
          <t>iPhone XS Max</t>
        </is>
      </c>
      <c r="F1062" s="104" t="inlineStr">
        <is>
          <t>SVC000024</t>
        </is>
      </c>
      <c r="G1062" s="104" t="inlineStr">
        <is>
          <t>Mute Switch Repair</t>
        </is>
      </c>
      <c r="H1062" s="104" t="inlineStr">
        <is>
          <t>Buttons</t>
        </is>
      </c>
      <c r="I1062" s="104" t="n"/>
      <c r="J1062" s="104" t="n"/>
      <c r="K1062" s="104" t="n"/>
      <c r="L1062" s="104" t="n"/>
      <c r="M1062" s="104" t="n"/>
      <c r="N1062" s="104" t="n"/>
      <c r="O1062" s="104" t="n"/>
      <c r="P1062" s="104" t="n"/>
      <c r="Q1062" s="104" t="n"/>
      <c r="R1062" s="104" t="n"/>
      <c r="S1062" s="110" t="n"/>
      <c r="T1062" s="110" t="n"/>
      <c r="U1062" s="104" t="n"/>
    </row>
    <row r="1063">
      <c r="A1063" s="105" t="inlineStr">
        <is>
          <t>GUIDE001062</t>
        </is>
      </c>
      <c r="B1063" s="101" t="inlineStr">
        <is>
          <t>DEV000022</t>
        </is>
      </c>
      <c r="C1063" s="103" t="inlineStr">
        <is>
          <t>APL</t>
        </is>
      </c>
      <c r="D1063" s="103" t="inlineStr">
        <is>
          <t>PHN</t>
        </is>
      </c>
      <c r="E1063" s="60" t="inlineStr">
        <is>
          <t>iPhone 11</t>
        </is>
      </c>
      <c r="F1063" s="104" t="inlineStr">
        <is>
          <t>SVC000024</t>
        </is>
      </c>
      <c r="G1063" s="104" t="inlineStr">
        <is>
          <t>Mute Switch Repair</t>
        </is>
      </c>
      <c r="H1063" s="104" t="inlineStr">
        <is>
          <t>Buttons</t>
        </is>
      </c>
      <c r="I1063" s="104" t="n"/>
      <c r="J1063" s="104" t="n"/>
      <c r="K1063" s="104" t="n"/>
      <c r="L1063" s="104" t="n"/>
      <c r="M1063" s="104" t="n"/>
      <c r="N1063" s="104" t="n"/>
      <c r="O1063" s="104" t="n"/>
      <c r="P1063" s="104" t="n"/>
      <c r="Q1063" s="104" t="n"/>
      <c r="R1063" s="104" t="n"/>
      <c r="S1063" s="110" t="n"/>
      <c r="T1063" s="110" t="n"/>
      <c r="U1063" s="104" t="n"/>
    </row>
    <row r="1064">
      <c r="A1064" s="104" t="inlineStr">
        <is>
          <t>GUIDE001063</t>
        </is>
      </c>
      <c r="B1064" s="101" t="inlineStr">
        <is>
          <t>DEV000023</t>
        </is>
      </c>
      <c r="C1064" s="103" t="inlineStr">
        <is>
          <t>APL</t>
        </is>
      </c>
      <c r="D1064" s="103" t="inlineStr">
        <is>
          <t>PHN</t>
        </is>
      </c>
      <c r="E1064" s="60" t="inlineStr">
        <is>
          <t>iPhone 11 Pro</t>
        </is>
      </c>
      <c r="F1064" s="104" t="inlineStr">
        <is>
          <t>SVC000024</t>
        </is>
      </c>
      <c r="G1064" s="104" t="inlineStr">
        <is>
          <t>Mute Switch Repair</t>
        </is>
      </c>
      <c r="H1064" s="104" t="inlineStr">
        <is>
          <t>Buttons</t>
        </is>
      </c>
      <c r="I1064" s="104" t="n"/>
      <c r="J1064" s="104" t="n"/>
      <c r="K1064" s="104" t="n"/>
      <c r="L1064" s="104" t="n"/>
      <c r="M1064" s="104" t="n"/>
      <c r="N1064" s="104" t="n"/>
      <c r="O1064" s="104" t="n"/>
      <c r="P1064" s="104" t="n"/>
      <c r="Q1064" s="104" t="n"/>
      <c r="R1064" s="104" t="n"/>
      <c r="S1064" s="110" t="n"/>
      <c r="T1064" s="110" t="n"/>
      <c r="U1064" s="104" t="n"/>
    </row>
    <row r="1065">
      <c r="A1065" s="104" t="inlineStr">
        <is>
          <t>GUIDE001064</t>
        </is>
      </c>
      <c r="B1065" s="101" t="inlineStr">
        <is>
          <t>DEV000024</t>
        </is>
      </c>
      <c r="C1065" s="103" t="inlineStr">
        <is>
          <t>APL</t>
        </is>
      </c>
      <c r="D1065" s="103" t="inlineStr">
        <is>
          <t>PHN</t>
        </is>
      </c>
      <c r="E1065" s="60" t="inlineStr">
        <is>
          <t>iPhone 11 Pro Max</t>
        </is>
      </c>
      <c r="F1065" s="104" t="inlineStr">
        <is>
          <t>SVC000024</t>
        </is>
      </c>
      <c r="G1065" s="104" t="inlineStr">
        <is>
          <t>Mute Switch Repair</t>
        </is>
      </c>
      <c r="H1065" s="104" t="inlineStr">
        <is>
          <t>Buttons</t>
        </is>
      </c>
      <c r="I1065" s="104" t="n"/>
      <c r="J1065" s="104" t="n"/>
      <c r="K1065" s="104" t="n"/>
      <c r="L1065" s="104" t="n"/>
      <c r="M1065" s="104" t="n"/>
      <c r="N1065" s="104" t="n"/>
      <c r="O1065" s="104" t="n"/>
      <c r="P1065" s="104" t="n"/>
      <c r="Q1065" s="104" t="n"/>
      <c r="R1065" s="104" t="n"/>
      <c r="S1065" s="110" t="n"/>
      <c r="T1065" s="110" t="n"/>
      <c r="U1065" s="104" t="n"/>
    </row>
    <row r="1066">
      <c r="A1066" s="104" t="inlineStr">
        <is>
          <t>GUIDE001065</t>
        </is>
      </c>
      <c r="B1066" s="101" t="inlineStr">
        <is>
          <t>DEV000025</t>
        </is>
      </c>
      <c r="C1066" s="103" t="inlineStr">
        <is>
          <t>APL</t>
        </is>
      </c>
      <c r="D1066" s="103" t="inlineStr">
        <is>
          <t>PHN</t>
        </is>
      </c>
      <c r="E1066" s="60" t="inlineStr">
        <is>
          <t>iPhone SE (2nd Generation)</t>
        </is>
      </c>
      <c r="F1066" s="104" t="inlineStr">
        <is>
          <t>SVC000024</t>
        </is>
      </c>
      <c r="G1066" s="104" t="inlineStr">
        <is>
          <t>Mute Switch Repair</t>
        </is>
      </c>
      <c r="H1066" s="104" t="inlineStr">
        <is>
          <t>Buttons</t>
        </is>
      </c>
      <c r="I1066" s="104" t="n"/>
      <c r="J1066" s="104" t="n"/>
      <c r="K1066" s="104" t="n"/>
      <c r="L1066" s="104" t="n"/>
      <c r="M1066" s="104" t="n"/>
      <c r="N1066" s="104" t="n"/>
      <c r="O1066" s="104" t="n"/>
      <c r="P1066" s="104" t="n"/>
      <c r="Q1066" s="104" t="n"/>
      <c r="R1066" s="104" t="n"/>
      <c r="S1066" s="110" t="n"/>
      <c r="T1066" s="110" t="n"/>
      <c r="U1066" s="104" t="n"/>
    </row>
    <row r="1067">
      <c r="A1067" s="104" t="inlineStr">
        <is>
          <t>GUIDE001066</t>
        </is>
      </c>
      <c r="B1067" s="101" t="inlineStr">
        <is>
          <t>DEV000026</t>
        </is>
      </c>
      <c r="C1067" s="103" t="inlineStr">
        <is>
          <t>APL</t>
        </is>
      </c>
      <c r="D1067" s="103" t="inlineStr">
        <is>
          <t>PHN</t>
        </is>
      </c>
      <c r="E1067" s="60" t="inlineStr">
        <is>
          <t>iPhone 12 mini</t>
        </is>
      </c>
      <c r="F1067" s="104" t="inlineStr">
        <is>
          <t>SVC000024</t>
        </is>
      </c>
      <c r="G1067" s="104" t="inlineStr">
        <is>
          <t>Mute Switch Repair</t>
        </is>
      </c>
      <c r="H1067" s="104" t="inlineStr">
        <is>
          <t>Buttons</t>
        </is>
      </c>
      <c r="I1067" s="104" t="n"/>
      <c r="J1067" s="104" t="n"/>
      <c r="K1067" s="104" t="n"/>
      <c r="L1067" s="104" t="n"/>
      <c r="M1067" s="104" t="n"/>
      <c r="N1067" s="104" t="n"/>
      <c r="O1067" s="104" t="n"/>
      <c r="P1067" s="104" t="n"/>
      <c r="Q1067" s="104" t="n"/>
      <c r="R1067" s="104" t="n"/>
      <c r="S1067" s="110" t="n"/>
      <c r="T1067" s="110" t="n"/>
      <c r="U1067" s="104" t="n"/>
    </row>
    <row r="1068">
      <c r="A1068" s="104" t="inlineStr">
        <is>
          <t>GUIDE001067</t>
        </is>
      </c>
      <c r="B1068" s="101" t="inlineStr">
        <is>
          <t>DEV000027</t>
        </is>
      </c>
      <c r="C1068" s="103" t="inlineStr">
        <is>
          <t>APL</t>
        </is>
      </c>
      <c r="D1068" s="103" t="inlineStr">
        <is>
          <t>PHN</t>
        </is>
      </c>
      <c r="E1068" s="60" t="inlineStr">
        <is>
          <t>iPhone 12</t>
        </is>
      </c>
      <c r="F1068" s="104" t="inlineStr">
        <is>
          <t>SVC000024</t>
        </is>
      </c>
      <c r="G1068" s="104" t="inlineStr">
        <is>
          <t>Mute Switch Repair</t>
        </is>
      </c>
      <c r="H1068" s="104" t="inlineStr">
        <is>
          <t>Buttons</t>
        </is>
      </c>
      <c r="I1068" s="104" t="n"/>
      <c r="J1068" s="104" t="n"/>
      <c r="K1068" s="104" t="n"/>
      <c r="L1068" s="104" t="n"/>
      <c r="M1068" s="104" t="n"/>
      <c r="N1068" s="104" t="n"/>
      <c r="O1068" s="104" t="n"/>
      <c r="P1068" s="104" t="n"/>
      <c r="Q1068" s="104" t="n"/>
      <c r="R1068" s="104" t="n"/>
      <c r="S1068" s="110" t="n"/>
      <c r="T1068" s="110" t="n"/>
      <c r="U1068" s="104" t="n"/>
    </row>
    <row r="1069">
      <c r="A1069" s="105" t="inlineStr">
        <is>
          <t>GUIDE001068</t>
        </is>
      </c>
      <c r="B1069" s="101" t="inlineStr">
        <is>
          <t>DEV000028</t>
        </is>
      </c>
      <c r="C1069" s="103" t="inlineStr">
        <is>
          <t>APL</t>
        </is>
      </c>
      <c r="D1069" s="103" t="inlineStr">
        <is>
          <t>PHN</t>
        </is>
      </c>
      <c r="E1069" s="60" t="inlineStr">
        <is>
          <t>iPhone 12 Pro</t>
        </is>
      </c>
      <c r="F1069" s="104" t="inlineStr">
        <is>
          <t>SVC000024</t>
        </is>
      </c>
      <c r="G1069" s="104" t="inlineStr">
        <is>
          <t>Mute Switch Repair</t>
        </is>
      </c>
      <c r="H1069" s="104" t="inlineStr">
        <is>
          <t>Buttons</t>
        </is>
      </c>
      <c r="I1069" s="104" t="n"/>
      <c r="J1069" s="104" t="n"/>
      <c r="K1069" s="104" t="n"/>
      <c r="L1069" s="104" t="n"/>
      <c r="M1069" s="104" t="n"/>
      <c r="N1069" s="104" t="n"/>
      <c r="O1069" s="104" t="n"/>
      <c r="P1069" s="104" t="n"/>
      <c r="Q1069" s="104" t="n"/>
      <c r="R1069" s="104" t="n"/>
      <c r="S1069" s="110" t="n"/>
      <c r="T1069" s="110" t="n"/>
      <c r="U1069" s="104" t="n"/>
    </row>
    <row r="1070">
      <c r="A1070" s="104" t="inlineStr">
        <is>
          <t>GUIDE001069</t>
        </is>
      </c>
      <c r="B1070" s="101" t="inlineStr">
        <is>
          <t>DEV000029</t>
        </is>
      </c>
      <c r="C1070" s="103" t="inlineStr">
        <is>
          <t>APL</t>
        </is>
      </c>
      <c r="D1070" s="103" t="inlineStr">
        <is>
          <t>PHN</t>
        </is>
      </c>
      <c r="E1070" s="60" t="inlineStr">
        <is>
          <t>iPhone 12 Pro Max</t>
        </is>
      </c>
      <c r="F1070" s="104" t="inlineStr">
        <is>
          <t>SVC000024</t>
        </is>
      </c>
      <c r="G1070" s="104" t="inlineStr">
        <is>
          <t>Mute Switch Repair</t>
        </is>
      </c>
      <c r="H1070" s="104" t="inlineStr">
        <is>
          <t>Buttons</t>
        </is>
      </c>
      <c r="I1070" s="104" t="n"/>
      <c r="J1070" s="104" t="n"/>
      <c r="K1070" s="104" t="n"/>
      <c r="L1070" s="104" t="n"/>
      <c r="M1070" s="104" t="n"/>
      <c r="N1070" s="104" t="n"/>
      <c r="O1070" s="104" t="n"/>
      <c r="P1070" s="104" t="n"/>
      <c r="Q1070" s="104" t="n"/>
      <c r="R1070" s="104" t="n"/>
      <c r="S1070" s="110" t="n"/>
      <c r="T1070" s="110" t="n"/>
      <c r="U1070" s="104" t="n"/>
    </row>
    <row r="1071">
      <c r="A1071" s="104" t="inlineStr">
        <is>
          <t>GUIDE001070</t>
        </is>
      </c>
      <c r="B1071" s="101" t="inlineStr">
        <is>
          <t>DEV000030</t>
        </is>
      </c>
      <c r="C1071" s="103" t="inlineStr">
        <is>
          <t>APL</t>
        </is>
      </c>
      <c r="D1071" s="103" t="inlineStr">
        <is>
          <t>PHN</t>
        </is>
      </c>
      <c r="E1071" s="60" t="inlineStr">
        <is>
          <t>iPhone 13 mini</t>
        </is>
      </c>
      <c r="F1071" s="104" t="inlineStr">
        <is>
          <t>SVC000024</t>
        </is>
      </c>
      <c r="G1071" s="104" t="inlineStr">
        <is>
          <t>Mute Switch Repair</t>
        </is>
      </c>
      <c r="H1071" s="104" t="inlineStr">
        <is>
          <t>Buttons</t>
        </is>
      </c>
      <c r="I1071" s="104" t="n"/>
      <c r="J1071" s="104" t="n"/>
      <c r="K1071" s="104" t="n"/>
      <c r="L1071" s="104" t="n"/>
      <c r="M1071" s="104" t="n"/>
      <c r="N1071" s="104" t="n"/>
      <c r="O1071" s="104" t="n"/>
      <c r="P1071" s="104" t="n"/>
      <c r="Q1071" s="104" t="n"/>
      <c r="R1071" s="104" t="n"/>
      <c r="S1071" s="110" t="n"/>
      <c r="T1071" s="110" t="n"/>
      <c r="U1071" s="104" t="n"/>
    </row>
    <row r="1072">
      <c r="A1072" s="104" t="inlineStr">
        <is>
          <t>GUIDE001071</t>
        </is>
      </c>
      <c r="B1072" s="101" t="inlineStr">
        <is>
          <t>DEV000031</t>
        </is>
      </c>
      <c r="C1072" s="103" t="inlineStr">
        <is>
          <t>APL</t>
        </is>
      </c>
      <c r="D1072" s="103" t="inlineStr">
        <is>
          <t>PHN</t>
        </is>
      </c>
      <c r="E1072" s="60" t="inlineStr">
        <is>
          <t>iPhone 13</t>
        </is>
      </c>
      <c r="F1072" s="104" t="inlineStr">
        <is>
          <t>SVC000024</t>
        </is>
      </c>
      <c r="G1072" s="104" t="inlineStr">
        <is>
          <t>Mute Switch Repair</t>
        </is>
      </c>
      <c r="H1072" s="104" t="inlineStr">
        <is>
          <t>Buttons</t>
        </is>
      </c>
      <c r="I1072" s="104" t="n"/>
      <c r="J1072" s="104" t="n"/>
      <c r="K1072" s="104" t="n"/>
      <c r="L1072" s="104" t="n"/>
      <c r="M1072" s="104" t="n"/>
      <c r="N1072" s="104" t="n"/>
      <c r="O1072" s="104" t="n"/>
      <c r="P1072" s="104" t="n"/>
      <c r="Q1072" s="104" t="n"/>
      <c r="R1072" s="104" t="n"/>
      <c r="S1072" s="110" t="n"/>
      <c r="T1072" s="110" t="n"/>
      <c r="U1072" s="104" t="n"/>
    </row>
    <row r="1073">
      <c r="A1073" s="104" t="inlineStr">
        <is>
          <t>GUIDE001072</t>
        </is>
      </c>
      <c r="B1073" s="101" t="inlineStr">
        <is>
          <t>DEV000032</t>
        </is>
      </c>
      <c r="C1073" s="103" t="inlineStr">
        <is>
          <t>APL</t>
        </is>
      </c>
      <c r="D1073" s="103" t="inlineStr">
        <is>
          <t>PHN</t>
        </is>
      </c>
      <c r="E1073" s="60" t="inlineStr">
        <is>
          <t>iPhone 13 Pro</t>
        </is>
      </c>
      <c r="F1073" s="104" t="inlineStr">
        <is>
          <t>SVC000024</t>
        </is>
      </c>
      <c r="G1073" s="104" t="inlineStr">
        <is>
          <t>Mute Switch Repair</t>
        </is>
      </c>
      <c r="H1073" s="104" t="inlineStr">
        <is>
          <t>Buttons</t>
        </is>
      </c>
      <c r="I1073" s="104" t="n"/>
      <c r="J1073" s="104" t="n"/>
      <c r="K1073" s="104" t="n"/>
      <c r="L1073" s="104" t="n"/>
      <c r="M1073" s="104" t="n"/>
      <c r="N1073" s="104" t="n"/>
      <c r="O1073" s="104" t="n"/>
      <c r="P1073" s="104" t="n"/>
      <c r="Q1073" s="104" t="n"/>
      <c r="R1073" s="104" t="n"/>
      <c r="S1073" s="110" t="n"/>
      <c r="T1073" s="110" t="n"/>
      <c r="U1073" s="104" t="n"/>
    </row>
    <row r="1074">
      <c r="A1074" s="104" t="inlineStr">
        <is>
          <t>GUIDE001073</t>
        </is>
      </c>
      <c r="B1074" s="101" t="inlineStr">
        <is>
          <t>DEV000033</t>
        </is>
      </c>
      <c r="C1074" s="103" t="inlineStr">
        <is>
          <t>APL</t>
        </is>
      </c>
      <c r="D1074" s="103" t="inlineStr">
        <is>
          <t>PHN</t>
        </is>
      </c>
      <c r="E1074" s="60" t="inlineStr">
        <is>
          <t>iPhone 13 Pro Max</t>
        </is>
      </c>
      <c r="F1074" s="104" t="inlineStr">
        <is>
          <t>SVC000024</t>
        </is>
      </c>
      <c r="G1074" s="104" t="inlineStr">
        <is>
          <t>Mute Switch Repair</t>
        </is>
      </c>
      <c r="H1074" s="104" t="inlineStr">
        <is>
          <t>Buttons</t>
        </is>
      </c>
      <c r="I1074" s="104" t="n"/>
      <c r="J1074" s="104" t="n"/>
      <c r="K1074" s="104" t="n"/>
      <c r="L1074" s="104" t="n"/>
      <c r="M1074" s="104" t="n"/>
      <c r="N1074" s="104" t="n"/>
      <c r="O1074" s="104" t="n"/>
      <c r="P1074" s="104" t="n"/>
      <c r="Q1074" s="104" t="n"/>
      <c r="R1074" s="104" t="n"/>
      <c r="S1074" s="110" t="n"/>
      <c r="T1074" s="110" t="n"/>
      <c r="U1074" s="104" t="n"/>
    </row>
    <row r="1075">
      <c r="A1075" s="105" t="inlineStr">
        <is>
          <t>GUIDE001074</t>
        </is>
      </c>
      <c r="B1075" s="101" t="inlineStr">
        <is>
          <t>DEV000034</t>
        </is>
      </c>
      <c r="C1075" s="103" t="inlineStr">
        <is>
          <t>APL</t>
        </is>
      </c>
      <c r="D1075" s="103" t="inlineStr">
        <is>
          <t>PHN</t>
        </is>
      </c>
      <c r="E1075" s="60" t="inlineStr">
        <is>
          <t>iPhone SE (3rd Generation)</t>
        </is>
      </c>
      <c r="F1075" s="104" t="inlineStr">
        <is>
          <t>SVC000024</t>
        </is>
      </c>
      <c r="G1075" s="104" t="inlineStr">
        <is>
          <t>Mute Switch Repair</t>
        </is>
      </c>
      <c r="H1075" s="104" t="inlineStr">
        <is>
          <t>Buttons</t>
        </is>
      </c>
      <c r="I1075" s="104" t="n"/>
      <c r="J1075" s="104" t="n"/>
      <c r="K1075" s="104" t="n"/>
      <c r="L1075" s="104" t="n"/>
      <c r="M1075" s="104" t="n"/>
      <c r="N1075" s="104" t="n"/>
      <c r="O1075" s="104" t="n"/>
      <c r="P1075" s="104" t="n"/>
      <c r="Q1075" s="104" t="n"/>
      <c r="R1075" s="104" t="n"/>
      <c r="S1075" s="110" t="n"/>
      <c r="T1075" s="110" t="n"/>
      <c r="U1075" s="104" t="n"/>
    </row>
    <row r="1076">
      <c r="A1076" s="104" t="inlineStr">
        <is>
          <t>GUIDE001075</t>
        </is>
      </c>
      <c r="B1076" s="101" t="inlineStr">
        <is>
          <t>DEV000035</t>
        </is>
      </c>
      <c r="C1076" s="103" t="inlineStr">
        <is>
          <t>APL</t>
        </is>
      </c>
      <c r="D1076" s="103" t="inlineStr">
        <is>
          <t>PHN</t>
        </is>
      </c>
      <c r="E1076" s="60" t="inlineStr">
        <is>
          <t>iPhone 14</t>
        </is>
      </c>
      <c r="F1076" s="104" t="inlineStr">
        <is>
          <t>SVC000024</t>
        </is>
      </c>
      <c r="G1076" s="104" t="inlineStr">
        <is>
          <t>Mute Switch Repair</t>
        </is>
      </c>
      <c r="H1076" s="104" t="inlineStr">
        <is>
          <t>Buttons</t>
        </is>
      </c>
      <c r="I1076" s="104" t="n"/>
      <c r="J1076" s="104" t="n"/>
      <c r="K1076" s="104" t="n"/>
      <c r="L1076" s="104" t="n"/>
      <c r="M1076" s="104" t="n"/>
      <c r="N1076" s="104" t="n"/>
      <c r="O1076" s="104" t="n"/>
      <c r="P1076" s="104" t="n"/>
      <c r="Q1076" s="104" t="n"/>
      <c r="R1076" s="104" t="n"/>
      <c r="S1076" s="110" t="n"/>
      <c r="T1076" s="110" t="n"/>
      <c r="U1076" s="104" t="n"/>
    </row>
    <row r="1077">
      <c r="A1077" s="104" t="inlineStr">
        <is>
          <t>GUIDE001076</t>
        </is>
      </c>
      <c r="B1077" s="101" t="inlineStr">
        <is>
          <t>DEV000036</t>
        </is>
      </c>
      <c r="C1077" s="103" t="inlineStr">
        <is>
          <t>APL</t>
        </is>
      </c>
      <c r="D1077" s="103" t="inlineStr">
        <is>
          <t>PHN</t>
        </is>
      </c>
      <c r="E1077" s="60" t="inlineStr">
        <is>
          <t>iPhone 14 Plus</t>
        </is>
      </c>
      <c r="F1077" s="104" t="inlineStr">
        <is>
          <t>SVC000024</t>
        </is>
      </c>
      <c r="G1077" s="104" t="inlineStr">
        <is>
          <t>Mute Switch Repair</t>
        </is>
      </c>
      <c r="H1077" s="104" t="inlineStr">
        <is>
          <t>Buttons</t>
        </is>
      </c>
      <c r="I1077" s="104" t="n"/>
      <c r="J1077" s="104" t="n"/>
      <c r="K1077" s="104" t="n"/>
      <c r="L1077" s="104" t="n"/>
      <c r="M1077" s="104" t="n"/>
      <c r="N1077" s="104" t="n"/>
      <c r="O1077" s="104" t="n"/>
      <c r="P1077" s="104" t="n"/>
      <c r="Q1077" s="104" t="n"/>
      <c r="R1077" s="104" t="n"/>
      <c r="S1077" s="110" t="n"/>
      <c r="T1077" s="110" t="n"/>
      <c r="U1077" s="104" t="n"/>
    </row>
    <row r="1078">
      <c r="A1078" s="104" t="inlineStr">
        <is>
          <t>GUIDE001077</t>
        </is>
      </c>
      <c r="B1078" s="101" t="inlineStr">
        <is>
          <t>DEV000037</t>
        </is>
      </c>
      <c r="C1078" s="103" t="inlineStr">
        <is>
          <t>APL</t>
        </is>
      </c>
      <c r="D1078" s="103" t="inlineStr">
        <is>
          <t>PHN</t>
        </is>
      </c>
      <c r="E1078" s="60" t="inlineStr">
        <is>
          <t>iPhone 14 Pro</t>
        </is>
      </c>
      <c r="F1078" s="104" t="inlineStr">
        <is>
          <t>SVC000024</t>
        </is>
      </c>
      <c r="G1078" s="104" t="inlineStr">
        <is>
          <t>Mute Switch Repair</t>
        </is>
      </c>
      <c r="H1078" s="104" t="inlineStr">
        <is>
          <t>Buttons</t>
        </is>
      </c>
      <c r="I1078" s="104" t="n"/>
      <c r="J1078" s="104" t="n"/>
      <c r="K1078" s="104" t="n"/>
      <c r="L1078" s="104" t="n"/>
      <c r="M1078" s="104" t="n"/>
      <c r="N1078" s="104" t="n"/>
      <c r="O1078" s="104" t="n"/>
      <c r="P1078" s="104" t="n"/>
      <c r="Q1078" s="104" t="n"/>
      <c r="R1078" s="104" t="n"/>
      <c r="S1078" s="110" t="n"/>
      <c r="T1078" s="110" t="n"/>
      <c r="U1078" s="104" t="n"/>
    </row>
    <row r="1079">
      <c r="A1079" s="104" t="inlineStr">
        <is>
          <t>GUIDE001078</t>
        </is>
      </c>
      <c r="B1079" s="101" t="inlineStr">
        <is>
          <t>DEV000038</t>
        </is>
      </c>
      <c r="C1079" s="103" t="inlineStr">
        <is>
          <t>APL</t>
        </is>
      </c>
      <c r="D1079" s="103" t="inlineStr">
        <is>
          <t>PHN</t>
        </is>
      </c>
      <c r="E1079" s="60" t="inlineStr">
        <is>
          <t>iPhone 14 Pro Max</t>
        </is>
      </c>
      <c r="F1079" s="104" t="inlineStr">
        <is>
          <t>SVC000024</t>
        </is>
      </c>
      <c r="G1079" s="104" t="inlineStr">
        <is>
          <t>Mute Switch Repair</t>
        </is>
      </c>
      <c r="H1079" s="104" t="inlineStr">
        <is>
          <t>Buttons</t>
        </is>
      </c>
      <c r="I1079" s="104" t="n"/>
      <c r="J1079" s="104" t="n"/>
      <c r="K1079" s="104" t="n"/>
      <c r="L1079" s="104" t="n"/>
      <c r="M1079" s="104" t="n"/>
      <c r="N1079" s="104" t="n"/>
      <c r="O1079" s="104" t="n"/>
      <c r="P1079" s="104" t="n"/>
      <c r="Q1079" s="104" t="n"/>
      <c r="R1079" s="104" t="n"/>
      <c r="S1079" s="110" t="n"/>
      <c r="T1079" s="110" t="n"/>
      <c r="U1079" s="104" t="n"/>
    </row>
    <row r="1080">
      <c r="A1080" s="104" t="inlineStr">
        <is>
          <t>GUIDE001079</t>
        </is>
      </c>
      <c r="B1080" s="101" t="inlineStr">
        <is>
          <t>DEV000039</t>
        </is>
      </c>
      <c r="C1080" s="103" t="inlineStr">
        <is>
          <t>APL</t>
        </is>
      </c>
      <c r="D1080" s="103" t="inlineStr">
        <is>
          <t>PHN</t>
        </is>
      </c>
      <c r="E1080" s="60" t="inlineStr">
        <is>
          <t>iPhone 15</t>
        </is>
      </c>
      <c r="F1080" s="104" t="inlineStr">
        <is>
          <t>SVC000024</t>
        </is>
      </c>
      <c r="G1080" s="104" t="inlineStr">
        <is>
          <t>Mute Switch Repair</t>
        </is>
      </c>
      <c r="H1080" s="104" t="inlineStr">
        <is>
          <t>Buttons</t>
        </is>
      </c>
      <c r="I1080" s="104" t="n"/>
      <c r="J1080" s="104" t="n"/>
      <c r="K1080" s="104" t="n"/>
      <c r="L1080" s="104" t="n"/>
      <c r="M1080" s="104" t="n"/>
      <c r="N1080" s="104" t="n"/>
      <c r="O1080" s="104" t="n"/>
      <c r="P1080" s="104" t="n"/>
      <c r="Q1080" s="104" t="n"/>
      <c r="R1080" s="104" t="n"/>
      <c r="S1080" s="110" t="n"/>
      <c r="T1080" s="110" t="n"/>
      <c r="U1080" s="104" t="n"/>
    </row>
    <row r="1081">
      <c r="A1081" s="105" t="inlineStr">
        <is>
          <t>GUIDE001080</t>
        </is>
      </c>
      <c r="B1081" s="101" t="inlineStr">
        <is>
          <t>DEV000040</t>
        </is>
      </c>
      <c r="C1081" s="103" t="inlineStr">
        <is>
          <t>APL</t>
        </is>
      </c>
      <c r="D1081" s="103" t="inlineStr">
        <is>
          <t>PHN</t>
        </is>
      </c>
      <c r="E1081" s="60" t="inlineStr">
        <is>
          <t>iPhone 15 Plus</t>
        </is>
      </c>
      <c r="F1081" s="104" t="inlineStr">
        <is>
          <t>SVC000024</t>
        </is>
      </c>
      <c r="G1081" s="104" t="inlineStr">
        <is>
          <t>Mute Switch Repair</t>
        </is>
      </c>
      <c r="H1081" s="104" t="inlineStr">
        <is>
          <t>Buttons</t>
        </is>
      </c>
      <c r="I1081" s="104" t="n"/>
      <c r="J1081" s="104" t="n"/>
      <c r="K1081" s="104" t="n"/>
      <c r="L1081" s="104" t="n"/>
      <c r="M1081" s="104" t="n"/>
      <c r="N1081" s="104" t="n"/>
      <c r="O1081" s="104" t="n"/>
      <c r="P1081" s="104" t="n"/>
      <c r="Q1081" s="104" t="n"/>
      <c r="R1081" s="104" t="n"/>
      <c r="S1081" s="110" t="n"/>
      <c r="T1081" s="110" t="n"/>
      <c r="U1081" s="104" t="n"/>
    </row>
    <row r="1082">
      <c r="A1082" s="104" t="inlineStr">
        <is>
          <t>GUIDE001081</t>
        </is>
      </c>
      <c r="B1082" s="101" t="inlineStr">
        <is>
          <t>DEV000041</t>
        </is>
      </c>
      <c r="C1082" s="103" t="inlineStr">
        <is>
          <t>APL</t>
        </is>
      </c>
      <c r="D1082" s="103" t="inlineStr">
        <is>
          <t>PHN</t>
        </is>
      </c>
      <c r="E1082" s="60" t="inlineStr">
        <is>
          <t>iPhone 15 Pro</t>
        </is>
      </c>
      <c r="F1082" s="104" t="inlineStr">
        <is>
          <t>SVC000024</t>
        </is>
      </c>
      <c r="G1082" s="104" t="inlineStr">
        <is>
          <t>Mute Switch Repair</t>
        </is>
      </c>
      <c r="H1082" s="104" t="inlineStr">
        <is>
          <t>Buttons</t>
        </is>
      </c>
      <c r="I1082" s="104" t="n"/>
      <c r="J1082" s="104" t="n"/>
      <c r="K1082" s="104" t="n"/>
      <c r="L1082" s="104" t="n"/>
      <c r="M1082" s="104" t="n"/>
      <c r="N1082" s="104" t="n"/>
      <c r="O1082" s="104" t="n"/>
      <c r="P1082" s="104" t="n"/>
      <c r="Q1082" s="104" t="n"/>
      <c r="R1082" s="104" t="n"/>
      <c r="S1082" s="110" t="n"/>
      <c r="T1082" s="110" t="n"/>
      <c r="U1082" s="104" t="n"/>
    </row>
    <row r="1083">
      <c r="A1083" s="104" t="inlineStr">
        <is>
          <t>GUIDE001082</t>
        </is>
      </c>
      <c r="B1083" s="101" t="inlineStr">
        <is>
          <t>DEV000042</t>
        </is>
      </c>
      <c r="C1083" s="103" t="inlineStr">
        <is>
          <t>APL</t>
        </is>
      </c>
      <c r="D1083" s="103" t="inlineStr">
        <is>
          <t>PHN</t>
        </is>
      </c>
      <c r="E1083" s="60" t="inlineStr">
        <is>
          <t>iPhone 15 Pro Max</t>
        </is>
      </c>
      <c r="F1083" s="104" t="inlineStr">
        <is>
          <t>SVC000024</t>
        </is>
      </c>
      <c r="G1083" s="104" t="inlineStr">
        <is>
          <t>Mute Switch Repair</t>
        </is>
      </c>
      <c r="H1083" s="104" t="inlineStr">
        <is>
          <t>Buttons</t>
        </is>
      </c>
      <c r="I1083" s="104" t="n"/>
      <c r="J1083" s="104" t="n"/>
      <c r="K1083" s="104" t="n"/>
      <c r="L1083" s="104" t="n"/>
      <c r="M1083" s="104" t="n"/>
      <c r="N1083" s="104" t="n"/>
      <c r="O1083" s="104" t="n"/>
      <c r="P1083" s="104" t="n"/>
      <c r="Q1083" s="104" t="n"/>
      <c r="R1083" s="104" t="n"/>
      <c r="S1083" s="110" t="n"/>
      <c r="T1083" s="110" t="n"/>
      <c r="U1083" s="104" t="n"/>
    </row>
    <row r="1084">
      <c r="A1084" s="104" t="inlineStr">
        <is>
          <t>GUIDE001083</t>
        </is>
      </c>
      <c r="B1084" s="101" t="inlineStr">
        <is>
          <t>DEV000043</t>
        </is>
      </c>
      <c r="C1084" s="103" t="inlineStr">
        <is>
          <t>APL</t>
        </is>
      </c>
      <c r="D1084" s="103" t="inlineStr">
        <is>
          <t>PHN</t>
        </is>
      </c>
      <c r="E1084" s="60" t="inlineStr">
        <is>
          <t>iPhone 16</t>
        </is>
      </c>
      <c r="F1084" s="104" t="inlineStr">
        <is>
          <t>SVC000024</t>
        </is>
      </c>
      <c r="G1084" s="104" t="inlineStr">
        <is>
          <t>Mute Switch Repair</t>
        </is>
      </c>
      <c r="H1084" s="104" t="inlineStr">
        <is>
          <t>Buttons</t>
        </is>
      </c>
      <c r="I1084" s="104" t="n"/>
      <c r="J1084" s="104" t="n"/>
      <c r="K1084" s="104" t="n"/>
      <c r="L1084" s="104" t="n"/>
      <c r="M1084" s="104" t="n"/>
      <c r="N1084" s="104" t="n"/>
      <c r="O1084" s="104" t="n"/>
      <c r="P1084" s="104" t="n"/>
      <c r="Q1084" s="104" t="n"/>
      <c r="R1084" s="104" t="n"/>
      <c r="S1084" s="110" t="n"/>
      <c r="T1084" s="110" t="n"/>
      <c r="U1084" s="104" t="n"/>
    </row>
    <row r="1085">
      <c r="A1085" s="104" t="inlineStr">
        <is>
          <t>GUIDE001084</t>
        </is>
      </c>
      <c r="B1085" s="101" t="inlineStr">
        <is>
          <t>DEV000044</t>
        </is>
      </c>
      <c r="C1085" s="103" t="inlineStr">
        <is>
          <t>APL</t>
        </is>
      </c>
      <c r="D1085" s="103" t="inlineStr">
        <is>
          <t>PHN</t>
        </is>
      </c>
      <c r="E1085" s="60" t="inlineStr">
        <is>
          <t>iPhone 16 Plus</t>
        </is>
      </c>
      <c r="F1085" s="104" t="inlineStr">
        <is>
          <t>SVC000024</t>
        </is>
      </c>
      <c r="G1085" s="104" t="inlineStr">
        <is>
          <t>Mute Switch Repair</t>
        </is>
      </c>
      <c r="H1085" s="104" t="inlineStr">
        <is>
          <t>Buttons</t>
        </is>
      </c>
      <c r="I1085" s="104" t="n"/>
      <c r="J1085" s="104" t="n"/>
      <c r="K1085" s="104" t="n"/>
      <c r="L1085" s="104" t="n"/>
      <c r="M1085" s="104" t="n"/>
      <c r="N1085" s="104" t="n"/>
      <c r="O1085" s="104" t="n"/>
      <c r="P1085" s="104" t="n"/>
      <c r="Q1085" s="104" t="n"/>
      <c r="R1085" s="104" t="n"/>
      <c r="S1085" s="110" t="n"/>
      <c r="T1085" s="110" t="n"/>
      <c r="U1085" s="104" t="n"/>
    </row>
    <row r="1086">
      <c r="A1086" s="104" t="inlineStr">
        <is>
          <t>GUIDE001085</t>
        </is>
      </c>
      <c r="B1086" s="101" t="inlineStr">
        <is>
          <t>DEV000045</t>
        </is>
      </c>
      <c r="C1086" s="103" t="inlineStr">
        <is>
          <t>APL</t>
        </is>
      </c>
      <c r="D1086" s="103" t="inlineStr">
        <is>
          <t>PHN</t>
        </is>
      </c>
      <c r="E1086" s="60" t="inlineStr">
        <is>
          <t>iPhone 16 Pro</t>
        </is>
      </c>
      <c r="F1086" s="104" t="inlineStr">
        <is>
          <t>SVC000024</t>
        </is>
      </c>
      <c r="G1086" s="104" t="inlineStr">
        <is>
          <t>Mute Switch Repair</t>
        </is>
      </c>
      <c r="H1086" s="104" t="inlineStr">
        <is>
          <t>Buttons</t>
        </is>
      </c>
      <c r="I1086" s="104" t="n"/>
      <c r="J1086" s="104" t="n"/>
      <c r="K1086" s="104" t="n"/>
      <c r="L1086" s="104" t="n"/>
      <c r="M1086" s="104" t="n"/>
      <c r="N1086" s="104" t="n"/>
      <c r="O1086" s="104" t="n"/>
      <c r="P1086" s="104" t="n"/>
      <c r="Q1086" s="104" t="n"/>
      <c r="R1086" s="104" t="n"/>
      <c r="S1086" s="110" t="n"/>
      <c r="T1086" s="110" t="n"/>
      <c r="U1086" s="104" t="n"/>
    </row>
    <row r="1087">
      <c r="A1087" s="105" t="inlineStr">
        <is>
          <t>GUIDE001086</t>
        </is>
      </c>
      <c r="B1087" s="101" t="inlineStr">
        <is>
          <t>DEV000046</t>
        </is>
      </c>
      <c r="C1087" s="103" t="inlineStr">
        <is>
          <t>APL</t>
        </is>
      </c>
      <c r="D1087" s="103" t="inlineStr">
        <is>
          <t>PHN</t>
        </is>
      </c>
      <c r="E1087" s="60" t="inlineStr">
        <is>
          <t>iPhone 16 Pro Max</t>
        </is>
      </c>
      <c r="F1087" s="104" t="inlineStr">
        <is>
          <t>SVC000024</t>
        </is>
      </c>
      <c r="G1087" s="104" t="inlineStr">
        <is>
          <t>Mute Switch Repair</t>
        </is>
      </c>
      <c r="H1087" s="104" t="inlineStr">
        <is>
          <t>Buttons</t>
        </is>
      </c>
      <c r="I1087" s="104" t="n"/>
      <c r="J1087" s="104" t="n"/>
      <c r="K1087" s="104" t="n"/>
      <c r="L1087" s="104" t="n"/>
      <c r="M1087" s="104" t="n"/>
      <c r="N1087" s="104" t="n"/>
      <c r="O1087" s="104" t="n"/>
      <c r="P1087" s="104" t="n"/>
      <c r="Q1087" s="104" t="n"/>
      <c r="R1087" s="104" t="n"/>
      <c r="S1087" s="110" t="n"/>
      <c r="T1087" s="110" t="n"/>
      <c r="U1087" s="104" t="n"/>
    </row>
    <row r="1088">
      <c r="A1088" s="104" t="inlineStr">
        <is>
          <t>GUIDE001087</t>
        </is>
      </c>
      <c r="B1088" s="101" t="inlineStr">
        <is>
          <t>DEV000047</t>
        </is>
      </c>
      <c r="C1088" s="103" t="inlineStr">
        <is>
          <t>APL</t>
        </is>
      </c>
      <c r="D1088" s="103" t="inlineStr">
        <is>
          <t>PHN</t>
        </is>
      </c>
      <c r="E1088" s="60" t="inlineStr">
        <is>
          <t>iPhone 16e</t>
        </is>
      </c>
      <c r="F1088" s="104" t="inlineStr">
        <is>
          <t>SVC000024</t>
        </is>
      </c>
      <c r="G1088" s="104" t="inlineStr">
        <is>
          <t>Mute Switch Repair</t>
        </is>
      </c>
      <c r="H1088" s="104" t="inlineStr">
        <is>
          <t>Buttons</t>
        </is>
      </c>
      <c r="I1088" s="104" t="n"/>
      <c r="J1088" s="104" t="n"/>
      <c r="K1088" s="104" t="n"/>
      <c r="L1088" s="104" t="n"/>
      <c r="M1088" s="104" t="n"/>
      <c r="N1088" s="104" t="n"/>
      <c r="O1088" s="104" t="n"/>
      <c r="P1088" s="104" t="n"/>
      <c r="Q1088" s="104" t="n"/>
      <c r="R1088" s="104" t="n"/>
      <c r="S1088" s="110" t="n"/>
      <c r="T1088" s="110" t="n"/>
      <c r="U1088" s="104" t="n"/>
    </row>
    <row r="1089">
      <c r="A1089" s="104" t="inlineStr">
        <is>
          <t>GUIDE001088</t>
        </is>
      </c>
      <c r="B1089" s="101" t="inlineStr">
        <is>
          <t>DEV000048</t>
        </is>
      </c>
      <c r="C1089" s="103" t="inlineStr">
        <is>
          <t>APL</t>
        </is>
      </c>
      <c r="D1089" s="103" t="inlineStr">
        <is>
          <t>PHN</t>
        </is>
      </c>
      <c r="E1089" s="60" t="inlineStr">
        <is>
          <t>iPhone 17</t>
        </is>
      </c>
      <c r="F1089" s="104" t="inlineStr">
        <is>
          <t>SVC000024</t>
        </is>
      </c>
      <c r="G1089" s="104" t="inlineStr">
        <is>
          <t>Mute Switch Repair</t>
        </is>
      </c>
      <c r="H1089" s="104" t="inlineStr">
        <is>
          <t>Buttons</t>
        </is>
      </c>
      <c r="I1089" s="104" t="n"/>
      <c r="J1089" s="104" t="n"/>
      <c r="K1089" s="104" t="n"/>
      <c r="L1089" s="104" t="n"/>
      <c r="M1089" s="104" t="n"/>
      <c r="N1089" s="104" t="n"/>
      <c r="O1089" s="104" t="n"/>
      <c r="P1089" s="104" t="n"/>
      <c r="Q1089" s="104" t="n"/>
      <c r="R1089" s="104" t="n"/>
      <c r="S1089" s="110" t="n"/>
      <c r="T1089" s="110" t="n"/>
      <c r="U1089" s="104" t="n"/>
    </row>
    <row r="1090">
      <c r="A1090" s="104" t="inlineStr">
        <is>
          <t>GUIDE001089</t>
        </is>
      </c>
      <c r="B1090" s="101" t="inlineStr">
        <is>
          <t>DEV000049</t>
        </is>
      </c>
      <c r="C1090" s="103" t="inlineStr">
        <is>
          <t>APL</t>
        </is>
      </c>
      <c r="D1090" s="103" t="inlineStr">
        <is>
          <t>PHN</t>
        </is>
      </c>
      <c r="E1090" s="60" t="inlineStr">
        <is>
          <t>iPhone 17 Pro</t>
        </is>
      </c>
      <c r="F1090" s="104" t="inlineStr">
        <is>
          <t>SVC000024</t>
        </is>
      </c>
      <c r="G1090" s="104" t="inlineStr">
        <is>
          <t>Mute Switch Repair</t>
        </is>
      </c>
      <c r="H1090" s="104" t="inlineStr">
        <is>
          <t>Buttons</t>
        </is>
      </c>
      <c r="I1090" s="104" t="n"/>
      <c r="J1090" s="104" t="n"/>
      <c r="K1090" s="104" t="n"/>
      <c r="L1090" s="104" t="n"/>
      <c r="M1090" s="104" t="n"/>
      <c r="N1090" s="104" t="n"/>
      <c r="O1090" s="104" t="n"/>
      <c r="P1090" s="104" t="n"/>
      <c r="Q1090" s="104" t="n"/>
      <c r="R1090" s="104" t="n"/>
      <c r="S1090" s="110" t="n"/>
      <c r="T1090" s="110" t="n"/>
      <c r="U1090" s="104" t="n"/>
    </row>
    <row r="1091">
      <c r="A1091" s="104" t="inlineStr">
        <is>
          <t>GUIDE001090</t>
        </is>
      </c>
      <c r="B1091" s="101" t="inlineStr">
        <is>
          <t>DEV000050</t>
        </is>
      </c>
      <c r="C1091" s="103" t="inlineStr">
        <is>
          <t>APL</t>
        </is>
      </c>
      <c r="D1091" s="103" t="inlineStr">
        <is>
          <t>PHN</t>
        </is>
      </c>
      <c r="E1091" s="60" t="inlineStr">
        <is>
          <t>iPhone 17 Pro Max</t>
        </is>
      </c>
      <c r="F1091" s="104" t="inlineStr">
        <is>
          <t>SVC000024</t>
        </is>
      </c>
      <c r="G1091" s="104" t="inlineStr">
        <is>
          <t>Mute Switch Repair</t>
        </is>
      </c>
      <c r="H1091" s="104" t="inlineStr">
        <is>
          <t>Buttons</t>
        </is>
      </c>
      <c r="I1091" s="104" t="n"/>
      <c r="J1091" s="104" t="n"/>
      <c r="K1091" s="104" t="n"/>
      <c r="L1091" s="104" t="n"/>
      <c r="M1091" s="104" t="n"/>
      <c r="N1091" s="104" t="n"/>
      <c r="O1091" s="104" t="n"/>
      <c r="P1091" s="104" t="n"/>
      <c r="Q1091" s="104" t="n"/>
      <c r="R1091" s="104" t="n"/>
      <c r="S1091" s="110" t="n"/>
      <c r="T1091" s="110" t="n"/>
      <c r="U1091" s="104" t="n"/>
    </row>
    <row r="1092">
      <c r="A1092" s="104" t="inlineStr">
        <is>
          <t>GUIDE001091</t>
        </is>
      </c>
      <c r="B1092" s="101" t="inlineStr">
        <is>
          <t>DEV000051</t>
        </is>
      </c>
      <c r="C1092" s="103" t="inlineStr">
        <is>
          <t>APL</t>
        </is>
      </c>
      <c r="D1092" s="103" t="inlineStr">
        <is>
          <t>PHN</t>
        </is>
      </c>
      <c r="E1092" s="60" t="inlineStr">
        <is>
          <t>iPhone Air</t>
        </is>
      </c>
      <c r="F1092" s="104" t="inlineStr">
        <is>
          <t>SVC000024</t>
        </is>
      </c>
      <c r="G1092" s="104" t="inlineStr">
        <is>
          <t>Mute Switch Repair</t>
        </is>
      </c>
      <c r="H1092" s="104" t="inlineStr">
        <is>
          <t>Buttons</t>
        </is>
      </c>
      <c r="I1092" s="104" t="n"/>
      <c r="J1092" s="104" t="n"/>
      <c r="K1092" s="104" t="n"/>
      <c r="L1092" s="104" t="n"/>
      <c r="M1092" s="104" t="n"/>
      <c r="N1092" s="104" t="n"/>
      <c r="O1092" s="104" t="n"/>
      <c r="P1092" s="104" t="n"/>
      <c r="Q1092" s="104" t="n"/>
      <c r="R1092" s="104" t="n"/>
      <c r="S1092" s="110" t="n"/>
      <c r="T1092" s="110" t="n"/>
      <c r="U1092" s="104" t="n"/>
    </row>
    <row r="1093">
      <c r="A1093" s="105" t="inlineStr">
        <is>
          <t>GUIDE001092</t>
        </is>
      </c>
      <c r="B1093" s="101" t="inlineStr">
        <is>
          <t>DEV000052</t>
        </is>
      </c>
      <c r="C1093" s="103" t="inlineStr">
        <is>
          <t>APL</t>
        </is>
      </c>
      <c r="D1093" s="103" t="inlineStr">
        <is>
          <t>PHN</t>
        </is>
      </c>
      <c r="E1093" s="60" t="inlineStr">
        <is>
          <t>iPhone 17e</t>
        </is>
      </c>
      <c r="F1093" s="104" t="inlineStr">
        <is>
          <t>SVC000024</t>
        </is>
      </c>
      <c r="G1093" s="104" t="inlineStr">
        <is>
          <t>Mute Switch Repair</t>
        </is>
      </c>
      <c r="H1093" s="104" t="inlineStr">
        <is>
          <t>Buttons</t>
        </is>
      </c>
      <c r="I1093" s="104" t="n"/>
      <c r="J1093" s="104" t="n"/>
      <c r="K1093" s="104" t="n"/>
      <c r="L1093" s="104" t="n"/>
      <c r="M1093" s="104" t="n"/>
      <c r="N1093" s="104" t="n"/>
      <c r="O1093" s="104" t="n"/>
      <c r="P1093" s="104" t="n"/>
      <c r="Q1093" s="104" t="n"/>
      <c r="R1093" s="104" t="n"/>
      <c r="S1093" s="110" t="n"/>
      <c r="T1093" s="110" t="n"/>
      <c r="U1093" s="104" t="n"/>
    </row>
    <row r="1094">
      <c r="A1094" s="104" t="inlineStr">
        <is>
          <t>GUIDE001093</t>
        </is>
      </c>
      <c r="B1094" s="101" t="inlineStr">
        <is>
          <t>DEV000001</t>
        </is>
      </c>
      <c r="C1094" s="103" t="inlineStr">
        <is>
          <t>APL</t>
        </is>
      </c>
      <c r="D1094" s="103" t="inlineStr">
        <is>
          <t>PHN</t>
        </is>
      </c>
      <c r="E1094" s="60" t="inlineStr">
        <is>
          <t>iPhone (2G)</t>
        </is>
      </c>
      <c r="F1094" s="104" t="inlineStr">
        <is>
          <t>SVC000025</t>
        </is>
      </c>
      <c r="G1094" s="104" t="inlineStr">
        <is>
          <t>Frame Replacement</t>
        </is>
      </c>
      <c r="H1094" s="104" t="inlineStr">
        <is>
          <t>Housing</t>
        </is>
      </c>
      <c r="I1094" s="104" t="n"/>
      <c r="J1094" s="104" t="n"/>
      <c r="K1094" s="104" t="n"/>
      <c r="L1094" s="104" t="n"/>
      <c r="M1094" s="104" t="n"/>
      <c r="N1094" s="104" t="n"/>
      <c r="O1094" s="104" t="n"/>
      <c r="P1094" s="104" t="n"/>
      <c r="Q1094" s="104" t="n"/>
      <c r="R1094" s="104" t="n"/>
      <c r="S1094" s="110" t="n"/>
      <c r="T1094" s="110" t="n"/>
      <c r="U1094" s="104" t="n"/>
    </row>
    <row r="1095">
      <c r="A1095" s="104" t="inlineStr">
        <is>
          <t>GUIDE001094</t>
        </is>
      </c>
      <c r="B1095" s="101" t="inlineStr">
        <is>
          <t>DEV000002</t>
        </is>
      </c>
      <c r="C1095" s="103" t="inlineStr">
        <is>
          <t>APL</t>
        </is>
      </c>
      <c r="D1095" s="103" t="inlineStr">
        <is>
          <t>PHN</t>
        </is>
      </c>
      <c r="E1095" s="60" t="inlineStr">
        <is>
          <t>iPhone 3G</t>
        </is>
      </c>
      <c r="F1095" s="104" t="inlineStr">
        <is>
          <t>SVC000025</t>
        </is>
      </c>
      <c r="G1095" s="104" t="inlineStr">
        <is>
          <t>Frame Replacement</t>
        </is>
      </c>
      <c r="H1095" s="104" t="inlineStr">
        <is>
          <t>Housing</t>
        </is>
      </c>
      <c r="I1095" s="104" t="n"/>
      <c r="J1095" s="104" t="n"/>
      <c r="K1095" s="104" t="n"/>
      <c r="L1095" s="104" t="n"/>
      <c r="M1095" s="104" t="n"/>
      <c r="N1095" s="104" t="n"/>
      <c r="O1095" s="104" t="n"/>
      <c r="P1095" s="104" t="n"/>
      <c r="Q1095" s="104" t="n"/>
      <c r="R1095" s="104" t="n"/>
      <c r="S1095" s="110" t="n"/>
      <c r="T1095" s="110" t="n"/>
      <c r="U1095" s="104" t="n"/>
    </row>
    <row r="1096">
      <c r="A1096" s="104" t="inlineStr">
        <is>
          <t>GUIDE001095</t>
        </is>
      </c>
      <c r="B1096" s="101" t="inlineStr">
        <is>
          <t>DEV000003</t>
        </is>
      </c>
      <c r="C1096" s="103" t="inlineStr">
        <is>
          <t>APL</t>
        </is>
      </c>
      <c r="D1096" s="103" t="inlineStr">
        <is>
          <t>PHN</t>
        </is>
      </c>
      <c r="E1096" s="60" t="inlineStr">
        <is>
          <t>iPhone 3GS</t>
        </is>
      </c>
      <c r="F1096" s="104" t="inlineStr">
        <is>
          <t>SVC000025</t>
        </is>
      </c>
      <c r="G1096" s="104" t="inlineStr">
        <is>
          <t>Frame Replacement</t>
        </is>
      </c>
      <c r="H1096" s="104" t="inlineStr">
        <is>
          <t>Housing</t>
        </is>
      </c>
      <c r="I1096" s="104" t="n"/>
      <c r="J1096" s="104" t="n"/>
      <c r="K1096" s="104" t="n"/>
      <c r="L1096" s="104" t="n"/>
      <c r="M1096" s="104" t="n"/>
      <c r="N1096" s="104" t="n"/>
      <c r="O1096" s="104" t="n"/>
      <c r="P1096" s="104" t="n"/>
      <c r="Q1096" s="104" t="n"/>
      <c r="R1096" s="104" t="n"/>
      <c r="S1096" s="110" t="n"/>
      <c r="T1096" s="110" t="n"/>
      <c r="U1096" s="104" t="n"/>
    </row>
    <row r="1097">
      <c r="A1097" s="104" t="inlineStr">
        <is>
          <t>GUIDE001096</t>
        </is>
      </c>
      <c r="B1097" s="101" t="inlineStr">
        <is>
          <t>DEV000004</t>
        </is>
      </c>
      <c r="C1097" s="103" t="inlineStr">
        <is>
          <t>APL</t>
        </is>
      </c>
      <c r="D1097" s="103" t="inlineStr">
        <is>
          <t>PHN</t>
        </is>
      </c>
      <c r="E1097" s="60" t="inlineStr">
        <is>
          <t>iPhone 4</t>
        </is>
      </c>
      <c r="F1097" s="104" t="inlineStr">
        <is>
          <t>SVC000025</t>
        </is>
      </c>
      <c r="G1097" s="104" t="inlineStr">
        <is>
          <t>Frame Replacement</t>
        </is>
      </c>
      <c r="H1097" s="104" t="inlineStr">
        <is>
          <t>Housing</t>
        </is>
      </c>
      <c r="I1097" s="104" t="n"/>
      <c r="J1097" s="104" t="n"/>
      <c r="K1097" s="104" t="n"/>
      <c r="L1097" s="104" t="n"/>
      <c r="M1097" s="104" t="n"/>
      <c r="N1097" s="104" t="n"/>
      <c r="O1097" s="104" t="n"/>
      <c r="P1097" s="104" t="n"/>
      <c r="Q1097" s="104" t="n"/>
      <c r="R1097" s="104" t="n"/>
      <c r="S1097" s="110" t="n"/>
      <c r="T1097" s="110" t="n"/>
      <c r="U1097" s="104" t="n"/>
    </row>
    <row r="1098">
      <c r="A1098" s="104" t="inlineStr">
        <is>
          <t>GUIDE001097</t>
        </is>
      </c>
      <c r="B1098" s="101" t="inlineStr">
        <is>
          <t>DEV000005</t>
        </is>
      </c>
      <c r="C1098" s="103" t="inlineStr">
        <is>
          <t>APL</t>
        </is>
      </c>
      <c r="D1098" s="103" t="inlineStr">
        <is>
          <t>PHN</t>
        </is>
      </c>
      <c r="E1098" s="60" t="inlineStr">
        <is>
          <t>iPhone 4s</t>
        </is>
      </c>
      <c r="F1098" s="104" t="inlineStr">
        <is>
          <t>SVC000025</t>
        </is>
      </c>
      <c r="G1098" s="104" t="inlineStr">
        <is>
          <t>Frame Replacement</t>
        </is>
      </c>
      <c r="H1098" s="104" t="inlineStr">
        <is>
          <t>Housing</t>
        </is>
      </c>
      <c r="I1098" s="104" t="n"/>
      <c r="J1098" s="104" t="n"/>
      <c r="K1098" s="104" t="n"/>
      <c r="L1098" s="104" t="n"/>
      <c r="M1098" s="104" t="n"/>
      <c r="N1098" s="104" t="n"/>
      <c r="O1098" s="104" t="n"/>
      <c r="P1098" s="104" t="n"/>
      <c r="Q1098" s="104" t="n"/>
      <c r="R1098" s="104" t="n"/>
      <c r="S1098" s="110" t="n"/>
      <c r="T1098" s="110" t="n"/>
      <c r="U1098" s="104" t="n"/>
    </row>
    <row r="1099">
      <c r="A1099" s="105" t="inlineStr">
        <is>
          <t>GUIDE001098</t>
        </is>
      </c>
      <c r="B1099" s="101" t="inlineStr">
        <is>
          <t>DEV000006</t>
        </is>
      </c>
      <c r="C1099" s="103" t="inlineStr">
        <is>
          <t>APL</t>
        </is>
      </c>
      <c r="D1099" s="103" t="inlineStr">
        <is>
          <t>PHN</t>
        </is>
      </c>
      <c r="E1099" s="60" t="inlineStr">
        <is>
          <t>iPhone 5</t>
        </is>
      </c>
      <c r="F1099" s="104" t="inlineStr">
        <is>
          <t>SVC000025</t>
        </is>
      </c>
      <c r="G1099" s="104" t="inlineStr">
        <is>
          <t>Frame Replacement</t>
        </is>
      </c>
      <c r="H1099" s="104" t="inlineStr">
        <is>
          <t>Housing</t>
        </is>
      </c>
      <c r="I1099" s="104" t="n"/>
      <c r="J1099" s="104" t="n"/>
      <c r="K1099" s="104" t="n"/>
      <c r="L1099" s="104" t="n"/>
      <c r="M1099" s="104" t="n"/>
      <c r="N1099" s="104" t="n"/>
      <c r="O1099" s="104" t="n"/>
      <c r="P1099" s="104" t="n"/>
      <c r="Q1099" s="104" t="n"/>
      <c r="R1099" s="104" t="n"/>
      <c r="S1099" s="110" t="n"/>
      <c r="T1099" s="110" t="n"/>
      <c r="U1099" s="104" t="n"/>
    </row>
    <row r="1100">
      <c r="A1100" s="104" t="inlineStr">
        <is>
          <t>GUIDE001099</t>
        </is>
      </c>
      <c r="B1100" s="101" t="inlineStr">
        <is>
          <t>DEV000007</t>
        </is>
      </c>
      <c r="C1100" s="103" t="inlineStr">
        <is>
          <t>APL</t>
        </is>
      </c>
      <c r="D1100" s="103" t="inlineStr">
        <is>
          <t>PHN</t>
        </is>
      </c>
      <c r="E1100" s="60" t="inlineStr">
        <is>
          <t>iPhone 5c</t>
        </is>
      </c>
      <c r="F1100" s="104" t="inlineStr">
        <is>
          <t>SVC000025</t>
        </is>
      </c>
      <c r="G1100" s="104" t="inlineStr">
        <is>
          <t>Frame Replacement</t>
        </is>
      </c>
      <c r="H1100" s="104" t="inlineStr">
        <is>
          <t>Housing</t>
        </is>
      </c>
      <c r="I1100" s="104" t="n"/>
      <c r="J1100" s="104" t="n"/>
      <c r="K1100" s="104" t="n"/>
      <c r="L1100" s="104" t="n"/>
      <c r="M1100" s="104" t="n"/>
      <c r="N1100" s="104" t="n"/>
      <c r="O1100" s="104" t="n"/>
      <c r="P1100" s="104" t="n"/>
      <c r="Q1100" s="104" t="n"/>
      <c r="R1100" s="104" t="n"/>
      <c r="S1100" s="110" t="n"/>
      <c r="T1100" s="110" t="n"/>
      <c r="U1100" s="104" t="n"/>
    </row>
    <row r="1101">
      <c r="A1101" s="104" t="inlineStr">
        <is>
          <t>GUIDE001100</t>
        </is>
      </c>
      <c r="B1101" s="101" t="inlineStr">
        <is>
          <t>DEV000008</t>
        </is>
      </c>
      <c r="C1101" s="103" t="inlineStr">
        <is>
          <t>APL</t>
        </is>
      </c>
      <c r="D1101" s="103" t="inlineStr">
        <is>
          <t>PHN</t>
        </is>
      </c>
      <c r="E1101" s="60" t="inlineStr">
        <is>
          <t>iPhone 5s</t>
        </is>
      </c>
      <c r="F1101" s="104" t="inlineStr">
        <is>
          <t>SVC000025</t>
        </is>
      </c>
      <c r="G1101" s="104" t="inlineStr">
        <is>
          <t>Frame Replacement</t>
        </is>
      </c>
      <c r="H1101" s="104" t="inlineStr">
        <is>
          <t>Housing</t>
        </is>
      </c>
      <c r="I1101" s="104" t="n"/>
      <c r="J1101" s="104" t="n"/>
      <c r="K1101" s="104" t="n"/>
      <c r="L1101" s="104" t="n"/>
      <c r="M1101" s="104" t="n"/>
      <c r="N1101" s="104" t="n"/>
      <c r="O1101" s="104" t="n"/>
      <c r="P1101" s="104" t="n"/>
      <c r="Q1101" s="104" t="n"/>
      <c r="R1101" s="104" t="n"/>
      <c r="S1101" s="110" t="n"/>
      <c r="T1101" s="110" t="n"/>
      <c r="U1101" s="104" t="n"/>
    </row>
    <row r="1102">
      <c r="A1102" s="104" t="inlineStr">
        <is>
          <t>GUIDE001101</t>
        </is>
      </c>
      <c r="B1102" s="101" t="inlineStr">
        <is>
          <t>DEV000009</t>
        </is>
      </c>
      <c r="C1102" s="103" t="inlineStr">
        <is>
          <t>APL</t>
        </is>
      </c>
      <c r="D1102" s="103" t="inlineStr">
        <is>
          <t>PHN</t>
        </is>
      </c>
      <c r="E1102" s="60" t="inlineStr">
        <is>
          <t>iPhone 6</t>
        </is>
      </c>
      <c r="F1102" s="104" t="inlineStr">
        <is>
          <t>SVC000025</t>
        </is>
      </c>
      <c r="G1102" s="104" t="inlineStr">
        <is>
          <t>Frame Replacement</t>
        </is>
      </c>
      <c r="H1102" s="104" t="inlineStr">
        <is>
          <t>Housing</t>
        </is>
      </c>
      <c r="I1102" s="104" t="n"/>
      <c r="J1102" s="104" t="n"/>
      <c r="K1102" s="104" t="n"/>
      <c r="L1102" s="104" t="n"/>
      <c r="M1102" s="104" t="n"/>
      <c r="N1102" s="104" t="n"/>
      <c r="O1102" s="104" t="n"/>
      <c r="P1102" s="104" t="n"/>
      <c r="Q1102" s="104" t="n"/>
      <c r="R1102" s="104" t="n"/>
      <c r="S1102" s="110" t="n"/>
      <c r="T1102" s="110" t="n"/>
      <c r="U1102" s="104" t="n"/>
    </row>
    <row r="1103">
      <c r="A1103" s="104" t="inlineStr">
        <is>
          <t>GUIDE001102</t>
        </is>
      </c>
      <c r="B1103" s="101" t="inlineStr">
        <is>
          <t>DEV000010</t>
        </is>
      </c>
      <c r="C1103" s="103" t="inlineStr">
        <is>
          <t>APL</t>
        </is>
      </c>
      <c r="D1103" s="103" t="inlineStr">
        <is>
          <t>PHN</t>
        </is>
      </c>
      <c r="E1103" s="60" t="inlineStr">
        <is>
          <t>iPhone 6 Plus</t>
        </is>
      </c>
      <c r="F1103" s="104" t="inlineStr">
        <is>
          <t>SVC000025</t>
        </is>
      </c>
      <c r="G1103" s="104" t="inlineStr">
        <is>
          <t>Frame Replacement</t>
        </is>
      </c>
      <c r="H1103" s="104" t="inlineStr">
        <is>
          <t>Housing</t>
        </is>
      </c>
      <c r="I1103" s="104" t="n"/>
      <c r="J1103" s="104" t="n"/>
      <c r="K1103" s="104" t="n"/>
      <c r="L1103" s="104" t="n"/>
      <c r="M1103" s="104" t="n"/>
      <c r="N1103" s="104" t="n"/>
      <c r="O1103" s="104" t="n"/>
      <c r="P1103" s="104" t="n"/>
      <c r="Q1103" s="104" t="n"/>
      <c r="R1103" s="104" t="n"/>
      <c r="S1103" s="110" t="n"/>
      <c r="T1103" s="110" t="n"/>
      <c r="U1103" s="104" t="n"/>
    </row>
    <row r="1104">
      <c r="A1104" s="104" t="inlineStr">
        <is>
          <t>GUIDE001103</t>
        </is>
      </c>
      <c r="B1104" s="101" t="inlineStr">
        <is>
          <t>DEV000011</t>
        </is>
      </c>
      <c r="C1104" s="103" t="inlineStr">
        <is>
          <t>APL</t>
        </is>
      </c>
      <c r="D1104" s="103" t="inlineStr">
        <is>
          <t>PHN</t>
        </is>
      </c>
      <c r="E1104" s="60" t="inlineStr">
        <is>
          <t>iPhone 6s</t>
        </is>
      </c>
      <c r="F1104" s="104" t="inlineStr">
        <is>
          <t>SVC000025</t>
        </is>
      </c>
      <c r="G1104" s="104" t="inlineStr">
        <is>
          <t>Frame Replacement</t>
        </is>
      </c>
      <c r="H1104" s="104" t="inlineStr">
        <is>
          <t>Housing</t>
        </is>
      </c>
      <c r="I1104" s="104" t="n"/>
      <c r="J1104" s="104" t="n"/>
      <c r="K1104" s="104" t="n"/>
      <c r="L1104" s="104" t="n"/>
      <c r="M1104" s="104" t="n"/>
      <c r="N1104" s="104" t="n"/>
      <c r="O1104" s="104" t="n"/>
      <c r="P1104" s="104" t="n"/>
      <c r="Q1104" s="104" t="n"/>
      <c r="R1104" s="104" t="n"/>
      <c r="S1104" s="110" t="n"/>
      <c r="T1104" s="110" t="n"/>
      <c r="U1104" s="104" t="n"/>
    </row>
    <row r="1105">
      <c r="A1105" s="105" t="inlineStr">
        <is>
          <t>GUIDE001104</t>
        </is>
      </c>
      <c r="B1105" s="101" t="inlineStr">
        <is>
          <t>DEV000012</t>
        </is>
      </c>
      <c r="C1105" s="103" t="inlineStr">
        <is>
          <t>APL</t>
        </is>
      </c>
      <c r="D1105" s="103" t="inlineStr">
        <is>
          <t>PHN</t>
        </is>
      </c>
      <c r="E1105" s="60" t="inlineStr">
        <is>
          <t>iPhone 6s Plus</t>
        </is>
      </c>
      <c r="F1105" s="104" t="inlineStr">
        <is>
          <t>SVC000025</t>
        </is>
      </c>
      <c r="G1105" s="104" t="inlineStr">
        <is>
          <t>Frame Replacement</t>
        </is>
      </c>
      <c r="H1105" s="104" t="inlineStr">
        <is>
          <t>Housing</t>
        </is>
      </c>
      <c r="I1105" s="104" t="n"/>
      <c r="J1105" s="104" t="n"/>
      <c r="K1105" s="104" t="n"/>
      <c r="L1105" s="104" t="n"/>
      <c r="M1105" s="104" t="n"/>
      <c r="N1105" s="104" t="n"/>
      <c r="O1105" s="104" t="n"/>
      <c r="P1105" s="104" t="n"/>
      <c r="Q1105" s="104" t="n"/>
      <c r="R1105" s="104" t="n"/>
      <c r="S1105" s="110" t="n"/>
      <c r="T1105" s="110" t="n"/>
      <c r="U1105" s="104" t="n"/>
    </row>
    <row r="1106">
      <c r="A1106" s="104" t="inlineStr">
        <is>
          <t>GUIDE001105</t>
        </is>
      </c>
      <c r="B1106" s="101" t="inlineStr">
        <is>
          <t>DEV000013</t>
        </is>
      </c>
      <c r="C1106" s="103" t="inlineStr">
        <is>
          <t>APL</t>
        </is>
      </c>
      <c r="D1106" s="103" t="inlineStr">
        <is>
          <t>PHN</t>
        </is>
      </c>
      <c r="E1106" s="60" t="inlineStr">
        <is>
          <t>iPhone SE (1st Gen)</t>
        </is>
      </c>
      <c r="F1106" s="104" t="inlineStr">
        <is>
          <t>SVC000025</t>
        </is>
      </c>
      <c r="G1106" s="104" t="inlineStr">
        <is>
          <t>Frame Replacement</t>
        </is>
      </c>
      <c r="H1106" s="104" t="inlineStr">
        <is>
          <t>Housing</t>
        </is>
      </c>
      <c r="I1106" s="104" t="n"/>
      <c r="J1106" s="104" t="n"/>
      <c r="K1106" s="104" t="n"/>
      <c r="L1106" s="104" t="n"/>
      <c r="M1106" s="104" t="n"/>
      <c r="N1106" s="104" t="n"/>
      <c r="O1106" s="104" t="n"/>
      <c r="P1106" s="104" t="n"/>
      <c r="Q1106" s="104" t="n"/>
      <c r="R1106" s="104" t="n"/>
      <c r="S1106" s="110" t="n"/>
      <c r="T1106" s="110" t="n"/>
      <c r="U1106" s="104" t="n"/>
    </row>
    <row r="1107">
      <c r="A1107" s="104" t="inlineStr">
        <is>
          <t>GUIDE001106</t>
        </is>
      </c>
      <c r="B1107" s="101" t="inlineStr">
        <is>
          <t>DEV000014</t>
        </is>
      </c>
      <c r="C1107" s="103" t="inlineStr">
        <is>
          <t>APL</t>
        </is>
      </c>
      <c r="D1107" s="103" t="inlineStr">
        <is>
          <t>PHN</t>
        </is>
      </c>
      <c r="E1107" s="60" t="inlineStr">
        <is>
          <t>iPhone 7</t>
        </is>
      </c>
      <c r="F1107" s="104" t="inlineStr">
        <is>
          <t>SVC000025</t>
        </is>
      </c>
      <c r="G1107" s="104" t="inlineStr">
        <is>
          <t>Frame Replacement</t>
        </is>
      </c>
      <c r="H1107" s="104" t="inlineStr">
        <is>
          <t>Housing</t>
        </is>
      </c>
      <c r="I1107" s="104" t="n"/>
      <c r="J1107" s="104" t="n"/>
      <c r="K1107" s="104" t="n"/>
      <c r="L1107" s="104" t="n"/>
      <c r="M1107" s="104" t="n"/>
      <c r="N1107" s="104" t="n"/>
      <c r="O1107" s="104" t="n"/>
      <c r="P1107" s="104" t="n"/>
      <c r="Q1107" s="104" t="n"/>
      <c r="R1107" s="104" t="n"/>
      <c r="S1107" s="110" t="n"/>
      <c r="T1107" s="110" t="n"/>
      <c r="U1107" s="104" t="n"/>
    </row>
    <row r="1108">
      <c r="A1108" s="104" t="inlineStr">
        <is>
          <t>GUIDE001107</t>
        </is>
      </c>
      <c r="B1108" s="101" t="inlineStr">
        <is>
          <t>DEV000015</t>
        </is>
      </c>
      <c r="C1108" s="103" t="inlineStr">
        <is>
          <t>APL</t>
        </is>
      </c>
      <c r="D1108" s="103" t="inlineStr">
        <is>
          <t>PHN</t>
        </is>
      </c>
      <c r="E1108" s="60" t="inlineStr">
        <is>
          <t>iPhone 7 Plus</t>
        </is>
      </c>
      <c r="F1108" s="104" t="inlineStr">
        <is>
          <t>SVC000025</t>
        </is>
      </c>
      <c r="G1108" s="104" t="inlineStr">
        <is>
          <t>Frame Replacement</t>
        </is>
      </c>
      <c r="H1108" s="104" t="inlineStr">
        <is>
          <t>Housing</t>
        </is>
      </c>
      <c r="I1108" s="104" t="n"/>
      <c r="J1108" s="104" t="n"/>
      <c r="K1108" s="104" t="n"/>
      <c r="L1108" s="104" t="n"/>
      <c r="M1108" s="104" t="n"/>
      <c r="N1108" s="104" t="n"/>
      <c r="O1108" s="104" t="n"/>
      <c r="P1108" s="104" t="n"/>
      <c r="Q1108" s="104" t="n"/>
      <c r="R1108" s="104" t="n"/>
      <c r="S1108" s="110" t="n"/>
      <c r="T1108" s="110" t="n"/>
      <c r="U1108" s="104" t="n"/>
    </row>
    <row r="1109">
      <c r="A1109" s="104" t="inlineStr">
        <is>
          <t>GUIDE001108</t>
        </is>
      </c>
      <c r="B1109" s="101" t="inlineStr">
        <is>
          <t>DEV000016</t>
        </is>
      </c>
      <c r="C1109" s="103" t="inlineStr">
        <is>
          <t>APL</t>
        </is>
      </c>
      <c r="D1109" s="103" t="inlineStr">
        <is>
          <t>PHN</t>
        </is>
      </c>
      <c r="E1109" s="60" t="inlineStr">
        <is>
          <t>iPhone 8</t>
        </is>
      </c>
      <c r="F1109" s="104" t="inlineStr">
        <is>
          <t>SVC000025</t>
        </is>
      </c>
      <c r="G1109" s="104" t="inlineStr">
        <is>
          <t>Frame Replacement</t>
        </is>
      </c>
      <c r="H1109" s="104" t="inlineStr">
        <is>
          <t>Housing</t>
        </is>
      </c>
      <c r="I1109" s="104" t="n"/>
      <c r="J1109" s="104" t="n"/>
      <c r="K1109" s="104" t="n"/>
      <c r="L1109" s="104" t="n"/>
      <c r="M1109" s="104" t="n"/>
      <c r="N1109" s="104" t="n"/>
      <c r="O1109" s="104" t="n"/>
      <c r="P1109" s="104" t="n"/>
      <c r="Q1109" s="104" t="n"/>
      <c r="R1109" s="104" t="n"/>
      <c r="S1109" s="110" t="n"/>
      <c r="T1109" s="110" t="n"/>
      <c r="U1109" s="104" t="n"/>
    </row>
    <row r="1110">
      <c r="A1110" s="104" t="inlineStr">
        <is>
          <t>GUIDE001109</t>
        </is>
      </c>
      <c r="B1110" s="101" t="inlineStr">
        <is>
          <t>DEV000017</t>
        </is>
      </c>
      <c r="C1110" s="103" t="inlineStr">
        <is>
          <t>APL</t>
        </is>
      </c>
      <c r="D1110" s="103" t="inlineStr">
        <is>
          <t>PHN</t>
        </is>
      </c>
      <c r="E1110" s="60" t="inlineStr">
        <is>
          <t>iPhone 8 Plus</t>
        </is>
      </c>
      <c r="F1110" s="104" t="inlineStr">
        <is>
          <t>SVC000025</t>
        </is>
      </c>
      <c r="G1110" s="104" t="inlineStr">
        <is>
          <t>Frame Replacement</t>
        </is>
      </c>
      <c r="H1110" s="104" t="inlineStr">
        <is>
          <t>Housing</t>
        </is>
      </c>
      <c r="I1110" s="104" t="n"/>
      <c r="J1110" s="104" t="n"/>
      <c r="K1110" s="104" t="n"/>
      <c r="L1110" s="104" t="n"/>
      <c r="M1110" s="104" t="n"/>
      <c r="N1110" s="104" t="n"/>
      <c r="O1110" s="104" t="n"/>
      <c r="P1110" s="104" t="n"/>
      <c r="Q1110" s="104" t="n"/>
      <c r="R1110" s="104" t="n"/>
      <c r="S1110" s="110" t="n"/>
      <c r="T1110" s="110" t="n"/>
      <c r="U1110" s="104" t="n"/>
    </row>
    <row r="1111">
      <c r="A1111" s="105" t="inlineStr">
        <is>
          <t>GUIDE001110</t>
        </is>
      </c>
      <c r="B1111" s="101" t="inlineStr">
        <is>
          <t>DEV000018</t>
        </is>
      </c>
      <c r="C1111" s="103" t="inlineStr">
        <is>
          <t>APL</t>
        </is>
      </c>
      <c r="D1111" s="103" t="inlineStr">
        <is>
          <t>PHN</t>
        </is>
      </c>
      <c r="E1111" s="60" t="inlineStr">
        <is>
          <t>iPhone X</t>
        </is>
      </c>
      <c r="F1111" s="104" t="inlineStr">
        <is>
          <t>SVC000025</t>
        </is>
      </c>
      <c r="G1111" s="104" t="inlineStr">
        <is>
          <t>Frame Replacement</t>
        </is>
      </c>
      <c r="H1111" s="104" t="inlineStr">
        <is>
          <t>Housing</t>
        </is>
      </c>
      <c r="I1111" s="104" t="n"/>
      <c r="J1111" s="104" t="n"/>
      <c r="K1111" s="104" t="n"/>
      <c r="L1111" s="104" t="n"/>
      <c r="M1111" s="104" t="n"/>
      <c r="N1111" s="104" t="n"/>
      <c r="O1111" s="104" t="n"/>
      <c r="P1111" s="104" t="n"/>
      <c r="Q1111" s="104" t="n"/>
      <c r="R1111" s="104" t="n"/>
      <c r="S1111" s="110" t="n"/>
      <c r="T1111" s="110" t="n"/>
      <c r="U1111" s="104" t="n"/>
    </row>
    <row r="1112">
      <c r="A1112" s="104" t="inlineStr">
        <is>
          <t>GUIDE001111</t>
        </is>
      </c>
      <c r="B1112" s="101" t="inlineStr">
        <is>
          <t>DEV000019</t>
        </is>
      </c>
      <c r="C1112" s="103" t="inlineStr">
        <is>
          <t>APL</t>
        </is>
      </c>
      <c r="D1112" s="103" t="inlineStr">
        <is>
          <t>PHN</t>
        </is>
      </c>
      <c r="E1112" s="60" t="inlineStr">
        <is>
          <t>iPhone XR</t>
        </is>
      </c>
      <c r="F1112" s="104" t="inlineStr">
        <is>
          <t>SVC000025</t>
        </is>
      </c>
      <c r="G1112" s="104" t="inlineStr">
        <is>
          <t>Frame Replacement</t>
        </is>
      </c>
      <c r="H1112" s="104" t="inlineStr">
        <is>
          <t>Housing</t>
        </is>
      </c>
      <c r="I1112" s="104" t="n"/>
      <c r="J1112" s="104" t="n"/>
      <c r="K1112" s="104" t="n"/>
      <c r="L1112" s="104" t="n"/>
      <c r="M1112" s="104" t="n"/>
      <c r="N1112" s="104" t="n"/>
      <c r="O1112" s="104" t="n"/>
      <c r="P1112" s="104" t="n"/>
      <c r="Q1112" s="104" t="n"/>
      <c r="R1112" s="104" t="n"/>
      <c r="S1112" s="110" t="n"/>
      <c r="T1112" s="110" t="n"/>
      <c r="U1112" s="104" t="n"/>
    </row>
    <row r="1113">
      <c r="A1113" s="104" t="inlineStr">
        <is>
          <t>GUIDE001112</t>
        </is>
      </c>
      <c r="B1113" s="101" t="inlineStr">
        <is>
          <t>DEV000020</t>
        </is>
      </c>
      <c r="C1113" s="103" t="inlineStr">
        <is>
          <t>APL</t>
        </is>
      </c>
      <c r="D1113" s="103" t="inlineStr">
        <is>
          <t>PHN</t>
        </is>
      </c>
      <c r="E1113" s="60" t="inlineStr">
        <is>
          <t>iPhone XS</t>
        </is>
      </c>
      <c r="F1113" s="104" t="inlineStr">
        <is>
          <t>SVC000025</t>
        </is>
      </c>
      <c r="G1113" s="104" t="inlineStr">
        <is>
          <t>Frame Replacement</t>
        </is>
      </c>
      <c r="H1113" s="104" t="inlineStr">
        <is>
          <t>Housing</t>
        </is>
      </c>
      <c r="I1113" s="104" t="n"/>
      <c r="J1113" s="104" t="n"/>
      <c r="K1113" s="104" t="n"/>
      <c r="L1113" s="104" t="n"/>
      <c r="M1113" s="104" t="n"/>
      <c r="N1113" s="104" t="n"/>
      <c r="O1113" s="104" t="n"/>
      <c r="P1113" s="104" t="n"/>
      <c r="Q1113" s="104" t="n"/>
      <c r="R1113" s="104" t="n"/>
      <c r="S1113" s="110" t="n"/>
      <c r="T1113" s="110" t="n"/>
      <c r="U1113" s="104" t="n"/>
    </row>
    <row r="1114">
      <c r="A1114" s="104" t="inlineStr">
        <is>
          <t>GUIDE001113</t>
        </is>
      </c>
      <c r="B1114" s="101" t="inlineStr">
        <is>
          <t>DEV000021</t>
        </is>
      </c>
      <c r="C1114" s="103" t="inlineStr">
        <is>
          <t>APL</t>
        </is>
      </c>
      <c r="D1114" s="103" t="inlineStr">
        <is>
          <t>PHN</t>
        </is>
      </c>
      <c r="E1114" s="60" t="inlineStr">
        <is>
          <t>iPhone XS Max</t>
        </is>
      </c>
      <c r="F1114" s="104" t="inlineStr">
        <is>
          <t>SVC000025</t>
        </is>
      </c>
      <c r="G1114" s="104" t="inlineStr">
        <is>
          <t>Frame Replacement</t>
        </is>
      </c>
      <c r="H1114" s="104" t="inlineStr">
        <is>
          <t>Housing</t>
        </is>
      </c>
      <c r="I1114" s="104" t="n"/>
      <c r="J1114" s="104" t="n"/>
      <c r="K1114" s="104" t="n"/>
      <c r="L1114" s="104" t="n"/>
      <c r="M1114" s="104" t="n"/>
      <c r="N1114" s="104" t="n"/>
      <c r="O1114" s="104" t="n"/>
      <c r="P1114" s="104" t="n"/>
      <c r="Q1114" s="104" t="n"/>
      <c r="R1114" s="104" t="n"/>
      <c r="S1114" s="110" t="n"/>
      <c r="T1114" s="110" t="n"/>
      <c r="U1114" s="104" t="n"/>
    </row>
    <row r="1115">
      <c r="A1115" s="104" t="inlineStr">
        <is>
          <t>GUIDE001114</t>
        </is>
      </c>
      <c r="B1115" s="101" t="inlineStr">
        <is>
          <t>DEV000022</t>
        </is>
      </c>
      <c r="C1115" s="103" t="inlineStr">
        <is>
          <t>APL</t>
        </is>
      </c>
      <c r="D1115" s="103" t="inlineStr">
        <is>
          <t>PHN</t>
        </is>
      </c>
      <c r="E1115" s="60" t="inlineStr">
        <is>
          <t>iPhone 11</t>
        </is>
      </c>
      <c r="F1115" s="104" t="inlineStr">
        <is>
          <t>SVC000025</t>
        </is>
      </c>
      <c r="G1115" s="104" t="inlineStr">
        <is>
          <t>Frame Replacement</t>
        </is>
      </c>
      <c r="H1115" s="104" t="inlineStr">
        <is>
          <t>Housing</t>
        </is>
      </c>
      <c r="I1115" s="104" t="n"/>
      <c r="J1115" s="104" t="n"/>
      <c r="K1115" s="104" t="n"/>
      <c r="L1115" s="104" t="n"/>
      <c r="M1115" s="104" t="n"/>
      <c r="N1115" s="104" t="n"/>
      <c r="O1115" s="104" t="n"/>
      <c r="P1115" s="104" t="n"/>
      <c r="Q1115" s="104" t="n"/>
      <c r="R1115" s="104" t="n"/>
      <c r="S1115" s="110" t="n"/>
      <c r="T1115" s="110" t="n"/>
      <c r="U1115" s="104" t="n"/>
    </row>
    <row r="1116">
      <c r="A1116" s="104" t="inlineStr">
        <is>
          <t>GUIDE001115</t>
        </is>
      </c>
      <c r="B1116" s="101" t="inlineStr">
        <is>
          <t>DEV000023</t>
        </is>
      </c>
      <c r="C1116" s="103" t="inlineStr">
        <is>
          <t>APL</t>
        </is>
      </c>
      <c r="D1116" s="103" t="inlineStr">
        <is>
          <t>PHN</t>
        </is>
      </c>
      <c r="E1116" s="60" t="inlineStr">
        <is>
          <t>iPhone 11 Pro</t>
        </is>
      </c>
      <c r="F1116" s="104" t="inlineStr">
        <is>
          <t>SVC000025</t>
        </is>
      </c>
      <c r="G1116" s="104" t="inlineStr">
        <is>
          <t>Frame Replacement</t>
        </is>
      </c>
      <c r="H1116" s="104" t="inlineStr">
        <is>
          <t>Housing</t>
        </is>
      </c>
      <c r="I1116" s="104" t="n"/>
      <c r="J1116" s="104" t="n"/>
      <c r="K1116" s="104" t="n"/>
      <c r="L1116" s="104" t="n"/>
      <c r="M1116" s="104" t="n"/>
      <c r="N1116" s="104" t="n"/>
      <c r="O1116" s="104" t="n"/>
      <c r="P1116" s="104" t="n"/>
      <c r="Q1116" s="104" t="n"/>
      <c r="R1116" s="104" t="n"/>
      <c r="S1116" s="110" t="n"/>
      <c r="T1116" s="110" t="n"/>
      <c r="U1116" s="104" t="n"/>
    </row>
    <row r="1117">
      <c r="A1117" s="105" t="inlineStr">
        <is>
          <t>GUIDE001116</t>
        </is>
      </c>
      <c r="B1117" s="101" t="inlineStr">
        <is>
          <t>DEV000024</t>
        </is>
      </c>
      <c r="C1117" s="103" t="inlineStr">
        <is>
          <t>APL</t>
        </is>
      </c>
      <c r="D1117" s="103" t="inlineStr">
        <is>
          <t>PHN</t>
        </is>
      </c>
      <c r="E1117" s="60" t="inlineStr">
        <is>
          <t>iPhone 11 Pro Max</t>
        </is>
      </c>
      <c r="F1117" s="104" t="inlineStr">
        <is>
          <t>SVC000025</t>
        </is>
      </c>
      <c r="G1117" s="104" t="inlineStr">
        <is>
          <t>Frame Replacement</t>
        </is>
      </c>
      <c r="H1117" s="104" t="inlineStr">
        <is>
          <t>Housing</t>
        </is>
      </c>
      <c r="I1117" s="104" t="n"/>
      <c r="J1117" s="104" t="n"/>
      <c r="K1117" s="104" t="n"/>
      <c r="L1117" s="104" t="n"/>
      <c r="M1117" s="104" t="n"/>
      <c r="N1117" s="104" t="n"/>
      <c r="O1117" s="104" t="n"/>
      <c r="P1117" s="104" t="n"/>
      <c r="Q1117" s="104" t="n"/>
      <c r="R1117" s="104" t="n"/>
      <c r="S1117" s="110" t="n"/>
      <c r="T1117" s="110" t="n"/>
      <c r="U1117" s="104" t="n"/>
    </row>
    <row r="1118">
      <c r="A1118" s="104" t="inlineStr">
        <is>
          <t>GUIDE001117</t>
        </is>
      </c>
      <c r="B1118" s="101" t="inlineStr">
        <is>
          <t>DEV000025</t>
        </is>
      </c>
      <c r="C1118" s="103" t="inlineStr">
        <is>
          <t>APL</t>
        </is>
      </c>
      <c r="D1118" s="103" t="inlineStr">
        <is>
          <t>PHN</t>
        </is>
      </c>
      <c r="E1118" s="60" t="inlineStr">
        <is>
          <t>iPhone SE (2nd Generation)</t>
        </is>
      </c>
      <c r="F1118" s="104" t="inlineStr">
        <is>
          <t>SVC000025</t>
        </is>
      </c>
      <c r="G1118" s="104" t="inlineStr">
        <is>
          <t>Frame Replacement</t>
        </is>
      </c>
      <c r="H1118" s="104" t="inlineStr">
        <is>
          <t>Housing</t>
        </is>
      </c>
      <c r="I1118" s="104" t="n"/>
      <c r="J1118" s="104" t="n"/>
      <c r="K1118" s="104" t="n"/>
      <c r="L1118" s="104" t="n"/>
      <c r="M1118" s="104" t="n"/>
      <c r="N1118" s="104" t="n"/>
      <c r="O1118" s="104" t="n"/>
      <c r="P1118" s="104" t="n"/>
      <c r="Q1118" s="104" t="n"/>
      <c r="R1118" s="104" t="n"/>
      <c r="S1118" s="110" t="n"/>
      <c r="T1118" s="110" t="n"/>
      <c r="U1118" s="104" t="n"/>
    </row>
    <row r="1119">
      <c r="A1119" s="104" t="inlineStr">
        <is>
          <t>GUIDE001118</t>
        </is>
      </c>
      <c r="B1119" s="101" t="inlineStr">
        <is>
          <t>DEV000026</t>
        </is>
      </c>
      <c r="C1119" s="103" t="inlineStr">
        <is>
          <t>APL</t>
        </is>
      </c>
      <c r="D1119" s="103" t="inlineStr">
        <is>
          <t>PHN</t>
        </is>
      </c>
      <c r="E1119" s="60" t="inlineStr">
        <is>
          <t>iPhone 12 mini</t>
        </is>
      </c>
      <c r="F1119" s="104" t="inlineStr">
        <is>
          <t>SVC000025</t>
        </is>
      </c>
      <c r="G1119" s="104" t="inlineStr">
        <is>
          <t>Frame Replacement</t>
        </is>
      </c>
      <c r="H1119" s="104" t="inlineStr">
        <is>
          <t>Housing</t>
        </is>
      </c>
      <c r="I1119" s="104" t="n"/>
      <c r="J1119" s="104" t="n"/>
      <c r="K1119" s="104" t="n"/>
      <c r="L1119" s="104" t="n"/>
      <c r="M1119" s="104" t="n"/>
      <c r="N1119" s="104" t="n"/>
      <c r="O1119" s="104" t="n"/>
      <c r="P1119" s="104" t="n"/>
      <c r="Q1119" s="104" t="n"/>
      <c r="R1119" s="104" t="n"/>
      <c r="S1119" s="110" t="n"/>
      <c r="T1119" s="110" t="n"/>
      <c r="U1119" s="104" t="n"/>
    </row>
    <row r="1120">
      <c r="A1120" s="104" t="inlineStr">
        <is>
          <t>GUIDE001119</t>
        </is>
      </c>
      <c r="B1120" s="101" t="inlineStr">
        <is>
          <t>DEV000027</t>
        </is>
      </c>
      <c r="C1120" s="103" t="inlineStr">
        <is>
          <t>APL</t>
        </is>
      </c>
      <c r="D1120" s="103" t="inlineStr">
        <is>
          <t>PHN</t>
        </is>
      </c>
      <c r="E1120" s="60" t="inlineStr">
        <is>
          <t>iPhone 12</t>
        </is>
      </c>
      <c r="F1120" s="104" t="inlineStr">
        <is>
          <t>SVC000025</t>
        </is>
      </c>
      <c r="G1120" s="104" t="inlineStr">
        <is>
          <t>Frame Replacement</t>
        </is>
      </c>
      <c r="H1120" s="104" t="inlineStr">
        <is>
          <t>Housing</t>
        </is>
      </c>
      <c r="I1120" s="104" t="n"/>
      <c r="J1120" s="104" t="n"/>
      <c r="K1120" s="104" t="n"/>
      <c r="L1120" s="104" t="n"/>
      <c r="M1120" s="104" t="n"/>
      <c r="N1120" s="104" t="n"/>
      <c r="O1120" s="104" t="n"/>
      <c r="P1120" s="104" t="n"/>
      <c r="Q1120" s="104" t="n"/>
      <c r="R1120" s="104" t="n"/>
      <c r="S1120" s="110" t="n"/>
      <c r="T1120" s="110" t="n"/>
      <c r="U1120" s="104" t="n"/>
    </row>
    <row r="1121">
      <c r="A1121" s="104" t="inlineStr">
        <is>
          <t>GUIDE001120</t>
        </is>
      </c>
      <c r="B1121" s="101" t="inlineStr">
        <is>
          <t>DEV000028</t>
        </is>
      </c>
      <c r="C1121" s="103" t="inlineStr">
        <is>
          <t>APL</t>
        </is>
      </c>
      <c r="D1121" s="103" t="inlineStr">
        <is>
          <t>PHN</t>
        </is>
      </c>
      <c r="E1121" s="60" t="inlineStr">
        <is>
          <t>iPhone 12 Pro</t>
        </is>
      </c>
      <c r="F1121" s="104" t="inlineStr">
        <is>
          <t>SVC000025</t>
        </is>
      </c>
      <c r="G1121" s="104" t="inlineStr">
        <is>
          <t>Frame Replacement</t>
        </is>
      </c>
      <c r="H1121" s="104" t="inlineStr">
        <is>
          <t>Housing</t>
        </is>
      </c>
      <c r="I1121" s="104" t="n"/>
      <c r="J1121" s="104" t="n"/>
      <c r="K1121" s="104" t="n"/>
      <c r="L1121" s="104" t="n"/>
      <c r="M1121" s="104" t="n"/>
      <c r="N1121" s="104" t="n"/>
      <c r="O1121" s="104" t="n"/>
      <c r="P1121" s="104" t="n"/>
      <c r="Q1121" s="104" t="n"/>
      <c r="R1121" s="104" t="n"/>
      <c r="S1121" s="110" t="n"/>
      <c r="T1121" s="110" t="n"/>
      <c r="U1121" s="104" t="n"/>
    </row>
    <row r="1122">
      <c r="A1122" s="104" t="inlineStr">
        <is>
          <t>GUIDE001121</t>
        </is>
      </c>
      <c r="B1122" s="101" t="inlineStr">
        <is>
          <t>DEV000029</t>
        </is>
      </c>
      <c r="C1122" s="103" t="inlineStr">
        <is>
          <t>APL</t>
        </is>
      </c>
      <c r="D1122" s="103" t="inlineStr">
        <is>
          <t>PHN</t>
        </is>
      </c>
      <c r="E1122" s="60" t="inlineStr">
        <is>
          <t>iPhone 12 Pro Max</t>
        </is>
      </c>
      <c r="F1122" s="104" t="inlineStr">
        <is>
          <t>SVC000025</t>
        </is>
      </c>
      <c r="G1122" s="104" t="inlineStr">
        <is>
          <t>Frame Replacement</t>
        </is>
      </c>
      <c r="H1122" s="104" t="inlineStr">
        <is>
          <t>Housing</t>
        </is>
      </c>
      <c r="I1122" s="104" t="n"/>
      <c r="J1122" s="104" t="n"/>
      <c r="K1122" s="104" t="n"/>
      <c r="L1122" s="104" t="n"/>
      <c r="M1122" s="104" t="n"/>
      <c r="N1122" s="104" t="n"/>
      <c r="O1122" s="104" t="n"/>
      <c r="P1122" s="104" t="n"/>
      <c r="Q1122" s="104" t="n"/>
      <c r="R1122" s="104" t="n"/>
      <c r="S1122" s="110" t="n"/>
      <c r="T1122" s="110" t="n"/>
      <c r="U1122" s="104" t="n"/>
    </row>
    <row r="1123">
      <c r="A1123" s="105" t="inlineStr">
        <is>
          <t>GUIDE001122</t>
        </is>
      </c>
      <c r="B1123" s="101" t="inlineStr">
        <is>
          <t>DEV000030</t>
        </is>
      </c>
      <c r="C1123" s="103" t="inlineStr">
        <is>
          <t>APL</t>
        </is>
      </c>
      <c r="D1123" s="103" t="inlineStr">
        <is>
          <t>PHN</t>
        </is>
      </c>
      <c r="E1123" s="60" t="inlineStr">
        <is>
          <t>iPhone 13 mini</t>
        </is>
      </c>
      <c r="F1123" s="104" t="inlineStr">
        <is>
          <t>SVC000025</t>
        </is>
      </c>
      <c r="G1123" s="104" t="inlineStr">
        <is>
          <t>Frame Replacement</t>
        </is>
      </c>
      <c r="H1123" s="104" t="inlineStr">
        <is>
          <t>Housing</t>
        </is>
      </c>
      <c r="I1123" s="104" t="n"/>
      <c r="J1123" s="104" t="n"/>
      <c r="K1123" s="104" t="n"/>
      <c r="L1123" s="104" t="n"/>
      <c r="M1123" s="104" t="n"/>
      <c r="N1123" s="104" t="n"/>
      <c r="O1123" s="104" t="n"/>
      <c r="P1123" s="104" t="n"/>
      <c r="Q1123" s="104" t="n"/>
      <c r="R1123" s="104" t="n"/>
      <c r="S1123" s="110" t="n"/>
      <c r="T1123" s="110" t="n"/>
      <c r="U1123" s="104" t="n"/>
    </row>
    <row r="1124">
      <c r="A1124" s="104" t="inlineStr">
        <is>
          <t>GUIDE001123</t>
        </is>
      </c>
      <c r="B1124" s="101" t="inlineStr">
        <is>
          <t>DEV000031</t>
        </is>
      </c>
      <c r="C1124" s="103" t="inlineStr">
        <is>
          <t>APL</t>
        </is>
      </c>
      <c r="D1124" s="103" t="inlineStr">
        <is>
          <t>PHN</t>
        </is>
      </c>
      <c r="E1124" s="60" t="inlineStr">
        <is>
          <t>iPhone 13</t>
        </is>
      </c>
      <c r="F1124" s="104" t="inlineStr">
        <is>
          <t>SVC000025</t>
        </is>
      </c>
      <c r="G1124" s="104" t="inlineStr">
        <is>
          <t>Frame Replacement</t>
        </is>
      </c>
      <c r="H1124" s="104" t="inlineStr">
        <is>
          <t>Housing</t>
        </is>
      </c>
      <c r="I1124" s="104" t="n"/>
      <c r="J1124" s="104" t="n"/>
      <c r="K1124" s="104" t="n"/>
      <c r="L1124" s="104" t="n"/>
      <c r="M1124" s="104" t="n"/>
      <c r="N1124" s="104" t="n"/>
      <c r="O1124" s="104" t="n"/>
      <c r="P1124" s="104" t="n"/>
      <c r="Q1124" s="104" t="n"/>
      <c r="R1124" s="104" t="n"/>
      <c r="S1124" s="110" t="n"/>
      <c r="T1124" s="110" t="n"/>
      <c r="U1124" s="104" t="n"/>
    </row>
    <row r="1125">
      <c r="A1125" s="104" t="inlineStr">
        <is>
          <t>GUIDE001124</t>
        </is>
      </c>
      <c r="B1125" s="101" t="inlineStr">
        <is>
          <t>DEV000032</t>
        </is>
      </c>
      <c r="C1125" s="103" t="inlineStr">
        <is>
          <t>APL</t>
        </is>
      </c>
      <c r="D1125" s="103" t="inlineStr">
        <is>
          <t>PHN</t>
        </is>
      </c>
      <c r="E1125" s="60" t="inlineStr">
        <is>
          <t>iPhone 13 Pro</t>
        </is>
      </c>
      <c r="F1125" s="104" t="inlineStr">
        <is>
          <t>SVC000025</t>
        </is>
      </c>
      <c r="G1125" s="104" t="inlineStr">
        <is>
          <t>Frame Replacement</t>
        </is>
      </c>
      <c r="H1125" s="104" t="inlineStr">
        <is>
          <t>Housing</t>
        </is>
      </c>
      <c r="I1125" s="104" t="n"/>
      <c r="J1125" s="104" t="n"/>
      <c r="K1125" s="104" t="n"/>
      <c r="L1125" s="104" t="n"/>
      <c r="M1125" s="104" t="n"/>
      <c r="N1125" s="104" t="n"/>
      <c r="O1125" s="104" t="n"/>
      <c r="P1125" s="104" t="n"/>
      <c r="Q1125" s="104" t="n"/>
      <c r="R1125" s="104" t="n"/>
      <c r="S1125" s="110" t="n"/>
      <c r="T1125" s="110" t="n"/>
      <c r="U1125" s="104" t="n"/>
    </row>
    <row r="1126">
      <c r="A1126" s="104" t="inlineStr">
        <is>
          <t>GUIDE001125</t>
        </is>
      </c>
      <c r="B1126" s="101" t="inlineStr">
        <is>
          <t>DEV000033</t>
        </is>
      </c>
      <c r="C1126" s="103" t="inlineStr">
        <is>
          <t>APL</t>
        </is>
      </c>
      <c r="D1126" s="103" t="inlineStr">
        <is>
          <t>PHN</t>
        </is>
      </c>
      <c r="E1126" s="60" t="inlineStr">
        <is>
          <t>iPhone 13 Pro Max</t>
        </is>
      </c>
      <c r="F1126" s="104" t="inlineStr">
        <is>
          <t>SVC000025</t>
        </is>
      </c>
      <c r="G1126" s="104" t="inlineStr">
        <is>
          <t>Frame Replacement</t>
        </is>
      </c>
      <c r="H1126" s="104" t="inlineStr">
        <is>
          <t>Housing</t>
        </is>
      </c>
      <c r="I1126" s="104" t="n"/>
      <c r="J1126" s="104" t="n"/>
      <c r="K1126" s="104" t="n"/>
      <c r="L1126" s="104" t="n"/>
      <c r="M1126" s="104" t="n"/>
      <c r="N1126" s="104" t="n"/>
      <c r="O1126" s="104" t="n"/>
      <c r="P1126" s="104" t="n"/>
      <c r="Q1126" s="104" t="n"/>
      <c r="R1126" s="104" t="n"/>
      <c r="S1126" s="110" t="n"/>
      <c r="T1126" s="110" t="n"/>
      <c r="U1126" s="104" t="n"/>
    </row>
    <row r="1127">
      <c r="A1127" s="104" t="inlineStr">
        <is>
          <t>GUIDE001126</t>
        </is>
      </c>
      <c r="B1127" s="101" t="inlineStr">
        <is>
          <t>DEV000034</t>
        </is>
      </c>
      <c r="C1127" s="103" t="inlineStr">
        <is>
          <t>APL</t>
        </is>
      </c>
      <c r="D1127" s="103" t="inlineStr">
        <is>
          <t>PHN</t>
        </is>
      </c>
      <c r="E1127" s="60" t="inlineStr">
        <is>
          <t>iPhone SE (3rd Generation)</t>
        </is>
      </c>
      <c r="F1127" s="104" t="inlineStr">
        <is>
          <t>SVC000025</t>
        </is>
      </c>
      <c r="G1127" s="104" t="inlineStr">
        <is>
          <t>Frame Replacement</t>
        </is>
      </c>
      <c r="H1127" s="104" t="inlineStr">
        <is>
          <t>Housing</t>
        </is>
      </c>
      <c r="I1127" s="104" t="n"/>
      <c r="J1127" s="104" t="n"/>
      <c r="K1127" s="104" t="n"/>
      <c r="L1127" s="104" t="n"/>
      <c r="M1127" s="104" t="n"/>
      <c r="N1127" s="104" t="n"/>
      <c r="O1127" s="104" t="n"/>
      <c r="P1127" s="104" t="n"/>
      <c r="Q1127" s="104" t="n"/>
      <c r="R1127" s="104" t="n"/>
      <c r="S1127" s="110" t="n"/>
      <c r="T1127" s="110" t="n"/>
      <c r="U1127" s="104" t="n"/>
    </row>
    <row r="1128">
      <c r="A1128" s="104" t="inlineStr">
        <is>
          <t>GUIDE001127</t>
        </is>
      </c>
      <c r="B1128" s="101" t="inlineStr">
        <is>
          <t>DEV000035</t>
        </is>
      </c>
      <c r="C1128" s="103" t="inlineStr">
        <is>
          <t>APL</t>
        </is>
      </c>
      <c r="D1128" s="103" t="inlineStr">
        <is>
          <t>PHN</t>
        </is>
      </c>
      <c r="E1128" s="60" t="inlineStr">
        <is>
          <t>iPhone 14</t>
        </is>
      </c>
      <c r="F1128" s="104" t="inlineStr">
        <is>
          <t>SVC000025</t>
        </is>
      </c>
      <c r="G1128" s="104" t="inlineStr">
        <is>
          <t>Frame Replacement</t>
        </is>
      </c>
      <c r="H1128" s="104" t="inlineStr">
        <is>
          <t>Housing</t>
        </is>
      </c>
      <c r="I1128" s="104" t="n"/>
      <c r="J1128" s="104" t="n"/>
      <c r="K1128" s="104" t="n"/>
      <c r="L1128" s="104" t="n"/>
      <c r="M1128" s="104" t="n"/>
      <c r="N1128" s="104" t="n"/>
      <c r="O1128" s="104" t="n"/>
      <c r="P1128" s="104" t="n"/>
      <c r="Q1128" s="104" t="n"/>
      <c r="R1128" s="104" t="n"/>
      <c r="S1128" s="110" t="n"/>
      <c r="T1128" s="110" t="n"/>
      <c r="U1128" s="104" t="n"/>
    </row>
    <row r="1129">
      <c r="A1129" s="105" t="inlineStr">
        <is>
          <t>GUIDE001128</t>
        </is>
      </c>
      <c r="B1129" s="101" t="inlineStr">
        <is>
          <t>DEV000036</t>
        </is>
      </c>
      <c r="C1129" s="103" t="inlineStr">
        <is>
          <t>APL</t>
        </is>
      </c>
      <c r="D1129" s="103" t="inlineStr">
        <is>
          <t>PHN</t>
        </is>
      </c>
      <c r="E1129" s="60" t="inlineStr">
        <is>
          <t>iPhone 14 Plus</t>
        </is>
      </c>
      <c r="F1129" s="104" t="inlineStr">
        <is>
          <t>SVC000025</t>
        </is>
      </c>
      <c r="G1129" s="104" t="inlineStr">
        <is>
          <t>Frame Replacement</t>
        </is>
      </c>
      <c r="H1129" s="104" t="inlineStr">
        <is>
          <t>Housing</t>
        </is>
      </c>
      <c r="I1129" s="104" t="n"/>
      <c r="J1129" s="104" t="n"/>
      <c r="K1129" s="104" t="n"/>
      <c r="L1129" s="104" t="n"/>
      <c r="M1129" s="104" t="n"/>
      <c r="N1129" s="104" t="n"/>
      <c r="O1129" s="104" t="n"/>
      <c r="P1129" s="104" t="n"/>
      <c r="Q1129" s="104" t="n"/>
      <c r="R1129" s="104" t="n"/>
      <c r="S1129" s="110" t="n"/>
      <c r="T1129" s="110" t="n"/>
      <c r="U1129" s="104" t="n"/>
    </row>
    <row r="1130">
      <c r="A1130" s="104" t="inlineStr">
        <is>
          <t>GUIDE001129</t>
        </is>
      </c>
      <c r="B1130" s="101" t="inlineStr">
        <is>
          <t>DEV000037</t>
        </is>
      </c>
      <c r="C1130" s="103" t="inlineStr">
        <is>
          <t>APL</t>
        </is>
      </c>
      <c r="D1130" s="103" t="inlineStr">
        <is>
          <t>PHN</t>
        </is>
      </c>
      <c r="E1130" s="60" t="inlineStr">
        <is>
          <t>iPhone 14 Pro</t>
        </is>
      </c>
      <c r="F1130" s="104" t="inlineStr">
        <is>
          <t>SVC000025</t>
        </is>
      </c>
      <c r="G1130" s="104" t="inlineStr">
        <is>
          <t>Frame Replacement</t>
        </is>
      </c>
      <c r="H1130" s="104" t="inlineStr">
        <is>
          <t>Housing</t>
        </is>
      </c>
      <c r="I1130" s="104" t="n"/>
      <c r="J1130" s="104" t="n"/>
      <c r="K1130" s="104" t="n"/>
      <c r="L1130" s="104" t="n"/>
      <c r="M1130" s="104" t="n"/>
      <c r="N1130" s="104" t="n"/>
      <c r="O1130" s="104" t="n"/>
      <c r="P1130" s="104" t="n"/>
      <c r="Q1130" s="104" t="n"/>
      <c r="R1130" s="104" t="n"/>
      <c r="S1130" s="110" t="n"/>
      <c r="T1130" s="110" t="n"/>
      <c r="U1130" s="104" t="n"/>
    </row>
    <row r="1131">
      <c r="A1131" s="104" t="inlineStr">
        <is>
          <t>GUIDE001130</t>
        </is>
      </c>
      <c r="B1131" s="101" t="inlineStr">
        <is>
          <t>DEV000038</t>
        </is>
      </c>
      <c r="C1131" s="103" t="inlineStr">
        <is>
          <t>APL</t>
        </is>
      </c>
      <c r="D1131" s="103" t="inlineStr">
        <is>
          <t>PHN</t>
        </is>
      </c>
      <c r="E1131" s="60" t="inlineStr">
        <is>
          <t>iPhone 14 Pro Max</t>
        </is>
      </c>
      <c r="F1131" s="104" t="inlineStr">
        <is>
          <t>SVC000025</t>
        </is>
      </c>
      <c r="G1131" s="104" t="inlineStr">
        <is>
          <t>Frame Replacement</t>
        </is>
      </c>
      <c r="H1131" s="104" t="inlineStr">
        <is>
          <t>Housing</t>
        </is>
      </c>
      <c r="I1131" s="104" t="n"/>
      <c r="J1131" s="104" t="n"/>
      <c r="K1131" s="104" t="n"/>
      <c r="L1131" s="104" t="n"/>
      <c r="M1131" s="104" t="n"/>
      <c r="N1131" s="104" t="n"/>
      <c r="O1131" s="104" t="n"/>
      <c r="P1131" s="104" t="n"/>
      <c r="Q1131" s="104" t="n"/>
      <c r="R1131" s="104" t="n"/>
      <c r="S1131" s="110" t="n"/>
      <c r="T1131" s="110" t="n"/>
      <c r="U1131" s="104" t="n"/>
    </row>
    <row r="1132">
      <c r="A1132" s="104" t="inlineStr">
        <is>
          <t>GUIDE001131</t>
        </is>
      </c>
      <c r="B1132" s="101" t="inlineStr">
        <is>
          <t>DEV000039</t>
        </is>
      </c>
      <c r="C1132" s="103" t="inlineStr">
        <is>
          <t>APL</t>
        </is>
      </c>
      <c r="D1132" s="103" t="inlineStr">
        <is>
          <t>PHN</t>
        </is>
      </c>
      <c r="E1132" s="60" t="inlineStr">
        <is>
          <t>iPhone 15</t>
        </is>
      </c>
      <c r="F1132" s="104" t="inlineStr">
        <is>
          <t>SVC000025</t>
        </is>
      </c>
      <c r="G1132" s="104" t="inlineStr">
        <is>
          <t>Frame Replacement</t>
        </is>
      </c>
      <c r="H1132" s="104" t="inlineStr">
        <is>
          <t>Housing</t>
        </is>
      </c>
      <c r="I1132" s="104" t="n"/>
      <c r="J1132" s="104" t="n"/>
      <c r="K1132" s="104" t="n"/>
      <c r="L1132" s="104" t="n"/>
      <c r="M1132" s="104" t="n"/>
      <c r="N1132" s="104" t="n"/>
      <c r="O1132" s="104" t="n"/>
      <c r="P1132" s="104" t="n"/>
      <c r="Q1132" s="104" t="n"/>
      <c r="R1132" s="104" t="n"/>
      <c r="S1132" s="110" t="n"/>
      <c r="T1132" s="110" t="n"/>
      <c r="U1132" s="104" t="n"/>
    </row>
    <row r="1133">
      <c r="A1133" s="104" t="inlineStr">
        <is>
          <t>GUIDE001132</t>
        </is>
      </c>
      <c r="B1133" s="101" t="inlineStr">
        <is>
          <t>DEV000040</t>
        </is>
      </c>
      <c r="C1133" s="103" t="inlineStr">
        <is>
          <t>APL</t>
        </is>
      </c>
      <c r="D1133" s="103" t="inlineStr">
        <is>
          <t>PHN</t>
        </is>
      </c>
      <c r="E1133" s="60" t="inlineStr">
        <is>
          <t>iPhone 15 Plus</t>
        </is>
      </c>
      <c r="F1133" s="104" t="inlineStr">
        <is>
          <t>SVC000025</t>
        </is>
      </c>
      <c r="G1133" s="104" t="inlineStr">
        <is>
          <t>Frame Replacement</t>
        </is>
      </c>
      <c r="H1133" s="104" t="inlineStr">
        <is>
          <t>Housing</t>
        </is>
      </c>
      <c r="I1133" s="104" t="n"/>
      <c r="J1133" s="104" t="n"/>
      <c r="K1133" s="104" t="n"/>
      <c r="L1133" s="104" t="n"/>
      <c r="M1133" s="104" t="n"/>
      <c r="N1133" s="104" t="n"/>
      <c r="O1133" s="104" t="n"/>
      <c r="P1133" s="104" t="n"/>
      <c r="Q1133" s="104" t="n"/>
      <c r="R1133" s="104" t="n"/>
      <c r="S1133" s="110" t="n"/>
      <c r="T1133" s="110" t="n"/>
      <c r="U1133" s="104" t="n"/>
    </row>
    <row r="1134">
      <c r="A1134" s="104" t="inlineStr">
        <is>
          <t>GUIDE001133</t>
        </is>
      </c>
      <c r="B1134" s="101" t="inlineStr">
        <is>
          <t>DEV000041</t>
        </is>
      </c>
      <c r="C1134" s="103" t="inlineStr">
        <is>
          <t>APL</t>
        </is>
      </c>
      <c r="D1134" s="103" t="inlineStr">
        <is>
          <t>PHN</t>
        </is>
      </c>
      <c r="E1134" s="60" t="inlineStr">
        <is>
          <t>iPhone 15 Pro</t>
        </is>
      </c>
      <c r="F1134" s="104" t="inlineStr">
        <is>
          <t>SVC000025</t>
        </is>
      </c>
      <c r="G1134" s="104" t="inlineStr">
        <is>
          <t>Frame Replacement</t>
        </is>
      </c>
      <c r="H1134" s="104" t="inlineStr">
        <is>
          <t>Housing</t>
        </is>
      </c>
      <c r="I1134" s="104" t="n"/>
      <c r="J1134" s="104" t="n"/>
      <c r="K1134" s="104" t="n"/>
      <c r="L1134" s="104" t="n"/>
      <c r="M1134" s="104" t="n"/>
      <c r="N1134" s="104" t="n"/>
      <c r="O1134" s="104" t="n"/>
      <c r="P1134" s="104" t="n"/>
      <c r="Q1134" s="104" t="n"/>
      <c r="R1134" s="104" t="n"/>
      <c r="S1134" s="110" t="n"/>
      <c r="T1134" s="110" t="n"/>
      <c r="U1134" s="104" t="n"/>
    </row>
    <row r="1135">
      <c r="A1135" s="105" t="inlineStr">
        <is>
          <t>GUIDE001134</t>
        </is>
      </c>
      <c r="B1135" s="101" t="inlineStr">
        <is>
          <t>DEV000042</t>
        </is>
      </c>
      <c r="C1135" s="103" t="inlineStr">
        <is>
          <t>APL</t>
        </is>
      </c>
      <c r="D1135" s="103" t="inlineStr">
        <is>
          <t>PHN</t>
        </is>
      </c>
      <c r="E1135" s="60" t="inlineStr">
        <is>
          <t>iPhone 15 Pro Max</t>
        </is>
      </c>
      <c r="F1135" s="104" t="inlineStr">
        <is>
          <t>SVC000025</t>
        </is>
      </c>
      <c r="G1135" s="104" t="inlineStr">
        <is>
          <t>Frame Replacement</t>
        </is>
      </c>
      <c r="H1135" s="104" t="inlineStr">
        <is>
          <t>Housing</t>
        </is>
      </c>
      <c r="I1135" s="104" t="n"/>
      <c r="J1135" s="104" t="n"/>
      <c r="K1135" s="104" t="n"/>
      <c r="L1135" s="104" t="n"/>
      <c r="M1135" s="104" t="n"/>
      <c r="N1135" s="104" t="n"/>
      <c r="O1135" s="104" t="n"/>
      <c r="P1135" s="104" t="n"/>
      <c r="Q1135" s="104" t="n"/>
      <c r="R1135" s="104" t="n"/>
      <c r="S1135" s="110" t="n"/>
      <c r="T1135" s="110" t="n"/>
      <c r="U1135" s="104" t="n"/>
    </row>
    <row r="1136">
      <c r="A1136" s="104" t="inlineStr">
        <is>
          <t>GUIDE001135</t>
        </is>
      </c>
      <c r="B1136" s="101" t="inlineStr">
        <is>
          <t>DEV000043</t>
        </is>
      </c>
      <c r="C1136" s="103" t="inlineStr">
        <is>
          <t>APL</t>
        </is>
      </c>
      <c r="D1136" s="103" t="inlineStr">
        <is>
          <t>PHN</t>
        </is>
      </c>
      <c r="E1136" s="60" t="inlineStr">
        <is>
          <t>iPhone 16</t>
        </is>
      </c>
      <c r="F1136" s="104" t="inlineStr">
        <is>
          <t>SVC000025</t>
        </is>
      </c>
      <c r="G1136" s="104" t="inlineStr">
        <is>
          <t>Frame Replacement</t>
        </is>
      </c>
      <c r="H1136" s="104" t="inlineStr">
        <is>
          <t>Housing</t>
        </is>
      </c>
      <c r="I1136" s="104" t="n"/>
      <c r="J1136" s="104" t="n"/>
      <c r="K1136" s="104" t="n"/>
      <c r="L1136" s="104" t="n"/>
      <c r="M1136" s="104" t="n"/>
      <c r="N1136" s="104" t="n"/>
      <c r="O1136" s="104" t="n"/>
      <c r="P1136" s="104" t="n"/>
      <c r="Q1136" s="104" t="n"/>
      <c r="R1136" s="104" t="n"/>
      <c r="S1136" s="110" t="n"/>
      <c r="T1136" s="110" t="n"/>
      <c r="U1136" s="104" t="n"/>
    </row>
    <row r="1137">
      <c r="A1137" s="104" t="inlineStr">
        <is>
          <t>GUIDE001136</t>
        </is>
      </c>
      <c r="B1137" s="101" t="inlineStr">
        <is>
          <t>DEV000044</t>
        </is>
      </c>
      <c r="C1137" s="103" t="inlineStr">
        <is>
          <t>APL</t>
        </is>
      </c>
      <c r="D1137" s="103" t="inlineStr">
        <is>
          <t>PHN</t>
        </is>
      </c>
      <c r="E1137" s="60" t="inlineStr">
        <is>
          <t>iPhone 16 Plus</t>
        </is>
      </c>
      <c r="F1137" s="104" t="inlineStr">
        <is>
          <t>SVC000025</t>
        </is>
      </c>
      <c r="G1137" s="104" t="inlineStr">
        <is>
          <t>Frame Replacement</t>
        </is>
      </c>
      <c r="H1137" s="104" t="inlineStr">
        <is>
          <t>Housing</t>
        </is>
      </c>
      <c r="I1137" s="104" t="n"/>
      <c r="J1137" s="104" t="n"/>
      <c r="K1137" s="104" t="n"/>
      <c r="L1137" s="104" t="n"/>
      <c r="M1137" s="104" t="n"/>
      <c r="N1137" s="104" t="n"/>
      <c r="O1137" s="104" t="n"/>
      <c r="P1137" s="104" t="n"/>
      <c r="Q1137" s="104" t="n"/>
      <c r="R1137" s="104" t="n"/>
      <c r="S1137" s="110" t="n"/>
      <c r="T1137" s="110" t="n"/>
      <c r="U1137" s="104" t="n"/>
    </row>
    <row r="1138">
      <c r="A1138" s="104" t="inlineStr">
        <is>
          <t>GUIDE001137</t>
        </is>
      </c>
      <c r="B1138" s="101" t="inlineStr">
        <is>
          <t>DEV000045</t>
        </is>
      </c>
      <c r="C1138" s="103" t="inlineStr">
        <is>
          <t>APL</t>
        </is>
      </c>
      <c r="D1138" s="103" t="inlineStr">
        <is>
          <t>PHN</t>
        </is>
      </c>
      <c r="E1138" s="60" t="inlineStr">
        <is>
          <t>iPhone 16 Pro</t>
        </is>
      </c>
      <c r="F1138" s="104" t="inlineStr">
        <is>
          <t>SVC000025</t>
        </is>
      </c>
      <c r="G1138" s="104" t="inlineStr">
        <is>
          <t>Frame Replacement</t>
        </is>
      </c>
      <c r="H1138" s="104" t="inlineStr">
        <is>
          <t>Housing</t>
        </is>
      </c>
      <c r="I1138" s="104" t="n"/>
      <c r="J1138" s="104" t="n"/>
      <c r="K1138" s="104" t="n"/>
      <c r="L1138" s="104" t="n"/>
      <c r="M1138" s="104" t="n"/>
      <c r="N1138" s="104" t="n"/>
      <c r="O1138" s="104" t="n"/>
      <c r="P1138" s="104" t="n"/>
      <c r="Q1138" s="104" t="n"/>
      <c r="R1138" s="104" t="n"/>
      <c r="S1138" s="110" t="n"/>
      <c r="T1138" s="110" t="n"/>
      <c r="U1138" s="104" t="n"/>
    </row>
    <row r="1139">
      <c r="A1139" s="104" t="inlineStr">
        <is>
          <t>GUIDE001138</t>
        </is>
      </c>
      <c r="B1139" s="101" t="inlineStr">
        <is>
          <t>DEV000046</t>
        </is>
      </c>
      <c r="C1139" s="103" t="inlineStr">
        <is>
          <t>APL</t>
        </is>
      </c>
      <c r="D1139" s="103" t="inlineStr">
        <is>
          <t>PHN</t>
        </is>
      </c>
      <c r="E1139" s="60" t="inlineStr">
        <is>
          <t>iPhone 16 Pro Max</t>
        </is>
      </c>
      <c r="F1139" s="104" t="inlineStr">
        <is>
          <t>SVC000025</t>
        </is>
      </c>
      <c r="G1139" s="104" t="inlineStr">
        <is>
          <t>Frame Replacement</t>
        </is>
      </c>
      <c r="H1139" s="104" t="inlineStr">
        <is>
          <t>Housing</t>
        </is>
      </c>
      <c r="I1139" s="104" t="n"/>
      <c r="J1139" s="104" t="n"/>
      <c r="K1139" s="104" t="n"/>
      <c r="L1139" s="104" t="n"/>
      <c r="M1139" s="104" t="n"/>
      <c r="N1139" s="104" t="n"/>
      <c r="O1139" s="104" t="n"/>
      <c r="P1139" s="104" t="n"/>
      <c r="Q1139" s="104" t="n"/>
      <c r="R1139" s="104" t="n"/>
      <c r="S1139" s="110" t="n"/>
      <c r="T1139" s="110" t="n"/>
      <c r="U1139" s="104" t="n"/>
    </row>
    <row r="1140">
      <c r="A1140" s="104" t="inlineStr">
        <is>
          <t>GUIDE001139</t>
        </is>
      </c>
      <c r="B1140" s="101" t="inlineStr">
        <is>
          <t>DEV000047</t>
        </is>
      </c>
      <c r="C1140" s="103" t="inlineStr">
        <is>
          <t>APL</t>
        </is>
      </c>
      <c r="D1140" s="103" t="inlineStr">
        <is>
          <t>PHN</t>
        </is>
      </c>
      <c r="E1140" s="60" t="inlineStr">
        <is>
          <t>iPhone 16e</t>
        </is>
      </c>
      <c r="F1140" s="104" t="inlineStr">
        <is>
          <t>SVC000025</t>
        </is>
      </c>
      <c r="G1140" s="104" t="inlineStr">
        <is>
          <t>Frame Replacement</t>
        </is>
      </c>
      <c r="H1140" s="104" t="inlineStr">
        <is>
          <t>Housing</t>
        </is>
      </c>
      <c r="I1140" s="104" t="n"/>
      <c r="J1140" s="104" t="n"/>
      <c r="K1140" s="104" t="n"/>
      <c r="L1140" s="104" t="n"/>
      <c r="M1140" s="104" t="n"/>
      <c r="N1140" s="104" t="n"/>
      <c r="O1140" s="104" t="n"/>
      <c r="P1140" s="104" t="n"/>
      <c r="Q1140" s="104" t="n"/>
      <c r="R1140" s="104" t="n"/>
      <c r="S1140" s="110" t="n"/>
      <c r="T1140" s="110" t="n"/>
      <c r="U1140" s="104" t="n"/>
    </row>
    <row r="1141">
      <c r="A1141" s="105" t="inlineStr">
        <is>
          <t>GUIDE001140</t>
        </is>
      </c>
      <c r="B1141" s="101" t="inlineStr">
        <is>
          <t>DEV000048</t>
        </is>
      </c>
      <c r="C1141" s="103" t="inlineStr">
        <is>
          <t>APL</t>
        </is>
      </c>
      <c r="D1141" s="103" t="inlineStr">
        <is>
          <t>PHN</t>
        </is>
      </c>
      <c r="E1141" s="60" t="inlineStr">
        <is>
          <t>iPhone 17</t>
        </is>
      </c>
      <c r="F1141" s="104" t="inlineStr">
        <is>
          <t>SVC000025</t>
        </is>
      </c>
      <c r="G1141" s="104" t="inlineStr">
        <is>
          <t>Frame Replacement</t>
        </is>
      </c>
      <c r="H1141" s="104" t="inlineStr">
        <is>
          <t>Housing</t>
        </is>
      </c>
      <c r="I1141" s="104" t="n"/>
      <c r="J1141" s="104" t="n"/>
      <c r="K1141" s="104" t="n"/>
      <c r="L1141" s="104" t="n"/>
      <c r="M1141" s="104" t="n"/>
      <c r="N1141" s="104" t="n"/>
      <c r="O1141" s="104" t="n"/>
      <c r="P1141" s="104" t="n"/>
      <c r="Q1141" s="104" t="n"/>
      <c r="R1141" s="104" t="n"/>
      <c r="S1141" s="110" t="n"/>
      <c r="T1141" s="110" t="n"/>
      <c r="U1141" s="104" t="n"/>
    </row>
    <row r="1142">
      <c r="A1142" s="104" t="inlineStr">
        <is>
          <t>GUIDE001141</t>
        </is>
      </c>
      <c r="B1142" s="101" t="inlineStr">
        <is>
          <t>DEV000049</t>
        </is>
      </c>
      <c r="C1142" s="103" t="inlineStr">
        <is>
          <t>APL</t>
        </is>
      </c>
      <c r="D1142" s="103" t="inlineStr">
        <is>
          <t>PHN</t>
        </is>
      </c>
      <c r="E1142" s="60" t="inlineStr">
        <is>
          <t>iPhone 17 Pro</t>
        </is>
      </c>
      <c r="F1142" s="104" t="inlineStr">
        <is>
          <t>SVC000025</t>
        </is>
      </c>
      <c r="G1142" s="104" t="inlineStr">
        <is>
          <t>Frame Replacement</t>
        </is>
      </c>
      <c r="H1142" s="104" t="inlineStr">
        <is>
          <t>Housing</t>
        </is>
      </c>
      <c r="I1142" s="104" t="n"/>
      <c r="J1142" s="104" t="n"/>
      <c r="K1142" s="104" t="n"/>
      <c r="L1142" s="104" t="n"/>
      <c r="M1142" s="104" t="n"/>
      <c r="N1142" s="104" t="n"/>
      <c r="O1142" s="104" t="n"/>
      <c r="P1142" s="104" t="n"/>
      <c r="Q1142" s="104" t="n"/>
      <c r="R1142" s="104" t="n"/>
      <c r="S1142" s="110" t="n"/>
      <c r="T1142" s="110" t="n"/>
      <c r="U1142" s="104" t="n"/>
    </row>
    <row r="1143">
      <c r="A1143" s="104" t="inlineStr">
        <is>
          <t>GUIDE001142</t>
        </is>
      </c>
      <c r="B1143" s="101" t="inlineStr">
        <is>
          <t>DEV000050</t>
        </is>
      </c>
      <c r="C1143" s="103" t="inlineStr">
        <is>
          <t>APL</t>
        </is>
      </c>
      <c r="D1143" s="103" t="inlineStr">
        <is>
          <t>PHN</t>
        </is>
      </c>
      <c r="E1143" s="60" t="inlineStr">
        <is>
          <t>iPhone 17 Pro Max</t>
        </is>
      </c>
      <c r="F1143" s="104" t="inlineStr">
        <is>
          <t>SVC000025</t>
        </is>
      </c>
      <c r="G1143" s="104" t="inlineStr">
        <is>
          <t>Frame Replacement</t>
        </is>
      </c>
      <c r="H1143" s="104" t="inlineStr">
        <is>
          <t>Housing</t>
        </is>
      </c>
      <c r="I1143" s="104" t="n"/>
      <c r="J1143" s="104" t="n"/>
      <c r="K1143" s="104" t="n"/>
      <c r="L1143" s="104" t="n"/>
      <c r="M1143" s="104" t="n"/>
      <c r="N1143" s="104" t="n"/>
      <c r="O1143" s="104" t="n"/>
      <c r="P1143" s="104" t="n"/>
      <c r="Q1143" s="104" t="n"/>
      <c r="R1143" s="104" t="n"/>
      <c r="S1143" s="110" t="n"/>
      <c r="T1143" s="110" t="n"/>
      <c r="U1143" s="104" t="n"/>
    </row>
    <row r="1144">
      <c r="A1144" s="104" t="inlineStr">
        <is>
          <t>GUIDE001143</t>
        </is>
      </c>
      <c r="B1144" s="101" t="inlineStr">
        <is>
          <t>DEV000051</t>
        </is>
      </c>
      <c r="C1144" s="103" t="inlineStr">
        <is>
          <t>APL</t>
        </is>
      </c>
      <c r="D1144" s="103" t="inlineStr">
        <is>
          <t>PHN</t>
        </is>
      </c>
      <c r="E1144" s="60" t="inlineStr">
        <is>
          <t>iPhone Air</t>
        </is>
      </c>
      <c r="F1144" s="104" t="inlineStr">
        <is>
          <t>SVC000025</t>
        </is>
      </c>
      <c r="G1144" s="104" t="inlineStr">
        <is>
          <t>Frame Replacement</t>
        </is>
      </c>
      <c r="H1144" s="104" t="inlineStr">
        <is>
          <t>Housing</t>
        </is>
      </c>
      <c r="I1144" s="104" t="n"/>
      <c r="J1144" s="104" t="n"/>
      <c r="K1144" s="104" t="n"/>
      <c r="L1144" s="104" t="n"/>
      <c r="M1144" s="104" t="n"/>
      <c r="N1144" s="104" t="n"/>
      <c r="O1144" s="104" t="n"/>
      <c r="P1144" s="104" t="n"/>
      <c r="Q1144" s="104" t="n"/>
      <c r="R1144" s="104" t="n"/>
      <c r="S1144" s="110" t="n"/>
      <c r="T1144" s="110" t="n"/>
      <c r="U1144" s="104" t="n"/>
    </row>
    <row r="1145">
      <c r="A1145" s="104" t="inlineStr">
        <is>
          <t>GUIDE001144</t>
        </is>
      </c>
      <c r="B1145" s="101" t="inlineStr">
        <is>
          <t>DEV000052</t>
        </is>
      </c>
      <c r="C1145" s="103" t="inlineStr">
        <is>
          <t>APL</t>
        </is>
      </c>
      <c r="D1145" s="103" t="inlineStr">
        <is>
          <t>PHN</t>
        </is>
      </c>
      <c r="E1145" s="60" t="inlineStr">
        <is>
          <t>iPhone 17e</t>
        </is>
      </c>
      <c r="F1145" s="104" t="inlineStr">
        <is>
          <t>SVC000025</t>
        </is>
      </c>
      <c r="G1145" s="104" t="inlineStr">
        <is>
          <t>Frame Replacement</t>
        </is>
      </c>
      <c r="H1145" s="104" t="inlineStr">
        <is>
          <t>Housing</t>
        </is>
      </c>
      <c r="I1145" s="104" t="n"/>
      <c r="J1145" s="104" t="n"/>
      <c r="K1145" s="104" t="n"/>
      <c r="L1145" s="104" t="n"/>
      <c r="M1145" s="104" t="n"/>
      <c r="N1145" s="104" t="n"/>
      <c r="O1145" s="104" t="n"/>
      <c r="P1145" s="104" t="n"/>
      <c r="Q1145" s="104" t="n"/>
      <c r="R1145" s="104" t="n"/>
      <c r="S1145" s="110" t="n"/>
      <c r="T1145" s="110" t="n"/>
      <c r="U1145" s="104" t="n"/>
    </row>
    <row r="1146">
      <c r="A1146" s="104" t="inlineStr">
        <is>
          <t>GUIDE001145</t>
        </is>
      </c>
      <c r="B1146" s="101" t="inlineStr">
        <is>
          <t>DEV000001</t>
        </is>
      </c>
      <c r="C1146" s="103" t="inlineStr">
        <is>
          <t>APL</t>
        </is>
      </c>
      <c r="D1146" s="103" t="inlineStr">
        <is>
          <t>PHN</t>
        </is>
      </c>
      <c r="E1146" s="60" t="inlineStr">
        <is>
          <t>iPhone (2G)</t>
        </is>
      </c>
      <c r="F1146" s="104" t="inlineStr">
        <is>
          <t>SVC000026</t>
        </is>
      </c>
      <c r="G1146" s="104" t="inlineStr">
        <is>
          <t>Housing Replacement</t>
        </is>
      </c>
      <c r="H1146" s="104" t="inlineStr">
        <is>
          <t>Housing</t>
        </is>
      </c>
      <c r="I1146" s="104" t="n"/>
      <c r="J1146" s="104" t="n"/>
      <c r="K1146" s="104" t="n"/>
      <c r="L1146" s="104" t="n"/>
      <c r="M1146" s="104" t="n"/>
      <c r="N1146" s="104" t="n"/>
      <c r="O1146" s="104" t="n"/>
      <c r="P1146" s="104" t="n"/>
      <c r="Q1146" s="104" t="n"/>
      <c r="R1146" s="104" t="n"/>
      <c r="S1146" s="110" t="n"/>
      <c r="T1146" s="110" t="n"/>
      <c r="U1146" s="104" t="n"/>
    </row>
    <row r="1147">
      <c r="A1147" s="105" t="inlineStr">
        <is>
          <t>GUIDE001146</t>
        </is>
      </c>
      <c r="B1147" s="101" t="inlineStr">
        <is>
          <t>DEV000002</t>
        </is>
      </c>
      <c r="C1147" s="103" t="inlineStr">
        <is>
          <t>APL</t>
        </is>
      </c>
      <c r="D1147" s="103" t="inlineStr">
        <is>
          <t>PHN</t>
        </is>
      </c>
      <c r="E1147" s="60" t="inlineStr">
        <is>
          <t>iPhone 3G</t>
        </is>
      </c>
      <c r="F1147" s="104" t="inlineStr">
        <is>
          <t>SVC000026</t>
        </is>
      </c>
      <c r="G1147" s="104" t="inlineStr">
        <is>
          <t>Housing Replacement</t>
        </is>
      </c>
      <c r="H1147" s="104" t="inlineStr">
        <is>
          <t>Housing</t>
        </is>
      </c>
      <c r="I1147" s="104" t="n"/>
      <c r="J1147" s="104" t="n"/>
      <c r="K1147" s="104" t="n"/>
      <c r="L1147" s="104" t="n"/>
      <c r="M1147" s="104" t="n"/>
      <c r="N1147" s="104" t="n"/>
      <c r="O1147" s="104" t="n"/>
      <c r="P1147" s="104" t="n"/>
      <c r="Q1147" s="104" t="n"/>
      <c r="R1147" s="104" t="n"/>
      <c r="S1147" s="110" t="n"/>
      <c r="T1147" s="110" t="n"/>
      <c r="U1147" s="104" t="n"/>
    </row>
    <row r="1148">
      <c r="A1148" s="104" t="inlineStr">
        <is>
          <t>GUIDE001147</t>
        </is>
      </c>
      <c r="B1148" s="101" t="inlineStr">
        <is>
          <t>DEV000003</t>
        </is>
      </c>
      <c r="C1148" s="103" t="inlineStr">
        <is>
          <t>APL</t>
        </is>
      </c>
      <c r="D1148" s="103" t="inlineStr">
        <is>
          <t>PHN</t>
        </is>
      </c>
      <c r="E1148" s="60" t="inlineStr">
        <is>
          <t>iPhone 3GS</t>
        </is>
      </c>
      <c r="F1148" s="104" t="inlineStr">
        <is>
          <t>SVC000026</t>
        </is>
      </c>
      <c r="G1148" s="104" t="inlineStr">
        <is>
          <t>Housing Replacement</t>
        </is>
      </c>
      <c r="H1148" s="104" t="inlineStr">
        <is>
          <t>Housing</t>
        </is>
      </c>
      <c r="I1148" s="104" t="n"/>
      <c r="J1148" s="104" t="n"/>
      <c r="K1148" s="104" t="n"/>
      <c r="L1148" s="104" t="n"/>
      <c r="M1148" s="104" t="n"/>
      <c r="N1148" s="104" t="n"/>
      <c r="O1148" s="104" t="n"/>
      <c r="P1148" s="104" t="n"/>
      <c r="Q1148" s="104" t="n"/>
      <c r="R1148" s="104" t="n"/>
      <c r="S1148" s="110" t="n"/>
      <c r="T1148" s="110" t="n"/>
      <c r="U1148" s="104" t="n"/>
    </row>
    <row r="1149">
      <c r="A1149" s="104" t="inlineStr">
        <is>
          <t>GUIDE001148</t>
        </is>
      </c>
      <c r="B1149" s="101" t="inlineStr">
        <is>
          <t>DEV000004</t>
        </is>
      </c>
      <c r="C1149" s="103" t="inlineStr">
        <is>
          <t>APL</t>
        </is>
      </c>
      <c r="D1149" s="103" t="inlineStr">
        <is>
          <t>PHN</t>
        </is>
      </c>
      <c r="E1149" s="60" t="inlineStr">
        <is>
          <t>iPhone 4</t>
        </is>
      </c>
      <c r="F1149" s="104" t="inlineStr">
        <is>
          <t>SVC000026</t>
        </is>
      </c>
      <c r="G1149" s="104" t="inlineStr">
        <is>
          <t>Housing Replacement</t>
        </is>
      </c>
      <c r="H1149" s="104" t="inlineStr">
        <is>
          <t>Housing</t>
        </is>
      </c>
      <c r="I1149" s="104" t="n"/>
      <c r="J1149" s="104" t="n"/>
      <c r="K1149" s="104" t="n"/>
      <c r="L1149" s="104" t="n"/>
      <c r="M1149" s="104" t="n"/>
      <c r="N1149" s="104" t="n"/>
      <c r="O1149" s="104" t="n"/>
      <c r="P1149" s="104" t="n"/>
      <c r="Q1149" s="104" t="n"/>
      <c r="R1149" s="104" t="n"/>
      <c r="S1149" s="110" t="n"/>
      <c r="T1149" s="110" t="n"/>
      <c r="U1149" s="104" t="n"/>
    </row>
    <row r="1150">
      <c r="A1150" s="104" t="inlineStr">
        <is>
          <t>GUIDE001149</t>
        </is>
      </c>
      <c r="B1150" s="101" t="inlineStr">
        <is>
          <t>DEV000005</t>
        </is>
      </c>
      <c r="C1150" s="103" t="inlineStr">
        <is>
          <t>APL</t>
        </is>
      </c>
      <c r="D1150" s="103" t="inlineStr">
        <is>
          <t>PHN</t>
        </is>
      </c>
      <c r="E1150" s="60" t="inlineStr">
        <is>
          <t>iPhone 4s</t>
        </is>
      </c>
      <c r="F1150" s="104" t="inlineStr">
        <is>
          <t>SVC000026</t>
        </is>
      </c>
      <c r="G1150" s="104" t="inlineStr">
        <is>
          <t>Housing Replacement</t>
        </is>
      </c>
      <c r="H1150" s="104" t="inlineStr">
        <is>
          <t>Housing</t>
        </is>
      </c>
      <c r="I1150" s="104" t="n"/>
      <c r="J1150" s="104" t="n"/>
      <c r="K1150" s="104" t="n"/>
      <c r="L1150" s="104" t="n"/>
      <c r="M1150" s="104" t="n"/>
      <c r="N1150" s="104" t="n"/>
      <c r="O1150" s="104" t="n"/>
      <c r="P1150" s="104" t="n"/>
      <c r="Q1150" s="104" t="n"/>
      <c r="R1150" s="104" t="n"/>
      <c r="S1150" s="110" t="n"/>
      <c r="T1150" s="110" t="n"/>
      <c r="U1150" s="104" t="n"/>
    </row>
    <row r="1151">
      <c r="A1151" s="104" t="inlineStr">
        <is>
          <t>GUIDE001150</t>
        </is>
      </c>
      <c r="B1151" s="101" t="inlineStr">
        <is>
          <t>DEV000006</t>
        </is>
      </c>
      <c r="C1151" s="103" t="inlineStr">
        <is>
          <t>APL</t>
        </is>
      </c>
      <c r="D1151" s="103" t="inlineStr">
        <is>
          <t>PHN</t>
        </is>
      </c>
      <c r="E1151" s="60" t="inlineStr">
        <is>
          <t>iPhone 5</t>
        </is>
      </c>
      <c r="F1151" s="104" t="inlineStr">
        <is>
          <t>SVC000026</t>
        </is>
      </c>
      <c r="G1151" s="104" t="inlineStr">
        <is>
          <t>Housing Replacement</t>
        </is>
      </c>
      <c r="H1151" s="104" t="inlineStr">
        <is>
          <t>Housing</t>
        </is>
      </c>
      <c r="I1151" s="104" t="n"/>
      <c r="J1151" s="104" t="n"/>
      <c r="K1151" s="104" t="n"/>
      <c r="L1151" s="104" t="n"/>
      <c r="M1151" s="104" t="n"/>
      <c r="N1151" s="104" t="n"/>
      <c r="O1151" s="104" t="n"/>
      <c r="P1151" s="104" t="n"/>
      <c r="Q1151" s="104" t="n"/>
      <c r="R1151" s="104" t="n"/>
      <c r="S1151" s="110" t="n"/>
      <c r="T1151" s="110" t="n"/>
      <c r="U1151" s="104" t="n"/>
    </row>
    <row r="1152">
      <c r="A1152" s="104" t="inlineStr">
        <is>
          <t>GUIDE001151</t>
        </is>
      </c>
      <c r="B1152" s="101" t="inlineStr">
        <is>
          <t>DEV000007</t>
        </is>
      </c>
      <c r="C1152" s="103" t="inlineStr">
        <is>
          <t>APL</t>
        </is>
      </c>
      <c r="D1152" s="103" t="inlineStr">
        <is>
          <t>PHN</t>
        </is>
      </c>
      <c r="E1152" s="60" t="inlineStr">
        <is>
          <t>iPhone 5c</t>
        </is>
      </c>
      <c r="F1152" s="104" t="inlineStr">
        <is>
          <t>SVC000026</t>
        </is>
      </c>
      <c r="G1152" s="104" t="inlineStr">
        <is>
          <t>Housing Replacement</t>
        </is>
      </c>
      <c r="H1152" s="104" t="inlineStr">
        <is>
          <t>Housing</t>
        </is>
      </c>
      <c r="I1152" s="104" t="n"/>
      <c r="J1152" s="104" t="n"/>
      <c r="K1152" s="104" t="n"/>
      <c r="L1152" s="104" t="n"/>
      <c r="M1152" s="104" t="n"/>
      <c r="N1152" s="104" t="n"/>
      <c r="O1152" s="104" t="n"/>
      <c r="P1152" s="104" t="n"/>
      <c r="Q1152" s="104" t="n"/>
      <c r="R1152" s="104" t="n"/>
      <c r="S1152" s="110" t="n"/>
      <c r="T1152" s="110" t="n"/>
      <c r="U1152" s="104" t="n"/>
    </row>
    <row r="1153">
      <c r="A1153" s="105" t="inlineStr">
        <is>
          <t>GUIDE001152</t>
        </is>
      </c>
      <c r="B1153" s="101" t="inlineStr">
        <is>
          <t>DEV000008</t>
        </is>
      </c>
      <c r="C1153" s="103" t="inlineStr">
        <is>
          <t>APL</t>
        </is>
      </c>
      <c r="D1153" s="103" t="inlineStr">
        <is>
          <t>PHN</t>
        </is>
      </c>
      <c r="E1153" s="60" t="inlineStr">
        <is>
          <t>iPhone 5s</t>
        </is>
      </c>
      <c r="F1153" s="104" t="inlineStr">
        <is>
          <t>SVC000026</t>
        </is>
      </c>
      <c r="G1153" s="104" t="inlineStr">
        <is>
          <t>Housing Replacement</t>
        </is>
      </c>
      <c r="H1153" s="104" t="inlineStr">
        <is>
          <t>Housing</t>
        </is>
      </c>
      <c r="I1153" s="104" t="n"/>
      <c r="J1153" s="104" t="n"/>
      <c r="K1153" s="104" t="n"/>
      <c r="L1153" s="104" t="n"/>
      <c r="M1153" s="104" t="n"/>
      <c r="N1153" s="104" t="n"/>
      <c r="O1153" s="104" t="n"/>
      <c r="P1153" s="104" t="n"/>
      <c r="Q1153" s="104" t="n"/>
      <c r="R1153" s="104" t="n"/>
      <c r="S1153" s="110" t="n"/>
      <c r="T1153" s="110" t="n"/>
      <c r="U1153" s="104" t="n"/>
    </row>
    <row r="1154">
      <c r="A1154" s="104" t="inlineStr">
        <is>
          <t>GUIDE001153</t>
        </is>
      </c>
      <c r="B1154" s="101" t="inlineStr">
        <is>
          <t>DEV000009</t>
        </is>
      </c>
      <c r="C1154" s="103" t="inlineStr">
        <is>
          <t>APL</t>
        </is>
      </c>
      <c r="D1154" s="103" t="inlineStr">
        <is>
          <t>PHN</t>
        </is>
      </c>
      <c r="E1154" s="60" t="inlineStr">
        <is>
          <t>iPhone 6</t>
        </is>
      </c>
      <c r="F1154" s="104" t="inlineStr">
        <is>
          <t>SVC000026</t>
        </is>
      </c>
      <c r="G1154" s="104" t="inlineStr">
        <is>
          <t>Housing Replacement</t>
        </is>
      </c>
      <c r="H1154" s="104" t="inlineStr">
        <is>
          <t>Housing</t>
        </is>
      </c>
      <c r="I1154" s="104" t="n"/>
      <c r="J1154" s="104" t="n"/>
      <c r="K1154" s="104" t="n"/>
      <c r="L1154" s="104" t="n"/>
      <c r="M1154" s="104" t="n"/>
      <c r="N1154" s="104" t="n"/>
      <c r="O1154" s="104" t="n"/>
      <c r="P1154" s="104" t="n"/>
      <c r="Q1154" s="104" t="n"/>
      <c r="R1154" s="104" t="n"/>
      <c r="S1154" s="110" t="n"/>
      <c r="T1154" s="110" t="n"/>
      <c r="U1154" s="104" t="n"/>
    </row>
    <row r="1155">
      <c r="A1155" s="104" t="inlineStr">
        <is>
          <t>GUIDE001154</t>
        </is>
      </c>
      <c r="B1155" s="101" t="inlineStr">
        <is>
          <t>DEV000010</t>
        </is>
      </c>
      <c r="C1155" s="103" t="inlineStr">
        <is>
          <t>APL</t>
        </is>
      </c>
      <c r="D1155" s="103" t="inlineStr">
        <is>
          <t>PHN</t>
        </is>
      </c>
      <c r="E1155" s="60" t="inlineStr">
        <is>
          <t>iPhone 6 Plus</t>
        </is>
      </c>
      <c r="F1155" s="104" t="inlineStr">
        <is>
          <t>SVC000026</t>
        </is>
      </c>
      <c r="G1155" s="104" t="inlineStr">
        <is>
          <t>Housing Replacement</t>
        </is>
      </c>
      <c r="H1155" s="104" t="inlineStr">
        <is>
          <t>Housing</t>
        </is>
      </c>
      <c r="I1155" s="104" t="n"/>
      <c r="J1155" s="104" t="n"/>
      <c r="K1155" s="104" t="n"/>
      <c r="L1155" s="104" t="n"/>
      <c r="M1155" s="104" t="n"/>
      <c r="N1155" s="104" t="n"/>
      <c r="O1155" s="104" t="n"/>
      <c r="P1155" s="104" t="n"/>
      <c r="Q1155" s="104" t="n"/>
      <c r="R1155" s="104" t="n"/>
      <c r="S1155" s="110" t="n"/>
      <c r="T1155" s="110" t="n"/>
      <c r="U1155" s="104" t="n"/>
    </row>
    <row r="1156">
      <c r="A1156" s="104" t="inlineStr">
        <is>
          <t>GUIDE001155</t>
        </is>
      </c>
      <c r="B1156" s="101" t="inlineStr">
        <is>
          <t>DEV000011</t>
        </is>
      </c>
      <c r="C1156" s="103" t="inlineStr">
        <is>
          <t>APL</t>
        </is>
      </c>
      <c r="D1156" s="103" t="inlineStr">
        <is>
          <t>PHN</t>
        </is>
      </c>
      <c r="E1156" s="60" t="inlineStr">
        <is>
          <t>iPhone 6s</t>
        </is>
      </c>
      <c r="F1156" s="104" t="inlineStr">
        <is>
          <t>SVC000026</t>
        </is>
      </c>
      <c r="G1156" s="104" t="inlineStr">
        <is>
          <t>Housing Replacement</t>
        </is>
      </c>
      <c r="H1156" s="104" t="inlineStr">
        <is>
          <t>Housing</t>
        </is>
      </c>
      <c r="I1156" s="104" t="n"/>
      <c r="J1156" s="104" t="n"/>
      <c r="K1156" s="104" t="n"/>
      <c r="L1156" s="104" t="n"/>
      <c r="M1156" s="104" t="n"/>
      <c r="N1156" s="104" t="n"/>
      <c r="O1156" s="104" t="n"/>
      <c r="P1156" s="104" t="n"/>
      <c r="Q1156" s="104" t="n"/>
      <c r="R1156" s="104" t="n"/>
      <c r="S1156" s="110" t="n"/>
      <c r="T1156" s="110" t="n"/>
      <c r="U1156" s="104" t="n"/>
    </row>
    <row r="1157">
      <c r="A1157" s="104" t="inlineStr">
        <is>
          <t>GUIDE001156</t>
        </is>
      </c>
      <c r="B1157" s="101" t="inlineStr">
        <is>
          <t>DEV000012</t>
        </is>
      </c>
      <c r="C1157" s="103" t="inlineStr">
        <is>
          <t>APL</t>
        </is>
      </c>
      <c r="D1157" s="103" t="inlineStr">
        <is>
          <t>PHN</t>
        </is>
      </c>
      <c r="E1157" s="60" t="inlineStr">
        <is>
          <t>iPhone 6s Plus</t>
        </is>
      </c>
      <c r="F1157" s="104" t="inlineStr">
        <is>
          <t>SVC000026</t>
        </is>
      </c>
      <c r="G1157" s="104" t="inlineStr">
        <is>
          <t>Housing Replacement</t>
        </is>
      </c>
      <c r="H1157" s="104" t="inlineStr">
        <is>
          <t>Housing</t>
        </is>
      </c>
      <c r="I1157" s="104" t="n"/>
      <c r="J1157" s="104" t="n"/>
      <c r="K1157" s="104" t="n"/>
      <c r="L1157" s="104" t="n"/>
      <c r="M1157" s="104" t="n"/>
      <c r="N1157" s="104" t="n"/>
      <c r="O1157" s="104" t="n"/>
      <c r="P1157" s="104" t="n"/>
      <c r="Q1157" s="104" t="n"/>
      <c r="R1157" s="104" t="n"/>
      <c r="S1157" s="110" t="n"/>
      <c r="T1157" s="110" t="n"/>
      <c r="U1157" s="104" t="n"/>
    </row>
    <row r="1158">
      <c r="A1158" s="104" t="inlineStr">
        <is>
          <t>GUIDE001157</t>
        </is>
      </c>
      <c r="B1158" s="101" t="inlineStr">
        <is>
          <t>DEV000013</t>
        </is>
      </c>
      <c r="C1158" s="103" t="inlineStr">
        <is>
          <t>APL</t>
        </is>
      </c>
      <c r="D1158" s="103" t="inlineStr">
        <is>
          <t>PHN</t>
        </is>
      </c>
      <c r="E1158" s="60" t="inlineStr">
        <is>
          <t>iPhone SE (1st Gen)</t>
        </is>
      </c>
      <c r="F1158" s="104" t="inlineStr">
        <is>
          <t>SVC000026</t>
        </is>
      </c>
      <c r="G1158" s="104" t="inlineStr">
        <is>
          <t>Housing Replacement</t>
        </is>
      </c>
      <c r="H1158" s="104" t="inlineStr">
        <is>
          <t>Housing</t>
        </is>
      </c>
      <c r="I1158" s="104" t="n"/>
      <c r="J1158" s="104" t="n"/>
      <c r="K1158" s="104" t="n"/>
      <c r="L1158" s="104" t="n"/>
      <c r="M1158" s="104" t="n"/>
      <c r="N1158" s="104" t="n"/>
      <c r="O1158" s="104" t="n"/>
      <c r="P1158" s="104" t="n"/>
      <c r="Q1158" s="104" t="n"/>
      <c r="R1158" s="104" t="n"/>
      <c r="S1158" s="110" t="n"/>
      <c r="T1158" s="110" t="n"/>
      <c r="U1158" s="104" t="n"/>
    </row>
    <row r="1159">
      <c r="A1159" s="105" t="inlineStr">
        <is>
          <t>GUIDE001158</t>
        </is>
      </c>
      <c r="B1159" s="101" t="inlineStr">
        <is>
          <t>DEV000014</t>
        </is>
      </c>
      <c r="C1159" s="103" t="inlineStr">
        <is>
          <t>APL</t>
        </is>
      </c>
      <c r="D1159" s="103" t="inlineStr">
        <is>
          <t>PHN</t>
        </is>
      </c>
      <c r="E1159" s="60" t="inlineStr">
        <is>
          <t>iPhone 7</t>
        </is>
      </c>
      <c r="F1159" s="104" t="inlineStr">
        <is>
          <t>SVC000026</t>
        </is>
      </c>
      <c r="G1159" s="104" t="inlineStr">
        <is>
          <t>Housing Replacement</t>
        </is>
      </c>
      <c r="H1159" s="104" t="inlineStr">
        <is>
          <t>Housing</t>
        </is>
      </c>
      <c r="I1159" s="104" t="n"/>
      <c r="J1159" s="104" t="n"/>
      <c r="K1159" s="104" t="n"/>
      <c r="L1159" s="104" t="n"/>
      <c r="M1159" s="104" t="n"/>
      <c r="N1159" s="104" t="n"/>
      <c r="O1159" s="104" t="n"/>
      <c r="P1159" s="104" t="n"/>
      <c r="Q1159" s="104" t="n"/>
      <c r="R1159" s="104" t="n"/>
      <c r="S1159" s="110" t="n"/>
      <c r="T1159" s="110" t="n"/>
      <c r="U1159" s="104" t="n"/>
    </row>
    <row r="1160">
      <c r="A1160" s="104" t="inlineStr">
        <is>
          <t>GUIDE001159</t>
        </is>
      </c>
      <c r="B1160" s="101" t="inlineStr">
        <is>
          <t>DEV000015</t>
        </is>
      </c>
      <c r="C1160" s="103" t="inlineStr">
        <is>
          <t>APL</t>
        </is>
      </c>
      <c r="D1160" s="103" t="inlineStr">
        <is>
          <t>PHN</t>
        </is>
      </c>
      <c r="E1160" s="60" t="inlineStr">
        <is>
          <t>iPhone 7 Plus</t>
        </is>
      </c>
      <c r="F1160" s="104" t="inlineStr">
        <is>
          <t>SVC000026</t>
        </is>
      </c>
      <c r="G1160" s="104" t="inlineStr">
        <is>
          <t>Housing Replacement</t>
        </is>
      </c>
      <c r="H1160" s="104" t="inlineStr">
        <is>
          <t>Housing</t>
        </is>
      </c>
      <c r="I1160" s="104" t="n"/>
      <c r="J1160" s="104" t="n"/>
      <c r="K1160" s="104" t="n"/>
      <c r="L1160" s="104" t="n"/>
      <c r="M1160" s="104" t="n"/>
      <c r="N1160" s="104" t="n"/>
      <c r="O1160" s="104" t="n"/>
      <c r="P1160" s="104" t="n"/>
      <c r="Q1160" s="104" t="n"/>
      <c r="R1160" s="104" t="n"/>
      <c r="S1160" s="110" t="n"/>
      <c r="T1160" s="110" t="n"/>
      <c r="U1160" s="104" t="n"/>
    </row>
    <row r="1161">
      <c r="A1161" s="104" t="inlineStr">
        <is>
          <t>GUIDE001160</t>
        </is>
      </c>
      <c r="B1161" s="101" t="inlineStr">
        <is>
          <t>DEV000016</t>
        </is>
      </c>
      <c r="C1161" s="103" t="inlineStr">
        <is>
          <t>APL</t>
        </is>
      </c>
      <c r="D1161" s="103" t="inlineStr">
        <is>
          <t>PHN</t>
        </is>
      </c>
      <c r="E1161" s="60" t="inlineStr">
        <is>
          <t>iPhone 8</t>
        </is>
      </c>
      <c r="F1161" s="104" t="inlineStr">
        <is>
          <t>SVC000026</t>
        </is>
      </c>
      <c r="G1161" s="104" t="inlineStr">
        <is>
          <t>Housing Replacement</t>
        </is>
      </c>
      <c r="H1161" s="104" t="inlineStr">
        <is>
          <t>Housing</t>
        </is>
      </c>
      <c r="I1161" s="104" t="n"/>
      <c r="J1161" s="104" t="n"/>
      <c r="K1161" s="104" t="n"/>
      <c r="L1161" s="104" t="n"/>
      <c r="M1161" s="104" t="n"/>
      <c r="N1161" s="104" t="n"/>
      <c r="O1161" s="104" t="n"/>
      <c r="P1161" s="104" t="n"/>
      <c r="Q1161" s="104" t="n"/>
      <c r="R1161" s="104" t="n"/>
      <c r="S1161" s="110" t="n"/>
      <c r="T1161" s="110" t="n"/>
      <c r="U1161" s="104" t="n"/>
    </row>
    <row r="1162">
      <c r="A1162" s="104" t="inlineStr">
        <is>
          <t>GUIDE001161</t>
        </is>
      </c>
      <c r="B1162" s="101" t="inlineStr">
        <is>
          <t>DEV000017</t>
        </is>
      </c>
      <c r="C1162" s="103" t="inlineStr">
        <is>
          <t>APL</t>
        </is>
      </c>
      <c r="D1162" s="103" t="inlineStr">
        <is>
          <t>PHN</t>
        </is>
      </c>
      <c r="E1162" s="60" t="inlineStr">
        <is>
          <t>iPhone 8 Plus</t>
        </is>
      </c>
      <c r="F1162" s="104" t="inlineStr">
        <is>
          <t>SVC000026</t>
        </is>
      </c>
      <c r="G1162" s="104" t="inlineStr">
        <is>
          <t>Housing Replacement</t>
        </is>
      </c>
      <c r="H1162" s="104" t="inlineStr">
        <is>
          <t>Housing</t>
        </is>
      </c>
      <c r="I1162" s="104" t="n"/>
      <c r="J1162" s="104" t="n"/>
      <c r="K1162" s="104" t="n"/>
      <c r="L1162" s="104" t="n"/>
      <c r="M1162" s="104" t="n"/>
      <c r="N1162" s="104" t="n"/>
      <c r="O1162" s="104" t="n"/>
      <c r="P1162" s="104" t="n"/>
      <c r="Q1162" s="104" t="n"/>
      <c r="R1162" s="104" t="n"/>
      <c r="S1162" s="110" t="n"/>
      <c r="T1162" s="110" t="n"/>
      <c r="U1162" s="104" t="n"/>
    </row>
    <row r="1163">
      <c r="A1163" s="104" t="inlineStr">
        <is>
          <t>GUIDE001162</t>
        </is>
      </c>
      <c r="B1163" s="101" t="inlineStr">
        <is>
          <t>DEV000018</t>
        </is>
      </c>
      <c r="C1163" s="103" t="inlineStr">
        <is>
          <t>APL</t>
        </is>
      </c>
      <c r="D1163" s="103" t="inlineStr">
        <is>
          <t>PHN</t>
        </is>
      </c>
      <c r="E1163" s="60" t="inlineStr">
        <is>
          <t>iPhone X</t>
        </is>
      </c>
      <c r="F1163" s="104" t="inlineStr">
        <is>
          <t>SVC000026</t>
        </is>
      </c>
      <c r="G1163" s="104" t="inlineStr">
        <is>
          <t>Housing Replacement</t>
        </is>
      </c>
      <c r="H1163" s="104" t="inlineStr">
        <is>
          <t>Housing</t>
        </is>
      </c>
      <c r="I1163" s="104" t="n"/>
      <c r="J1163" s="104" t="n"/>
      <c r="K1163" s="104" t="n"/>
      <c r="L1163" s="104" t="n"/>
      <c r="M1163" s="104" t="n"/>
      <c r="N1163" s="104" t="n"/>
      <c r="O1163" s="104" t="n"/>
      <c r="P1163" s="104" t="n"/>
      <c r="Q1163" s="104" t="n"/>
      <c r="R1163" s="104" t="n"/>
      <c r="S1163" s="110" t="n"/>
      <c r="T1163" s="110" t="n"/>
      <c r="U1163" s="104" t="n"/>
    </row>
    <row r="1164">
      <c r="A1164" s="104" t="inlineStr">
        <is>
          <t>GUIDE001163</t>
        </is>
      </c>
      <c r="B1164" s="101" t="inlineStr">
        <is>
          <t>DEV000019</t>
        </is>
      </c>
      <c r="C1164" s="103" t="inlineStr">
        <is>
          <t>APL</t>
        </is>
      </c>
      <c r="D1164" s="103" t="inlineStr">
        <is>
          <t>PHN</t>
        </is>
      </c>
      <c r="E1164" s="60" t="inlineStr">
        <is>
          <t>iPhone XR</t>
        </is>
      </c>
      <c r="F1164" s="104" t="inlineStr">
        <is>
          <t>SVC000026</t>
        </is>
      </c>
      <c r="G1164" s="104" t="inlineStr">
        <is>
          <t>Housing Replacement</t>
        </is>
      </c>
      <c r="H1164" s="104" t="inlineStr">
        <is>
          <t>Housing</t>
        </is>
      </c>
      <c r="I1164" s="104" t="n"/>
      <c r="J1164" s="104" t="n"/>
      <c r="K1164" s="104" t="n"/>
      <c r="L1164" s="104" t="n"/>
      <c r="M1164" s="104" t="n"/>
      <c r="N1164" s="104" t="n"/>
      <c r="O1164" s="104" t="n"/>
      <c r="P1164" s="104" t="n"/>
      <c r="Q1164" s="104" t="n"/>
      <c r="R1164" s="104" t="n"/>
      <c r="S1164" s="110" t="n"/>
      <c r="T1164" s="110" t="n"/>
      <c r="U1164" s="104" t="n"/>
    </row>
    <row r="1165">
      <c r="A1165" s="105" t="inlineStr">
        <is>
          <t>GUIDE001164</t>
        </is>
      </c>
      <c r="B1165" s="101" t="inlineStr">
        <is>
          <t>DEV000020</t>
        </is>
      </c>
      <c r="C1165" s="103" t="inlineStr">
        <is>
          <t>APL</t>
        </is>
      </c>
      <c r="D1165" s="103" t="inlineStr">
        <is>
          <t>PHN</t>
        </is>
      </c>
      <c r="E1165" s="60" t="inlineStr">
        <is>
          <t>iPhone XS</t>
        </is>
      </c>
      <c r="F1165" s="104" t="inlineStr">
        <is>
          <t>SVC000026</t>
        </is>
      </c>
      <c r="G1165" s="104" t="inlineStr">
        <is>
          <t>Housing Replacement</t>
        </is>
      </c>
      <c r="H1165" s="104" t="inlineStr">
        <is>
          <t>Housing</t>
        </is>
      </c>
      <c r="I1165" s="104" t="n"/>
      <c r="J1165" s="104" t="n"/>
      <c r="K1165" s="104" t="n"/>
      <c r="L1165" s="104" t="n"/>
      <c r="M1165" s="104" t="n"/>
      <c r="N1165" s="104" t="n"/>
      <c r="O1165" s="104" t="n"/>
      <c r="P1165" s="104" t="n"/>
      <c r="Q1165" s="104" t="n"/>
      <c r="R1165" s="104" t="n"/>
      <c r="S1165" s="110" t="n"/>
      <c r="T1165" s="110" t="n"/>
      <c r="U1165" s="104" t="n"/>
    </row>
    <row r="1166">
      <c r="A1166" s="104" t="inlineStr">
        <is>
          <t>GUIDE001165</t>
        </is>
      </c>
      <c r="B1166" s="101" t="inlineStr">
        <is>
          <t>DEV000021</t>
        </is>
      </c>
      <c r="C1166" s="103" t="inlineStr">
        <is>
          <t>APL</t>
        </is>
      </c>
      <c r="D1166" s="103" t="inlineStr">
        <is>
          <t>PHN</t>
        </is>
      </c>
      <c r="E1166" s="60" t="inlineStr">
        <is>
          <t>iPhone XS Max</t>
        </is>
      </c>
      <c r="F1166" s="104" t="inlineStr">
        <is>
          <t>SVC000026</t>
        </is>
      </c>
      <c r="G1166" s="104" t="inlineStr">
        <is>
          <t>Housing Replacement</t>
        </is>
      </c>
      <c r="H1166" s="104" t="inlineStr">
        <is>
          <t>Housing</t>
        </is>
      </c>
      <c r="I1166" s="104" t="n"/>
      <c r="J1166" s="104" t="n"/>
      <c r="K1166" s="104" t="n"/>
      <c r="L1166" s="104" t="n"/>
      <c r="M1166" s="104" t="n"/>
      <c r="N1166" s="104" t="n"/>
      <c r="O1166" s="104" t="n"/>
      <c r="P1166" s="104" t="n"/>
      <c r="Q1166" s="104" t="n"/>
      <c r="R1166" s="104" t="n"/>
      <c r="S1166" s="110" t="n"/>
      <c r="T1166" s="110" t="n"/>
      <c r="U1166" s="104" t="n"/>
    </row>
    <row r="1167">
      <c r="A1167" s="104" t="inlineStr">
        <is>
          <t>GUIDE001166</t>
        </is>
      </c>
      <c r="B1167" s="101" t="inlineStr">
        <is>
          <t>DEV000022</t>
        </is>
      </c>
      <c r="C1167" s="103" t="inlineStr">
        <is>
          <t>APL</t>
        </is>
      </c>
      <c r="D1167" s="103" t="inlineStr">
        <is>
          <t>PHN</t>
        </is>
      </c>
      <c r="E1167" s="60" t="inlineStr">
        <is>
          <t>iPhone 11</t>
        </is>
      </c>
      <c r="F1167" s="104" t="inlineStr">
        <is>
          <t>SVC000026</t>
        </is>
      </c>
      <c r="G1167" s="104" t="inlineStr">
        <is>
          <t>Housing Replacement</t>
        </is>
      </c>
      <c r="H1167" s="104" t="inlineStr">
        <is>
          <t>Housing</t>
        </is>
      </c>
      <c r="I1167" s="104" t="n"/>
      <c r="J1167" s="104" t="n"/>
      <c r="K1167" s="104" t="n"/>
      <c r="L1167" s="104" t="n"/>
      <c r="M1167" s="104" t="n"/>
      <c r="N1167" s="104" t="n"/>
      <c r="O1167" s="104" t="n"/>
      <c r="P1167" s="104" t="n"/>
      <c r="Q1167" s="104" t="n"/>
      <c r="R1167" s="104" t="n"/>
      <c r="S1167" s="110" t="n"/>
      <c r="T1167" s="110" t="n"/>
      <c r="U1167" s="104" t="n"/>
    </row>
    <row r="1168">
      <c r="A1168" s="104" t="inlineStr">
        <is>
          <t>GUIDE001167</t>
        </is>
      </c>
      <c r="B1168" s="101" t="inlineStr">
        <is>
          <t>DEV000023</t>
        </is>
      </c>
      <c r="C1168" s="103" t="inlineStr">
        <is>
          <t>APL</t>
        </is>
      </c>
      <c r="D1168" s="103" t="inlineStr">
        <is>
          <t>PHN</t>
        </is>
      </c>
      <c r="E1168" s="60" t="inlineStr">
        <is>
          <t>iPhone 11 Pro</t>
        </is>
      </c>
      <c r="F1168" s="104" t="inlineStr">
        <is>
          <t>SVC000026</t>
        </is>
      </c>
      <c r="G1168" s="104" t="inlineStr">
        <is>
          <t>Housing Replacement</t>
        </is>
      </c>
      <c r="H1168" s="104" t="inlineStr">
        <is>
          <t>Housing</t>
        </is>
      </c>
      <c r="I1168" s="104" t="n"/>
      <c r="J1168" s="104" t="n"/>
      <c r="K1168" s="104" t="n"/>
      <c r="L1168" s="104" t="n"/>
      <c r="M1168" s="104" t="n"/>
      <c r="N1168" s="104" t="n"/>
      <c r="O1168" s="104" t="n"/>
      <c r="P1168" s="104" t="n"/>
      <c r="Q1168" s="104" t="n"/>
      <c r="R1168" s="104" t="n"/>
      <c r="S1168" s="110" t="n"/>
      <c r="T1168" s="110" t="n"/>
      <c r="U1168" s="104" t="n"/>
    </row>
    <row r="1169">
      <c r="A1169" s="104" t="inlineStr">
        <is>
          <t>GUIDE001168</t>
        </is>
      </c>
      <c r="B1169" s="101" t="inlineStr">
        <is>
          <t>DEV000024</t>
        </is>
      </c>
      <c r="C1169" s="103" t="inlineStr">
        <is>
          <t>APL</t>
        </is>
      </c>
      <c r="D1169" s="103" t="inlineStr">
        <is>
          <t>PHN</t>
        </is>
      </c>
      <c r="E1169" s="60" t="inlineStr">
        <is>
          <t>iPhone 11 Pro Max</t>
        </is>
      </c>
      <c r="F1169" s="104" t="inlineStr">
        <is>
          <t>SVC000026</t>
        </is>
      </c>
      <c r="G1169" s="104" t="inlineStr">
        <is>
          <t>Housing Replacement</t>
        </is>
      </c>
      <c r="H1169" s="104" t="inlineStr">
        <is>
          <t>Housing</t>
        </is>
      </c>
      <c r="I1169" s="104" t="n"/>
      <c r="J1169" s="104" t="n"/>
      <c r="K1169" s="104" t="n"/>
      <c r="L1169" s="104" t="n"/>
      <c r="M1169" s="104" t="n"/>
      <c r="N1169" s="104" t="n"/>
      <c r="O1169" s="104" t="n"/>
      <c r="P1169" s="104" t="n"/>
      <c r="Q1169" s="104" t="n"/>
      <c r="R1169" s="104" t="n"/>
      <c r="S1169" s="110" t="n"/>
      <c r="T1169" s="110" t="n"/>
      <c r="U1169" s="104" t="n"/>
    </row>
    <row r="1170">
      <c r="A1170" s="104" t="inlineStr">
        <is>
          <t>GUIDE001169</t>
        </is>
      </c>
      <c r="B1170" s="101" t="inlineStr">
        <is>
          <t>DEV000025</t>
        </is>
      </c>
      <c r="C1170" s="103" t="inlineStr">
        <is>
          <t>APL</t>
        </is>
      </c>
      <c r="D1170" s="103" t="inlineStr">
        <is>
          <t>PHN</t>
        </is>
      </c>
      <c r="E1170" s="60" t="inlineStr">
        <is>
          <t>iPhone SE (2nd Generation)</t>
        </is>
      </c>
      <c r="F1170" s="104" t="inlineStr">
        <is>
          <t>SVC000026</t>
        </is>
      </c>
      <c r="G1170" s="104" t="inlineStr">
        <is>
          <t>Housing Replacement</t>
        </is>
      </c>
      <c r="H1170" s="104" t="inlineStr">
        <is>
          <t>Housing</t>
        </is>
      </c>
      <c r="I1170" s="104" t="n"/>
      <c r="J1170" s="104" t="n"/>
      <c r="K1170" s="104" t="n"/>
      <c r="L1170" s="104" t="n"/>
      <c r="M1170" s="104" t="n"/>
      <c r="N1170" s="104" t="n"/>
      <c r="O1170" s="104" t="n"/>
      <c r="P1170" s="104" t="n"/>
      <c r="Q1170" s="104" t="n"/>
      <c r="R1170" s="104" t="n"/>
      <c r="S1170" s="110" t="n"/>
      <c r="T1170" s="110" t="n"/>
      <c r="U1170" s="104" t="n"/>
    </row>
    <row r="1171">
      <c r="A1171" s="105" t="inlineStr">
        <is>
          <t>GUIDE001170</t>
        </is>
      </c>
      <c r="B1171" s="101" t="inlineStr">
        <is>
          <t>DEV000026</t>
        </is>
      </c>
      <c r="C1171" s="103" t="inlineStr">
        <is>
          <t>APL</t>
        </is>
      </c>
      <c r="D1171" s="103" t="inlineStr">
        <is>
          <t>PHN</t>
        </is>
      </c>
      <c r="E1171" s="60" t="inlineStr">
        <is>
          <t>iPhone 12 mini</t>
        </is>
      </c>
      <c r="F1171" s="104" t="inlineStr">
        <is>
          <t>SVC000026</t>
        </is>
      </c>
      <c r="G1171" s="104" t="inlineStr">
        <is>
          <t>Housing Replacement</t>
        </is>
      </c>
      <c r="H1171" s="104" t="inlineStr">
        <is>
          <t>Housing</t>
        </is>
      </c>
      <c r="I1171" s="104" t="n"/>
      <c r="J1171" s="104" t="n"/>
      <c r="K1171" s="104" t="n"/>
      <c r="L1171" s="104" t="n"/>
      <c r="M1171" s="104" t="n"/>
      <c r="N1171" s="104" t="n"/>
      <c r="O1171" s="104" t="n"/>
      <c r="P1171" s="104" t="n"/>
      <c r="Q1171" s="104" t="n"/>
      <c r="R1171" s="104" t="n"/>
      <c r="S1171" s="110" t="n"/>
      <c r="T1171" s="110" t="n"/>
      <c r="U1171" s="104" t="n"/>
    </row>
    <row r="1172">
      <c r="A1172" s="104" t="inlineStr">
        <is>
          <t>GUIDE001171</t>
        </is>
      </c>
      <c r="B1172" s="101" t="inlineStr">
        <is>
          <t>DEV000027</t>
        </is>
      </c>
      <c r="C1172" s="103" t="inlineStr">
        <is>
          <t>APL</t>
        </is>
      </c>
      <c r="D1172" s="103" t="inlineStr">
        <is>
          <t>PHN</t>
        </is>
      </c>
      <c r="E1172" s="60" t="inlineStr">
        <is>
          <t>iPhone 12</t>
        </is>
      </c>
      <c r="F1172" s="104" t="inlineStr">
        <is>
          <t>SVC000026</t>
        </is>
      </c>
      <c r="G1172" s="104" t="inlineStr">
        <is>
          <t>Housing Replacement</t>
        </is>
      </c>
      <c r="H1172" s="104" t="inlineStr">
        <is>
          <t>Housing</t>
        </is>
      </c>
      <c r="I1172" s="104" t="n"/>
      <c r="J1172" s="104" t="n"/>
      <c r="K1172" s="104" t="n"/>
      <c r="L1172" s="104" t="n"/>
      <c r="M1172" s="104" t="n"/>
      <c r="N1172" s="104" t="n"/>
      <c r="O1172" s="104" t="n"/>
      <c r="P1172" s="104" t="n"/>
      <c r="Q1172" s="104" t="n"/>
      <c r="R1172" s="104" t="n"/>
      <c r="S1172" s="110" t="n"/>
      <c r="T1172" s="110" t="n"/>
      <c r="U1172" s="104" t="n"/>
    </row>
    <row r="1173">
      <c r="A1173" s="104" t="inlineStr">
        <is>
          <t>GUIDE001172</t>
        </is>
      </c>
      <c r="B1173" s="101" t="inlineStr">
        <is>
          <t>DEV000028</t>
        </is>
      </c>
      <c r="C1173" s="103" t="inlineStr">
        <is>
          <t>APL</t>
        </is>
      </c>
      <c r="D1173" s="103" t="inlineStr">
        <is>
          <t>PHN</t>
        </is>
      </c>
      <c r="E1173" s="60" t="inlineStr">
        <is>
          <t>iPhone 12 Pro</t>
        </is>
      </c>
      <c r="F1173" s="104" t="inlineStr">
        <is>
          <t>SVC000026</t>
        </is>
      </c>
      <c r="G1173" s="104" t="inlineStr">
        <is>
          <t>Housing Replacement</t>
        </is>
      </c>
      <c r="H1173" s="104" t="inlineStr">
        <is>
          <t>Housing</t>
        </is>
      </c>
      <c r="I1173" s="104" t="n"/>
      <c r="J1173" s="104" t="n"/>
      <c r="K1173" s="104" t="n"/>
      <c r="L1173" s="104" t="n"/>
      <c r="M1173" s="104" t="n"/>
      <c r="N1173" s="104" t="n"/>
      <c r="O1173" s="104" t="n"/>
      <c r="P1173" s="104" t="n"/>
      <c r="Q1173" s="104" t="n"/>
      <c r="R1173" s="104" t="n"/>
      <c r="S1173" s="110" t="n"/>
      <c r="T1173" s="110" t="n"/>
      <c r="U1173" s="104" t="n"/>
    </row>
    <row r="1174">
      <c r="A1174" s="104" t="inlineStr">
        <is>
          <t>GUIDE001173</t>
        </is>
      </c>
      <c r="B1174" s="101" t="inlineStr">
        <is>
          <t>DEV000029</t>
        </is>
      </c>
      <c r="C1174" s="103" t="inlineStr">
        <is>
          <t>APL</t>
        </is>
      </c>
      <c r="D1174" s="103" t="inlineStr">
        <is>
          <t>PHN</t>
        </is>
      </c>
      <c r="E1174" s="60" t="inlineStr">
        <is>
          <t>iPhone 12 Pro Max</t>
        </is>
      </c>
      <c r="F1174" s="104" t="inlineStr">
        <is>
          <t>SVC000026</t>
        </is>
      </c>
      <c r="G1174" s="104" t="inlineStr">
        <is>
          <t>Housing Replacement</t>
        </is>
      </c>
      <c r="H1174" s="104" t="inlineStr">
        <is>
          <t>Housing</t>
        </is>
      </c>
      <c r="I1174" s="104" t="n"/>
      <c r="J1174" s="104" t="n"/>
      <c r="K1174" s="104" t="n"/>
      <c r="L1174" s="104" t="n"/>
      <c r="M1174" s="104" t="n"/>
      <c r="N1174" s="104" t="n"/>
      <c r="O1174" s="104" t="n"/>
      <c r="P1174" s="104" t="n"/>
      <c r="Q1174" s="104" t="n"/>
      <c r="R1174" s="104" t="n"/>
      <c r="S1174" s="110" t="n"/>
      <c r="T1174" s="110" t="n"/>
      <c r="U1174" s="104" t="n"/>
    </row>
    <row r="1175">
      <c r="A1175" s="104" t="inlineStr">
        <is>
          <t>GUIDE001174</t>
        </is>
      </c>
      <c r="B1175" s="101" t="inlineStr">
        <is>
          <t>DEV000030</t>
        </is>
      </c>
      <c r="C1175" s="103" t="inlineStr">
        <is>
          <t>APL</t>
        </is>
      </c>
      <c r="D1175" s="103" t="inlineStr">
        <is>
          <t>PHN</t>
        </is>
      </c>
      <c r="E1175" s="60" t="inlineStr">
        <is>
          <t>iPhone 13 mini</t>
        </is>
      </c>
      <c r="F1175" s="104" t="inlineStr">
        <is>
          <t>SVC000026</t>
        </is>
      </c>
      <c r="G1175" s="104" t="inlineStr">
        <is>
          <t>Housing Replacement</t>
        </is>
      </c>
      <c r="H1175" s="104" t="inlineStr">
        <is>
          <t>Housing</t>
        </is>
      </c>
      <c r="I1175" s="104" t="n"/>
      <c r="J1175" s="104" t="n"/>
      <c r="K1175" s="104" t="n"/>
      <c r="L1175" s="104" t="n"/>
      <c r="M1175" s="104" t="n"/>
      <c r="N1175" s="104" t="n"/>
      <c r="O1175" s="104" t="n"/>
      <c r="P1175" s="104" t="n"/>
      <c r="Q1175" s="104" t="n"/>
      <c r="R1175" s="104" t="n"/>
      <c r="S1175" s="110" t="n"/>
      <c r="T1175" s="110" t="n"/>
      <c r="U1175" s="104" t="n"/>
    </row>
    <row r="1176">
      <c r="A1176" s="104" t="inlineStr">
        <is>
          <t>GUIDE001175</t>
        </is>
      </c>
      <c r="B1176" s="101" t="inlineStr">
        <is>
          <t>DEV000031</t>
        </is>
      </c>
      <c r="C1176" s="103" t="inlineStr">
        <is>
          <t>APL</t>
        </is>
      </c>
      <c r="D1176" s="103" t="inlineStr">
        <is>
          <t>PHN</t>
        </is>
      </c>
      <c r="E1176" s="60" t="inlineStr">
        <is>
          <t>iPhone 13</t>
        </is>
      </c>
      <c r="F1176" s="104" t="inlineStr">
        <is>
          <t>SVC000026</t>
        </is>
      </c>
      <c r="G1176" s="104" t="inlineStr">
        <is>
          <t>Housing Replacement</t>
        </is>
      </c>
      <c r="H1176" s="104" t="inlineStr">
        <is>
          <t>Housing</t>
        </is>
      </c>
      <c r="I1176" s="104" t="n"/>
      <c r="J1176" s="104" t="n"/>
      <c r="K1176" s="104" t="n"/>
      <c r="L1176" s="104" t="n"/>
      <c r="M1176" s="104" t="n"/>
      <c r="N1176" s="104" t="n"/>
      <c r="O1176" s="104" t="n"/>
      <c r="P1176" s="104" t="n"/>
      <c r="Q1176" s="104" t="n"/>
      <c r="R1176" s="104" t="n"/>
      <c r="S1176" s="110" t="n"/>
      <c r="T1176" s="110" t="n"/>
      <c r="U1176" s="104" t="n"/>
    </row>
    <row r="1177">
      <c r="A1177" s="105" t="inlineStr">
        <is>
          <t>GUIDE001176</t>
        </is>
      </c>
      <c r="B1177" s="101" t="inlineStr">
        <is>
          <t>DEV000032</t>
        </is>
      </c>
      <c r="C1177" s="103" t="inlineStr">
        <is>
          <t>APL</t>
        </is>
      </c>
      <c r="D1177" s="103" t="inlineStr">
        <is>
          <t>PHN</t>
        </is>
      </c>
      <c r="E1177" s="60" t="inlineStr">
        <is>
          <t>iPhone 13 Pro</t>
        </is>
      </c>
      <c r="F1177" s="104" t="inlineStr">
        <is>
          <t>SVC000026</t>
        </is>
      </c>
      <c r="G1177" s="104" t="inlineStr">
        <is>
          <t>Housing Replacement</t>
        </is>
      </c>
      <c r="H1177" s="104" t="inlineStr">
        <is>
          <t>Housing</t>
        </is>
      </c>
      <c r="I1177" s="104" t="n"/>
      <c r="J1177" s="104" t="n"/>
      <c r="K1177" s="104" t="n"/>
      <c r="L1177" s="104" t="n"/>
      <c r="M1177" s="104" t="n"/>
      <c r="N1177" s="104" t="n"/>
      <c r="O1177" s="104" t="n"/>
      <c r="P1177" s="104" t="n"/>
      <c r="Q1177" s="104" t="n"/>
      <c r="R1177" s="104" t="n"/>
      <c r="S1177" s="110" t="n"/>
      <c r="T1177" s="110" t="n"/>
      <c r="U1177" s="104" t="n"/>
    </row>
    <row r="1178">
      <c r="A1178" s="104" t="inlineStr">
        <is>
          <t>GUIDE001177</t>
        </is>
      </c>
      <c r="B1178" s="101" t="inlineStr">
        <is>
          <t>DEV000033</t>
        </is>
      </c>
      <c r="C1178" s="103" t="inlineStr">
        <is>
          <t>APL</t>
        </is>
      </c>
      <c r="D1178" s="103" t="inlineStr">
        <is>
          <t>PHN</t>
        </is>
      </c>
      <c r="E1178" s="60" t="inlineStr">
        <is>
          <t>iPhone 13 Pro Max</t>
        </is>
      </c>
      <c r="F1178" s="104" t="inlineStr">
        <is>
          <t>SVC000026</t>
        </is>
      </c>
      <c r="G1178" s="104" t="inlineStr">
        <is>
          <t>Housing Replacement</t>
        </is>
      </c>
      <c r="H1178" s="104" t="inlineStr">
        <is>
          <t>Housing</t>
        </is>
      </c>
      <c r="I1178" s="104" t="n"/>
      <c r="J1178" s="104" t="n"/>
      <c r="K1178" s="104" t="n"/>
      <c r="L1178" s="104" t="n"/>
      <c r="M1178" s="104" t="n"/>
      <c r="N1178" s="104" t="n"/>
      <c r="O1178" s="104" t="n"/>
      <c r="P1178" s="104" t="n"/>
      <c r="Q1178" s="104" t="n"/>
      <c r="R1178" s="104" t="n"/>
      <c r="S1178" s="110" t="n"/>
      <c r="T1178" s="110" t="n"/>
      <c r="U1178" s="104" t="n"/>
    </row>
    <row r="1179">
      <c r="A1179" s="104" t="inlineStr">
        <is>
          <t>GUIDE001178</t>
        </is>
      </c>
      <c r="B1179" s="101" t="inlineStr">
        <is>
          <t>DEV000034</t>
        </is>
      </c>
      <c r="C1179" s="103" t="inlineStr">
        <is>
          <t>APL</t>
        </is>
      </c>
      <c r="D1179" s="103" t="inlineStr">
        <is>
          <t>PHN</t>
        </is>
      </c>
      <c r="E1179" s="60" t="inlineStr">
        <is>
          <t>iPhone SE (3rd Generation)</t>
        </is>
      </c>
      <c r="F1179" s="104" t="inlineStr">
        <is>
          <t>SVC000026</t>
        </is>
      </c>
      <c r="G1179" s="104" t="inlineStr">
        <is>
          <t>Housing Replacement</t>
        </is>
      </c>
      <c r="H1179" s="104" t="inlineStr">
        <is>
          <t>Housing</t>
        </is>
      </c>
      <c r="I1179" s="104" t="n"/>
      <c r="J1179" s="104" t="n"/>
      <c r="K1179" s="104" t="n"/>
      <c r="L1179" s="104" t="n"/>
      <c r="M1179" s="104" t="n"/>
      <c r="N1179" s="104" t="n"/>
      <c r="O1179" s="104" t="n"/>
      <c r="P1179" s="104" t="n"/>
      <c r="Q1179" s="104" t="n"/>
      <c r="R1179" s="104" t="n"/>
      <c r="S1179" s="110" t="n"/>
      <c r="T1179" s="110" t="n"/>
      <c r="U1179" s="104" t="n"/>
    </row>
    <row r="1180">
      <c r="A1180" s="104" t="inlineStr">
        <is>
          <t>GUIDE001179</t>
        </is>
      </c>
      <c r="B1180" s="101" t="inlineStr">
        <is>
          <t>DEV000035</t>
        </is>
      </c>
      <c r="C1180" s="103" t="inlineStr">
        <is>
          <t>APL</t>
        </is>
      </c>
      <c r="D1180" s="103" t="inlineStr">
        <is>
          <t>PHN</t>
        </is>
      </c>
      <c r="E1180" s="60" t="inlineStr">
        <is>
          <t>iPhone 14</t>
        </is>
      </c>
      <c r="F1180" s="104" t="inlineStr">
        <is>
          <t>SVC000026</t>
        </is>
      </c>
      <c r="G1180" s="104" t="inlineStr">
        <is>
          <t>Housing Replacement</t>
        </is>
      </c>
      <c r="H1180" s="104" t="inlineStr">
        <is>
          <t>Housing</t>
        </is>
      </c>
      <c r="I1180" s="104" t="n"/>
      <c r="J1180" s="104" t="n"/>
      <c r="K1180" s="104" t="n"/>
      <c r="L1180" s="104" t="n"/>
      <c r="M1180" s="104" t="n"/>
      <c r="N1180" s="104" t="n"/>
      <c r="O1180" s="104" t="n"/>
      <c r="P1180" s="104" t="n"/>
      <c r="Q1180" s="104" t="n"/>
      <c r="R1180" s="104" t="n"/>
      <c r="S1180" s="110" t="n"/>
      <c r="T1180" s="110" t="n"/>
      <c r="U1180" s="104" t="n"/>
    </row>
    <row r="1181">
      <c r="A1181" s="104" t="inlineStr">
        <is>
          <t>GUIDE001180</t>
        </is>
      </c>
      <c r="B1181" s="101" t="inlineStr">
        <is>
          <t>DEV000036</t>
        </is>
      </c>
      <c r="C1181" s="103" t="inlineStr">
        <is>
          <t>APL</t>
        </is>
      </c>
      <c r="D1181" s="103" t="inlineStr">
        <is>
          <t>PHN</t>
        </is>
      </c>
      <c r="E1181" s="60" t="inlineStr">
        <is>
          <t>iPhone 14 Plus</t>
        </is>
      </c>
      <c r="F1181" s="104" t="inlineStr">
        <is>
          <t>SVC000026</t>
        </is>
      </c>
      <c r="G1181" s="104" t="inlineStr">
        <is>
          <t>Housing Replacement</t>
        </is>
      </c>
      <c r="H1181" s="104" t="inlineStr">
        <is>
          <t>Housing</t>
        </is>
      </c>
      <c r="I1181" s="104" t="n"/>
      <c r="J1181" s="104" t="n"/>
      <c r="K1181" s="104" t="n"/>
      <c r="L1181" s="104" t="n"/>
      <c r="M1181" s="104" t="n"/>
      <c r="N1181" s="104" t="n"/>
      <c r="O1181" s="104" t="n"/>
      <c r="P1181" s="104" t="n"/>
      <c r="Q1181" s="104" t="n"/>
      <c r="R1181" s="104" t="n"/>
      <c r="S1181" s="110" t="n"/>
      <c r="T1181" s="110" t="n"/>
      <c r="U1181" s="104" t="n"/>
    </row>
    <row r="1182">
      <c r="A1182" s="104" t="inlineStr">
        <is>
          <t>GUIDE001181</t>
        </is>
      </c>
      <c r="B1182" s="101" t="inlineStr">
        <is>
          <t>DEV000037</t>
        </is>
      </c>
      <c r="C1182" s="103" t="inlineStr">
        <is>
          <t>APL</t>
        </is>
      </c>
      <c r="D1182" s="103" t="inlineStr">
        <is>
          <t>PHN</t>
        </is>
      </c>
      <c r="E1182" s="60" t="inlineStr">
        <is>
          <t>iPhone 14 Pro</t>
        </is>
      </c>
      <c r="F1182" s="104" t="inlineStr">
        <is>
          <t>SVC000026</t>
        </is>
      </c>
      <c r="G1182" s="104" t="inlineStr">
        <is>
          <t>Housing Replacement</t>
        </is>
      </c>
      <c r="H1182" s="104" t="inlineStr">
        <is>
          <t>Housing</t>
        </is>
      </c>
      <c r="I1182" s="104" t="n"/>
      <c r="J1182" s="104" t="n"/>
      <c r="K1182" s="104" t="n"/>
      <c r="L1182" s="104" t="n"/>
      <c r="M1182" s="104" t="n"/>
      <c r="N1182" s="104" t="n"/>
      <c r="O1182" s="104" t="n"/>
      <c r="P1182" s="104" t="n"/>
      <c r="Q1182" s="104" t="n"/>
      <c r="R1182" s="104" t="n"/>
      <c r="S1182" s="110" t="n"/>
      <c r="T1182" s="110" t="n"/>
      <c r="U1182" s="104" t="n"/>
    </row>
    <row r="1183">
      <c r="A1183" s="105" t="inlineStr">
        <is>
          <t>GUIDE001182</t>
        </is>
      </c>
      <c r="B1183" s="101" t="inlineStr">
        <is>
          <t>DEV000038</t>
        </is>
      </c>
      <c r="C1183" s="103" t="inlineStr">
        <is>
          <t>APL</t>
        </is>
      </c>
      <c r="D1183" s="103" t="inlineStr">
        <is>
          <t>PHN</t>
        </is>
      </c>
      <c r="E1183" s="60" t="inlineStr">
        <is>
          <t>iPhone 14 Pro Max</t>
        </is>
      </c>
      <c r="F1183" s="104" t="inlineStr">
        <is>
          <t>SVC000026</t>
        </is>
      </c>
      <c r="G1183" s="104" t="inlineStr">
        <is>
          <t>Housing Replacement</t>
        </is>
      </c>
      <c r="H1183" s="104" t="inlineStr">
        <is>
          <t>Housing</t>
        </is>
      </c>
      <c r="I1183" s="104" t="n"/>
      <c r="J1183" s="104" t="n"/>
      <c r="K1183" s="104" t="n"/>
      <c r="L1183" s="104" t="n"/>
      <c r="M1183" s="104" t="n"/>
      <c r="N1183" s="104" t="n"/>
      <c r="O1183" s="104" t="n"/>
      <c r="P1183" s="104" t="n"/>
      <c r="Q1183" s="104" t="n"/>
      <c r="R1183" s="104" t="n"/>
      <c r="S1183" s="110" t="n"/>
      <c r="T1183" s="110" t="n"/>
      <c r="U1183" s="104" t="n"/>
    </row>
    <row r="1184">
      <c r="A1184" s="104" t="inlineStr">
        <is>
          <t>GUIDE001183</t>
        </is>
      </c>
      <c r="B1184" s="101" t="inlineStr">
        <is>
          <t>DEV000039</t>
        </is>
      </c>
      <c r="C1184" s="103" t="inlineStr">
        <is>
          <t>APL</t>
        </is>
      </c>
      <c r="D1184" s="103" t="inlineStr">
        <is>
          <t>PHN</t>
        </is>
      </c>
      <c r="E1184" s="60" t="inlineStr">
        <is>
          <t>iPhone 15</t>
        </is>
      </c>
      <c r="F1184" s="104" t="inlineStr">
        <is>
          <t>SVC000026</t>
        </is>
      </c>
      <c r="G1184" s="104" t="inlineStr">
        <is>
          <t>Housing Replacement</t>
        </is>
      </c>
      <c r="H1184" s="104" t="inlineStr">
        <is>
          <t>Housing</t>
        </is>
      </c>
      <c r="I1184" s="104" t="n"/>
      <c r="J1184" s="104" t="n"/>
      <c r="K1184" s="104" t="n"/>
      <c r="L1184" s="104" t="n"/>
      <c r="M1184" s="104" t="n"/>
      <c r="N1184" s="104" t="n"/>
      <c r="O1184" s="104" t="n"/>
      <c r="P1184" s="104" t="n"/>
      <c r="Q1184" s="104" t="n"/>
      <c r="R1184" s="104" t="n"/>
      <c r="S1184" s="110" t="n"/>
      <c r="T1184" s="110" t="n"/>
      <c r="U1184" s="104" t="n"/>
    </row>
    <row r="1185">
      <c r="A1185" s="104" t="inlineStr">
        <is>
          <t>GUIDE001184</t>
        </is>
      </c>
      <c r="B1185" s="101" t="inlineStr">
        <is>
          <t>DEV000040</t>
        </is>
      </c>
      <c r="C1185" s="103" t="inlineStr">
        <is>
          <t>APL</t>
        </is>
      </c>
      <c r="D1185" s="103" t="inlineStr">
        <is>
          <t>PHN</t>
        </is>
      </c>
      <c r="E1185" s="60" t="inlineStr">
        <is>
          <t>iPhone 15 Plus</t>
        </is>
      </c>
      <c r="F1185" s="104" t="inlineStr">
        <is>
          <t>SVC000026</t>
        </is>
      </c>
      <c r="G1185" s="104" t="inlineStr">
        <is>
          <t>Housing Replacement</t>
        </is>
      </c>
      <c r="H1185" s="104" t="inlineStr">
        <is>
          <t>Housing</t>
        </is>
      </c>
      <c r="I1185" s="104" t="n"/>
      <c r="J1185" s="104" t="n"/>
      <c r="K1185" s="104" t="n"/>
      <c r="L1185" s="104" t="n"/>
      <c r="M1185" s="104" t="n"/>
      <c r="N1185" s="104" t="n"/>
      <c r="O1185" s="104" t="n"/>
      <c r="P1185" s="104" t="n"/>
      <c r="Q1185" s="104" t="n"/>
      <c r="R1185" s="104" t="n"/>
      <c r="S1185" s="110" t="n"/>
      <c r="T1185" s="110" t="n"/>
      <c r="U1185" s="104" t="n"/>
    </row>
    <row r="1186">
      <c r="A1186" s="104" t="inlineStr">
        <is>
          <t>GUIDE001185</t>
        </is>
      </c>
      <c r="B1186" s="101" t="inlineStr">
        <is>
          <t>DEV000041</t>
        </is>
      </c>
      <c r="C1186" s="103" t="inlineStr">
        <is>
          <t>APL</t>
        </is>
      </c>
      <c r="D1186" s="103" t="inlineStr">
        <is>
          <t>PHN</t>
        </is>
      </c>
      <c r="E1186" s="60" t="inlineStr">
        <is>
          <t>iPhone 15 Pro</t>
        </is>
      </c>
      <c r="F1186" s="104" t="inlineStr">
        <is>
          <t>SVC000026</t>
        </is>
      </c>
      <c r="G1186" s="104" t="inlineStr">
        <is>
          <t>Housing Replacement</t>
        </is>
      </c>
      <c r="H1186" s="104" t="inlineStr">
        <is>
          <t>Housing</t>
        </is>
      </c>
      <c r="I1186" s="104" t="n"/>
      <c r="J1186" s="104" t="n"/>
      <c r="K1186" s="104" t="n"/>
      <c r="L1186" s="104" t="n"/>
      <c r="M1186" s="104" t="n"/>
      <c r="N1186" s="104" t="n"/>
      <c r="O1186" s="104" t="n"/>
      <c r="P1186" s="104" t="n"/>
      <c r="Q1186" s="104" t="n"/>
      <c r="R1186" s="104" t="n"/>
      <c r="S1186" s="110" t="n"/>
      <c r="T1186" s="110" t="n"/>
      <c r="U1186" s="104" t="n"/>
    </row>
    <row r="1187">
      <c r="A1187" s="104" t="inlineStr">
        <is>
          <t>GUIDE001186</t>
        </is>
      </c>
      <c r="B1187" s="101" t="inlineStr">
        <is>
          <t>DEV000042</t>
        </is>
      </c>
      <c r="C1187" s="103" t="inlineStr">
        <is>
          <t>APL</t>
        </is>
      </c>
      <c r="D1187" s="103" t="inlineStr">
        <is>
          <t>PHN</t>
        </is>
      </c>
      <c r="E1187" s="60" t="inlineStr">
        <is>
          <t>iPhone 15 Pro Max</t>
        </is>
      </c>
      <c r="F1187" s="104" t="inlineStr">
        <is>
          <t>SVC000026</t>
        </is>
      </c>
      <c r="G1187" s="104" t="inlineStr">
        <is>
          <t>Housing Replacement</t>
        </is>
      </c>
      <c r="H1187" s="104" t="inlineStr">
        <is>
          <t>Housing</t>
        </is>
      </c>
      <c r="I1187" s="104" t="n"/>
      <c r="J1187" s="104" t="n"/>
      <c r="K1187" s="104" t="n"/>
      <c r="L1187" s="104" t="n"/>
      <c r="M1187" s="104" t="n"/>
      <c r="N1187" s="104" t="n"/>
      <c r="O1187" s="104" t="n"/>
      <c r="P1187" s="104" t="n"/>
      <c r="Q1187" s="104" t="n"/>
      <c r="R1187" s="104" t="n"/>
      <c r="S1187" s="110" t="n"/>
      <c r="T1187" s="110" t="n"/>
      <c r="U1187" s="104" t="n"/>
    </row>
    <row r="1188">
      <c r="A1188" s="104" t="inlineStr">
        <is>
          <t>GUIDE001187</t>
        </is>
      </c>
      <c r="B1188" s="101" t="inlineStr">
        <is>
          <t>DEV000043</t>
        </is>
      </c>
      <c r="C1188" s="103" t="inlineStr">
        <is>
          <t>APL</t>
        </is>
      </c>
      <c r="D1188" s="103" t="inlineStr">
        <is>
          <t>PHN</t>
        </is>
      </c>
      <c r="E1188" s="60" t="inlineStr">
        <is>
          <t>iPhone 16</t>
        </is>
      </c>
      <c r="F1188" s="104" t="inlineStr">
        <is>
          <t>SVC000026</t>
        </is>
      </c>
      <c r="G1188" s="104" t="inlineStr">
        <is>
          <t>Housing Replacement</t>
        </is>
      </c>
      <c r="H1188" s="104" t="inlineStr">
        <is>
          <t>Housing</t>
        </is>
      </c>
      <c r="I1188" s="104" t="n"/>
      <c r="J1188" s="104" t="n"/>
      <c r="K1188" s="104" t="n"/>
      <c r="L1188" s="104" t="n"/>
      <c r="M1188" s="104" t="n"/>
      <c r="N1188" s="104" t="n"/>
      <c r="O1188" s="104" t="n"/>
      <c r="P1188" s="104" t="n"/>
      <c r="Q1188" s="104" t="n"/>
      <c r="R1188" s="104" t="n"/>
      <c r="S1188" s="110" t="n"/>
      <c r="T1188" s="110" t="n"/>
      <c r="U1188" s="104" t="n"/>
    </row>
    <row r="1189">
      <c r="A1189" s="105" t="inlineStr">
        <is>
          <t>GUIDE001188</t>
        </is>
      </c>
      <c r="B1189" s="101" t="inlineStr">
        <is>
          <t>DEV000044</t>
        </is>
      </c>
      <c r="C1189" s="103" t="inlineStr">
        <is>
          <t>APL</t>
        </is>
      </c>
      <c r="D1189" s="103" t="inlineStr">
        <is>
          <t>PHN</t>
        </is>
      </c>
      <c r="E1189" s="60" t="inlineStr">
        <is>
          <t>iPhone 16 Plus</t>
        </is>
      </c>
      <c r="F1189" s="104" t="inlineStr">
        <is>
          <t>SVC000026</t>
        </is>
      </c>
      <c r="G1189" s="104" t="inlineStr">
        <is>
          <t>Housing Replacement</t>
        </is>
      </c>
      <c r="H1189" s="104" t="inlineStr">
        <is>
          <t>Housing</t>
        </is>
      </c>
      <c r="I1189" s="104" t="n"/>
      <c r="J1189" s="104" t="n"/>
      <c r="K1189" s="104" t="n"/>
      <c r="L1189" s="104" t="n"/>
      <c r="M1189" s="104" t="n"/>
      <c r="N1189" s="104" t="n"/>
      <c r="O1189" s="104" t="n"/>
      <c r="P1189" s="104" t="n"/>
      <c r="Q1189" s="104" t="n"/>
      <c r="R1189" s="104" t="n"/>
      <c r="S1189" s="110" t="n"/>
      <c r="T1189" s="110" t="n"/>
      <c r="U1189" s="104" t="n"/>
    </row>
    <row r="1190">
      <c r="A1190" s="104" t="inlineStr">
        <is>
          <t>GUIDE001189</t>
        </is>
      </c>
      <c r="B1190" s="101" t="inlineStr">
        <is>
          <t>DEV000045</t>
        </is>
      </c>
      <c r="C1190" s="103" t="inlineStr">
        <is>
          <t>APL</t>
        </is>
      </c>
      <c r="D1190" s="103" t="inlineStr">
        <is>
          <t>PHN</t>
        </is>
      </c>
      <c r="E1190" s="60" t="inlineStr">
        <is>
          <t>iPhone 16 Pro</t>
        </is>
      </c>
      <c r="F1190" s="104" t="inlineStr">
        <is>
          <t>SVC000026</t>
        </is>
      </c>
      <c r="G1190" s="104" t="inlineStr">
        <is>
          <t>Housing Replacement</t>
        </is>
      </c>
      <c r="H1190" s="104" t="inlineStr">
        <is>
          <t>Housing</t>
        </is>
      </c>
      <c r="I1190" s="104" t="n"/>
      <c r="J1190" s="104" t="n"/>
      <c r="K1190" s="104" t="n"/>
      <c r="L1190" s="104" t="n"/>
      <c r="M1190" s="104" t="n"/>
      <c r="N1190" s="104" t="n"/>
      <c r="O1190" s="104" t="n"/>
      <c r="P1190" s="104" t="n"/>
      <c r="Q1190" s="104" t="n"/>
      <c r="R1190" s="104" t="n"/>
      <c r="S1190" s="110" t="n"/>
      <c r="T1190" s="110" t="n"/>
      <c r="U1190" s="104" t="n"/>
    </row>
    <row r="1191">
      <c r="A1191" s="104" t="inlineStr">
        <is>
          <t>GUIDE001190</t>
        </is>
      </c>
      <c r="B1191" s="101" t="inlineStr">
        <is>
          <t>DEV000046</t>
        </is>
      </c>
      <c r="C1191" s="103" t="inlineStr">
        <is>
          <t>APL</t>
        </is>
      </c>
      <c r="D1191" s="103" t="inlineStr">
        <is>
          <t>PHN</t>
        </is>
      </c>
      <c r="E1191" s="60" t="inlineStr">
        <is>
          <t>iPhone 16 Pro Max</t>
        </is>
      </c>
      <c r="F1191" s="104" t="inlineStr">
        <is>
          <t>SVC000026</t>
        </is>
      </c>
      <c r="G1191" s="104" t="inlineStr">
        <is>
          <t>Housing Replacement</t>
        </is>
      </c>
      <c r="H1191" s="104" t="inlineStr">
        <is>
          <t>Housing</t>
        </is>
      </c>
      <c r="I1191" s="104" t="n"/>
      <c r="J1191" s="104" t="n"/>
      <c r="K1191" s="104" t="n"/>
      <c r="L1191" s="104" t="n"/>
      <c r="M1191" s="104" t="n"/>
      <c r="N1191" s="104" t="n"/>
      <c r="O1191" s="104" t="n"/>
      <c r="P1191" s="104" t="n"/>
      <c r="Q1191" s="104" t="n"/>
      <c r="R1191" s="104" t="n"/>
      <c r="S1191" s="110" t="n"/>
      <c r="T1191" s="110" t="n"/>
      <c r="U1191" s="104" t="n"/>
    </row>
    <row r="1192">
      <c r="A1192" s="104" t="inlineStr">
        <is>
          <t>GUIDE001191</t>
        </is>
      </c>
      <c r="B1192" s="101" t="inlineStr">
        <is>
          <t>DEV000047</t>
        </is>
      </c>
      <c r="C1192" s="103" t="inlineStr">
        <is>
          <t>APL</t>
        </is>
      </c>
      <c r="D1192" s="103" t="inlineStr">
        <is>
          <t>PHN</t>
        </is>
      </c>
      <c r="E1192" s="60" t="inlineStr">
        <is>
          <t>iPhone 16e</t>
        </is>
      </c>
      <c r="F1192" s="104" t="inlineStr">
        <is>
          <t>SVC000026</t>
        </is>
      </c>
      <c r="G1192" s="104" t="inlineStr">
        <is>
          <t>Housing Replacement</t>
        </is>
      </c>
      <c r="H1192" s="104" t="inlineStr">
        <is>
          <t>Housing</t>
        </is>
      </c>
      <c r="I1192" s="104" t="n"/>
      <c r="J1192" s="104" t="n"/>
      <c r="K1192" s="104" t="n"/>
      <c r="L1192" s="104" t="n"/>
      <c r="M1192" s="104" t="n"/>
      <c r="N1192" s="104" t="n"/>
      <c r="O1192" s="104" t="n"/>
      <c r="P1192" s="104" t="n"/>
      <c r="Q1192" s="104" t="n"/>
      <c r="R1192" s="104" t="n"/>
      <c r="S1192" s="110" t="n"/>
      <c r="T1192" s="110" t="n"/>
      <c r="U1192" s="104" t="n"/>
    </row>
    <row r="1193">
      <c r="A1193" s="104" t="inlineStr">
        <is>
          <t>GUIDE001192</t>
        </is>
      </c>
      <c r="B1193" s="101" t="inlineStr">
        <is>
          <t>DEV000048</t>
        </is>
      </c>
      <c r="C1193" s="103" t="inlineStr">
        <is>
          <t>APL</t>
        </is>
      </c>
      <c r="D1193" s="103" t="inlineStr">
        <is>
          <t>PHN</t>
        </is>
      </c>
      <c r="E1193" s="60" t="inlineStr">
        <is>
          <t>iPhone 17</t>
        </is>
      </c>
      <c r="F1193" s="104" t="inlineStr">
        <is>
          <t>SVC000026</t>
        </is>
      </c>
      <c r="G1193" s="104" t="inlineStr">
        <is>
          <t>Housing Replacement</t>
        </is>
      </c>
      <c r="H1193" s="104" t="inlineStr">
        <is>
          <t>Housing</t>
        </is>
      </c>
      <c r="I1193" s="104" t="n"/>
      <c r="J1193" s="104" t="n"/>
      <c r="K1193" s="104" t="n"/>
      <c r="L1193" s="104" t="n"/>
      <c r="M1193" s="104" t="n"/>
      <c r="N1193" s="104" t="n"/>
      <c r="O1193" s="104" t="n"/>
      <c r="P1193" s="104" t="n"/>
      <c r="Q1193" s="104" t="n"/>
      <c r="R1193" s="104" t="n"/>
      <c r="S1193" s="110" t="n"/>
      <c r="T1193" s="110" t="n"/>
      <c r="U1193" s="104" t="n"/>
    </row>
    <row r="1194">
      <c r="A1194" s="104" t="inlineStr">
        <is>
          <t>GUIDE001193</t>
        </is>
      </c>
      <c r="B1194" s="101" t="inlineStr">
        <is>
          <t>DEV000049</t>
        </is>
      </c>
      <c r="C1194" s="103" t="inlineStr">
        <is>
          <t>APL</t>
        </is>
      </c>
      <c r="D1194" s="103" t="inlineStr">
        <is>
          <t>PHN</t>
        </is>
      </c>
      <c r="E1194" s="60" t="inlineStr">
        <is>
          <t>iPhone 17 Pro</t>
        </is>
      </c>
      <c r="F1194" s="104" t="inlineStr">
        <is>
          <t>SVC000026</t>
        </is>
      </c>
      <c r="G1194" s="104" t="inlineStr">
        <is>
          <t>Housing Replacement</t>
        </is>
      </c>
      <c r="H1194" s="104" t="inlineStr">
        <is>
          <t>Housing</t>
        </is>
      </c>
      <c r="I1194" s="104" t="n"/>
      <c r="J1194" s="104" t="n"/>
      <c r="K1194" s="104" t="n"/>
      <c r="L1194" s="104" t="n"/>
      <c r="M1194" s="104" t="n"/>
      <c r="N1194" s="104" t="n"/>
      <c r="O1194" s="104" t="n"/>
      <c r="P1194" s="104" t="n"/>
      <c r="Q1194" s="104" t="n"/>
      <c r="R1194" s="104" t="n"/>
      <c r="S1194" s="110" t="n"/>
      <c r="T1194" s="110" t="n"/>
      <c r="U1194" s="104" t="n"/>
    </row>
    <row r="1195">
      <c r="A1195" s="105" t="inlineStr">
        <is>
          <t>GUIDE001194</t>
        </is>
      </c>
      <c r="B1195" s="101" t="inlineStr">
        <is>
          <t>DEV000050</t>
        </is>
      </c>
      <c r="C1195" s="103" t="inlineStr">
        <is>
          <t>APL</t>
        </is>
      </c>
      <c r="D1195" s="103" t="inlineStr">
        <is>
          <t>PHN</t>
        </is>
      </c>
      <c r="E1195" s="60" t="inlineStr">
        <is>
          <t>iPhone 17 Pro Max</t>
        </is>
      </c>
      <c r="F1195" s="104" t="inlineStr">
        <is>
          <t>SVC000026</t>
        </is>
      </c>
      <c r="G1195" s="104" t="inlineStr">
        <is>
          <t>Housing Replacement</t>
        </is>
      </c>
      <c r="H1195" s="104" t="inlineStr">
        <is>
          <t>Housing</t>
        </is>
      </c>
      <c r="I1195" s="104" t="n"/>
      <c r="J1195" s="104" t="n"/>
      <c r="K1195" s="104" t="n"/>
      <c r="L1195" s="104" t="n"/>
      <c r="M1195" s="104" t="n"/>
      <c r="N1195" s="104" t="n"/>
      <c r="O1195" s="104" t="n"/>
      <c r="P1195" s="104" t="n"/>
      <c r="Q1195" s="104" t="n"/>
      <c r="R1195" s="104" t="n"/>
      <c r="S1195" s="110" t="n"/>
      <c r="T1195" s="110" t="n"/>
      <c r="U1195" s="104" t="n"/>
    </row>
    <row r="1196">
      <c r="A1196" s="104" t="inlineStr">
        <is>
          <t>GUIDE001195</t>
        </is>
      </c>
      <c r="B1196" s="101" t="inlineStr">
        <is>
          <t>DEV000051</t>
        </is>
      </c>
      <c r="C1196" s="103" t="inlineStr">
        <is>
          <t>APL</t>
        </is>
      </c>
      <c r="D1196" s="103" t="inlineStr">
        <is>
          <t>PHN</t>
        </is>
      </c>
      <c r="E1196" s="60" t="inlineStr">
        <is>
          <t>iPhone Air</t>
        </is>
      </c>
      <c r="F1196" s="104" t="inlineStr">
        <is>
          <t>SVC000026</t>
        </is>
      </c>
      <c r="G1196" s="104" t="inlineStr">
        <is>
          <t>Housing Replacement</t>
        </is>
      </c>
      <c r="H1196" s="104" t="inlineStr">
        <is>
          <t>Housing</t>
        </is>
      </c>
      <c r="I1196" s="104" t="n"/>
      <c r="J1196" s="104" t="n"/>
      <c r="K1196" s="104" t="n"/>
      <c r="L1196" s="104" t="n"/>
      <c r="M1196" s="104" t="n"/>
      <c r="N1196" s="104" t="n"/>
      <c r="O1196" s="104" t="n"/>
      <c r="P1196" s="104" t="n"/>
      <c r="Q1196" s="104" t="n"/>
      <c r="R1196" s="104" t="n"/>
      <c r="S1196" s="110" t="n"/>
      <c r="T1196" s="110" t="n"/>
      <c r="U1196" s="104" t="n"/>
    </row>
    <row r="1197">
      <c r="A1197" s="104" t="inlineStr">
        <is>
          <t>GUIDE001196</t>
        </is>
      </c>
      <c r="B1197" s="101" t="inlineStr">
        <is>
          <t>DEV000052</t>
        </is>
      </c>
      <c r="C1197" s="103" t="inlineStr">
        <is>
          <t>APL</t>
        </is>
      </c>
      <c r="D1197" s="103" t="inlineStr">
        <is>
          <t>PHN</t>
        </is>
      </c>
      <c r="E1197" s="60" t="inlineStr">
        <is>
          <t>iPhone 17e</t>
        </is>
      </c>
      <c r="F1197" s="104" t="inlineStr">
        <is>
          <t>SVC000026</t>
        </is>
      </c>
      <c r="G1197" s="104" t="inlineStr">
        <is>
          <t>Housing Replacement</t>
        </is>
      </c>
      <c r="H1197" s="104" t="inlineStr">
        <is>
          <t>Housing</t>
        </is>
      </c>
      <c r="I1197" s="104" t="n"/>
      <c r="J1197" s="104" t="n"/>
      <c r="K1197" s="104" t="n"/>
      <c r="L1197" s="104" t="n"/>
      <c r="M1197" s="104" t="n"/>
      <c r="N1197" s="104" t="n"/>
      <c r="O1197" s="104" t="n"/>
      <c r="P1197" s="104" t="n"/>
      <c r="Q1197" s="104" t="n"/>
      <c r="R1197" s="104" t="n"/>
      <c r="S1197" s="110" t="n"/>
      <c r="T1197" s="110" t="n"/>
      <c r="U1197" s="104" t="n"/>
    </row>
    <row r="1198">
      <c r="A1198" s="104" t="inlineStr">
        <is>
          <t>GUIDE001197</t>
        </is>
      </c>
      <c r="B1198" s="101" t="inlineStr">
        <is>
          <t>DEV000001</t>
        </is>
      </c>
      <c r="C1198" s="103" t="inlineStr">
        <is>
          <t>APL</t>
        </is>
      </c>
      <c r="D1198" s="103" t="inlineStr">
        <is>
          <t>PHN</t>
        </is>
      </c>
      <c r="E1198" s="60" t="inlineStr">
        <is>
          <t>iPhone (2G)</t>
        </is>
      </c>
      <c r="F1198" s="104" t="inlineStr">
        <is>
          <t>SVC000027</t>
        </is>
      </c>
      <c r="G1198" s="104" t="inlineStr">
        <is>
          <t>Rear Housing Repair</t>
        </is>
      </c>
      <c r="H1198" s="104" t="inlineStr">
        <is>
          <t>Housing</t>
        </is>
      </c>
      <c r="I1198" s="104" t="n"/>
      <c r="J1198" s="104" t="n"/>
      <c r="K1198" s="104" t="n"/>
      <c r="L1198" s="104" t="n"/>
      <c r="M1198" s="104" t="n"/>
      <c r="N1198" s="104" t="n"/>
      <c r="O1198" s="104" t="n"/>
      <c r="P1198" s="104" t="n"/>
      <c r="Q1198" s="104" t="n"/>
      <c r="R1198" s="104" t="n"/>
      <c r="S1198" s="110" t="n"/>
      <c r="T1198" s="110" t="n"/>
      <c r="U1198" s="104" t="n"/>
    </row>
    <row r="1199">
      <c r="A1199" s="104" t="inlineStr">
        <is>
          <t>GUIDE001198</t>
        </is>
      </c>
      <c r="B1199" s="101" t="inlineStr">
        <is>
          <t>DEV000002</t>
        </is>
      </c>
      <c r="C1199" s="103" t="inlineStr">
        <is>
          <t>APL</t>
        </is>
      </c>
      <c r="D1199" s="103" t="inlineStr">
        <is>
          <t>PHN</t>
        </is>
      </c>
      <c r="E1199" s="60" t="inlineStr">
        <is>
          <t>iPhone 3G</t>
        </is>
      </c>
      <c r="F1199" s="104" t="inlineStr">
        <is>
          <t>SVC000027</t>
        </is>
      </c>
      <c r="G1199" s="104" t="inlineStr">
        <is>
          <t>Rear Housing Repair</t>
        </is>
      </c>
      <c r="H1199" s="104" t="inlineStr">
        <is>
          <t>Housing</t>
        </is>
      </c>
      <c r="I1199" s="104" t="n"/>
      <c r="J1199" s="104" t="n"/>
      <c r="K1199" s="104" t="n"/>
      <c r="L1199" s="104" t="n"/>
      <c r="M1199" s="104" t="n"/>
      <c r="N1199" s="104" t="n"/>
      <c r="O1199" s="104" t="n"/>
      <c r="P1199" s="104" t="n"/>
      <c r="Q1199" s="104" t="n"/>
      <c r="R1199" s="104" t="n"/>
      <c r="S1199" s="110" t="n"/>
      <c r="T1199" s="110" t="n"/>
      <c r="U1199" s="104" t="n"/>
    </row>
    <row r="1200">
      <c r="A1200" s="104" t="inlineStr">
        <is>
          <t>GUIDE001199</t>
        </is>
      </c>
      <c r="B1200" s="101" t="inlineStr">
        <is>
          <t>DEV000003</t>
        </is>
      </c>
      <c r="C1200" s="103" t="inlineStr">
        <is>
          <t>APL</t>
        </is>
      </c>
      <c r="D1200" s="103" t="inlineStr">
        <is>
          <t>PHN</t>
        </is>
      </c>
      <c r="E1200" s="60" t="inlineStr">
        <is>
          <t>iPhone 3GS</t>
        </is>
      </c>
      <c r="F1200" s="104" t="inlineStr">
        <is>
          <t>SVC000027</t>
        </is>
      </c>
      <c r="G1200" s="104" t="inlineStr">
        <is>
          <t>Rear Housing Repair</t>
        </is>
      </c>
      <c r="H1200" s="104" t="inlineStr">
        <is>
          <t>Housing</t>
        </is>
      </c>
      <c r="I1200" s="104" t="n"/>
      <c r="J1200" s="104" t="n"/>
      <c r="K1200" s="104" t="n"/>
      <c r="L1200" s="104" t="n"/>
      <c r="M1200" s="104" t="n"/>
      <c r="N1200" s="104" t="n"/>
      <c r="O1200" s="104" t="n"/>
      <c r="P1200" s="104" t="n"/>
      <c r="Q1200" s="104" t="n"/>
      <c r="R1200" s="104" t="n"/>
      <c r="S1200" s="110" t="n"/>
      <c r="T1200" s="110" t="n"/>
      <c r="U1200" s="104" t="n"/>
    </row>
    <row r="1201">
      <c r="A1201" s="105" t="inlineStr">
        <is>
          <t>GUIDE001200</t>
        </is>
      </c>
      <c r="B1201" s="101" t="inlineStr">
        <is>
          <t>DEV000004</t>
        </is>
      </c>
      <c r="C1201" s="103" t="inlineStr">
        <is>
          <t>APL</t>
        </is>
      </c>
      <c r="D1201" s="103" t="inlineStr">
        <is>
          <t>PHN</t>
        </is>
      </c>
      <c r="E1201" s="60" t="inlineStr">
        <is>
          <t>iPhone 4</t>
        </is>
      </c>
      <c r="F1201" s="104" t="inlineStr">
        <is>
          <t>SVC000027</t>
        </is>
      </c>
      <c r="G1201" s="104" t="inlineStr">
        <is>
          <t>Rear Housing Repair</t>
        </is>
      </c>
      <c r="H1201" s="104" t="inlineStr">
        <is>
          <t>Housing</t>
        </is>
      </c>
      <c r="I1201" s="104" t="n"/>
      <c r="J1201" s="104" t="n"/>
      <c r="K1201" s="104" t="n"/>
      <c r="L1201" s="104" t="n"/>
      <c r="M1201" s="104" t="n"/>
      <c r="N1201" s="104" t="n"/>
      <c r="O1201" s="104" t="n"/>
      <c r="P1201" s="104" t="n"/>
      <c r="Q1201" s="104" t="n"/>
      <c r="R1201" s="104" t="n"/>
      <c r="S1201" s="110" t="n"/>
      <c r="T1201" s="110" t="n"/>
      <c r="U1201" s="104" t="n"/>
    </row>
    <row r="1202">
      <c r="A1202" s="104" t="inlineStr">
        <is>
          <t>GUIDE001201</t>
        </is>
      </c>
      <c r="B1202" s="101" t="inlineStr">
        <is>
          <t>DEV000005</t>
        </is>
      </c>
      <c r="C1202" s="103" t="inlineStr">
        <is>
          <t>APL</t>
        </is>
      </c>
      <c r="D1202" s="103" t="inlineStr">
        <is>
          <t>PHN</t>
        </is>
      </c>
      <c r="E1202" s="60" t="inlineStr">
        <is>
          <t>iPhone 4s</t>
        </is>
      </c>
      <c r="F1202" s="104" t="inlineStr">
        <is>
          <t>SVC000027</t>
        </is>
      </c>
      <c r="G1202" s="104" t="inlineStr">
        <is>
          <t>Rear Housing Repair</t>
        </is>
      </c>
      <c r="H1202" s="104" t="inlineStr">
        <is>
          <t>Housing</t>
        </is>
      </c>
      <c r="I1202" s="104" t="n"/>
      <c r="J1202" s="104" t="n"/>
      <c r="K1202" s="104" t="n"/>
      <c r="L1202" s="104" t="n"/>
      <c r="M1202" s="104" t="n"/>
      <c r="N1202" s="104" t="n"/>
      <c r="O1202" s="104" t="n"/>
      <c r="P1202" s="104" t="n"/>
      <c r="Q1202" s="104" t="n"/>
      <c r="R1202" s="104" t="n"/>
      <c r="S1202" s="110" t="n"/>
      <c r="T1202" s="110" t="n"/>
      <c r="U1202" s="104" t="n"/>
    </row>
    <row r="1203">
      <c r="A1203" s="104" t="inlineStr">
        <is>
          <t>GUIDE001202</t>
        </is>
      </c>
      <c r="B1203" s="101" t="inlineStr">
        <is>
          <t>DEV000006</t>
        </is>
      </c>
      <c r="C1203" s="103" t="inlineStr">
        <is>
          <t>APL</t>
        </is>
      </c>
      <c r="D1203" s="103" t="inlineStr">
        <is>
          <t>PHN</t>
        </is>
      </c>
      <c r="E1203" s="60" t="inlineStr">
        <is>
          <t>iPhone 5</t>
        </is>
      </c>
      <c r="F1203" s="104" t="inlineStr">
        <is>
          <t>SVC000027</t>
        </is>
      </c>
      <c r="G1203" s="104" t="inlineStr">
        <is>
          <t>Rear Housing Repair</t>
        </is>
      </c>
      <c r="H1203" s="104" t="inlineStr">
        <is>
          <t>Housing</t>
        </is>
      </c>
      <c r="I1203" s="104" t="n"/>
      <c r="J1203" s="104" t="n"/>
      <c r="K1203" s="104" t="n"/>
      <c r="L1203" s="104" t="n"/>
      <c r="M1203" s="104" t="n"/>
      <c r="N1203" s="104" t="n"/>
      <c r="O1203" s="104" t="n"/>
      <c r="P1203" s="104" t="n"/>
      <c r="Q1203" s="104" t="n"/>
      <c r="R1203" s="104" t="n"/>
      <c r="S1203" s="110" t="n"/>
      <c r="T1203" s="110" t="n"/>
      <c r="U1203" s="104" t="n"/>
    </row>
    <row r="1204">
      <c r="A1204" s="104" t="inlineStr">
        <is>
          <t>GUIDE001203</t>
        </is>
      </c>
      <c r="B1204" s="101" t="inlineStr">
        <is>
          <t>DEV000007</t>
        </is>
      </c>
      <c r="C1204" s="103" t="inlineStr">
        <is>
          <t>APL</t>
        </is>
      </c>
      <c r="D1204" s="103" t="inlineStr">
        <is>
          <t>PHN</t>
        </is>
      </c>
      <c r="E1204" s="60" t="inlineStr">
        <is>
          <t>iPhone 5c</t>
        </is>
      </c>
      <c r="F1204" s="104" t="inlineStr">
        <is>
          <t>SVC000027</t>
        </is>
      </c>
      <c r="G1204" s="104" t="inlineStr">
        <is>
          <t>Rear Housing Repair</t>
        </is>
      </c>
      <c r="H1204" s="104" t="inlineStr">
        <is>
          <t>Housing</t>
        </is>
      </c>
      <c r="I1204" s="104" t="n"/>
      <c r="J1204" s="104" t="n"/>
      <c r="K1204" s="104" t="n"/>
      <c r="L1204" s="104" t="n"/>
      <c r="M1204" s="104" t="n"/>
      <c r="N1204" s="104" t="n"/>
      <c r="O1204" s="104" t="n"/>
      <c r="P1204" s="104" t="n"/>
      <c r="Q1204" s="104" t="n"/>
      <c r="R1204" s="104" t="n"/>
      <c r="S1204" s="110" t="n"/>
      <c r="T1204" s="110" t="n"/>
      <c r="U1204" s="104" t="n"/>
    </row>
    <row r="1205">
      <c r="A1205" s="104" t="inlineStr">
        <is>
          <t>GUIDE001204</t>
        </is>
      </c>
      <c r="B1205" s="101" t="inlineStr">
        <is>
          <t>DEV000008</t>
        </is>
      </c>
      <c r="C1205" s="103" t="inlineStr">
        <is>
          <t>APL</t>
        </is>
      </c>
      <c r="D1205" s="103" t="inlineStr">
        <is>
          <t>PHN</t>
        </is>
      </c>
      <c r="E1205" s="60" t="inlineStr">
        <is>
          <t>iPhone 5s</t>
        </is>
      </c>
      <c r="F1205" s="104" t="inlineStr">
        <is>
          <t>SVC000027</t>
        </is>
      </c>
      <c r="G1205" s="104" t="inlineStr">
        <is>
          <t>Rear Housing Repair</t>
        </is>
      </c>
      <c r="H1205" s="104" t="inlineStr">
        <is>
          <t>Housing</t>
        </is>
      </c>
      <c r="I1205" s="104" t="n"/>
      <c r="J1205" s="104" t="n"/>
      <c r="K1205" s="104" t="n"/>
      <c r="L1205" s="104" t="n"/>
      <c r="M1205" s="104" t="n"/>
      <c r="N1205" s="104" t="n"/>
      <c r="O1205" s="104" t="n"/>
      <c r="P1205" s="104" t="n"/>
      <c r="Q1205" s="104" t="n"/>
      <c r="R1205" s="104" t="n"/>
      <c r="S1205" s="110" t="n"/>
      <c r="T1205" s="110" t="n"/>
      <c r="U1205" s="104" t="n"/>
    </row>
    <row r="1206">
      <c r="A1206" s="104" t="inlineStr">
        <is>
          <t>GUIDE001205</t>
        </is>
      </c>
      <c r="B1206" s="101" t="inlineStr">
        <is>
          <t>DEV000009</t>
        </is>
      </c>
      <c r="C1206" s="103" t="inlineStr">
        <is>
          <t>APL</t>
        </is>
      </c>
      <c r="D1206" s="103" t="inlineStr">
        <is>
          <t>PHN</t>
        </is>
      </c>
      <c r="E1206" s="60" t="inlineStr">
        <is>
          <t>iPhone 6</t>
        </is>
      </c>
      <c r="F1206" s="104" t="inlineStr">
        <is>
          <t>SVC000027</t>
        </is>
      </c>
      <c r="G1206" s="104" t="inlineStr">
        <is>
          <t>Rear Housing Repair</t>
        </is>
      </c>
      <c r="H1206" s="104" t="inlineStr">
        <is>
          <t>Housing</t>
        </is>
      </c>
      <c r="I1206" s="104" t="n"/>
      <c r="J1206" s="104" t="n"/>
      <c r="K1206" s="104" t="n"/>
      <c r="L1206" s="104" t="n"/>
      <c r="M1206" s="104" t="n"/>
      <c r="N1206" s="104" t="n"/>
      <c r="O1206" s="104" t="n"/>
      <c r="P1206" s="104" t="n"/>
      <c r="Q1206" s="104" t="n"/>
      <c r="R1206" s="104" t="n"/>
      <c r="S1206" s="110" t="n"/>
      <c r="T1206" s="110" t="n"/>
      <c r="U1206" s="104" t="n"/>
    </row>
    <row r="1207">
      <c r="A1207" s="105" t="inlineStr">
        <is>
          <t>GUIDE001206</t>
        </is>
      </c>
      <c r="B1207" s="101" t="inlineStr">
        <is>
          <t>DEV000010</t>
        </is>
      </c>
      <c r="C1207" s="103" t="inlineStr">
        <is>
          <t>APL</t>
        </is>
      </c>
      <c r="D1207" s="103" t="inlineStr">
        <is>
          <t>PHN</t>
        </is>
      </c>
      <c r="E1207" s="60" t="inlineStr">
        <is>
          <t>iPhone 6 Plus</t>
        </is>
      </c>
      <c r="F1207" s="104" t="inlineStr">
        <is>
          <t>SVC000027</t>
        </is>
      </c>
      <c r="G1207" s="104" t="inlineStr">
        <is>
          <t>Rear Housing Repair</t>
        </is>
      </c>
      <c r="H1207" s="104" t="inlineStr">
        <is>
          <t>Housing</t>
        </is>
      </c>
      <c r="I1207" s="104" t="n"/>
      <c r="J1207" s="104" t="n"/>
      <c r="K1207" s="104" t="n"/>
      <c r="L1207" s="104" t="n"/>
      <c r="M1207" s="104" t="n"/>
      <c r="N1207" s="104" t="n"/>
      <c r="O1207" s="104" t="n"/>
      <c r="P1207" s="104" t="n"/>
      <c r="Q1207" s="104" t="n"/>
      <c r="R1207" s="104" t="n"/>
      <c r="S1207" s="110" t="n"/>
      <c r="T1207" s="110" t="n"/>
      <c r="U1207" s="104" t="n"/>
    </row>
    <row r="1208">
      <c r="A1208" s="104" t="inlineStr">
        <is>
          <t>GUIDE001207</t>
        </is>
      </c>
      <c r="B1208" s="101" t="inlineStr">
        <is>
          <t>DEV000011</t>
        </is>
      </c>
      <c r="C1208" s="103" t="inlineStr">
        <is>
          <t>APL</t>
        </is>
      </c>
      <c r="D1208" s="103" t="inlineStr">
        <is>
          <t>PHN</t>
        </is>
      </c>
      <c r="E1208" s="60" t="inlineStr">
        <is>
          <t>iPhone 6s</t>
        </is>
      </c>
      <c r="F1208" s="104" t="inlineStr">
        <is>
          <t>SVC000027</t>
        </is>
      </c>
      <c r="G1208" s="104" t="inlineStr">
        <is>
          <t>Rear Housing Repair</t>
        </is>
      </c>
      <c r="H1208" s="104" t="inlineStr">
        <is>
          <t>Housing</t>
        </is>
      </c>
      <c r="I1208" s="104" t="n"/>
      <c r="J1208" s="104" t="n"/>
      <c r="K1208" s="104" t="n"/>
      <c r="L1208" s="104" t="n"/>
      <c r="M1208" s="104" t="n"/>
      <c r="N1208" s="104" t="n"/>
      <c r="O1208" s="104" t="n"/>
      <c r="P1208" s="104" t="n"/>
      <c r="Q1208" s="104" t="n"/>
      <c r="R1208" s="104" t="n"/>
      <c r="S1208" s="110" t="n"/>
      <c r="T1208" s="110" t="n"/>
      <c r="U1208" s="104" t="n"/>
    </row>
    <row r="1209">
      <c r="A1209" s="104" t="inlineStr">
        <is>
          <t>GUIDE001208</t>
        </is>
      </c>
      <c r="B1209" s="101" t="inlineStr">
        <is>
          <t>DEV000012</t>
        </is>
      </c>
      <c r="C1209" s="103" t="inlineStr">
        <is>
          <t>APL</t>
        </is>
      </c>
      <c r="D1209" s="103" t="inlineStr">
        <is>
          <t>PHN</t>
        </is>
      </c>
      <c r="E1209" s="60" t="inlineStr">
        <is>
          <t>iPhone 6s Plus</t>
        </is>
      </c>
      <c r="F1209" s="104" t="inlineStr">
        <is>
          <t>SVC000027</t>
        </is>
      </c>
      <c r="G1209" s="104" t="inlineStr">
        <is>
          <t>Rear Housing Repair</t>
        </is>
      </c>
      <c r="H1209" s="104" t="inlineStr">
        <is>
          <t>Housing</t>
        </is>
      </c>
      <c r="I1209" s="104" t="n"/>
      <c r="J1209" s="104" t="n"/>
      <c r="K1209" s="104" t="n"/>
      <c r="L1209" s="104" t="n"/>
      <c r="M1209" s="104" t="n"/>
      <c r="N1209" s="104" t="n"/>
      <c r="O1209" s="104" t="n"/>
      <c r="P1209" s="104" t="n"/>
      <c r="Q1209" s="104" t="n"/>
      <c r="R1209" s="104" t="n"/>
      <c r="S1209" s="110" t="n"/>
      <c r="T1209" s="110" t="n"/>
      <c r="U1209" s="104" t="n"/>
    </row>
    <row r="1210">
      <c r="A1210" s="104" t="inlineStr">
        <is>
          <t>GUIDE001209</t>
        </is>
      </c>
      <c r="B1210" s="101" t="inlineStr">
        <is>
          <t>DEV000013</t>
        </is>
      </c>
      <c r="C1210" s="103" t="inlineStr">
        <is>
          <t>APL</t>
        </is>
      </c>
      <c r="D1210" s="103" t="inlineStr">
        <is>
          <t>PHN</t>
        </is>
      </c>
      <c r="E1210" s="60" t="inlineStr">
        <is>
          <t>iPhone SE (1st Gen)</t>
        </is>
      </c>
      <c r="F1210" s="104" t="inlineStr">
        <is>
          <t>SVC000027</t>
        </is>
      </c>
      <c r="G1210" s="104" t="inlineStr">
        <is>
          <t>Rear Housing Repair</t>
        </is>
      </c>
      <c r="H1210" s="104" t="inlineStr">
        <is>
          <t>Housing</t>
        </is>
      </c>
      <c r="I1210" s="104" t="n"/>
      <c r="J1210" s="104" t="n"/>
      <c r="K1210" s="104" t="n"/>
      <c r="L1210" s="104" t="n"/>
      <c r="M1210" s="104" t="n"/>
      <c r="N1210" s="104" t="n"/>
      <c r="O1210" s="104" t="n"/>
      <c r="P1210" s="104" t="n"/>
      <c r="Q1210" s="104" t="n"/>
      <c r="R1210" s="104" t="n"/>
      <c r="S1210" s="110" t="n"/>
      <c r="T1210" s="110" t="n"/>
      <c r="U1210" s="104" t="n"/>
    </row>
    <row r="1211">
      <c r="A1211" s="104" t="inlineStr">
        <is>
          <t>GUIDE001210</t>
        </is>
      </c>
      <c r="B1211" s="101" t="inlineStr">
        <is>
          <t>DEV000014</t>
        </is>
      </c>
      <c r="C1211" s="103" t="inlineStr">
        <is>
          <t>APL</t>
        </is>
      </c>
      <c r="D1211" s="103" t="inlineStr">
        <is>
          <t>PHN</t>
        </is>
      </c>
      <c r="E1211" s="60" t="inlineStr">
        <is>
          <t>iPhone 7</t>
        </is>
      </c>
      <c r="F1211" s="104" t="inlineStr">
        <is>
          <t>SVC000027</t>
        </is>
      </c>
      <c r="G1211" s="104" t="inlineStr">
        <is>
          <t>Rear Housing Repair</t>
        </is>
      </c>
      <c r="H1211" s="104" t="inlineStr">
        <is>
          <t>Housing</t>
        </is>
      </c>
      <c r="I1211" s="104" t="n"/>
      <c r="J1211" s="104" t="n"/>
      <c r="K1211" s="104" t="n"/>
      <c r="L1211" s="104" t="n"/>
      <c r="M1211" s="104" t="n"/>
      <c r="N1211" s="104" t="n"/>
      <c r="O1211" s="104" t="n"/>
      <c r="P1211" s="104" t="n"/>
      <c r="Q1211" s="104" t="n"/>
      <c r="R1211" s="104" t="n"/>
      <c r="S1211" s="110" t="n"/>
      <c r="T1211" s="110" t="n"/>
      <c r="U1211" s="104" t="n"/>
    </row>
    <row r="1212">
      <c r="A1212" s="104" t="inlineStr">
        <is>
          <t>GUIDE001211</t>
        </is>
      </c>
      <c r="B1212" s="101" t="inlineStr">
        <is>
          <t>DEV000015</t>
        </is>
      </c>
      <c r="C1212" s="103" t="inlineStr">
        <is>
          <t>APL</t>
        </is>
      </c>
      <c r="D1212" s="103" t="inlineStr">
        <is>
          <t>PHN</t>
        </is>
      </c>
      <c r="E1212" s="60" t="inlineStr">
        <is>
          <t>iPhone 7 Plus</t>
        </is>
      </c>
      <c r="F1212" s="104" t="inlineStr">
        <is>
          <t>SVC000027</t>
        </is>
      </c>
      <c r="G1212" s="104" t="inlineStr">
        <is>
          <t>Rear Housing Repair</t>
        </is>
      </c>
      <c r="H1212" s="104" t="inlineStr">
        <is>
          <t>Housing</t>
        </is>
      </c>
      <c r="I1212" s="104" t="n"/>
      <c r="J1212" s="104" t="n"/>
      <c r="K1212" s="104" t="n"/>
      <c r="L1212" s="104" t="n"/>
      <c r="M1212" s="104" t="n"/>
      <c r="N1212" s="104" t="n"/>
      <c r="O1212" s="104" t="n"/>
      <c r="P1212" s="104" t="n"/>
      <c r="Q1212" s="104" t="n"/>
      <c r="R1212" s="104" t="n"/>
      <c r="S1212" s="110" t="n"/>
      <c r="T1212" s="110" t="n"/>
      <c r="U1212" s="104" t="n"/>
    </row>
    <row r="1213">
      <c r="A1213" s="105" t="inlineStr">
        <is>
          <t>GUIDE001212</t>
        </is>
      </c>
      <c r="B1213" s="101" t="inlineStr">
        <is>
          <t>DEV000016</t>
        </is>
      </c>
      <c r="C1213" s="103" t="inlineStr">
        <is>
          <t>APL</t>
        </is>
      </c>
      <c r="D1213" s="103" t="inlineStr">
        <is>
          <t>PHN</t>
        </is>
      </c>
      <c r="E1213" s="60" t="inlineStr">
        <is>
          <t>iPhone 8</t>
        </is>
      </c>
      <c r="F1213" s="104" t="inlineStr">
        <is>
          <t>SVC000027</t>
        </is>
      </c>
      <c r="G1213" s="104" t="inlineStr">
        <is>
          <t>Rear Housing Repair</t>
        </is>
      </c>
      <c r="H1213" s="104" t="inlineStr">
        <is>
          <t>Housing</t>
        </is>
      </c>
      <c r="I1213" s="104" t="n"/>
      <c r="J1213" s="104" t="n"/>
      <c r="K1213" s="104" t="n"/>
      <c r="L1213" s="104" t="n"/>
      <c r="M1213" s="104" t="n"/>
      <c r="N1213" s="104" t="n"/>
      <c r="O1213" s="104" t="n"/>
      <c r="P1213" s="104" t="n"/>
      <c r="Q1213" s="104" t="n"/>
      <c r="R1213" s="104" t="n"/>
      <c r="S1213" s="110" t="n"/>
      <c r="T1213" s="110" t="n"/>
      <c r="U1213" s="104" t="n"/>
    </row>
    <row r="1214">
      <c r="A1214" s="104" t="inlineStr">
        <is>
          <t>GUIDE001213</t>
        </is>
      </c>
      <c r="B1214" s="101" t="inlineStr">
        <is>
          <t>DEV000017</t>
        </is>
      </c>
      <c r="C1214" s="103" t="inlineStr">
        <is>
          <t>APL</t>
        </is>
      </c>
      <c r="D1214" s="103" t="inlineStr">
        <is>
          <t>PHN</t>
        </is>
      </c>
      <c r="E1214" s="60" t="inlineStr">
        <is>
          <t>iPhone 8 Plus</t>
        </is>
      </c>
      <c r="F1214" s="104" t="inlineStr">
        <is>
          <t>SVC000027</t>
        </is>
      </c>
      <c r="G1214" s="104" t="inlineStr">
        <is>
          <t>Rear Housing Repair</t>
        </is>
      </c>
      <c r="H1214" s="104" t="inlineStr">
        <is>
          <t>Housing</t>
        </is>
      </c>
      <c r="I1214" s="104" t="n"/>
      <c r="J1214" s="104" t="n"/>
      <c r="K1214" s="104" t="n"/>
      <c r="L1214" s="104" t="n"/>
      <c r="M1214" s="104" t="n"/>
      <c r="N1214" s="104" t="n"/>
      <c r="O1214" s="104" t="n"/>
      <c r="P1214" s="104" t="n"/>
      <c r="Q1214" s="104" t="n"/>
      <c r="R1214" s="104" t="n"/>
      <c r="S1214" s="110" t="n"/>
      <c r="T1214" s="110" t="n"/>
      <c r="U1214" s="104" t="n"/>
    </row>
    <row r="1215">
      <c r="A1215" s="104" t="inlineStr">
        <is>
          <t>GUIDE001214</t>
        </is>
      </c>
      <c r="B1215" s="101" t="inlineStr">
        <is>
          <t>DEV000018</t>
        </is>
      </c>
      <c r="C1215" s="103" t="inlineStr">
        <is>
          <t>APL</t>
        </is>
      </c>
      <c r="D1215" s="103" t="inlineStr">
        <is>
          <t>PHN</t>
        </is>
      </c>
      <c r="E1215" s="60" t="inlineStr">
        <is>
          <t>iPhone X</t>
        </is>
      </c>
      <c r="F1215" s="104" t="inlineStr">
        <is>
          <t>SVC000027</t>
        </is>
      </c>
      <c r="G1215" s="104" t="inlineStr">
        <is>
          <t>Rear Housing Repair</t>
        </is>
      </c>
      <c r="H1215" s="104" t="inlineStr">
        <is>
          <t>Housing</t>
        </is>
      </c>
      <c r="I1215" s="104" t="n"/>
      <c r="J1215" s="104" t="n"/>
      <c r="K1215" s="104" t="n"/>
      <c r="L1215" s="104" t="n"/>
      <c r="M1215" s="104" t="n"/>
      <c r="N1215" s="104" t="n"/>
      <c r="O1215" s="104" t="n"/>
      <c r="P1215" s="104" t="n"/>
      <c r="Q1215" s="104" t="n"/>
      <c r="R1215" s="104" t="n"/>
      <c r="S1215" s="110" t="n"/>
      <c r="T1215" s="110" t="n"/>
      <c r="U1215" s="104" t="n"/>
    </row>
    <row r="1216">
      <c r="A1216" s="104" t="inlineStr">
        <is>
          <t>GUIDE001215</t>
        </is>
      </c>
      <c r="B1216" s="101" t="inlineStr">
        <is>
          <t>DEV000019</t>
        </is>
      </c>
      <c r="C1216" s="103" t="inlineStr">
        <is>
          <t>APL</t>
        </is>
      </c>
      <c r="D1216" s="103" t="inlineStr">
        <is>
          <t>PHN</t>
        </is>
      </c>
      <c r="E1216" s="60" t="inlineStr">
        <is>
          <t>iPhone XR</t>
        </is>
      </c>
      <c r="F1216" s="104" t="inlineStr">
        <is>
          <t>SVC000027</t>
        </is>
      </c>
      <c r="G1216" s="104" t="inlineStr">
        <is>
          <t>Rear Housing Repair</t>
        </is>
      </c>
      <c r="H1216" s="104" t="inlineStr">
        <is>
          <t>Housing</t>
        </is>
      </c>
      <c r="I1216" s="104" t="n"/>
      <c r="J1216" s="104" t="n"/>
      <c r="K1216" s="104" t="n"/>
      <c r="L1216" s="104" t="n"/>
      <c r="M1216" s="104" t="n"/>
      <c r="N1216" s="104" t="n"/>
      <c r="O1216" s="104" t="n"/>
      <c r="P1216" s="104" t="n"/>
      <c r="Q1216" s="104" t="n"/>
      <c r="R1216" s="104" t="n"/>
      <c r="S1216" s="110" t="n"/>
      <c r="T1216" s="110" t="n"/>
      <c r="U1216" s="104" t="n"/>
    </row>
    <row r="1217">
      <c r="A1217" s="104" t="inlineStr">
        <is>
          <t>GUIDE001216</t>
        </is>
      </c>
      <c r="B1217" s="101" t="inlineStr">
        <is>
          <t>DEV000020</t>
        </is>
      </c>
      <c r="C1217" s="103" t="inlineStr">
        <is>
          <t>APL</t>
        </is>
      </c>
      <c r="D1217" s="103" t="inlineStr">
        <is>
          <t>PHN</t>
        </is>
      </c>
      <c r="E1217" s="60" t="inlineStr">
        <is>
          <t>iPhone XS</t>
        </is>
      </c>
      <c r="F1217" s="104" t="inlineStr">
        <is>
          <t>SVC000027</t>
        </is>
      </c>
      <c r="G1217" s="104" t="inlineStr">
        <is>
          <t>Rear Housing Repair</t>
        </is>
      </c>
      <c r="H1217" s="104" t="inlineStr">
        <is>
          <t>Housing</t>
        </is>
      </c>
      <c r="I1217" s="104" t="n"/>
      <c r="J1217" s="104" t="n"/>
      <c r="K1217" s="104" t="n"/>
      <c r="L1217" s="104" t="n"/>
      <c r="M1217" s="104" t="n"/>
      <c r="N1217" s="104" t="n"/>
      <c r="O1217" s="104" t="n"/>
      <c r="P1217" s="104" t="n"/>
      <c r="Q1217" s="104" t="n"/>
      <c r="R1217" s="104" t="n"/>
      <c r="S1217" s="110" t="n"/>
      <c r="T1217" s="110" t="n"/>
      <c r="U1217" s="104" t="n"/>
    </row>
    <row r="1218">
      <c r="A1218" s="104" t="inlineStr">
        <is>
          <t>GUIDE001217</t>
        </is>
      </c>
      <c r="B1218" s="101" t="inlineStr">
        <is>
          <t>DEV000021</t>
        </is>
      </c>
      <c r="C1218" s="103" t="inlineStr">
        <is>
          <t>APL</t>
        </is>
      </c>
      <c r="D1218" s="103" t="inlineStr">
        <is>
          <t>PHN</t>
        </is>
      </c>
      <c r="E1218" s="60" t="inlineStr">
        <is>
          <t>iPhone XS Max</t>
        </is>
      </c>
      <c r="F1218" s="104" t="inlineStr">
        <is>
          <t>SVC000027</t>
        </is>
      </c>
      <c r="G1218" s="104" t="inlineStr">
        <is>
          <t>Rear Housing Repair</t>
        </is>
      </c>
      <c r="H1218" s="104" t="inlineStr">
        <is>
          <t>Housing</t>
        </is>
      </c>
      <c r="I1218" s="104" t="n"/>
      <c r="J1218" s="104" t="n"/>
      <c r="K1218" s="104" t="n"/>
      <c r="L1218" s="104" t="n"/>
      <c r="M1218" s="104" t="n"/>
      <c r="N1218" s="104" t="n"/>
      <c r="O1218" s="104" t="n"/>
      <c r="P1218" s="104" t="n"/>
      <c r="Q1218" s="104" t="n"/>
      <c r="R1218" s="104" t="n"/>
      <c r="S1218" s="110" t="n"/>
      <c r="T1218" s="110" t="n"/>
      <c r="U1218" s="104" t="n"/>
    </row>
    <row r="1219">
      <c r="A1219" s="105" t="inlineStr">
        <is>
          <t>GUIDE001218</t>
        </is>
      </c>
      <c r="B1219" s="101" t="inlineStr">
        <is>
          <t>DEV000022</t>
        </is>
      </c>
      <c r="C1219" s="103" t="inlineStr">
        <is>
          <t>APL</t>
        </is>
      </c>
      <c r="D1219" s="103" t="inlineStr">
        <is>
          <t>PHN</t>
        </is>
      </c>
      <c r="E1219" s="60" t="inlineStr">
        <is>
          <t>iPhone 11</t>
        </is>
      </c>
      <c r="F1219" s="104" t="inlineStr">
        <is>
          <t>SVC000027</t>
        </is>
      </c>
      <c r="G1219" s="104" t="inlineStr">
        <is>
          <t>Rear Housing Repair</t>
        </is>
      </c>
      <c r="H1219" s="104" t="inlineStr">
        <is>
          <t>Housing</t>
        </is>
      </c>
      <c r="I1219" s="104" t="n"/>
      <c r="J1219" s="104" t="n"/>
      <c r="K1219" s="104" t="n"/>
      <c r="L1219" s="104" t="n"/>
      <c r="M1219" s="104" t="n"/>
      <c r="N1219" s="104" t="n"/>
      <c r="O1219" s="104" t="n"/>
      <c r="P1219" s="104" t="n"/>
      <c r="Q1219" s="104" t="n"/>
      <c r="R1219" s="104" t="n"/>
      <c r="S1219" s="110" t="n"/>
      <c r="T1219" s="110" t="n"/>
      <c r="U1219" s="104" t="n"/>
    </row>
    <row r="1220">
      <c r="A1220" s="104" t="inlineStr">
        <is>
          <t>GUIDE001219</t>
        </is>
      </c>
      <c r="B1220" s="101" t="inlineStr">
        <is>
          <t>DEV000023</t>
        </is>
      </c>
      <c r="C1220" s="103" t="inlineStr">
        <is>
          <t>APL</t>
        </is>
      </c>
      <c r="D1220" s="103" t="inlineStr">
        <is>
          <t>PHN</t>
        </is>
      </c>
      <c r="E1220" s="60" t="inlineStr">
        <is>
          <t>iPhone 11 Pro</t>
        </is>
      </c>
      <c r="F1220" s="104" t="inlineStr">
        <is>
          <t>SVC000027</t>
        </is>
      </c>
      <c r="G1220" s="104" t="inlineStr">
        <is>
          <t>Rear Housing Repair</t>
        </is>
      </c>
      <c r="H1220" s="104" t="inlineStr">
        <is>
          <t>Housing</t>
        </is>
      </c>
      <c r="I1220" s="104" t="n"/>
      <c r="J1220" s="104" t="n"/>
      <c r="K1220" s="104" t="n"/>
      <c r="L1220" s="104" t="n"/>
      <c r="M1220" s="104" t="n"/>
      <c r="N1220" s="104" t="n"/>
      <c r="O1220" s="104" t="n"/>
      <c r="P1220" s="104" t="n"/>
      <c r="Q1220" s="104" t="n"/>
      <c r="R1220" s="104" t="n"/>
      <c r="S1220" s="110" t="n"/>
      <c r="T1220" s="110" t="n"/>
      <c r="U1220" s="104" t="n"/>
    </row>
    <row r="1221">
      <c r="A1221" s="104" t="inlineStr">
        <is>
          <t>GUIDE001220</t>
        </is>
      </c>
      <c r="B1221" s="101" t="inlineStr">
        <is>
          <t>DEV000024</t>
        </is>
      </c>
      <c r="C1221" s="103" t="inlineStr">
        <is>
          <t>APL</t>
        </is>
      </c>
      <c r="D1221" s="103" t="inlineStr">
        <is>
          <t>PHN</t>
        </is>
      </c>
      <c r="E1221" s="60" t="inlineStr">
        <is>
          <t>iPhone 11 Pro Max</t>
        </is>
      </c>
      <c r="F1221" s="104" t="inlineStr">
        <is>
          <t>SVC000027</t>
        </is>
      </c>
      <c r="G1221" s="104" t="inlineStr">
        <is>
          <t>Rear Housing Repair</t>
        </is>
      </c>
      <c r="H1221" s="104" t="inlineStr">
        <is>
          <t>Housing</t>
        </is>
      </c>
      <c r="I1221" s="104" t="n"/>
      <c r="J1221" s="104" t="n"/>
      <c r="K1221" s="104" t="n"/>
      <c r="L1221" s="104" t="n"/>
      <c r="M1221" s="104" t="n"/>
      <c r="N1221" s="104" t="n"/>
      <c r="O1221" s="104" t="n"/>
      <c r="P1221" s="104" t="n"/>
      <c r="Q1221" s="104" t="n"/>
      <c r="R1221" s="104" t="n"/>
      <c r="S1221" s="110" t="n"/>
      <c r="T1221" s="110" t="n"/>
      <c r="U1221" s="104" t="n"/>
    </row>
    <row r="1222">
      <c r="A1222" s="104" t="inlineStr">
        <is>
          <t>GUIDE001221</t>
        </is>
      </c>
      <c r="B1222" s="101" t="inlineStr">
        <is>
          <t>DEV000025</t>
        </is>
      </c>
      <c r="C1222" s="103" t="inlineStr">
        <is>
          <t>APL</t>
        </is>
      </c>
      <c r="D1222" s="103" t="inlineStr">
        <is>
          <t>PHN</t>
        </is>
      </c>
      <c r="E1222" s="60" t="inlineStr">
        <is>
          <t>iPhone SE (2nd Generation)</t>
        </is>
      </c>
      <c r="F1222" s="104" t="inlineStr">
        <is>
          <t>SVC000027</t>
        </is>
      </c>
      <c r="G1222" s="104" t="inlineStr">
        <is>
          <t>Rear Housing Repair</t>
        </is>
      </c>
      <c r="H1222" s="104" t="inlineStr">
        <is>
          <t>Housing</t>
        </is>
      </c>
      <c r="I1222" s="104" t="n"/>
      <c r="J1222" s="104" t="n"/>
      <c r="K1222" s="104" t="n"/>
      <c r="L1222" s="104" t="n"/>
      <c r="M1222" s="104" t="n"/>
      <c r="N1222" s="104" t="n"/>
      <c r="O1222" s="104" t="n"/>
      <c r="P1222" s="104" t="n"/>
      <c r="Q1222" s="104" t="n"/>
      <c r="R1222" s="104" t="n"/>
      <c r="S1222" s="110" t="n"/>
      <c r="T1222" s="110" t="n"/>
      <c r="U1222" s="104" t="n"/>
    </row>
    <row r="1223">
      <c r="A1223" s="104" t="inlineStr">
        <is>
          <t>GUIDE001222</t>
        </is>
      </c>
      <c r="B1223" s="101" t="inlineStr">
        <is>
          <t>DEV000026</t>
        </is>
      </c>
      <c r="C1223" s="103" t="inlineStr">
        <is>
          <t>APL</t>
        </is>
      </c>
      <c r="D1223" s="103" t="inlineStr">
        <is>
          <t>PHN</t>
        </is>
      </c>
      <c r="E1223" s="60" t="inlineStr">
        <is>
          <t>iPhone 12 mini</t>
        </is>
      </c>
      <c r="F1223" s="104" t="inlineStr">
        <is>
          <t>SVC000027</t>
        </is>
      </c>
      <c r="G1223" s="104" t="inlineStr">
        <is>
          <t>Rear Housing Repair</t>
        </is>
      </c>
      <c r="H1223" s="104" t="inlineStr">
        <is>
          <t>Housing</t>
        </is>
      </c>
      <c r="I1223" s="104" t="n"/>
      <c r="J1223" s="104" t="n"/>
      <c r="K1223" s="104" t="n"/>
      <c r="L1223" s="104" t="n"/>
      <c r="M1223" s="104" t="n"/>
      <c r="N1223" s="104" t="n"/>
      <c r="O1223" s="104" t="n"/>
      <c r="P1223" s="104" t="n"/>
      <c r="Q1223" s="104" t="n"/>
      <c r="R1223" s="104" t="n"/>
      <c r="S1223" s="110" t="n"/>
      <c r="T1223" s="110" t="n"/>
      <c r="U1223" s="104" t="n"/>
    </row>
    <row r="1224">
      <c r="A1224" s="104" t="inlineStr">
        <is>
          <t>GUIDE001223</t>
        </is>
      </c>
      <c r="B1224" s="101" t="inlineStr">
        <is>
          <t>DEV000027</t>
        </is>
      </c>
      <c r="C1224" s="103" t="inlineStr">
        <is>
          <t>APL</t>
        </is>
      </c>
      <c r="D1224" s="103" t="inlineStr">
        <is>
          <t>PHN</t>
        </is>
      </c>
      <c r="E1224" s="60" t="inlineStr">
        <is>
          <t>iPhone 12</t>
        </is>
      </c>
      <c r="F1224" s="104" t="inlineStr">
        <is>
          <t>SVC000027</t>
        </is>
      </c>
      <c r="G1224" s="104" t="inlineStr">
        <is>
          <t>Rear Housing Repair</t>
        </is>
      </c>
      <c r="H1224" s="104" t="inlineStr">
        <is>
          <t>Housing</t>
        </is>
      </c>
      <c r="I1224" s="104" t="n"/>
      <c r="J1224" s="104" t="n"/>
      <c r="K1224" s="104" t="n"/>
      <c r="L1224" s="104" t="n"/>
      <c r="M1224" s="104" t="n"/>
      <c r="N1224" s="104" t="n"/>
      <c r="O1224" s="104" t="n"/>
      <c r="P1224" s="104" t="n"/>
      <c r="Q1224" s="104" t="n"/>
      <c r="R1224" s="104" t="n"/>
      <c r="S1224" s="110" t="n"/>
      <c r="T1224" s="110" t="n"/>
      <c r="U1224" s="104" t="n"/>
    </row>
    <row r="1225">
      <c r="A1225" s="105" t="inlineStr">
        <is>
          <t>GUIDE001224</t>
        </is>
      </c>
      <c r="B1225" s="101" t="inlineStr">
        <is>
          <t>DEV000028</t>
        </is>
      </c>
      <c r="C1225" s="103" t="inlineStr">
        <is>
          <t>APL</t>
        </is>
      </c>
      <c r="D1225" s="103" t="inlineStr">
        <is>
          <t>PHN</t>
        </is>
      </c>
      <c r="E1225" s="60" t="inlineStr">
        <is>
          <t>iPhone 12 Pro</t>
        </is>
      </c>
      <c r="F1225" s="104" t="inlineStr">
        <is>
          <t>SVC000027</t>
        </is>
      </c>
      <c r="G1225" s="104" t="inlineStr">
        <is>
          <t>Rear Housing Repair</t>
        </is>
      </c>
      <c r="H1225" s="104" t="inlineStr">
        <is>
          <t>Housing</t>
        </is>
      </c>
      <c r="I1225" s="104" t="n"/>
      <c r="J1225" s="104" t="n"/>
      <c r="K1225" s="104" t="n"/>
      <c r="L1225" s="104" t="n"/>
      <c r="M1225" s="104" t="n"/>
      <c r="N1225" s="104" t="n"/>
      <c r="O1225" s="104" t="n"/>
      <c r="P1225" s="104" t="n"/>
      <c r="Q1225" s="104" t="n"/>
      <c r="R1225" s="104" t="n"/>
      <c r="S1225" s="110" t="n"/>
      <c r="T1225" s="110" t="n"/>
      <c r="U1225" s="104" t="n"/>
    </row>
    <row r="1226">
      <c r="A1226" s="104" t="inlineStr">
        <is>
          <t>GUIDE001225</t>
        </is>
      </c>
      <c r="B1226" s="101" t="inlineStr">
        <is>
          <t>DEV000029</t>
        </is>
      </c>
      <c r="C1226" s="103" t="inlineStr">
        <is>
          <t>APL</t>
        </is>
      </c>
      <c r="D1226" s="103" t="inlineStr">
        <is>
          <t>PHN</t>
        </is>
      </c>
      <c r="E1226" s="60" t="inlineStr">
        <is>
          <t>iPhone 12 Pro Max</t>
        </is>
      </c>
      <c r="F1226" s="104" t="inlineStr">
        <is>
          <t>SVC000027</t>
        </is>
      </c>
      <c r="G1226" s="104" t="inlineStr">
        <is>
          <t>Rear Housing Repair</t>
        </is>
      </c>
      <c r="H1226" s="104" t="inlineStr">
        <is>
          <t>Housing</t>
        </is>
      </c>
      <c r="I1226" s="104" t="n"/>
      <c r="J1226" s="104" t="n"/>
      <c r="K1226" s="104" t="n"/>
      <c r="L1226" s="104" t="n"/>
      <c r="M1226" s="104" t="n"/>
      <c r="N1226" s="104" t="n"/>
      <c r="O1226" s="104" t="n"/>
      <c r="P1226" s="104" t="n"/>
      <c r="Q1226" s="104" t="n"/>
      <c r="R1226" s="104" t="n"/>
      <c r="S1226" s="110" t="n"/>
      <c r="T1226" s="110" t="n"/>
      <c r="U1226" s="104" t="n"/>
    </row>
    <row r="1227">
      <c r="A1227" s="104" t="inlineStr">
        <is>
          <t>GUIDE001226</t>
        </is>
      </c>
      <c r="B1227" s="101" t="inlineStr">
        <is>
          <t>DEV000030</t>
        </is>
      </c>
      <c r="C1227" s="103" t="inlineStr">
        <is>
          <t>APL</t>
        </is>
      </c>
      <c r="D1227" s="103" t="inlineStr">
        <is>
          <t>PHN</t>
        </is>
      </c>
      <c r="E1227" s="60" t="inlineStr">
        <is>
          <t>iPhone 13 mini</t>
        </is>
      </c>
      <c r="F1227" s="104" t="inlineStr">
        <is>
          <t>SVC000027</t>
        </is>
      </c>
      <c r="G1227" s="104" t="inlineStr">
        <is>
          <t>Rear Housing Repair</t>
        </is>
      </c>
      <c r="H1227" s="104" t="inlineStr">
        <is>
          <t>Housing</t>
        </is>
      </c>
      <c r="I1227" s="104" t="n"/>
      <c r="J1227" s="104" t="n"/>
      <c r="K1227" s="104" t="n"/>
      <c r="L1227" s="104" t="n"/>
      <c r="M1227" s="104" t="n"/>
      <c r="N1227" s="104" t="n"/>
      <c r="O1227" s="104" t="n"/>
      <c r="P1227" s="104" t="n"/>
      <c r="Q1227" s="104" t="n"/>
      <c r="R1227" s="104" t="n"/>
      <c r="S1227" s="110" t="n"/>
      <c r="T1227" s="110" t="n"/>
      <c r="U1227" s="104" t="n"/>
    </row>
    <row r="1228">
      <c r="A1228" s="104" t="inlineStr">
        <is>
          <t>GUIDE001227</t>
        </is>
      </c>
      <c r="B1228" s="101" t="inlineStr">
        <is>
          <t>DEV000031</t>
        </is>
      </c>
      <c r="C1228" s="103" t="inlineStr">
        <is>
          <t>APL</t>
        </is>
      </c>
      <c r="D1228" s="103" t="inlineStr">
        <is>
          <t>PHN</t>
        </is>
      </c>
      <c r="E1228" s="60" t="inlineStr">
        <is>
          <t>iPhone 13</t>
        </is>
      </c>
      <c r="F1228" s="104" t="inlineStr">
        <is>
          <t>SVC000027</t>
        </is>
      </c>
      <c r="G1228" s="104" t="inlineStr">
        <is>
          <t>Rear Housing Repair</t>
        </is>
      </c>
      <c r="H1228" s="104" t="inlineStr">
        <is>
          <t>Housing</t>
        </is>
      </c>
      <c r="I1228" s="104" t="n"/>
      <c r="J1228" s="104" t="n"/>
      <c r="K1228" s="104" t="n"/>
      <c r="L1228" s="104" t="n"/>
      <c r="M1228" s="104" t="n"/>
      <c r="N1228" s="104" t="n"/>
      <c r="O1228" s="104" t="n"/>
      <c r="P1228" s="104" t="n"/>
      <c r="Q1228" s="104" t="n"/>
      <c r="R1228" s="104" t="n"/>
      <c r="S1228" s="110" t="n"/>
      <c r="T1228" s="110" t="n"/>
      <c r="U1228" s="104" t="n"/>
    </row>
    <row r="1229">
      <c r="A1229" s="104" t="inlineStr">
        <is>
          <t>GUIDE001228</t>
        </is>
      </c>
      <c r="B1229" s="101" t="inlineStr">
        <is>
          <t>DEV000032</t>
        </is>
      </c>
      <c r="C1229" s="103" t="inlineStr">
        <is>
          <t>APL</t>
        </is>
      </c>
      <c r="D1229" s="103" t="inlineStr">
        <is>
          <t>PHN</t>
        </is>
      </c>
      <c r="E1229" s="60" t="inlineStr">
        <is>
          <t>iPhone 13 Pro</t>
        </is>
      </c>
      <c r="F1229" s="104" t="inlineStr">
        <is>
          <t>SVC000027</t>
        </is>
      </c>
      <c r="G1229" s="104" t="inlineStr">
        <is>
          <t>Rear Housing Repair</t>
        </is>
      </c>
      <c r="H1229" s="104" t="inlineStr">
        <is>
          <t>Housing</t>
        </is>
      </c>
      <c r="I1229" s="104" t="n"/>
      <c r="J1229" s="104" t="n"/>
      <c r="K1229" s="104" t="n"/>
      <c r="L1229" s="104" t="n"/>
      <c r="M1229" s="104" t="n"/>
      <c r="N1229" s="104" t="n"/>
      <c r="O1229" s="104" t="n"/>
      <c r="P1229" s="104" t="n"/>
      <c r="Q1229" s="104" t="n"/>
      <c r="R1229" s="104" t="n"/>
      <c r="S1229" s="110" t="n"/>
      <c r="T1229" s="110" t="n"/>
      <c r="U1229" s="104" t="n"/>
    </row>
    <row r="1230">
      <c r="A1230" s="104" t="inlineStr">
        <is>
          <t>GUIDE001229</t>
        </is>
      </c>
      <c r="B1230" s="101" t="inlineStr">
        <is>
          <t>DEV000033</t>
        </is>
      </c>
      <c r="C1230" s="103" t="inlineStr">
        <is>
          <t>APL</t>
        </is>
      </c>
      <c r="D1230" s="103" t="inlineStr">
        <is>
          <t>PHN</t>
        </is>
      </c>
      <c r="E1230" s="60" t="inlineStr">
        <is>
          <t>iPhone 13 Pro Max</t>
        </is>
      </c>
      <c r="F1230" s="104" t="inlineStr">
        <is>
          <t>SVC000027</t>
        </is>
      </c>
      <c r="G1230" s="104" t="inlineStr">
        <is>
          <t>Rear Housing Repair</t>
        </is>
      </c>
      <c r="H1230" s="104" t="inlineStr">
        <is>
          <t>Housing</t>
        </is>
      </c>
      <c r="I1230" s="104" t="n"/>
      <c r="J1230" s="104" t="n"/>
      <c r="K1230" s="104" t="n"/>
      <c r="L1230" s="104" t="n"/>
      <c r="M1230" s="104" t="n"/>
      <c r="N1230" s="104" t="n"/>
      <c r="O1230" s="104" t="n"/>
      <c r="P1230" s="104" t="n"/>
      <c r="Q1230" s="104" t="n"/>
      <c r="R1230" s="104" t="n"/>
      <c r="S1230" s="110" t="n"/>
      <c r="T1230" s="110" t="n"/>
      <c r="U1230" s="104" t="n"/>
    </row>
    <row r="1231">
      <c r="A1231" s="105" t="inlineStr">
        <is>
          <t>GUIDE001230</t>
        </is>
      </c>
      <c r="B1231" s="101" t="inlineStr">
        <is>
          <t>DEV000034</t>
        </is>
      </c>
      <c r="C1231" s="103" t="inlineStr">
        <is>
          <t>APL</t>
        </is>
      </c>
      <c r="D1231" s="103" t="inlineStr">
        <is>
          <t>PHN</t>
        </is>
      </c>
      <c r="E1231" s="60" t="inlineStr">
        <is>
          <t>iPhone SE (3rd Generation)</t>
        </is>
      </c>
      <c r="F1231" s="104" t="inlineStr">
        <is>
          <t>SVC000027</t>
        </is>
      </c>
      <c r="G1231" s="104" t="inlineStr">
        <is>
          <t>Rear Housing Repair</t>
        </is>
      </c>
      <c r="H1231" s="104" t="inlineStr">
        <is>
          <t>Housing</t>
        </is>
      </c>
      <c r="I1231" s="104" t="n"/>
      <c r="J1231" s="104" t="n"/>
      <c r="K1231" s="104" t="n"/>
      <c r="L1231" s="104" t="n"/>
      <c r="M1231" s="104" t="n"/>
      <c r="N1231" s="104" t="n"/>
      <c r="O1231" s="104" t="n"/>
      <c r="P1231" s="104" t="n"/>
      <c r="Q1231" s="104" t="n"/>
      <c r="R1231" s="104" t="n"/>
      <c r="S1231" s="110" t="n"/>
      <c r="T1231" s="110" t="n"/>
      <c r="U1231" s="104" t="n"/>
    </row>
    <row r="1232">
      <c r="A1232" s="104" t="inlineStr">
        <is>
          <t>GUIDE001231</t>
        </is>
      </c>
      <c r="B1232" s="101" t="inlineStr">
        <is>
          <t>DEV000035</t>
        </is>
      </c>
      <c r="C1232" s="103" t="inlineStr">
        <is>
          <t>APL</t>
        </is>
      </c>
      <c r="D1232" s="103" t="inlineStr">
        <is>
          <t>PHN</t>
        </is>
      </c>
      <c r="E1232" s="60" t="inlineStr">
        <is>
          <t>iPhone 14</t>
        </is>
      </c>
      <c r="F1232" s="104" t="inlineStr">
        <is>
          <t>SVC000027</t>
        </is>
      </c>
      <c r="G1232" s="104" t="inlineStr">
        <is>
          <t>Rear Housing Repair</t>
        </is>
      </c>
      <c r="H1232" s="104" t="inlineStr">
        <is>
          <t>Housing</t>
        </is>
      </c>
      <c r="I1232" s="104" t="n"/>
      <c r="J1232" s="104" t="n"/>
      <c r="K1232" s="104" t="n"/>
      <c r="L1232" s="104" t="n"/>
      <c r="M1232" s="104" t="n"/>
      <c r="N1232" s="104" t="n"/>
      <c r="O1232" s="104" t="n"/>
      <c r="P1232" s="104" t="n"/>
      <c r="Q1232" s="104" t="n"/>
      <c r="R1232" s="104" t="n"/>
      <c r="S1232" s="110" t="n"/>
      <c r="T1232" s="110" t="n"/>
      <c r="U1232" s="104" t="n"/>
    </row>
    <row r="1233">
      <c r="A1233" s="104" t="inlineStr">
        <is>
          <t>GUIDE001232</t>
        </is>
      </c>
      <c r="B1233" s="101" t="inlineStr">
        <is>
          <t>DEV000036</t>
        </is>
      </c>
      <c r="C1233" s="103" t="inlineStr">
        <is>
          <t>APL</t>
        </is>
      </c>
      <c r="D1233" s="103" t="inlineStr">
        <is>
          <t>PHN</t>
        </is>
      </c>
      <c r="E1233" s="60" t="inlineStr">
        <is>
          <t>iPhone 14 Plus</t>
        </is>
      </c>
      <c r="F1233" s="104" t="inlineStr">
        <is>
          <t>SVC000027</t>
        </is>
      </c>
      <c r="G1233" s="104" t="inlineStr">
        <is>
          <t>Rear Housing Repair</t>
        </is>
      </c>
      <c r="H1233" s="104" t="inlineStr">
        <is>
          <t>Housing</t>
        </is>
      </c>
      <c r="I1233" s="104" t="n"/>
      <c r="J1233" s="104" t="n"/>
      <c r="K1233" s="104" t="n"/>
      <c r="L1233" s="104" t="n"/>
      <c r="M1233" s="104" t="n"/>
      <c r="N1233" s="104" t="n"/>
      <c r="O1233" s="104" t="n"/>
      <c r="P1233" s="104" t="n"/>
      <c r="Q1233" s="104" t="n"/>
      <c r="R1233" s="104" t="n"/>
      <c r="S1233" s="110" t="n"/>
      <c r="T1233" s="110" t="n"/>
      <c r="U1233" s="104" t="n"/>
    </row>
    <row r="1234">
      <c r="A1234" s="104" t="inlineStr">
        <is>
          <t>GUIDE001233</t>
        </is>
      </c>
      <c r="B1234" s="101" t="inlineStr">
        <is>
          <t>DEV000037</t>
        </is>
      </c>
      <c r="C1234" s="103" t="inlineStr">
        <is>
          <t>APL</t>
        </is>
      </c>
      <c r="D1234" s="103" t="inlineStr">
        <is>
          <t>PHN</t>
        </is>
      </c>
      <c r="E1234" s="60" t="inlineStr">
        <is>
          <t>iPhone 14 Pro</t>
        </is>
      </c>
      <c r="F1234" s="104" t="inlineStr">
        <is>
          <t>SVC000027</t>
        </is>
      </c>
      <c r="G1234" s="104" t="inlineStr">
        <is>
          <t>Rear Housing Repair</t>
        </is>
      </c>
      <c r="H1234" s="104" t="inlineStr">
        <is>
          <t>Housing</t>
        </is>
      </c>
      <c r="I1234" s="104" t="n"/>
      <c r="J1234" s="104" t="n"/>
      <c r="K1234" s="104" t="n"/>
      <c r="L1234" s="104" t="n"/>
      <c r="M1234" s="104" t="n"/>
      <c r="N1234" s="104" t="n"/>
      <c r="O1234" s="104" t="n"/>
      <c r="P1234" s="104" t="n"/>
      <c r="Q1234" s="104" t="n"/>
      <c r="R1234" s="104" t="n"/>
      <c r="S1234" s="110" t="n"/>
      <c r="T1234" s="110" t="n"/>
      <c r="U1234" s="104" t="n"/>
    </row>
    <row r="1235">
      <c r="A1235" s="104" t="inlineStr">
        <is>
          <t>GUIDE001234</t>
        </is>
      </c>
      <c r="B1235" s="101" t="inlineStr">
        <is>
          <t>DEV000038</t>
        </is>
      </c>
      <c r="C1235" s="103" t="inlineStr">
        <is>
          <t>APL</t>
        </is>
      </c>
      <c r="D1235" s="103" t="inlineStr">
        <is>
          <t>PHN</t>
        </is>
      </c>
      <c r="E1235" s="60" t="inlineStr">
        <is>
          <t>iPhone 14 Pro Max</t>
        </is>
      </c>
      <c r="F1235" s="104" t="inlineStr">
        <is>
          <t>SVC000027</t>
        </is>
      </c>
      <c r="G1235" s="104" t="inlineStr">
        <is>
          <t>Rear Housing Repair</t>
        </is>
      </c>
      <c r="H1235" s="104" t="inlineStr">
        <is>
          <t>Housing</t>
        </is>
      </c>
      <c r="I1235" s="104" t="n"/>
      <c r="J1235" s="104" t="n"/>
      <c r="K1235" s="104" t="n"/>
      <c r="L1235" s="104" t="n"/>
      <c r="M1235" s="104" t="n"/>
      <c r="N1235" s="104" t="n"/>
      <c r="O1235" s="104" t="n"/>
      <c r="P1235" s="104" t="n"/>
      <c r="Q1235" s="104" t="n"/>
      <c r="R1235" s="104" t="n"/>
      <c r="S1235" s="110" t="n"/>
      <c r="T1235" s="110" t="n"/>
      <c r="U1235" s="104" t="n"/>
    </row>
    <row r="1236">
      <c r="A1236" s="104" t="inlineStr">
        <is>
          <t>GUIDE001235</t>
        </is>
      </c>
      <c r="B1236" s="101" t="inlineStr">
        <is>
          <t>DEV000039</t>
        </is>
      </c>
      <c r="C1236" s="103" t="inlineStr">
        <is>
          <t>APL</t>
        </is>
      </c>
      <c r="D1236" s="103" t="inlineStr">
        <is>
          <t>PHN</t>
        </is>
      </c>
      <c r="E1236" s="60" t="inlineStr">
        <is>
          <t>iPhone 15</t>
        </is>
      </c>
      <c r="F1236" s="104" t="inlineStr">
        <is>
          <t>SVC000027</t>
        </is>
      </c>
      <c r="G1236" s="104" t="inlineStr">
        <is>
          <t>Rear Housing Repair</t>
        </is>
      </c>
      <c r="H1236" s="104" t="inlineStr">
        <is>
          <t>Housing</t>
        </is>
      </c>
      <c r="I1236" s="104" t="n"/>
      <c r="J1236" s="104" t="n"/>
      <c r="K1236" s="104" t="n"/>
      <c r="L1236" s="104" t="n"/>
      <c r="M1236" s="104" t="n"/>
      <c r="N1236" s="104" t="n"/>
      <c r="O1236" s="104" t="n"/>
      <c r="P1236" s="104" t="n"/>
      <c r="Q1236" s="104" t="n"/>
      <c r="R1236" s="104" t="n"/>
      <c r="S1236" s="110" t="n"/>
      <c r="T1236" s="110" t="n"/>
      <c r="U1236" s="104" t="n"/>
    </row>
    <row r="1237">
      <c r="A1237" s="105" t="inlineStr">
        <is>
          <t>GUIDE001236</t>
        </is>
      </c>
      <c r="B1237" s="101" t="inlineStr">
        <is>
          <t>DEV000040</t>
        </is>
      </c>
      <c r="C1237" s="103" t="inlineStr">
        <is>
          <t>APL</t>
        </is>
      </c>
      <c r="D1237" s="103" t="inlineStr">
        <is>
          <t>PHN</t>
        </is>
      </c>
      <c r="E1237" s="60" t="inlineStr">
        <is>
          <t>iPhone 15 Plus</t>
        </is>
      </c>
      <c r="F1237" s="104" t="inlineStr">
        <is>
          <t>SVC000027</t>
        </is>
      </c>
      <c r="G1237" s="104" t="inlineStr">
        <is>
          <t>Rear Housing Repair</t>
        </is>
      </c>
      <c r="H1237" s="104" t="inlineStr">
        <is>
          <t>Housing</t>
        </is>
      </c>
      <c r="I1237" s="104" t="n"/>
      <c r="J1237" s="104" t="n"/>
      <c r="K1237" s="104" t="n"/>
      <c r="L1237" s="104" t="n"/>
      <c r="M1237" s="104" t="n"/>
      <c r="N1237" s="104" t="n"/>
      <c r="O1237" s="104" t="n"/>
      <c r="P1237" s="104" t="n"/>
      <c r="Q1237" s="104" t="n"/>
      <c r="R1237" s="104" t="n"/>
      <c r="S1237" s="110" t="n"/>
      <c r="T1237" s="110" t="n"/>
      <c r="U1237" s="104" t="n"/>
    </row>
    <row r="1238">
      <c r="A1238" s="104" t="inlineStr">
        <is>
          <t>GUIDE001237</t>
        </is>
      </c>
      <c r="B1238" s="101" t="inlineStr">
        <is>
          <t>DEV000041</t>
        </is>
      </c>
      <c r="C1238" s="103" t="inlineStr">
        <is>
          <t>APL</t>
        </is>
      </c>
      <c r="D1238" s="103" t="inlineStr">
        <is>
          <t>PHN</t>
        </is>
      </c>
      <c r="E1238" s="60" t="inlineStr">
        <is>
          <t>iPhone 15 Pro</t>
        </is>
      </c>
      <c r="F1238" s="104" t="inlineStr">
        <is>
          <t>SVC000027</t>
        </is>
      </c>
      <c r="G1238" s="104" t="inlineStr">
        <is>
          <t>Rear Housing Repair</t>
        </is>
      </c>
      <c r="H1238" s="104" t="inlineStr">
        <is>
          <t>Housing</t>
        </is>
      </c>
      <c r="I1238" s="104" t="n"/>
      <c r="J1238" s="104" t="n"/>
      <c r="K1238" s="104" t="n"/>
      <c r="L1238" s="104" t="n"/>
      <c r="M1238" s="104" t="n"/>
      <c r="N1238" s="104" t="n"/>
      <c r="O1238" s="104" t="n"/>
      <c r="P1238" s="104" t="n"/>
      <c r="Q1238" s="104" t="n"/>
      <c r="R1238" s="104" t="n"/>
      <c r="S1238" s="110" t="n"/>
      <c r="T1238" s="110" t="n"/>
      <c r="U1238" s="104" t="n"/>
    </row>
    <row r="1239">
      <c r="A1239" s="104" t="inlineStr">
        <is>
          <t>GUIDE001238</t>
        </is>
      </c>
      <c r="B1239" s="101" t="inlineStr">
        <is>
          <t>DEV000042</t>
        </is>
      </c>
      <c r="C1239" s="103" t="inlineStr">
        <is>
          <t>APL</t>
        </is>
      </c>
      <c r="D1239" s="103" t="inlineStr">
        <is>
          <t>PHN</t>
        </is>
      </c>
      <c r="E1239" s="60" t="inlineStr">
        <is>
          <t>iPhone 15 Pro Max</t>
        </is>
      </c>
      <c r="F1239" s="104" t="inlineStr">
        <is>
          <t>SVC000027</t>
        </is>
      </c>
      <c r="G1239" s="104" t="inlineStr">
        <is>
          <t>Rear Housing Repair</t>
        </is>
      </c>
      <c r="H1239" s="104" t="inlineStr">
        <is>
          <t>Housing</t>
        </is>
      </c>
      <c r="I1239" s="104" t="n"/>
      <c r="J1239" s="104" t="n"/>
      <c r="K1239" s="104" t="n"/>
      <c r="L1239" s="104" t="n"/>
      <c r="M1239" s="104" t="n"/>
      <c r="N1239" s="104" t="n"/>
      <c r="O1239" s="104" t="n"/>
      <c r="P1239" s="104" t="n"/>
      <c r="Q1239" s="104" t="n"/>
      <c r="R1239" s="104" t="n"/>
      <c r="S1239" s="110" t="n"/>
      <c r="T1239" s="110" t="n"/>
      <c r="U1239" s="104" t="n"/>
    </row>
    <row r="1240">
      <c r="A1240" s="104" t="inlineStr">
        <is>
          <t>GUIDE001239</t>
        </is>
      </c>
      <c r="B1240" s="101" t="inlineStr">
        <is>
          <t>DEV000043</t>
        </is>
      </c>
      <c r="C1240" s="103" t="inlineStr">
        <is>
          <t>APL</t>
        </is>
      </c>
      <c r="D1240" s="103" t="inlineStr">
        <is>
          <t>PHN</t>
        </is>
      </c>
      <c r="E1240" s="60" t="inlineStr">
        <is>
          <t>iPhone 16</t>
        </is>
      </c>
      <c r="F1240" s="104" t="inlineStr">
        <is>
          <t>SVC000027</t>
        </is>
      </c>
      <c r="G1240" s="104" t="inlineStr">
        <is>
          <t>Rear Housing Repair</t>
        </is>
      </c>
      <c r="H1240" s="104" t="inlineStr">
        <is>
          <t>Housing</t>
        </is>
      </c>
      <c r="I1240" s="104" t="n"/>
      <c r="J1240" s="104" t="n"/>
      <c r="K1240" s="104" t="n"/>
      <c r="L1240" s="104" t="n"/>
      <c r="M1240" s="104" t="n"/>
      <c r="N1240" s="104" t="n"/>
      <c r="O1240" s="104" t="n"/>
      <c r="P1240" s="104" t="n"/>
      <c r="Q1240" s="104" t="n"/>
      <c r="R1240" s="104" t="n"/>
      <c r="S1240" s="110" t="n"/>
      <c r="T1240" s="110" t="n"/>
      <c r="U1240" s="104" t="n"/>
    </row>
    <row r="1241">
      <c r="A1241" s="104" t="inlineStr">
        <is>
          <t>GUIDE001240</t>
        </is>
      </c>
      <c r="B1241" s="101" t="inlineStr">
        <is>
          <t>DEV000044</t>
        </is>
      </c>
      <c r="C1241" s="103" t="inlineStr">
        <is>
          <t>APL</t>
        </is>
      </c>
      <c r="D1241" s="103" t="inlineStr">
        <is>
          <t>PHN</t>
        </is>
      </c>
      <c r="E1241" s="60" t="inlineStr">
        <is>
          <t>iPhone 16 Plus</t>
        </is>
      </c>
      <c r="F1241" s="104" t="inlineStr">
        <is>
          <t>SVC000027</t>
        </is>
      </c>
      <c r="G1241" s="104" t="inlineStr">
        <is>
          <t>Rear Housing Repair</t>
        </is>
      </c>
      <c r="H1241" s="104" t="inlineStr">
        <is>
          <t>Housing</t>
        </is>
      </c>
      <c r="I1241" s="104" t="n"/>
      <c r="J1241" s="104" t="n"/>
      <c r="K1241" s="104" t="n"/>
      <c r="L1241" s="104" t="n"/>
      <c r="M1241" s="104" t="n"/>
      <c r="N1241" s="104" t="n"/>
      <c r="O1241" s="104" t="n"/>
      <c r="P1241" s="104" t="n"/>
      <c r="Q1241" s="104" t="n"/>
      <c r="R1241" s="104" t="n"/>
      <c r="S1241" s="110" t="n"/>
      <c r="T1241" s="110" t="n"/>
      <c r="U1241" s="104" t="n"/>
    </row>
    <row r="1242">
      <c r="A1242" s="104" t="inlineStr">
        <is>
          <t>GUIDE001241</t>
        </is>
      </c>
      <c r="B1242" s="101" t="inlineStr">
        <is>
          <t>DEV000045</t>
        </is>
      </c>
      <c r="C1242" s="103" t="inlineStr">
        <is>
          <t>APL</t>
        </is>
      </c>
      <c r="D1242" s="103" t="inlineStr">
        <is>
          <t>PHN</t>
        </is>
      </c>
      <c r="E1242" s="60" t="inlineStr">
        <is>
          <t>iPhone 16 Pro</t>
        </is>
      </c>
      <c r="F1242" s="104" t="inlineStr">
        <is>
          <t>SVC000027</t>
        </is>
      </c>
      <c r="G1242" s="104" t="inlineStr">
        <is>
          <t>Rear Housing Repair</t>
        </is>
      </c>
      <c r="H1242" s="104" t="inlineStr">
        <is>
          <t>Housing</t>
        </is>
      </c>
      <c r="I1242" s="104" t="n"/>
      <c r="J1242" s="104" t="n"/>
      <c r="K1242" s="104" t="n"/>
      <c r="L1242" s="104" t="n"/>
      <c r="M1242" s="104" t="n"/>
      <c r="N1242" s="104" t="n"/>
      <c r="O1242" s="104" t="n"/>
      <c r="P1242" s="104" t="n"/>
      <c r="Q1242" s="104" t="n"/>
      <c r="R1242" s="104" t="n"/>
      <c r="S1242" s="110" t="n"/>
      <c r="T1242" s="110" t="n"/>
      <c r="U1242" s="104" t="n"/>
    </row>
    <row r="1243">
      <c r="A1243" s="105" t="inlineStr">
        <is>
          <t>GUIDE001242</t>
        </is>
      </c>
      <c r="B1243" s="101" t="inlineStr">
        <is>
          <t>DEV000046</t>
        </is>
      </c>
      <c r="C1243" s="103" t="inlineStr">
        <is>
          <t>APL</t>
        </is>
      </c>
      <c r="D1243" s="103" t="inlineStr">
        <is>
          <t>PHN</t>
        </is>
      </c>
      <c r="E1243" s="60" t="inlineStr">
        <is>
          <t>iPhone 16 Pro Max</t>
        </is>
      </c>
      <c r="F1243" s="104" t="inlineStr">
        <is>
          <t>SVC000027</t>
        </is>
      </c>
      <c r="G1243" s="104" t="inlineStr">
        <is>
          <t>Rear Housing Repair</t>
        </is>
      </c>
      <c r="H1243" s="104" t="inlineStr">
        <is>
          <t>Housing</t>
        </is>
      </c>
      <c r="I1243" s="104" t="n"/>
      <c r="J1243" s="104" t="n"/>
      <c r="K1243" s="104" t="n"/>
      <c r="L1243" s="104" t="n"/>
      <c r="M1243" s="104" t="n"/>
      <c r="N1243" s="104" t="n"/>
      <c r="O1243" s="104" t="n"/>
      <c r="P1243" s="104" t="n"/>
      <c r="Q1243" s="104" t="n"/>
      <c r="R1243" s="104" t="n"/>
      <c r="S1243" s="110" t="n"/>
      <c r="T1243" s="110" t="n"/>
      <c r="U1243" s="104" t="n"/>
    </row>
    <row r="1244">
      <c r="A1244" s="104" t="inlineStr">
        <is>
          <t>GUIDE001243</t>
        </is>
      </c>
      <c r="B1244" s="101" t="inlineStr">
        <is>
          <t>DEV000047</t>
        </is>
      </c>
      <c r="C1244" s="103" t="inlineStr">
        <is>
          <t>APL</t>
        </is>
      </c>
      <c r="D1244" s="103" t="inlineStr">
        <is>
          <t>PHN</t>
        </is>
      </c>
      <c r="E1244" s="60" t="inlineStr">
        <is>
          <t>iPhone 16e</t>
        </is>
      </c>
      <c r="F1244" s="104" t="inlineStr">
        <is>
          <t>SVC000027</t>
        </is>
      </c>
      <c r="G1244" s="104" t="inlineStr">
        <is>
          <t>Rear Housing Repair</t>
        </is>
      </c>
      <c r="H1244" s="104" t="inlineStr">
        <is>
          <t>Housing</t>
        </is>
      </c>
      <c r="I1244" s="104" t="n"/>
      <c r="J1244" s="104" t="n"/>
      <c r="K1244" s="104" t="n"/>
      <c r="L1244" s="104" t="n"/>
      <c r="M1244" s="104" t="n"/>
      <c r="N1244" s="104" t="n"/>
      <c r="O1244" s="104" t="n"/>
      <c r="P1244" s="104" t="n"/>
      <c r="Q1244" s="104" t="n"/>
      <c r="R1244" s="104" t="n"/>
      <c r="S1244" s="110" t="n"/>
      <c r="T1244" s="110" t="n"/>
      <c r="U1244" s="104" t="n"/>
    </row>
    <row r="1245">
      <c r="A1245" s="104" t="inlineStr">
        <is>
          <t>GUIDE001244</t>
        </is>
      </c>
      <c r="B1245" s="101" t="inlineStr">
        <is>
          <t>DEV000048</t>
        </is>
      </c>
      <c r="C1245" s="103" t="inlineStr">
        <is>
          <t>APL</t>
        </is>
      </c>
      <c r="D1245" s="103" t="inlineStr">
        <is>
          <t>PHN</t>
        </is>
      </c>
      <c r="E1245" s="60" t="inlineStr">
        <is>
          <t>iPhone 17</t>
        </is>
      </c>
      <c r="F1245" s="104" t="inlineStr">
        <is>
          <t>SVC000027</t>
        </is>
      </c>
      <c r="G1245" s="104" t="inlineStr">
        <is>
          <t>Rear Housing Repair</t>
        </is>
      </c>
      <c r="H1245" s="104" t="inlineStr">
        <is>
          <t>Housing</t>
        </is>
      </c>
      <c r="I1245" s="104" t="n"/>
      <c r="J1245" s="104" t="n"/>
      <c r="K1245" s="104" t="n"/>
      <c r="L1245" s="104" t="n"/>
      <c r="M1245" s="104" t="n"/>
      <c r="N1245" s="104" t="n"/>
      <c r="O1245" s="104" t="n"/>
      <c r="P1245" s="104" t="n"/>
      <c r="Q1245" s="104" t="n"/>
      <c r="R1245" s="104" t="n"/>
      <c r="S1245" s="110" t="n"/>
      <c r="T1245" s="110" t="n"/>
      <c r="U1245" s="104" t="n"/>
    </row>
    <row r="1246">
      <c r="A1246" s="104" t="inlineStr">
        <is>
          <t>GUIDE001245</t>
        </is>
      </c>
      <c r="B1246" s="101" t="inlineStr">
        <is>
          <t>DEV000049</t>
        </is>
      </c>
      <c r="C1246" s="103" t="inlineStr">
        <is>
          <t>APL</t>
        </is>
      </c>
      <c r="D1246" s="103" t="inlineStr">
        <is>
          <t>PHN</t>
        </is>
      </c>
      <c r="E1246" s="60" t="inlineStr">
        <is>
          <t>iPhone 17 Pro</t>
        </is>
      </c>
      <c r="F1246" s="104" t="inlineStr">
        <is>
          <t>SVC000027</t>
        </is>
      </c>
      <c r="G1246" s="104" t="inlineStr">
        <is>
          <t>Rear Housing Repair</t>
        </is>
      </c>
      <c r="H1246" s="104" t="inlineStr">
        <is>
          <t>Housing</t>
        </is>
      </c>
      <c r="I1246" s="104" t="n"/>
      <c r="J1246" s="104" t="n"/>
      <c r="K1246" s="104" t="n"/>
      <c r="L1246" s="104" t="n"/>
      <c r="M1246" s="104" t="n"/>
      <c r="N1246" s="104" t="n"/>
      <c r="O1246" s="104" t="n"/>
      <c r="P1246" s="104" t="n"/>
      <c r="Q1246" s="104" t="n"/>
      <c r="R1246" s="104" t="n"/>
      <c r="S1246" s="110" t="n"/>
      <c r="T1246" s="110" t="n"/>
      <c r="U1246" s="104" t="n"/>
    </row>
    <row r="1247">
      <c r="A1247" s="104" t="inlineStr">
        <is>
          <t>GUIDE001246</t>
        </is>
      </c>
      <c r="B1247" s="101" t="inlineStr">
        <is>
          <t>DEV000050</t>
        </is>
      </c>
      <c r="C1247" s="103" t="inlineStr">
        <is>
          <t>APL</t>
        </is>
      </c>
      <c r="D1247" s="103" t="inlineStr">
        <is>
          <t>PHN</t>
        </is>
      </c>
      <c r="E1247" s="60" t="inlineStr">
        <is>
          <t>iPhone 17 Pro Max</t>
        </is>
      </c>
      <c r="F1247" s="104" t="inlineStr">
        <is>
          <t>SVC000027</t>
        </is>
      </c>
      <c r="G1247" s="104" t="inlineStr">
        <is>
          <t>Rear Housing Repair</t>
        </is>
      </c>
      <c r="H1247" s="104" t="inlineStr">
        <is>
          <t>Housing</t>
        </is>
      </c>
      <c r="I1247" s="104" t="n"/>
      <c r="J1247" s="104" t="n"/>
      <c r="K1247" s="104" t="n"/>
      <c r="L1247" s="104" t="n"/>
      <c r="M1247" s="104" t="n"/>
      <c r="N1247" s="104" t="n"/>
      <c r="O1247" s="104" t="n"/>
      <c r="P1247" s="104" t="n"/>
      <c r="Q1247" s="104" t="n"/>
      <c r="R1247" s="104" t="n"/>
      <c r="S1247" s="110" t="n"/>
      <c r="T1247" s="110" t="n"/>
      <c r="U1247" s="104" t="n"/>
    </row>
    <row r="1248">
      <c r="A1248" s="104" t="inlineStr">
        <is>
          <t>GUIDE001247</t>
        </is>
      </c>
      <c r="B1248" s="101" t="inlineStr">
        <is>
          <t>DEV000051</t>
        </is>
      </c>
      <c r="C1248" s="103" t="inlineStr">
        <is>
          <t>APL</t>
        </is>
      </c>
      <c r="D1248" s="103" t="inlineStr">
        <is>
          <t>PHN</t>
        </is>
      </c>
      <c r="E1248" s="60" t="inlineStr">
        <is>
          <t>iPhone Air</t>
        </is>
      </c>
      <c r="F1248" s="104" t="inlineStr">
        <is>
          <t>SVC000027</t>
        </is>
      </c>
      <c r="G1248" s="104" t="inlineStr">
        <is>
          <t>Rear Housing Repair</t>
        </is>
      </c>
      <c r="H1248" s="104" t="inlineStr">
        <is>
          <t>Housing</t>
        </is>
      </c>
      <c r="I1248" s="104" t="n"/>
      <c r="J1248" s="104" t="n"/>
      <c r="K1248" s="104" t="n"/>
      <c r="L1248" s="104" t="n"/>
      <c r="M1248" s="104" t="n"/>
      <c r="N1248" s="104" t="n"/>
      <c r="O1248" s="104" t="n"/>
      <c r="P1248" s="104" t="n"/>
      <c r="Q1248" s="104" t="n"/>
      <c r="R1248" s="104" t="n"/>
      <c r="S1248" s="110" t="n"/>
      <c r="T1248" s="110" t="n"/>
      <c r="U1248" s="104" t="n"/>
    </row>
    <row r="1249">
      <c r="A1249" s="105" t="inlineStr">
        <is>
          <t>GUIDE001248</t>
        </is>
      </c>
      <c r="B1249" s="101" t="inlineStr">
        <is>
          <t>DEV000052</t>
        </is>
      </c>
      <c r="C1249" s="103" t="inlineStr">
        <is>
          <t>APL</t>
        </is>
      </c>
      <c r="D1249" s="103" t="inlineStr">
        <is>
          <t>PHN</t>
        </is>
      </c>
      <c r="E1249" s="60" t="inlineStr">
        <is>
          <t>iPhone 17e</t>
        </is>
      </c>
      <c r="F1249" s="104" t="inlineStr">
        <is>
          <t>SVC000027</t>
        </is>
      </c>
      <c r="G1249" s="104" t="inlineStr">
        <is>
          <t>Rear Housing Repair</t>
        </is>
      </c>
      <c r="H1249" s="104" t="inlineStr">
        <is>
          <t>Housing</t>
        </is>
      </c>
      <c r="I1249" s="104" t="n"/>
      <c r="J1249" s="104" t="n"/>
      <c r="K1249" s="104" t="n"/>
      <c r="L1249" s="104" t="n"/>
      <c r="M1249" s="104" t="n"/>
      <c r="N1249" s="104" t="n"/>
      <c r="O1249" s="104" t="n"/>
      <c r="P1249" s="104" t="n"/>
      <c r="Q1249" s="104" t="n"/>
      <c r="R1249" s="104" t="n"/>
      <c r="S1249" s="110" t="n"/>
      <c r="T1249" s="110" t="n"/>
      <c r="U1249" s="104" t="n"/>
    </row>
    <row r="1250">
      <c r="A1250" s="104" t="inlineStr">
        <is>
          <t>GUIDE001249</t>
        </is>
      </c>
      <c r="B1250" s="101" t="inlineStr">
        <is>
          <t>DEV000001</t>
        </is>
      </c>
      <c r="C1250" s="103" t="inlineStr">
        <is>
          <t>APL</t>
        </is>
      </c>
      <c r="D1250" s="103" t="inlineStr">
        <is>
          <t>PHN</t>
        </is>
      </c>
      <c r="E1250" s="60" t="inlineStr">
        <is>
          <t>iPhone (2G)</t>
        </is>
      </c>
      <c r="F1250" s="104" t="inlineStr">
        <is>
          <t>SVC000030</t>
        </is>
      </c>
      <c r="G1250" s="104" t="inlineStr">
        <is>
          <t>Board Diagnosis</t>
        </is>
      </c>
      <c r="H1250" s="104" t="inlineStr">
        <is>
          <t>Motherboard</t>
        </is>
      </c>
      <c r="I1250" s="104" t="n"/>
      <c r="J1250" s="104" t="n"/>
      <c r="K1250" s="104" t="n"/>
      <c r="L1250" s="104" t="n"/>
      <c r="M1250" s="104" t="n"/>
      <c r="N1250" s="104" t="n"/>
      <c r="O1250" s="104" t="n"/>
      <c r="P1250" s="104" t="n"/>
      <c r="Q1250" s="104" t="n"/>
      <c r="R1250" s="104" t="n"/>
      <c r="S1250" s="110" t="n"/>
      <c r="T1250" s="110" t="n"/>
      <c r="U1250" s="104" t="n"/>
    </row>
    <row r="1251">
      <c r="A1251" s="104" t="inlineStr">
        <is>
          <t>GUIDE001250</t>
        </is>
      </c>
      <c r="B1251" s="101" t="inlineStr">
        <is>
          <t>DEV000002</t>
        </is>
      </c>
      <c r="C1251" s="103" t="inlineStr">
        <is>
          <t>APL</t>
        </is>
      </c>
      <c r="D1251" s="103" t="inlineStr">
        <is>
          <t>PHN</t>
        </is>
      </c>
      <c r="E1251" s="60" t="inlineStr">
        <is>
          <t>iPhone 3G</t>
        </is>
      </c>
      <c r="F1251" s="104" t="inlineStr">
        <is>
          <t>SVC000030</t>
        </is>
      </c>
      <c r="G1251" s="104" t="inlineStr">
        <is>
          <t>Board Diagnosis</t>
        </is>
      </c>
      <c r="H1251" s="104" t="inlineStr">
        <is>
          <t>Motherboard</t>
        </is>
      </c>
      <c r="I1251" s="104" t="n"/>
      <c r="J1251" s="104" t="n"/>
      <c r="K1251" s="104" t="n"/>
      <c r="L1251" s="104" t="n"/>
      <c r="M1251" s="104" t="n"/>
      <c r="N1251" s="104" t="n"/>
      <c r="O1251" s="104" t="n"/>
      <c r="P1251" s="104" t="n"/>
      <c r="Q1251" s="104" t="n"/>
      <c r="R1251" s="104" t="n"/>
      <c r="S1251" s="110" t="n"/>
      <c r="T1251" s="110" t="n"/>
      <c r="U1251" s="104" t="n"/>
    </row>
    <row r="1252">
      <c r="A1252" s="104" t="inlineStr">
        <is>
          <t>GUIDE001251</t>
        </is>
      </c>
      <c r="B1252" s="101" t="inlineStr">
        <is>
          <t>DEV000003</t>
        </is>
      </c>
      <c r="C1252" s="103" t="inlineStr">
        <is>
          <t>APL</t>
        </is>
      </c>
      <c r="D1252" s="103" t="inlineStr">
        <is>
          <t>PHN</t>
        </is>
      </c>
      <c r="E1252" s="60" t="inlineStr">
        <is>
          <t>iPhone 3GS</t>
        </is>
      </c>
      <c r="F1252" s="104" t="inlineStr">
        <is>
          <t>SVC000030</t>
        </is>
      </c>
      <c r="G1252" s="104" t="inlineStr">
        <is>
          <t>Board Diagnosis</t>
        </is>
      </c>
      <c r="H1252" s="104" t="inlineStr">
        <is>
          <t>Motherboard</t>
        </is>
      </c>
      <c r="I1252" s="104" t="n"/>
      <c r="J1252" s="104" t="n"/>
      <c r="K1252" s="104" t="n"/>
      <c r="L1252" s="104" t="n"/>
      <c r="M1252" s="104" t="n"/>
      <c r="N1252" s="104" t="n"/>
      <c r="O1252" s="104" t="n"/>
      <c r="P1252" s="104" t="n"/>
      <c r="Q1252" s="104" t="n"/>
      <c r="R1252" s="104" t="n"/>
      <c r="S1252" s="110" t="n"/>
      <c r="T1252" s="110" t="n"/>
      <c r="U1252" s="104" t="n"/>
    </row>
    <row r="1253">
      <c r="A1253" s="104" t="inlineStr">
        <is>
          <t>GUIDE001252</t>
        </is>
      </c>
      <c r="B1253" s="101" t="inlineStr">
        <is>
          <t>DEV000004</t>
        </is>
      </c>
      <c r="C1253" s="103" t="inlineStr">
        <is>
          <t>APL</t>
        </is>
      </c>
      <c r="D1253" s="103" t="inlineStr">
        <is>
          <t>PHN</t>
        </is>
      </c>
      <c r="E1253" s="60" t="inlineStr">
        <is>
          <t>iPhone 4</t>
        </is>
      </c>
      <c r="F1253" s="104" t="inlineStr">
        <is>
          <t>SVC000030</t>
        </is>
      </c>
      <c r="G1253" s="104" t="inlineStr">
        <is>
          <t>Board Diagnosis</t>
        </is>
      </c>
      <c r="H1253" s="104" t="inlineStr">
        <is>
          <t>Motherboard</t>
        </is>
      </c>
      <c r="I1253" s="104" t="n"/>
      <c r="J1253" s="104" t="n"/>
      <c r="K1253" s="104" t="n"/>
      <c r="L1253" s="104" t="n"/>
      <c r="M1253" s="104" t="n"/>
      <c r="N1253" s="104" t="n"/>
      <c r="O1253" s="104" t="n"/>
      <c r="P1253" s="104" t="n"/>
      <c r="Q1253" s="104" t="n"/>
      <c r="R1253" s="104" t="n"/>
      <c r="S1253" s="110" t="n"/>
      <c r="T1253" s="110" t="n"/>
      <c r="U1253" s="104" t="n"/>
    </row>
    <row r="1254">
      <c r="A1254" s="104" t="inlineStr">
        <is>
          <t>GUIDE001253</t>
        </is>
      </c>
      <c r="B1254" s="101" t="inlineStr">
        <is>
          <t>DEV000005</t>
        </is>
      </c>
      <c r="C1254" s="103" t="inlineStr">
        <is>
          <t>APL</t>
        </is>
      </c>
      <c r="D1254" s="103" t="inlineStr">
        <is>
          <t>PHN</t>
        </is>
      </c>
      <c r="E1254" s="60" t="inlineStr">
        <is>
          <t>iPhone 4s</t>
        </is>
      </c>
      <c r="F1254" s="104" t="inlineStr">
        <is>
          <t>SVC000030</t>
        </is>
      </c>
      <c r="G1254" s="104" t="inlineStr">
        <is>
          <t>Board Diagnosis</t>
        </is>
      </c>
      <c r="H1254" s="104" t="inlineStr">
        <is>
          <t>Motherboard</t>
        </is>
      </c>
      <c r="I1254" s="104" t="n"/>
      <c r="J1254" s="104" t="n"/>
      <c r="K1254" s="104" t="n"/>
      <c r="L1254" s="104" t="n"/>
      <c r="M1254" s="104" t="n"/>
      <c r="N1254" s="104" t="n"/>
      <c r="O1254" s="104" t="n"/>
      <c r="P1254" s="104" t="n"/>
      <c r="Q1254" s="104" t="n"/>
      <c r="R1254" s="104" t="n"/>
      <c r="S1254" s="110" t="n"/>
      <c r="T1254" s="110" t="n"/>
      <c r="U1254" s="104" t="n"/>
    </row>
    <row r="1255">
      <c r="A1255" s="105" t="inlineStr">
        <is>
          <t>GUIDE001254</t>
        </is>
      </c>
      <c r="B1255" s="101" t="inlineStr">
        <is>
          <t>DEV000006</t>
        </is>
      </c>
      <c r="C1255" s="103" t="inlineStr">
        <is>
          <t>APL</t>
        </is>
      </c>
      <c r="D1255" s="103" t="inlineStr">
        <is>
          <t>PHN</t>
        </is>
      </c>
      <c r="E1255" s="60" t="inlineStr">
        <is>
          <t>iPhone 5</t>
        </is>
      </c>
      <c r="F1255" s="104" t="inlineStr">
        <is>
          <t>SVC000030</t>
        </is>
      </c>
      <c r="G1255" s="104" t="inlineStr">
        <is>
          <t>Board Diagnosis</t>
        </is>
      </c>
      <c r="H1255" s="104" t="inlineStr">
        <is>
          <t>Motherboard</t>
        </is>
      </c>
      <c r="I1255" s="104" t="n"/>
      <c r="J1255" s="104" t="n"/>
      <c r="K1255" s="104" t="n"/>
      <c r="L1255" s="104" t="n"/>
      <c r="M1255" s="104" t="n"/>
      <c r="N1255" s="104" t="n"/>
      <c r="O1255" s="104" t="n"/>
      <c r="P1255" s="104" t="n"/>
      <c r="Q1255" s="104" t="n"/>
      <c r="R1255" s="104" t="n"/>
      <c r="S1255" s="110" t="n"/>
      <c r="T1255" s="110" t="n"/>
      <c r="U1255" s="104" t="n"/>
    </row>
    <row r="1256">
      <c r="A1256" s="104" t="inlineStr">
        <is>
          <t>GUIDE001255</t>
        </is>
      </c>
      <c r="B1256" s="101" t="inlineStr">
        <is>
          <t>DEV000007</t>
        </is>
      </c>
      <c r="C1256" s="103" t="inlineStr">
        <is>
          <t>APL</t>
        </is>
      </c>
      <c r="D1256" s="103" t="inlineStr">
        <is>
          <t>PHN</t>
        </is>
      </c>
      <c r="E1256" s="60" t="inlineStr">
        <is>
          <t>iPhone 5c</t>
        </is>
      </c>
      <c r="F1256" s="104" t="inlineStr">
        <is>
          <t>SVC000030</t>
        </is>
      </c>
      <c r="G1256" s="104" t="inlineStr">
        <is>
          <t>Board Diagnosis</t>
        </is>
      </c>
      <c r="H1256" s="104" t="inlineStr">
        <is>
          <t>Motherboard</t>
        </is>
      </c>
      <c r="I1256" s="104" t="n"/>
      <c r="J1256" s="104" t="n"/>
      <c r="K1256" s="104" t="n"/>
      <c r="L1256" s="104" t="n"/>
      <c r="M1256" s="104" t="n"/>
      <c r="N1256" s="104" t="n"/>
      <c r="O1256" s="104" t="n"/>
      <c r="P1256" s="104" t="n"/>
      <c r="Q1256" s="104" t="n"/>
      <c r="R1256" s="104" t="n"/>
      <c r="S1256" s="110" t="n"/>
      <c r="T1256" s="110" t="n"/>
      <c r="U1256" s="104" t="n"/>
    </row>
    <row r="1257">
      <c r="A1257" s="104" t="inlineStr">
        <is>
          <t>GUIDE001256</t>
        </is>
      </c>
      <c r="B1257" s="101" t="inlineStr">
        <is>
          <t>DEV000008</t>
        </is>
      </c>
      <c r="C1257" s="103" t="inlineStr">
        <is>
          <t>APL</t>
        </is>
      </c>
      <c r="D1257" s="103" t="inlineStr">
        <is>
          <t>PHN</t>
        </is>
      </c>
      <c r="E1257" s="60" t="inlineStr">
        <is>
          <t>iPhone 5s</t>
        </is>
      </c>
      <c r="F1257" s="104" t="inlineStr">
        <is>
          <t>SVC000030</t>
        </is>
      </c>
      <c r="G1257" s="104" t="inlineStr">
        <is>
          <t>Board Diagnosis</t>
        </is>
      </c>
      <c r="H1257" s="104" t="inlineStr">
        <is>
          <t>Motherboard</t>
        </is>
      </c>
      <c r="I1257" s="104" t="n"/>
      <c r="J1257" s="104" t="n"/>
      <c r="K1257" s="104" t="n"/>
      <c r="L1257" s="104" t="n"/>
      <c r="M1257" s="104" t="n"/>
      <c r="N1257" s="104" t="n"/>
      <c r="O1257" s="104" t="n"/>
      <c r="P1257" s="104" t="n"/>
      <c r="Q1257" s="104" t="n"/>
      <c r="R1257" s="104" t="n"/>
      <c r="S1257" s="110" t="n"/>
      <c r="T1257" s="110" t="n"/>
      <c r="U1257" s="104" t="n"/>
    </row>
    <row r="1258">
      <c r="A1258" s="104" t="inlineStr">
        <is>
          <t>GUIDE001257</t>
        </is>
      </c>
      <c r="B1258" s="101" t="inlineStr">
        <is>
          <t>DEV000009</t>
        </is>
      </c>
      <c r="C1258" s="103" t="inlineStr">
        <is>
          <t>APL</t>
        </is>
      </c>
      <c r="D1258" s="103" t="inlineStr">
        <is>
          <t>PHN</t>
        </is>
      </c>
      <c r="E1258" s="60" t="inlineStr">
        <is>
          <t>iPhone 6</t>
        </is>
      </c>
      <c r="F1258" s="104" t="inlineStr">
        <is>
          <t>SVC000030</t>
        </is>
      </c>
      <c r="G1258" s="104" t="inlineStr">
        <is>
          <t>Board Diagnosis</t>
        </is>
      </c>
      <c r="H1258" s="104" t="inlineStr">
        <is>
          <t>Motherboard</t>
        </is>
      </c>
      <c r="I1258" s="104" t="n"/>
      <c r="J1258" s="104" t="n"/>
      <c r="K1258" s="104" t="n"/>
      <c r="L1258" s="104" t="n"/>
      <c r="M1258" s="104" t="n"/>
      <c r="N1258" s="104" t="n"/>
      <c r="O1258" s="104" t="n"/>
      <c r="P1258" s="104" t="n"/>
      <c r="Q1258" s="104" t="n"/>
      <c r="R1258" s="104" t="n"/>
      <c r="S1258" s="110" t="n"/>
      <c r="T1258" s="110" t="n"/>
      <c r="U1258" s="104" t="n"/>
    </row>
    <row r="1259">
      <c r="A1259" s="104" t="inlineStr">
        <is>
          <t>GUIDE001258</t>
        </is>
      </c>
      <c r="B1259" s="101" t="inlineStr">
        <is>
          <t>DEV000010</t>
        </is>
      </c>
      <c r="C1259" s="103" t="inlineStr">
        <is>
          <t>APL</t>
        </is>
      </c>
      <c r="D1259" s="103" t="inlineStr">
        <is>
          <t>PHN</t>
        </is>
      </c>
      <c r="E1259" s="60" t="inlineStr">
        <is>
          <t>iPhone 6 Plus</t>
        </is>
      </c>
      <c r="F1259" s="104" t="inlineStr">
        <is>
          <t>SVC000030</t>
        </is>
      </c>
      <c r="G1259" s="104" t="inlineStr">
        <is>
          <t>Board Diagnosis</t>
        </is>
      </c>
      <c r="H1259" s="104" t="inlineStr">
        <is>
          <t>Motherboard</t>
        </is>
      </c>
      <c r="I1259" s="104" t="n"/>
      <c r="J1259" s="104" t="n"/>
      <c r="K1259" s="104" t="n"/>
      <c r="L1259" s="104" t="n"/>
      <c r="M1259" s="104" t="n"/>
      <c r="N1259" s="104" t="n"/>
      <c r="O1259" s="104" t="n"/>
      <c r="P1259" s="104" t="n"/>
      <c r="Q1259" s="104" t="n"/>
      <c r="R1259" s="104" t="n"/>
      <c r="S1259" s="110" t="n"/>
      <c r="T1259" s="110" t="n"/>
      <c r="U1259" s="104" t="n"/>
    </row>
    <row r="1260">
      <c r="A1260" s="104" t="inlineStr">
        <is>
          <t>GUIDE001259</t>
        </is>
      </c>
      <c r="B1260" s="101" t="inlineStr">
        <is>
          <t>DEV000011</t>
        </is>
      </c>
      <c r="C1260" s="103" t="inlineStr">
        <is>
          <t>APL</t>
        </is>
      </c>
      <c r="D1260" s="103" t="inlineStr">
        <is>
          <t>PHN</t>
        </is>
      </c>
      <c r="E1260" s="60" t="inlineStr">
        <is>
          <t>iPhone 6s</t>
        </is>
      </c>
      <c r="F1260" s="104" t="inlineStr">
        <is>
          <t>SVC000030</t>
        </is>
      </c>
      <c r="G1260" s="104" t="inlineStr">
        <is>
          <t>Board Diagnosis</t>
        </is>
      </c>
      <c r="H1260" s="104" t="inlineStr">
        <is>
          <t>Motherboard</t>
        </is>
      </c>
      <c r="I1260" s="104" t="n"/>
      <c r="J1260" s="104" t="n"/>
      <c r="K1260" s="104" t="n"/>
      <c r="L1260" s="104" t="n"/>
      <c r="M1260" s="104" t="n"/>
      <c r="N1260" s="104" t="n"/>
      <c r="O1260" s="104" t="n"/>
      <c r="P1260" s="104" t="n"/>
      <c r="Q1260" s="104" t="n"/>
      <c r="R1260" s="104" t="n"/>
      <c r="S1260" s="110" t="n"/>
      <c r="T1260" s="110" t="n"/>
      <c r="U1260" s="104" t="n"/>
    </row>
    <row r="1261">
      <c r="A1261" s="105" t="inlineStr">
        <is>
          <t>GUIDE001260</t>
        </is>
      </c>
      <c r="B1261" s="101" t="inlineStr">
        <is>
          <t>DEV000012</t>
        </is>
      </c>
      <c r="C1261" s="103" t="inlineStr">
        <is>
          <t>APL</t>
        </is>
      </c>
      <c r="D1261" s="103" t="inlineStr">
        <is>
          <t>PHN</t>
        </is>
      </c>
      <c r="E1261" s="60" t="inlineStr">
        <is>
          <t>iPhone 6s Plus</t>
        </is>
      </c>
      <c r="F1261" s="104" t="inlineStr">
        <is>
          <t>SVC000030</t>
        </is>
      </c>
      <c r="G1261" s="104" t="inlineStr">
        <is>
          <t>Board Diagnosis</t>
        </is>
      </c>
      <c r="H1261" s="104" t="inlineStr">
        <is>
          <t>Motherboard</t>
        </is>
      </c>
      <c r="I1261" s="104" t="n"/>
      <c r="J1261" s="104" t="n"/>
      <c r="K1261" s="104" t="n"/>
      <c r="L1261" s="104" t="n"/>
      <c r="M1261" s="104" t="n"/>
      <c r="N1261" s="104" t="n"/>
      <c r="O1261" s="104" t="n"/>
      <c r="P1261" s="104" t="n"/>
      <c r="Q1261" s="104" t="n"/>
      <c r="R1261" s="104" t="n"/>
      <c r="S1261" s="110" t="n"/>
      <c r="T1261" s="110" t="n"/>
      <c r="U1261" s="104" t="n"/>
    </row>
    <row r="1262">
      <c r="A1262" s="104" t="inlineStr">
        <is>
          <t>GUIDE001261</t>
        </is>
      </c>
      <c r="B1262" s="101" t="inlineStr">
        <is>
          <t>DEV000013</t>
        </is>
      </c>
      <c r="C1262" s="103" t="inlineStr">
        <is>
          <t>APL</t>
        </is>
      </c>
      <c r="D1262" s="103" t="inlineStr">
        <is>
          <t>PHN</t>
        </is>
      </c>
      <c r="E1262" s="60" t="inlineStr">
        <is>
          <t>iPhone SE (1st Gen)</t>
        </is>
      </c>
      <c r="F1262" s="104" t="inlineStr">
        <is>
          <t>SVC000030</t>
        </is>
      </c>
      <c r="G1262" s="104" t="inlineStr">
        <is>
          <t>Board Diagnosis</t>
        </is>
      </c>
      <c r="H1262" s="104" t="inlineStr">
        <is>
          <t>Motherboard</t>
        </is>
      </c>
      <c r="I1262" s="104" t="n"/>
      <c r="J1262" s="104" t="n"/>
      <c r="K1262" s="104" t="n"/>
      <c r="L1262" s="104" t="n"/>
      <c r="M1262" s="104" t="n"/>
      <c r="N1262" s="104" t="n"/>
      <c r="O1262" s="104" t="n"/>
      <c r="P1262" s="104" t="n"/>
      <c r="Q1262" s="104" t="n"/>
      <c r="R1262" s="104" t="n"/>
      <c r="S1262" s="110" t="n"/>
      <c r="T1262" s="110" t="n"/>
      <c r="U1262" s="104" t="n"/>
    </row>
    <row r="1263">
      <c r="A1263" s="104" t="inlineStr">
        <is>
          <t>GUIDE001262</t>
        </is>
      </c>
      <c r="B1263" s="101" t="inlineStr">
        <is>
          <t>DEV000014</t>
        </is>
      </c>
      <c r="C1263" s="103" t="inlineStr">
        <is>
          <t>APL</t>
        </is>
      </c>
      <c r="D1263" s="103" t="inlineStr">
        <is>
          <t>PHN</t>
        </is>
      </c>
      <c r="E1263" s="60" t="inlineStr">
        <is>
          <t>iPhone 7</t>
        </is>
      </c>
      <c r="F1263" s="104" t="inlineStr">
        <is>
          <t>SVC000030</t>
        </is>
      </c>
      <c r="G1263" s="104" t="inlineStr">
        <is>
          <t>Board Diagnosis</t>
        </is>
      </c>
      <c r="H1263" s="104" t="inlineStr">
        <is>
          <t>Motherboard</t>
        </is>
      </c>
      <c r="I1263" s="104" t="n"/>
      <c r="J1263" s="104" t="n"/>
      <c r="K1263" s="104" t="n"/>
      <c r="L1263" s="104" t="n"/>
      <c r="M1263" s="104" t="n"/>
      <c r="N1263" s="104" t="n"/>
      <c r="O1263" s="104" t="n"/>
      <c r="P1263" s="104" t="n"/>
      <c r="Q1263" s="104" t="n"/>
      <c r="R1263" s="104" t="n"/>
      <c r="S1263" s="110" t="n"/>
      <c r="T1263" s="110" t="n"/>
      <c r="U1263" s="104" t="n"/>
    </row>
    <row r="1264">
      <c r="A1264" s="104" t="inlineStr">
        <is>
          <t>GUIDE001263</t>
        </is>
      </c>
      <c r="B1264" s="101" t="inlineStr">
        <is>
          <t>DEV000015</t>
        </is>
      </c>
      <c r="C1264" s="103" t="inlineStr">
        <is>
          <t>APL</t>
        </is>
      </c>
      <c r="D1264" s="103" t="inlineStr">
        <is>
          <t>PHN</t>
        </is>
      </c>
      <c r="E1264" s="60" t="inlineStr">
        <is>
          <t>iPhone 7 Plus</t>
        </is>
      </c>
      <c r="F1264" s="104" t="inlineStr">
        <is>
          <t>SVC000030</t>
        </is>
      </c>
      <c r="G1264" s="104" t="inlineStr">
        <is>
          <t>Board Diagnosis</t>
        </is>
      </c>
      <c r="H1264" s="104" t="inlineStr">
        <is>
          <t>Motherboard</t>
        </is>
      </c>
      <c r="I1264" s="104" t="n"/>
      <c r="J1264" s="104" t="n"/>
      <c r="K1264" s="104" t="n"/>
      <c r="L1264" s="104" t="n"/>
      <c r="M1264" s="104" t="n"/>
      <c r="N1264" s="104" t="n"/>
      <c r="O1264" s="104" t="n"/>
      <c r="P1264" s="104" t="n"/>
      <c r="Q1264" s="104" t="n"/>
      <c r="R1264" s="104" t="n"/>
      <c r="S1264" s="110" t="n"/>
      <c r="T1264" s="110" t="n"/>
      <c r="U1264" s="104" t="n"/>
    </row>
    <row r="1265">
      <c r="A1265" s="104" t="inlineStr">
        <is>
          <t>GUIDE001264</t>
        </is>
      </c>
      <c r="B1265" s="101" t="inlineStr">
        <is>
          <t>DEV000016</t>
        </is>
      </c>
      <c r="C1265" s="103" t="inlineStr">
        <is>
          <t>APL</t>
        </is>
      </c>
      <c r="D1265" s="103" t="inlineStr">
        <is>
          <t>PHN</t>
        </is>
      </c>
      <c r="E1265" s="60" t="inlineStr">
        <is>
          <t>iPhone 8</t>
        </is>
      </c>
      <c r="F1265" s="104" t="inlineStr">
        <is>
          <t>SVC000030</t>
        </is>
      </c>
      <c r="G1265" s="104" t="inlineStr">
        <is>
          <t>Board Diagnosis</t>
        </is>
      </c>
      <c r="H1265" s="104" t="inlineStr">
        <is>
          <t>Motherboard</t>
        </is>
      </c>
      <c r="I1265" s="104" t="n"/>
      <c r="J1265" s="104" t="n"/>
      <c r="K1265" s="104" t="n"/>
      <c r="L1265" s="104" t="n"/>
      <c r="M1265" s="104" t="n"/>
      <c r="N1265" s="104" t="n"/>
      <c r="O1265" s="104" t="n"/>
      <c r="P1265" s="104" t="n"/>
      <c r="Q1265" s="104" t="n"/>
      <c r="R1265" s="104" t="n"/>
      <c r="S1265" s="110" t="n"/>
      <c r="T1265" s="110" t="n"/>
      <c r="U1265" s="104" t="n"/>
    </row>
    <row r="1266">
      <c r="A1266" s="104" t="inlineStr">
        <is>
          <t>GUIDE001265</t>
        </is>
      </c>
      <c r="B1266" s="101" t="inlineStr">
        <is>
          <t>DEV000017</t>
        </is>
      </c>
      <c r="C1266" s="103" t="inlineStr">
        <is>
          <t>APL</t>
        </is>
      </c>
      <c r="D1266" s="103" t="inlineStr">
        <is>
          <t>PHN</t>
        </is>
      </c>
      <c r="E1266" s="60" t="inlineStr">
        <is>
          <t>iPhone 8 Plus</t>
        </is>
      </c>
      <c r="F1266" s="104" t="inlineStr">
        <is>
          <t>SVC000030</t>
        </is>
      </c>
      <c r="G1266" s="104" t="inlineStr">
        <is>
          <t>Board Diagnosis</t>
        </is>
      </c>
      <c r="H1266" s="104" t="inlineStr">
        <is>
          <t>Motherboard</t>
        </is>
      </c>
      <c r="I1266" s="104" t="n"/>
      <c r="J1266" s="104" t="n"/>
      <c r="K1266" s="104" t="n"/>
      <c r="L1266" s="104" t="n"/>
      <c r="M1266" s="104" t="n"/>
      <c r="N1266" s="104" t="n"/>
      <c r="O1266" s="104" t="n"/>
      <c r="P1266" s="104" t="n"/>
      <c r="Q1266" s="104" t="n"/>
      <c r="R1266" s="104" t="n"/>
      <c r="S1266" s="110" t="n"/>
      <c r="T1266" s="110" t="n"/>
      <c r="U1266" s="104" t="n"/>
    </row>
    <row r="1267">
      <c r="A1267" s="105" t="inlineStr">
        <is>
          <t>GUIDE001266</t>
        </is>
      </c>
      <c r="B1267" s="101" t="inlineStr">
        <is>
          <t>DEV000018</t>
        </is>
      </c>
      <c r="C1267" s="103" t="inlineStr">
        <is>
          <t>APL</t>
        </is>
      </c>
      <c r="D1267" s="103" t="inlineStr">
        <is>
          <t>PHN</t>
        </is>
      </c>
      <c r="E1267" s="60" t="inlineStr">
        <is>
          <t>iPhone X</t>
        </is>
      </c>
      <c r="F1267" s="104" t="inlineStr">
        <is>
          <t>SVC000030</t>
        </is>
      </c>
      <c r="G1267" s="104" t="inlineStr">
        <is>
          <t>Board Diagnosis</t>
        </is>
      </c>
      <c r="H1267" s="104" t="inlineStr">
        <is>
          <t>Motherboard</t>
        </is>
      </c>
      <c r="I1267" s="104" t="n"/>
      <c r="J1267" s="104" t="n"/>
      <c r="K1267" s="104" t="n"/>
      <c r="L1267" s="104" t="n"/>
      <c r="M1267" s="104" t="n"/>
      <c r="N1267" s="104" t="n"/>
      <c r="O1267" s="104" t="n"/>
      <c r="P1267" s="104" t="n"/>
      <c r="Q1267" s="104" t="n"/>
      <c r="R1267" s="104" t="n"/>
      <c r="S1267" s="110" t="n"/>
      <c r="T1267" s="110" t="n"/>
      <c r="U1267" s="104" t="n"/>
    </row>
    <row r="1268">
      <c r="A1268" s="104" t="inlineStr">
        <is>
          <t>GUIDE001267</t>
        </is>
      </c>
      <c r="B1268" s="101" t="inlineStr">
        <is>
          <t>DEV000019</t>
        </is>
      </c>
      <c r="C1268" s="103" t="inlineStr">
        <is>
          <t>APL</t>
        </is>
      </c>
      <c r="D1268" s="103" t="inlineStr">
        <is>
          <t>PHN</t>
        </is>
      </c>
      <c r="E1268" s="60" t="inlineStr">
        <is>
          <t>iPhone XR</t>
        </is>
      </c>
      <c r="F1268" s="104" t="inlineStr">
        <is>
          <t>SVC000030</t>
        </is>
      </c>
      <c r="G1268" s="104" t="inlineStr">
        <is>
          <t>Board Diagnosis</t>
        </is>
      </c>
      <c r="H1268" s="104" t="inlineStr">
        <is>
          <t>Motherboard</t>
        </is>
      </c>
      <c r="I1268" s="104" t="n"/>
      <c r="J1268" s="104" t="n"/>
      <c r="K1268" s="104" t="n"/>
      <c r="L1268" s="104" t="n"/>
      <c r="M1268" s="104" t="n"/>
      <c r="N1268" s="104" t="n"/>
      <c r="O1268" s="104" t="n"/>
      <c r="P1268" s="104" t="n"/>
      <c r="Q1268" s="104" t="n"/>
      <c r="R1268" s="104" t="n"/>
      <c r="S1268" s="110" t="n"/>
      <c r="T1268" s="110" t="n"/>
      <c r="U1268" s="104" t="n"/>
    </row>
    <row r="1269">
      <c r="A1269" s="104" t="inlineStr">
        <is>
          <t>GUIDE001268</t>
        </is>
      </c>
      <c r="B1269" s="101" t="inlineStr">
        <is>
          <t>DEV000020</t>
        </is>
      </c>
      <c r="C1269" s="103" t="inlineStr">
        <is>
          <t>APL</t>
        </is>
      </c>
      <c r="D1269" s="103" t="inlineStr">
        <is>
          <t>PHN</t>
        </is>
      </c>
      <c r="E1269" s="60" t="inlineStr">
        <is>
          <t>iPhone XS</t>
        </is>
      </c>
      <c r="F1269" s="104" t="inlineStr">
        <is>
          <t>SVC000030</t>
        </is>
      </c>
      <c r="G1269" s="104" t="inlineStr">
        <is>
          <t>Board Diagnosis</t>
        </is>
      </c>
      <c r="H1269" s="104" t="inlineStr">
        <is>
          <t>Motherboard</t>
        </is>
      </c>
      <c r="I1269" s="104" t="n"/>
      <c r="J1269" s="104" t="n"/>
      <c r="K1269" s="104" t="n"/>
      <c r="L1269" s="104" t="n"/>
      <c r="M1269" s="104" t="n"/>
      <c r="N1269" s="104" t="n"/>
      <c r="O1269" s="104" t="n"/>
      <c r="P1269" s="104" t="n"/>
      <c r="Q1269" s="104" t="n"/>
      <c r="R1269" s="104" t="n"/>
      <c r="S1269" s="110" t="n"/>
      <c r="T1269" s="110" t="n"/>
      <c r="U1269" s="104" t="n"/>
    </row>
    <row r="1270">
      <c r="A1270" s="104" t="inlineStr">
        <is>
          <t>GUIDE001269</t>
        </is>
      </c>
      <c r="B1270" s="101" t="inlineStr">
        <is>
          <t>DEV000021</t>
        </is>
      </c>
      <c r="C1270" s="103" t="inlineStr">
        <is>
          <t>APL</t>
        </is>
      </c>
      <c r="D1270" s="103" t="inlineStr">
        <is>
          <t>PHN</t>
        </is>
      </c>
      <c r="E1270" s="60" t="inlineStr">
        <is>
          <t>iPhone XS Max</t>
        </is>
      </c>
      <c r="F1270" s="104" t="inlineStr">
        <is>
          <t>SVC000030</t>
        </is>
      </c>
      <c r="G1270" s="104" t="inlineStr">
        <is>
          <t>Board Diagnosis</t>
        </is>
      </c>
      <c r="H1270" s="104" t="inlineStr">
        <is>
          <t>Motherboard</t>
        </is>
      </c>
      <c r="I1270" s="104" t="n"/>
      <c r="J1270" s="104" t="n"/>
      <c r="K1270" s="104" t="n"/>
      <c r="L1270" s="104" t="n"/>
      <c r="M1270" s="104" t="n"/>
      <c r="N1270" s="104" t="n"/>
      <c r="O1270" s="104" t="n"/>
      <c r="P1270" s="104" t="n"/>
      <c r="Q1270" s="104" t="n"/>
      <c r="R1270" s="104" t="n"/>
      <c r="S1270" s="110" t="n"/>
      <c r="T1270" s="110" t="n"/>
      <c r="U1270" s="104" t="n"/>
    </row>
    <row r="1271">
      <c r="A1271" s="104" t="inlineStr">
        <is>
          <t>GUIDE001270</t>
        </is>
      </c>
      <c r="B1271" s="101" t="inlineStr">
        <is>
          <t>DEV000022</t>
        </is>
      </c>
      <c r="C1271" s="103" t="inlineStr">
        <is>
          <t>APL</t>
        </is>
      </c>
      <c r="D1271" s="103" t="inlineStr">
        <is>
          <t>PHN</t>
        </is>
      </c>
      <c r="E1271" s="60" t="inlineStr">
        <is>
          <t>iPhone 11</t>
        </is>
      </c>
      <c r="F1271" s="104" t="inlineStr">
        <is>
          <t>SVC000030</t>
        </is>
      </c>
      <c r="G1271" s="104" t="inlineStr">
        <is>
          <t>Board Diagnosis</t>
        </is>
      </c>
      <c r="H1271" s="104" t="inlineStr">
        <is>
          <t>Motherboard</t>
        </is>
      </c>
      <c r="I1271" s="104" t="n"/>
      <c r="J1271" s="104" t="n"/>
      <c r="K1271" s="104" t="n"/>
      <c r="L1271" s="104" t="n"/>
      <c r="M1271" s="104" t="n"/>
      <c r="N1271" s="104" t="n"/>
      <c r="O1271" s="104" t="n"/>
      <c r="P1271" s="104" t="n"/>
      <c r="Q1271" s="104" t="n"/>
      <c r="R1271" s="104" t="n"/>
      <c r="S1271" s="110" t="n"/>
      <c r="T1271" s="110" t="n"/>
      <c r="U1271" s="104" t="n"/>
    </row>
    <row r="1272">
      <c r="A1272" s="104" t="inlineStr">
        <is>
          <t>GUIDE001271</t>
        </is>
      </c>
      <c r="B1272" s="101" t="inlineStr">
        <is>
          <t>DEV000023</t>
        </is>
      </c>
      <c r="C1272" s="103" t="inlineStr">
        <is>
          <t>APL</t>
        </is>
      </c>
      <c r="D1272" s="103" t="inlineStr">
        <is>
          <t>PHN</t>
        </is>
      </c>
      <c r="E1272" s="60" t="inlineStr">
        <is>
          <t>iPhone 11 Pro</t>
        </is>
      </c>
      <c r="F1272" s="104" t="inlineStr">
        <is>
          <t>SVC000030</t>
        </is>
      </c>
      <c r="G1272" s="104" t="inlineStr">
        <is>
          <t>Board Diagnosis</t>
        </is>
      </c>
      <c r="H1272" s="104" t="inlineStr">
        <is>
          <t>Motherboard</t>
        </is>
      </c>
      <c r="I1272" s="104" t="n"/>
      <c r="J1272" s="104" t="n"/>
      <c r="K1272" s="104" t="n"/>
      <c r="L1272" s="104" t="n"/>
      <c r="M1272" s="104" t="n"/>
      <c r="N1272" s="104" t="n"/>
      <c r="O1272" s="104" t="n"/>
      <c r="P1272" s="104" t="n"/>
      <c r="Q1272" s="104" t="n"/>
      <c r="R1272" s="104" t="n"/>
      <c r="S1272" s="110" t="n"/>
      <c r="T1272" s="110" t="n"/>
      <c r="U1272" s="104" t="n"/>
    </row>
    <row r="1273">
      <c r="A1273" s="105" t="inlineStr">
        <is>
          <t>GUIDE001272</t>
        </is>
      </c>
      <c r="B1273" s="101" t="inlineStr">
        <is>
          <t>DEV000024</t>
        </is>
      </c>
      <c r="C1273" s="103" t="inlineStr">
        <is>
          <t>APL</t>
        </is>
      </c>
      <c r="D1273" s="103" t="inlineStr">
        <is>
          <t>PHN</t>
        </is>
      </c>
      <c r="E1273" s="60" t="inlineStr">
        <is>
          <t>iPhone 11 Pro Max</t>
        </is>
      </c>
      <c r="F1273" s="104" t="inlineStr">
        <is>
          <t>SVC000030</t>
        </is>
      </c>
      <c r="G1273" s="104" t="inlineStr">
        <is>
          <t>Board Diagnosis</t>
        </is>
      </c>
      <c r="H1273" s="104" t="inlineStr">
        <is>
          <t>Motherboard</t>
        </is>
      </c>
      <c r="I1273" s="104" t="n"/>
      <c r="J1273" s="104" t="n"/>
      <c r="K1273" s="104" t="n"/>
      <c r="L1273" s="104" t="n"/>
      <c r="M1273" s="104" t="n"/>
      <c r="N1273" s="104" t="n"/>
      <c r="O1273" s="104" t="n"/>
      <c r="P1273" s="104" t="n"/>
      <c r="Q1273" s="104" t="n"/>
      <c r="R1273" s="104" t="n"/>
      <c r="S1273" s="110" t="n"/>
      <c r="T1273" s="110" t="n"/>
      <c r="U1273" s="104" t="n"/>
    </row>
    <row r="1274">
      <c r="A1274" s="104" t="inlineStr">
        <is>
          <t>GUIDE001273</t>
        </is>
      </c>
      <c r="B1274" s="101" t="inlineStr">
        <is>
          <t>DEV000025</t>
        </is>
      </c>
      <c r="C1274" s="103" t="inlineStr">
        <is>
          <t>APL</t>
        </is>
      </c>
      <c r="D1274" s="103" t="inlineStr">
        <is>
          <t>PHN</t>
        </is>
      </c>
      <c r="E1274" s="60" t="inlineStr">
        <is>
          <t>iPhone SE (2nd Generation)</t>
        </is>
      </c>
      <c r="F1274" s="104" t="inlineStr">
        <is>
          <t>SVC000030</t>
        </is>
      </c>
      <c r="G1274" s="104" t="inlineStr">
        <is>
          <t>Board Diagnosis</t>
        </is>
      </c>
      <c r="H1274" s="104" t="inlineStr">
        <is>
          <t>Motherboard</t>
        </is>
      </c>
      <c r="I1274" s="104" t="n"/>
      <c r="J1274" s="104" t="n"/>
      <c r="K1274" s="104" t="n"/>
      <c r="L1274" s="104" t="n"/>
      <c r="M1274" s="104" t="n"/>
      <c r="N1274" s="104" t="n"/>
      <c r="O1274" s="104" t="n"/>
      <c r="P1274" s="104" t="n"/>
      <c r="Q1274" s="104" t="n"/>
      <c r="R1274" s="104" t="n"/>
      <c r="S1274" s="110" t="n"/>
      <c r="T1274" s="110" t="n"/>
      <c r="U1274" s="104" t="n"/>
    </row>
    <row r="1275">
      <c r="A1275" s="104" t="inlineStr">
        <is>
          <t>GUIDE001274</t>
        </is>
      </c>
      <c r="B1275" s="101" t="inlineStr">
        <is>
          <t>DEV000026</t>
        </is>
      </c>
      <c r="C1275" s="103" t="inlineStr">
        <is>
          <t>APL</t>
        </is>
      </c>
      <c r="D1275" s="103" t="inlineStr">
        <is>
          <t>PHN</t>
        </is>
      </c>
      <c r="E1275" s="60" t="inlineStr">
        <is>
          <t>iPhone 12 mini</t>
        </is>
      </c>
      <c r="F1275" s="104" t="inlineStr">
        <is>
          <t>SVC000030</t>
        </is>
      </c>
      <c r="G1275" s="104" t="inlineStr">
        <is>
          <t>Board Diagnosis</t>
        </is>
      </c>
      <c r="H1275" s="104" t="inlineStr">
        <is>
          <t>Motherboard</t>
        </is>
      </c>
      <c r="I1275" s="104" t="n"/>
      <c r="J1275" s="104" t="n"/>
      <c r="K1275" s="104" t="n"/>
      <c r="L1275" s="104" t="n"/>
      <c r="M1275" s="104" t="n"/>
      <c r="N1275" s="104" t="n"/>
      <c r="O1275" s="104" t="n"/>
      <c r="P1275" s="104" t="n"/>
      <c r="Q1275" s="104" t="n"/>
      <c r="R1275" s="104" t="n"/>
      <c r="S1275" s="110" t="n"/>
      <c r="T1275" s="110" t="n"/>
      <c r="U1275" s="104" t="n"/>
    </row>
    <row r="1276">
      <c r="A1276" s="104" t="inlineStr">
        <is>
          <t>GUIDE001275</t>
        </is>
      </c>
      <c r="B1276" s="101" t="inlineStr">
        <is>
          <t>DEV000027</t>
        </is>
      </c>
      <c r="C1276" s="103" t="inlineStr">
        <is>
          <t>APL</t>
        </is>
      </c>
      <c r="D1276" s="103" t="inlineStr">
        <is>
          <t>PHN</t>
        </is>
      </c>
      <c r="E1276" s="60" t="inlineStr">
        <is>
          <t>iPhone 12</t>
        </is>
      </c>
      <c r="F1276" s="104" t="inlineStr">
        <is>
          <t>SVC000030</t>
        </is>
      </c>
      <c r="G1276" s="104" t="inlineStr">
        <is>
          <t>Board Diagnosis</t>
        </is>
      </c>
      <c r="H1276" s="104" t="inlineStr">
        <is>
          <t>Motherboard</t>
        </is>
      </c>
      <c r="I1276" s="104" t="n"/>
      <c r="J1276" s="104" t="n"/>
      <c r="K1276" s="104" t="n"/>
      <c r="L1276" s="104" t="n"/>
      <c r="M1276" s="104" t="n"/>
      <c r="N1276" s="104" t="n"/>
      <c r="O1276" s="104" t="n"/>
      <c r="P1276" s="104" t="n"/>
      <c r="Q1276" s="104" t="n"/>
      <c r="R1276" s="104" t="n"/>
      <c r="S1276" s="110" t="n"/>
      <c r="T1276" s="110" t="n"/>
      <c r="U1276" s="104" t="n"/>
    </row>
    <row r="1277">
      <c r="A1277" s="104" t="inlineStr">
        <is>
          <t>GUIDE001276</t>
        </is>
      </c>
      <c r="B1277" s="101" t="inlineStr">
        <is>
          <t>DEV000028</t>
        </is>
      </c>
      <c r="C1277" s="103" t="inlineStr">
        <is>
          <t>APL</t>
        </is>
      </c>
      <c r="D1277" s="103" t="inlineStr">
        <is>
          <t>PHN</t>
        </is>
      </c>
      <c r="E1277" s="60" t="inlineStr">
        <is>
          <t>iPhone 12 Pro</t>
        </is>
      </c>
      <c r="F1277" s="104" t="inlineStr">
        <is>
          <t>SVC000030</t>
        </is>
      </c>
      <c r="G1277" s="104" t="inlineStr">
        <is>
          <t>Board Diagnosis</t>
        </is>
      </c>
      <c r="H1277" s="104" t="inlineStr">
        <is>
          <t>Motherboard</t>
        </is>
      </c>
      <c r="I1277" s="104" t="n"/>
      <c r="J1277" s="104" t="n"/>
      <c r="K1277" s="104" t="n"/>
      <c r="L1277" s="104" t="n"/>
      <c r="M1277" s="104" t="n"/>
      <c r="N1277" s="104" t="n"/>
      <c r="O1277" s="104" t="n"/>
      <c r="P1277" s="104" t="n"/>
      <c r="Q1277" s="104" t="n"/>
      <c r="R1277" s="104" t="n"/>
      <c r="S1277" s="110" t="n"/>
      <c r="T1277" s="110" t="n"/>
      <c r="U1277" s="104" t="n"/>
    </row>
    <row r="1278">
      <c r="A1278" s="104" t="inlineStr">
        <is>
          <t>GUIDE001277</t>
        </is>
      </c>
      <c r="B1278" s="101" t="inlineStr">
        <is>
          <t>DEV000029</t>
        </is>
      </c>
      <c r="C1278" s="103" t="inlineStr">
        <is>
          <t>APL</t>
        </is>
      </c>
      <c r="D1278" s="103" t="inlineStr">
        <is>
          <t>PHN</t>
        </is>
      </c>
      <c r="E1278" s="60" t="inlineStr">
        <is>
          <t>iPhone 12 Pro Max</t>
        </is>
      </c>
      <c r="F1278" s="104" t="inlineStr">
        <is>
          <t>SVC000030</t>
        </is>
      </c>
      <c r="G1278" s="104" t="inlineStr">
        <is>
          <t>Board Diagnosis</t>
        </is>
      </c>
      <c r="H1278" s="104" t="inlineStr">
        <is>
          <t>Motherboard</t>
        </is>
      </c>
      <c r="I1278" s="104" t="n"/>
      <c r="J1278" s="104" t="n"/>
      <c r="K1278" s="104" t="n"/>
      <c r="L1278" s="104" t="n"/>
      <c r="M1278" s="104" t="n"/>
      <c r="N1278" s="104" t="n"/>
      <c r="O1278" s="104" t="n"/>
      <c r="P1278" s="104" t="n"/>
      <c r="Q1278" s="104" t="n"/>
      <c r="R1278" s="104" t="n"/>
      <c r="S1278" s="110" t="n"/>
      <c r="T1278" s="110" t="n"/>
      <c r="U1278" s="104" t="n"/>
    </row>
    <row r="1279">
      <c r="A1279" s="105" t="inlineStr">
        <is>
          <t>GUIDE001278</t>
        </is>
      </c>
      <c r="B1279" s="101" t="inlineStr">
        <is>
          <t>DEV000030</t>
        </is>
      </c>
      <c r="C1279" s="103" t="inlineStr">
        <is>
          <t>APL</t>
        </is>
      </c>
      <c r="D1279" s="103" t="inlineStr">
        <is>
          <t>PHN</t>
        </is>
      </c>
      <c r="E1279" s="60" t="inlineStr">
        <is>
          <t>iPhone 13 mini</t>
        </is>
      </c>
      <c r="F1279" s="104" t="inlineStr">
        <is>
          <t>SVC000030</t>
        </is>
      </c>
      <c r="G1279" s="104" t="inlineStr">
        <is>
          <t>Board Diagnosis</t>
        </is>
      </c>
      <c r="H1279" s="104" t="inlineStr">
        <is>
          <t>Motherboard</t>
        </is>
      </c>
      <c r="I1279" s="104" t="n"/>
      <c r="J1279" s="104" t="n"/>
      <c r="K1279" s="104" t="n"/>
      <c r="L1279" s="104" t="n"/>
      <c r="M1279" s="104" t="n"/>
      <c r="N1279" s="104" t="n"/>
      <c r="O1279" s="104" t="n"/>
      <c r="P1279" s="104" t="n"/>
      <c r="Q1279" s="104" t="n"/>
      <c r="R1279" s="104" t="n"/>
      <c r="S1279" s="110" t="n"/>
      <c r="T1279" s="110" t="n"/>
      <c r="U1279" s="104" t="n"/>
    </row>
    <row r="1280">
      <c r="A1280" s="104" t="inlineStr">
        <is>
          <t>GUIDE001279</t>
        </is>
      </c>
      <c r="B1280" s="101" t="inlineStr">
        <is>
          <t>DEV000031</t>
        </is>
      </c>
      <c r="C1280" s="103" t="inlineStr">
        <is>
          <t>APL</t>
        </is>
      </c>
      <c r="D1280" s="103" t="inlineStr">
        <is>
          <t>PHN</t>
        </is>
      </c>
      <c r="E1280" s="60" t="inlineStr">
        <is>
          <t>iPhone 13</t>
        </is>
      </c>
      <c r="F1280" s="104" t="inlineStr">
        <is>
          <t>SVC000030</t>
        </is>
      </c>
      <c r="G1280" s="104" t="inlineStr">
        <is>
          <t>Board Diagnosis</t>
        </is>
      </c>
      <c r="H1280" s="104" t="inlineStr">
        <is>
          <t>Motherboard</t>
        </is>
      </c>
      <c r="I1280" s="104" t="n"/>
      <c r="J1280" s="104" t="n"/>
      <c r="K1280" s="104" t="n"/>
      <c r="L1280" s="104" t="n"/>
      <c r="M1280" s="104" t="n"/>
      <c r="N1280" s="104" t="n"/>
      <c r="O1280" s="104" t="n"/>
      <c r="P1280" s="104" t="n"/>
      <c r="Q1280" s="104" t="n"/>
      <c r="R1280" s="104" t="n"/>
      <c r="S1280" s="110" t="n"/>
      <c r="T1280" s="110" t="n"/>
      <c r="U1280" s="104" t="n"/>
    </row>
    <row r="1281">
      <c r="A1281" s="104" t="inlineStr">
        <is>
          <t>GUIDE001280</t>
        </is>
      </c>
      <c r="B1281" s="101" t="inlineStr">
        <is>
          <t>DEV000032</t>
        </is>
      </c>
      <c r="C1281" s="103" t="inlineStr">
        <is>
          <t>APL</t>
        </is>
      </c>
      <c r="D1281" s="103" t="inlineStr">
        <is>
          <t>PHN</t>
        </is>
      </c>
      <c r="E1281" s="60" t="inlineStr">
        <is>
          <t>iPhone 13 Pro</t>
        </is>
      </c>
      <c r="F1281" s="104" t="inlineStr">
        <is>
          <t>SVC000030</t>
        </is>
      </c>
      <c r="G1281" s="104" t="inlineStr">
        <is>
          <t>Board Diagnosis</t>
        </is>
      </c>
      <c r="H1281" s="104" t="inlineStr">
        <is>
          <t>Motherboard</t>
        </is>
      </c>
      <c r="I1281" s="104" t="n"/>
      <c r="J1281" s="104" t="n"/>
      <c r="K1281" s="104" t="n"/>
      <c r="L1281" s="104" t="n"/>
      <c r="M1281" s="104" t="n"/>
      <c r="N1281" s="104" t="n"/>
      <c r="O1281" s="104" t="n"/>
      <c r="P1281" s="104" t="n"/>
      <c r="Q1281" s="104" t="n"/>
      <c r="R1281" s="104" t="n"/>
      <c r="S1281" s="110" t="n"/>
      <c r="T1281" s="110" t="n"/>
      <c r="U1281" s="104" t="n"/>
    </row>
    <row r="1282">
      <c r="A1282" s="104" t="inlineStr">
        <is>
          <t>GUIDE001281</t>
        </is>
      </c>
      <c r="B1282" s="101" t="inlineStr">
        <is>
          <t>DEV000033</t>
        </is>
      </c>
      <c r="C1282" s="103" t="inlineStr">
        <is>
          <t>APL</t>
        </is>
      </c>
      <c r="D1282" s="103" t="inlineStr">
        <is>
          <t>PHN</t>
        </is>
      </c>
      <c r="E1282" s="60" t="inlineStr">
        <is>
          <t>iPhone 13 Pro Max</t>
        </is>
      </c>
      <c r="F1282" s="104" t="inlineStr">
        <is>
          <t>SVC000030</t>
        </is>
      </c>
      <c r="G1282" s="104" t="inlineStr">
        <is>
          <t>Board Diagnosis</t>
        </is>
      </c>
      <c r="H1282" s="104" t="inlineStr">
        <is>
          <t>Motherboard</t>
        </is>
      </c>
      <c r="I1282" s="104" t="n"/>
      <c r="J1282" s="104" t="n"/>
      <c r="K1282" s="104" t="n"/>
      <c r="L1282" s="104" t="n"/>
      <c r="M1282" s="104" t="n"/>
      <c r="N1282" s="104" t="n"/>
      <c r="O1282" s="104" t="n"/>
      <c r="P1282" s="104" t="n"/>
      <c r="Q1282" s="104" t="n"/>
      <c r="R1282" s="104" t="n"/>
      <c r="S1282" s="110" t="n"/>
      <c r="T1282" s="110" t="n"/>
      <c r="U1282" s="104" t="n"/>
    </row>
    <row r="1283">
      <c r="A1283" s="104" t="inlineStr">
        <is>
          <t>GUIDE001282</t>
        </is>
      </c>
      <c r="B1283" s="101" t="inlineStr">
        <is>
          <t>DEV000034</t>
        </is>
      </c>
      <c r="C1283" s="103" t="inlineStr">
        <is>
          <t>APL</t>
        </is>
      </c>
      <c r="D1283" s="103" t="inlineStr">
        <is>
          <t>PHN</t>
        </is>
      </c>
      <c r="E1283" s="60" t="inlineStr">
        <is>
          <t>iPhone SE (3rd Generation)</t>
        </is>
      </c>
      <c r="F1283" s="104" t="inlineStr">
        <is>
          <t>SVC000030</t>
        </is>
      </c>
      <c r="G1283" s="104" t="inlineStr">
        <is>
          <t>Board Diagnosis</t>
        </is>
      </c>
      <c r="H1283" s="104" t="inlineStr">
        <is>
          <t>Motherboard</t>
        </is>
      </c>
      <c r="I1283" s="104" t="n"/>
      <c r="J1283" s="104" t="n"/>
      <c r="K1283" s="104" t="n"/>
      <c r="L1283" s="104" t="n"/>
      <c r="M1283" s="104" t="n"/>
      <c r="N1283" s="104" t="n"/>
      <c r="O1283" s="104" t="n"/>
      <c r="P1283" s="104" t="n"/>
      <c r="Q1283" s="104" t="n"/>
      <c r="R1283" s="104" t="n"/>
      <c r="S1283" s="110" t="n"/>
      <c r="T1283" s="110" t="n"/>
      <c r="U1283" s="104" t="n"/>
    </row>
    <row r="1284">
      <c r="A1284" s="104" t="inlineStr">
        <is>
          <t>GUIDE001283</t>
        </is>
      </c>
      <c r="B1284" s="101" t="inlineStr">
        <is>
          <t>DEV000035</t>
        </is>
      </c>
      <c r="C1284" s="103" t="inlineStr">
        <is>
          <t>APL</t>
        </is>
      </c>
      <c r="D1284" s="103" t="inlineStr">
        <is>
          <t>PHN</t>
        </is>
      </c>
      <c r="E1284" s="60" t="inlineStr">
        <is>
          <t>iPhone 14</t>
        </is>
      </c>
      <c r="F1284" s="104" t="inlineStr">
        <is>
          <t>SVC000030</t>
        </is>
      </c>
      <c r="G1284" s="104" t="inlineStr">
        <is>
          <t>Board Diagnosis</t>
        </is>
      </c>
      <c r="H1284" s="104" t="inlineStr">
        <is>
          <t>Motherboard</t>
        </is>
      </c>
      <c r="I1284" s="104" t="n"/>
      <c r="J1284" s="104" t="n"/>
      <c r="K1284" s="104" t="n"/>
      <c r="L1284" s="104" t="n"/>
      <c r="M1284" s="104" t="n"/>
      <c r="N1284" s="104" t="n"/>
      <c r="O1284" s="104" t="n"/>
      <c r="P1284" s="104" t="n"/>
      <c r="Q1284" s="104" t="n"/>
      <c r="R1284" s="104" t="n"/>
      <c r="S1284" s="110" t="n"/>
      <c r="T1284" s="110" t="n"/>
      <c r="U1284" s="104" t="n"/>
    </row>
    <row r="1285">
      <c r="A1285" s="105" t="inlineStr">
        <is>
          <t>GUIDE001284</t>
        </is>
      </c>
      <c r="B1285" s="101" t="inlineStr">
        <is>
          <t>DEV000036</t>
        </is>
      </c>
      <c r="C1285" s="103" t="inlineStr">
        <is>
          <t>APL</t>
        </is>
      </c>
      <c r="D1285" s="103" t="inlineStr">
        <is>
          <t>PHN</t>
        </is>
      </c>
      <c r="E1285" s="60" t="inlineStr">
        <is>
          <t>iPhone 14 Plus</t>
        </is>
      </c>
      <c r="F1285" s="104" t="inlineStr">
        <is>
          <t>SVC000030</t>
        </is>
      </c>
      <c r="G1285" s="104" t="inlineStr">
        <is>
          <t>Board Diagnosis</t>
        </is>
      </c>
      <c r="H1285" s="104" t="inlineStr">
        <is>
          <t>Motherboard</t>
        </is>
      </c>
      <c r="I1285" s="104" t="n"/>
      <c r="J1285" s="104" t="n"/>
      <c r="K1285" s="104" t="n"/>
      <c r="L1285" s="104" t="n"/>
      <c r="M1285" s="104" t="n"/>
      <c r="N1285" s="104" t="n"/>
      <c r="O1285" s="104" t="n"/>
      <c r="P1285" s="104" t="n"/>
      <c r="Q1285" s="104" t="n"/>
      <c r="R1285" s="104" t="n"/>
      <c r="S1285" s="110" t="n"/>
      <c r="T1285" s="110" t="n"/>
      <c r="U1285" s="104" t="n"/>
    </row>
    <row r="1286">
      <c r="A1286" s="104" t="inlineStr">
        <is>
          <t>GUIDE001285</t>
        </is>
      </c>
      <c r="B1286" s="101" t="inlineStr">
        <is>
          <t>DEV000037</t>
        </is>
      </c>
      <c r="C1286" s="103" t="inlineStr">
        <is>
          <t>APL</t>
        </is>
      </c>
      <c r="D1286" s="103" t="inlineStr">
        <is>
          <t>PHN</t>
        </is>
      </c>
      <c r="E1286" s="60" t="inlineStr">
        <is>
          <t>iPhone 14 Pro</t>
        </is>
      </c>
      <c r="F1286" s="104" t="inlineStr">
        <is>
          <t>SVC000030</t>
        </is>
      </c>
      <c r="G1286" s="104" t="inlineStr">
        <is>
          <t>Board Diagnosis</t>
        </is>
      </c>
      <c r="H1286" s="104" t="inlineStr">
        <is>
          <t>Motherboard</t>
        </is>
      </c>
      <c r="I1286" s="104" t="n"/>
      <c r="J1286" s="104" t="n"/>
      <c r="K1286" s="104" t="n"/>
      <c r="L1286" s="104" t="n"/>
      <c r="M1286" s="104" t="n"/>
      <c r="N1286" s="104" t="n"/>
      <c r="O1286" s="104" t="n"/>
      <c r="P1286" s="104" t="n"/>
      <c r="Q1286" s="104" t="n"/>
      <c r="R1286" s="104" t="n"/>
      <c r="S1286" s="110" t="n"/>
      <c r="T1286" s="110" t="n"/>
      <c r="U1286" s="104" t="n"/>
    </row>
    <row r="1287">
      <c r="A1287" s="104" t="inlineStr">
        <is>
          <t>GUIDE001286</t>
        </is>
      </c>
      <c r="B1287" s="101" t="inlineStr">
        <is>
          <t>DEV000038</t>
        </is>
      </c>
      <c r="C1287" s="103" t="inlineStr">
        <is>
          <t>APL</t>
        </is>
      </c>
      <c r="D1287" s="103" t="inlineStr">
        <is>
          <t>PHN</t>
        </is>
      </c>
      <c r="E1287" s="60" t="inlineStr">
        <is>
          <t>iPhone 14 Pro Max</t>
        </is>
      </c>
      <c r="F1287" s="104" t="inlineStr">
        <is>
          <t>SVC000030</t>
        </is>
      </c>
      <c r="G1287" s="104" t="inlineStr">
        <is>
          <t>Board Diagnosis</t>
        </is>
      </c>
      <c r="H1287" s="104" t="inlineStr">
        <is>
          <t>Motherboard</t>
        </is>
      </c>
      <c r="I1287" s="104" t="n"/>
      <c r="J1287" s="104" t="n"/>
      <c r="K1287" s="104" t="n"/>
      <c r="L1287" s="104" t="n"/>
      <c r="M1287" s="104" t="n"/>
      <c r="N1287" s="104" t="n"/>
      <c r="O1287" s="104" t="n"/>
      <c r="P1287" s="104" t="n"/>
      <c r="Q1287" s="104" t="n"/>
      <c r="R1287" s="104" t="n"/>
      <c r="S1287" s="110" t="n"/>
      <c r="T1287" s="110" t="n"/>
      <c r="U1287" s="104" t="n"/>
    </row>
    <row r="1288">
      <c r="A1288" s="104" t="inlineStr">
        <is>
          <t>GUIDE001287</t>
        </is>
      </c>
      <c r="B1288" s="101" t="inlineStr">
        <is>
          <t>DEV000039</t>
        </is>
      </c>
      <c r="C1288" s="103" t="inlineStr">
        <is>
          <t>APL</t>
        </is>
      </c>
      <c r="D1288" s="103" t="inlineStr">
        <is>
          <t>PHN</t>
        </is>
      </c>
      <c r="E1288" s="60" t="inlineStr">
        <is>
          <t>iPhone 15</t>
        </is>
      </c>
      <c r="F1288" s="104" t="inlineStr">
        <is>
          <t>SVC000030</t>
        </is>
      </c>
      <c r="G1288" s="104" t="inlineStr">
        <is>
          <t>Board Diagnosis</t>
        </is>
      </c>
      <c r="H1288" s="104" t="inlineStr">
        <is>
          <t>Motherboard</t>
        </is>
      </c>
      <c r="I1288" s="104" t="n"/>
      <c r="J1288" s="104" t="n"/>
      <c r="K1288" s="104" t="n"/>
      <c r="L1288" s="104" t="n"/>
      <c r="M1288" s="104" t="n"/>
      <c r="N1288" s="104" t="n"/>
      <c r="O1288" s="104" t="n"/>
      <c r="P1288" s="104" t="n"/>
      <c r="Q1288" s="104" t="n"/>
      <c r="R1288" s="104" t="n"/>
      <c r="S1288" s="110" t="n"/>
      <c r="T1288" s="110" t="n"/>
      <c r="U1288" s="104" t="n"/>
    </row>
    <row r="1289">
      <c r="A1289" s="104" t="inlineStr">
        <is>
          <t>GUIDE001288</t>
        </is>
      </c>
      <c r="B1289" s="101" t="inlineStr">
        <is>
          <t>DEV000040</t>
        </is>
      </c>
      <c r="C1289" s="103" t="inlineStr">
        <is>
          <t>APL</t>
        </is>
      </c>
      <c r="D1289" s="103" t="inlineStr">
        <is>
          <t>PHN</t>
        </is>
      </c>
      <c r="E1289" s="60" t="inlineStr">
        <is>
          <t>iPhone 15 Plus</t>
        </is>
      </c>
      <c r="F1289" s="104" t="inlineStr">
        <is>
          <t>SVC000030</t>
        </is>
      </c>
      <c r="G1289" s="104" t="inlineStr">
        <is>
          <t>Board Diagnosis</t>
        </is>
      </c>
      <c r="H1289" s="104" t="inlineStr">
        <is>
          <t>Motherboard</t>
        </is>
      </c>
      <c r="I1289" s="104" t="n"/>
      <c r="J1289" s="104" t="n"/>
      <c r="K1289" s="104" t="n"/>
      <c r="L1289" s="104" t="n"/>
      <c r="M1289" s="104" t="n"/>
      <c r="N1289" s="104" t="n"/>
      <c r="O1289" s="104" t="n"/>
      <c r="P1289" s="104" t="n"/>
      <c r="Q1289" s="104" t="n"/>
      <c r="R1289" s="104" t="n"/>
      <c r="S1289" s="110" t="n"/>
      <c r="T1289" s="110" t="n"/>
      <c r="U1289" s="104" t="n"/>
    </row>
    <row r="1290">
      <c r="A1290" s="104" t="inlineStr">
        <is>
          <t>GUIDE001289</t>
        </is>
      </c>
      <c r="B1290" s="101" t="inlineStr">
        <is>
          <t>DEV000041</t>
        </is>
      </c>
      <c r="C1290" s="103" t="inlineStr">
        <is>
          <t>APL</t>
        </is>
      </c>
      <c r="D1290" s="103" t="inlineStr">
        <is>
          <t>PHN</t>
        </is>
      </c>
      <c r="E1290" s="60" t="inlineStr">
        <is>
          <t>iPhone 15 Pro</t>
        </is>
      </c>
      <c r="F1290" s="104" t="inlineStr">
        <is>
          <t>SVC000030</t>
        </is>
      </c>
      <c r="G1290" s="104" t="inlineStr">
        <is>
          <t>Board Diagnosis</t>
        </is>
      </c>
      <c r="H1290" s="104" t="inlineStr">
        <is>
          <t>Motherboard</t>
        </is>
      </c>
      <c r="I1290" s="104" t="n"/>
      <c r="J1290" s="104" t="n"/>
      <c r="K1290" s="104" t="n"/>
      <c r="L1290" s="104" t="n"/>
      <c r="M1290" s="104" t="n"/>
      <c r="N1290" s="104" t="n"/>
      <c r="O1290" s="104" t="n"/>
      <c r="P1290" s="104" t="n"/>
      <c r="Q1290" s="104" t="n"/>
      <c r="R1290" s="104" t="n"/>
      <c r="S1290" s="110" t="n"/>
      <c r="T1290" s="110" t="n"/>
      <c r="U1290" s="104" t="n"/>
    </row>
    <row r="1291">
      <c r="A1291" s="105" t="inlineStr">
        <is>
          <t>GUIDE001290</t>
        </is>
      </c>
      <c r="B1291" s="101" t="inlineStr">
        <is>
          <t>DEV000042</t>
        </is>
      </c>
      <c r="C1291" s="103" t="inlineStr">
        <is>
          <t>APL</t>
        </is>
      </c>
      <c r="D1291" s="103" t="inlineStr">
        <is>
          <t>PHN</t>
        </is>
      </c>
      <c r="E1291" s="60" t="inlineStr">
        <is>
          <t>iPhone 15 Pro Max</t>
        </is>
      </c>
      <c r="F1291" s="104" t="inlineStr">
        <is>
          <t>SVC000030</t>
        </is>
      </c>
      <c r="G1291" s="104" t="inlineStr">
        <is>
          <t>Board Diagnosis</t>
        </is>
      </c>
      <c r="H1291" s="104" t="inlineStr">
        <is>
          <t>Motherboard</t>
        </is>
      </c>
      <c r="I1291" s="104" t="n"/>
      <c r="J1291" s="104" t="n"/>
      <c r="K1291" s="104" t="n"/>
      <c r="L1291" s="104" t="n"/>
      <c r="M1291" s="104" t="n"/>
      <c r="N1291" s="104" t="n"/>
      <c r="O1291" s="104" t="n"/>
      <c r="P1291" s="104" t="n"/>
      <c r="Q1291" s="104" t="n"/>
      <c r="R1291" s="104" t="n"/>
      <c r="S1291" s="110" t="n"/>
      <c r="T1291" s="110" t="n"/>
      <c r="U1291" s="104" t="n"/>
    </row>
    <row r="1292">
      <c r="A1292" s="104" t="inlineStr">
        <is>
          <t>GUIDE001291</t>
        </is>
      </c>
      <c r="B1292" s="101" t="inlineStr">
        <is>
          <t>DEV000043</t>
        </is>
      </c>
      <c r="C1292" s="103" t="inlineStr">
        <is>
          <t>APL</t>
        </is>
      </c>
      <c r="D1292" s="103" t="inlineStr">
        <is>
          <t>PHN</t>
        </is>
      </c>
      <c r="E1292" s="60" t="inlineStr">
        <is>
          <t>iPhone 16</t>
        </is>
      </c>
      <c r="F1292" s="104" t="inlineStr">
        <is>
          <t>SVC000030</t>
        </is>
      </c>
      <c r="G1292" s="104" t="inlineStr">
        <is>
          <t>Board Diagnosis</t>
        </is>
      </c>
      <c r="H1292" s="104" t="inlineStr">
        <is>
          <t>Motherboard</t>
        </is>
      </c>
      <c r="I1292" s="104" t="n"/>
      <c r="J1292" s="104" t="n"/>
      <c r="K1292" s="104" t="n"/>
      <c r="L1292" s="104" t="n"/>
      <c r="M1292" s="104" t="n"/>
      <c r="N1292" s="104" t="n"/>
      <c r="O1292" s="104" t="n"/>
      <c r="P1292" s="104" t="n"/>
      <c r="Q1292" s="104" t="n"/>
      <c r="R1292" s="104" t="n"/>
      <c r="S1292" s="110" t="n"/>
      <c r="T1292" s="110" t="n"/>
      <c r="U1292" s="104" t="n"/>
    </row>
    <row r="1293">
      <c r="A1293" s="104" t="inlineStr">
        <is>
          <t>GUIDE001292</t>
        </is>
      </c>
      <c r="B1293" s="101" t="inlineStr">
        <is>
          <t>DEV000044</t>
        </is>
      </c>
      <c r="C1293" s="103" t="inlineStr">
        <is>
          <t>APL</t>
        </is>
      </c>
      <c r="D1293" s="103" t="inlineStr">
        <is>
          <t>PHN</t>
        </is>
      </c>
      <c r="E1293" s="60" t="inlineStr">
        <is>
          <t>iPhone 16 Plus</t>
        </is>
      </c>
      <c r="F1293" s="104" t="inlineStr">
        <is>
          <t>SVC000030</t>
        </is>
      </c>
      <c r="G1293" s="104" t="inlineStr">
        <is>
          <t>Board Diagnosis</t>
        </is>
      </c>
      <c r="H1293" s="104" t="inlineStr">
        <is>
          <t>Motherboard</t>
        </is>
      </c>
      <c r="I1293" s="104" t="n"/>
      <c r="J1293" s="104" t="n"/>
      <c r="K1293" s="104" t="n"/>
      <c r="L1293" s="104" t="n"/>
      <c r="M1293" s="104" t="n"/>
      <c r="N1293" s="104" t="n"/>
      <c r="O1293" s="104" t="n"/>
      <c r="P1293" s="104" t="n"/>
      <c r="Q1293" s="104" t="n"/>
      <c r="R1293" s="104" t="n"/>
      <c r="S1293" s="110" t="n"/>
      <c r="T1293" s="110" t="n"/>
      <c r="U1293" s="104" t="n"/>
    </row>
    <row r="1294">
      <c r="A1294" s="104" t="inlineStr">
        <is>
          <t>GUIDE001293</t>
        </is>
      </c>
      <c r="B1294" s="101" t="inlineStr">
        <is>
          <t>DEV000045</t>
        </is>
      </c>
      <c r="C1294" s="103" t="inlineStr">
        <is>
          <t>APL</t>
        </is>
      </c>
      <c r="D1294" s="103" t="inlineStr">
        <is>
          <t>PHN</t>
        </is>
      </c>
      <c r="E1294" s="60" t="inlineStr">
        <is>
          <t>iPhone 16 Pro</t>
        </is>
      </c>
      <c r="F1294" s="104" t="inlineStr">
        <is>
          <t>SVC000030</t>
        </is>
      </c>
      <c r="G1294" s="104" t="inlineStr">
        <is>
          <t>Board Diagnosis</t>
        </is>
      </c>
      <c r="H1294" s="104" t="inlineStr">
        <is>
          <t>Motherboard</t>
        </is>
      </c>
      <c r="I1294" s="104" t="n"/>
      <c r="J1294" s="104" t="n"/>
      <c r="K1294" s="104" t="n"/>
      <c r="L1294" s="104" t="n"/>
      <c r="M1294" s="104" t="n"/>
      <c r="N1294" s="104" t="n"/>
      <c r="O1294" s="104" t="n"/>
      <c r="P1294" s="104" t="n"/>
      <c r="Q1294" s="104" t="n"/>
      <c r="R1294" s="104" t="n"/>
      <c r="S1294" s="110" t="n"/>
      <c r="T1294" s="110" t="n"/>
      <c r="U1294" s="104" t="n"/>
    </row>
    <row r="1295">
      <c r="A1295" s="104" t="inlineStr">
        <is>
          <t>GUIDE001294</t>
        </is>
      </c>
      <c r="B1295" s="101" t="inlineStr">
        <is>
          <t>DEV000046</t>
        </is>
      </c>
      <c r="C1295" s="103" t="inlineStr">
        <is>
          <t>APL</t>
        </is>
      </c>
      <c r="D1295" s="103" t="inlineStr">
        <is>
          <t>PHN</t>
        </is>
      </c>
      <c r="E1295" s="60" t="inlineStr">
        <is>
          <t>iPhone 16 Pro Max</t>
        </is>
      </c>
      <c r="F1295" s="104" t="inlineStr">
        <is>
          <t>SVC000030</t>
        </is>
      </c>
      <c r="G1295" s="104" t="inlineStr">
        <is>
          <t>Board Diagnosis</t>
        </is>
      </c>
      <c r="H1295" s="104" t="inlineStr">
        <is>
          <t>Motherboard</t>
        </is>
      </c>
      <c r="I1295" s="104" t="n"/>
      <c r="J1295" s="104" t="n"/>
      <c r="K1295" s="104" t="n"/>
      <c r="L1295" s="104" t="n"/>
      <c r="M1295" s="104" t="n"/>
      <c r="N1295" s="104" t="n"/>
      <c r="O1295" s="104" t="n"/>
      <c r="P1295" s="104" t="n"/>
      <c r="Q1295" s="104" t="n"/>
      <c r="R1295" s="104" t="n"/>
      <c r="S1295" s="110" t="n"/>
      <c r="T1295" s="110" t="n"/>
      <c r="U1295" s="104" t="n"/>
    </row>
    <row r="1296">
      <c r="A1296" s="104" t="inlineStr">
        <is>
          <t>GUIDE001295</t>
        </is>
      </c>
      <c r="B1296" s="101" t="inlineStr">
        <is>
          <t>DEV000047</t>
        </is>
      </c>
      <c r="C1296" s="103" t="inlineStr">
        <is>
          <t>APL</t>
        </is>
      </c>
      <c r="D1296" s="103" t="inlineStr">
        <is>
          <t>PHN</t>
        </is>
      </c>
      <c r="E1296" s="60" t="inlineStr">
        <is>
          <t>iPhone 16e</t>
        </is>
      </c>
      <c r="F1296" s="104" t="inlineStr">
        <is>
          <t>SVC000030</t>
        </is>
      </c>
      <c r="G1296" s="104" t="inlineStr">
        <is>
          <t>Board Diagnosis</t>
        </is>
      </c>
      <c r="H1296" s="104" t="inlineStr">
        <is>
          <t>Motherboard</t>
        </is>
      </c>
      <c r="I1296" s="104" t="n"/>
      <c r="J1296" s="104" t="n"/>
      <c r="K1296" s="104" t="n"/>
      <c r="L1296" s="104" t="n"/>
      <c r="M1296" s="104" t="n"/>
      <c r="N1296" s="104" t="n"/>
      <c r="O1296" s="104" t="n"/>
      <c r="P1296" s="104" t="n"/>
      <c r="Q1296" s="104" t="n"/>
      <c r="R1296" s="104" t="n"/>
      <c r="S1296" s="110" t="n"/>
      <c r="T1296" s="110" t="n"/>
      <c r="U1296" s="104" t="n"/>
    </row>
    <row r="1297">
      <c r="A1297" s="105" t="inlineStr">
        <is>
          <t>GUIDE001296</t>
        </is>
      </c>
      <c r="B1297" s="101" t="inlineStr">
        <is>
          <t>DEV000048</t>
        </is>
      </c>
      <c r="C1297" s="103" t="inlineStr">
        <is>
          <t>APL</t>
        </is>
      </c>
      <c r="D1297" s="103" t="inlineStr">
        <is>
          <t>PHN</t>
        </is>
      </c>
      <c r="E1297" s="60" t="inlineStr">
        <is>
          <t>iPhone 17</t>
        </is>
      </c>
      <c r="F1297" s="104" t="inlineStr">
        <is>
          <t>SVC000030</t>
        </is>
      </c>
      <c r="G1297" s="104" t="inlineStr">
        <is>
          <t>Board Diagnosis</t>
        </is>
      </c>
      <c r="H1297" s="104" t="inlineStr">
        <is>
          <t>Motherboard</t>
        </is>
      </c>
      <c r="I1297" s="104" t="n"/>
      <c r="J1297" s="104" t="n"/>
      <c r="K1297" s="104" t="n"/>
      <c r="L1297" s="104" t="n"/>
      <c r="M1297" s="104" t="n"/>
      <c r="N1297" s="104" t="n"/>
      <c r="O1297" s="104" t="n"/>
      <c r="P1297" s="104" t="n"/>
      <c r="Q1297" s="104" t="n"/>
      <c r="R1297" s="104" t="n"/>
      <c r="S1297" s="110" t="n"/>
      <c r="T1297" s="110" t="n"/>
      <c r="U1297" s="104" t="n"/>
    </row>
    <row r="1298">
      <c r="A1298" s="104" t="inlineStr">
        <is>
          <t>GUIDE001297</t>
        </is>
      </c>
      <c r="B1298" s="101" t="inlineStr">
        <is>
          <t>DEV000049</t>
        </is>
      </c>
      <c r="C1298" s="103" t="inlineStr">
        <is>
          <t>APL</t>
        </is>
      </c>
      <c r="D1298" s="103" t="inlineStr">
        <is>
          <t>PHN</t>
        </is>
      </c>
      <c r="E1298" s="60" t="inlineStr">
        <is>
          <t>iPhone 17 Pro</t>
        </is>
      </c>
      <c r="F1298" s="104" t="inlineStr">
        <is>
          <t>SVC000030</t>
        </is>
      </c>
      <c r="G1298" s="104" t="inlineStr">
        <is>
          <t>Board Diagnosis</t>
        </is>
      </c>
      <c r="H1298" s="104" t="inlineStr">
        <is>
          <t>Motherboard</t>
        </is>
      </c>
      <c r="I1298" s="104" t="n"/>
      <c r="J1298" s="104" t="n"/>
      <c r="K1298" s="104" t="n"/>
      <c r="L1298" s="104" t="n"/>
      <c r="M1298" s="104" t="n"/>
      <c r="N1298" s="104" t="n"/>
      <c r="O1298" s="104" t="n"/>
      <c r="P1298" s="104" t="n"/>
      <c r="Q1298" s="104" t="n"/>
      <c r="R1298" s="104" t="n"/>
      <c r="S1298" s="110" t="n"/>
      <c r="T1298" s="110" t="n"/>
      <c r="U1298" s="104" t="n"/>
    </row>
    <row r="1299">
      <c r="A1299" s="104" t="inlineStr">
        <is>
          <t>GUIDE001298</t>
        </is>
      </c>
      <c r="B1299" s="101" t="inlineStr">
        <is>
          <t>DEV000050</t>
        </is>
      </c>
      <c r="C1299" s="103" t="inlineStr">
        <is>
          <t>APL</t>
        </is>
      </c>
      <c r="D1299" s="103" t="inlineStr">
        <is>
          <t>PHN</t>
        </is>
      </c>
      <c r="E1299" s="60" t="inlineStr">
        <is>
          <t>iPhone 17 Pro Max</t>
        </is>
      </c>
      <c r="F1299" s="104" t="inlineStr">
        <is>
          <t>SVC000030</t>
        </is>
      </c>
      <c r="G1299" s="104" t="inlineStr">
        <is>
          <t>Board Diagnosis</t>
        </is>
      </c>
      <c r="H1299" s="104" t="inlineStr">
        <is>
          <t>Motherboard</t>
        </is>
      </c>
      <c r="I1299" s="104" t="n"/>
      <c r="J1299" s="104" t="n"/>
      <c r="K1299" s="104" t="n"/>
      <c r="L1299" s="104" t="n"/>
      <c r="M1299" s="104" t="n"/>
      <c r="N1299" s="104" t="n"/>
      <c r="O1299" s="104" t="n"/>
      <c r="P1299" s="104" t="n"/>
      <c r="Q1299" s="104" t="n"/>
      <c r="R1299" s="104" t="n"/>
      <c r="S1299" s="110" t="n"/>
      <c r="T1299" s="110" t="n"/>
      <c r="U1299" s="104" t="n"/>
    </row>
    <row r="1300">
      <c r="A1300" s="104" t="inlineStr">
        <is>
          <t>GUIDE001299</t>
        </is>
      </c>
      <c r="B1300" s="101" t="inlineStr">
        <is>
          <t>DEV000051</t>
        </is>
      </c>
      <c r="C1300" s="103" t="inlineStr">
        <is>
          <t>APL</t>
        </is>
      </c>
      <c r="D1300" s="103" t="inlineStr">
        <is>
          <t>PHN</t>
        </is>
      </c>
      <c r="E1300" s="60" t="inlineStr">
        <is>
          <t>iPhone Air</t>
        </is>
      </c>
      <c r="F1300" s="104" t="inlineStr">
        <is>
          <t>SVC000030</t>
        </is>
      </c>
      <c r="G1300" s="104" t="inlineStr">
        <is>
          <t>Board Diagnosis</t>
        </is>
      </c>
      <c r="H1300" s="104" t="inlineStr">
        <is>
          <t>Motherboard</t>
        </is>
      </c>
      <c r="I1300" s="104" t="n"/>
      <c r="J1300" s="104" t="n"/>
      <c r="K1300" s="104" t="n"/>
      <c r="L1300" s="104" t="n"/>
      <c r="M1300" s="104" t="n"/>
      <c r="N1300" s="104" t="n"/>
      <c r="O1300" s="104" t="n"/>
      <c r="P1300" s="104" t="n"/>
      <c r="Q1300" s="104" t="n"/>
      <c r="R1300" s="104" t="n"/>
      <c r="S1300" s="110" t="n"/>
      <c r="T1300" s="110" t="n"/>
      <c r="U1300" s="104" t="n"/>
    </row>
    <row r="1301">
      <c r="A1301" s="104" t="inlineStr">
        <is>
          <t>GUIDE001300</t>
        </is>
      </c>
      <c r="B1301" s="101" t="inlineStr">
        <is>
          <t>DEV000052</t>
        </is>
      </c>
      <c r="C1301" s="103" t="inlineStr">
        <is>
          <t>APL</t>
        </is>
      </c>
      <c r="D1301" s="103" t="inlineStr">
        <is>
          <t>PHN</t>
        </is>
      </c>
      <c r="E1301" s="60" t="inlineStr">
        <is>
          <t>iPhone 17e</t>
        </is>
      </c>
      <c r="F1301" s="104" t="inlineStr">
        <is>
          <t>SVC000030</t>
        </is>
      </c>
      <c r="G1301" s="104" t="inlineStr">
        <is>
          <t>Board Diagnosis</t>
        </is>
      </c>
      <c r="H1301" s="104" t="inlineStr">
        <is>
          <t>Motherboard</t>
        </is>
      </c>
      <c r="I1301" s="104" t="n"/>
      <c r="J1301" s="104" t="n"/>
      <c r="K1301" s="104" t="n"/>
      <c r="L1301" s="104" t="n"/>
      <c r="M1301" s="104" t="n"/>
      <c r="N1301" s="104" t="n"/>
      <c r="O1301" s="104" t="n"/>
      <c r="P1301" s="104" t="n"/>
      <c r="Q1301" s="104" t="n"/>
      <c r="R1301" s="104" t="n"/>
      <c r="S1301" s="110" t="n"/>
      <c r="T1301" s="110" t="n"/>
      <c r="U1301" s="104" t="n"/>
    </row>
    <row r="1302">
      <c r="A1302" s="104" t="inlineStr">
        <is>
          <t>GUIDE001301</t>
        </is>
      </c>
      <c r="B1302" s="101" t="inlineStr">
        <is>
          <t>DEV000001</t>
        </is>
      </c>
      <c r="C1302" s="103" t="inlineStr">
        <is>
          <t>APL</t>
        </is>
      </c>
      <c r="D1302" s="103" t="inlineStr">
        <is>
          <t>PHN</t>
        </is>
      </c>
      <c r="E1302" s="60" t="inlineStr">
        <is>
          <t>iPhone (2G)</t>
        </is>
      </c>
      <c r="F1302" s="104" t="inlineStr">
        <is>
          <t>SVC000034</t>
        </is>
      </c>
      <c r="G1302" s="104" t="inlineStr">
        <is>
          <t>Software Repair</t>
        </is>
      </c>
      <c r="H1302" s="104" t="inlineStr">
        <is>
          <t>Software</t>
        </is>
      </c>
      <c r="I1302" s="104" t="n"/>
      <c r="J1302" s="104" t="n"/>
      <c r="K1302" s="104" t="n"/>
      <c r="L1302" s="104" t="n"/>
      <c r="M1302" s="104" t="n"/>
      <c r="N1302" s="104" t="n"/>
      <c r="O1302" s="104" t="n"/>
      <c r="P1302" s="104" t="n"/>
      <c r="Q1302" s="104" t="n"/>
      <c r="R1302" s="104" t="n"/>
      <c r="S1302" s="110" t="n"/>
      <c r="T1302" s="110" t="n"/>
      <c r="U1302" s="104" t="n"/>
    </row>
    <row r="1303">
      <c r="A1303" s="105" t="inlineStr">
        <is>
          <t>GUIDE001302</t>
        </is>
      </c>
      <c r="B1303" s="101" t="inlineStr">
        <is>
          <t>DEV000002</t>
        </is>
      </c>
      <c r="C1303" s="103" t="inlineStr">
        <is>
          <t>APL</t>
        </is>
      </c>
      <c r="D1303" s="103" t="inlineStr">
        <is>
          <t>PHN</t>
        </is>
      </c>
      <c r="E1303" s="60" t="inlineStr">
        <is>
          <t>iPhone 3G</t>
        </is>
      </c>
      <c r="F1303" s="104" t="inlineStr">
        <is>
          <t>SVC000034</t>
        </is>
      </c>
      <c r="G1303" s="104" t="inlineStr">
        <is>
          <t>Software Repair</t>
        </is>
      </c>
      <c r="H1303" s="104" t="inlineStr">
        <is>
          <t>Software</t>
        </is>
      </c>
      <c r="I1303" s="104" t="n"/>
      <c r="J1303" s="104" t="n"/>
      <c r="K1303" s="104" t="n"/>
      <c r="L1303" s="104" t="n"/>
      <c r="M1303" s="104" t="n"/>
      <c r="N1303" s="104" t="n"/>
      <c r="O1303" s="104" t="n"/>
      <c r="P1303" s="104" t="n"/>
      <c r="Q1303" s="104" t="n"/>
      <c r="R1303" s="104" t="n"/>
      <c r="S1303" s="110" t="n"/>
      <c r="T1303" s="110" t="n"/>
      <c r="U1303" s="104" t="n"/>
    </row>
    <row r="1304">
      <c r="A1304" s="104" t="inlineStr">
        <is>
          <t>GUIDE001303</t>
        </is>
      </c>
      <c r="B1304" s="101" t="inlineStr">
        <is>
          <t>DEV000003</t>
        </is>
      </c>
      <c r="C1304" s="103" t="inlineStr">
        <is>
          <t>APL</t>
        </is>
      </c>
      <c r="D1304" s="103" t="inlineStr">
        <is>
          <t>PHN</t>
        </is>
      </c>
      <c r="E1304" s="60" t="inlineStr">
        <is>
          <t>iPhone 3GS</t>
        </is>
      </c>
      <c r="F1304" s="104" t="inlineStr">
        <is>
          <t>SVC000034</t>
        </is>
      </c>
      <c r="G1304" s="104" t="inlineStr">
        <is>
          <t>Software Repair</t>
        </is>
      </c>
      <c r="H1304" s="104" t="inlineStr">
        <is>
          <t>Software</t>
        </is>
      </c>
      <c r="I1304" s="104" t="n"/>
      <c r="J1304" s="104" t="n"/>
      <c r="K1304" s="104" t="n"/>
      <c r="L1304" s="104" t="n"/>
      <c r="M1304" s="104" t="n"/>
      <c r="N1304" s="104" t="n"/>
      <c r="O1304" s="104" t="n"/>
      <c r="P1304" s="104" t="n"/>
      <c r="Q1304" s="104" t="n"/>
      <c r="R1304" s="104" t="n"/>
      <c r="S1304" s="110" t="n"/>
      <c r="T1304" s="110" t="n"/>
      <c r="U1304" s="104" t="n"/>
    </row>
    <row r="1305">
      <c r="A1305" s="104" t="inlineStr">
        <is>
          <t>GUIDE001304</t>
        </is>
      </c>
      <c r="B1305" s="101" t="inlineStr">
        <is>
          <t>DEV000004</t>
        </is>
      </c>
      <c r="C1305" s="103" t="inlineStr">
        <is>
          <t>APL</t>
        </is>
      </c>
      <c r="D1305" s="103" t="inlineStr">
        <is>
          <t>PHN</t>
        </is>
      </c>
      <c r="E1305" s="60" t="inlineStr">
        <is>
          <t>iPhone 4</t>
        </is>
      </c>
      <c r="F1305" s="104" t="inlineStr">
        <is>
          <t>SVC000034</t>
        </is>
      </c>
      <c r="G1305" s="104" t="inlineStr">
        <is>
          <t>Software Repair</t>
        </is>
      </c>
      <c r="H1305" s="104" t="inlineStr">
        <is>
          <t>Software</t>
        </is>
      </c>
      <c r="I1305" s="104" t="n"/>
      <c r="J1305" s="104" t="n"/>
      <c r="K1305" s="104" t="n"/>
      <c r="L1305" s="104" t="n"/>
      <c r="M1305" s="104" t="n"/>
      <c r="N1305" s="104" t="n"/>
      <c r="O1305" s="104" t="n"/>
      <c r="P1305" s="104" t="n"/>
      <c r="Q1305" s="104" t="n"/>
      <c r="R1305" s="104" t="n"/>
      <c r="S1305" s="110" t="n"/>
      <c r="T1305" s="110" t="n"/>
      <c r="U1305" s="104" t="n"/>
    </row>
    <row r="1306">
      <c r="A1306" s="104" t="inlineStr">
        <is>
          <t>GUIDE001305</t>
        </is>
      </c>
      <c r="B1306" s="101" t="inlineStr">
        <is>
          <t>DEV000005</t>
        </is>
      </c>
      <c r="C1306" s="103" t="inlineStr">
        <is>
          <t>APL</t>
        </is>
      </c>
      <c r="D1306" s="103" t="inlineStr">
        <is>
          <t>PHN</t>
        </is>
      </c>
      <c r="E1306" s="60" t="inlineStr">
        <is>
          <t>iPhone 4s</t>
        </is>
      </c>
      <c r="F1306" s="104" t="inlineStr">
        <is>
          <t>SVC000034</t>
        </is>
      </c>
      <c r="G1306" s="104" t="inlineStr">
        <is>
          <t>Software Repair</t>
        </is>
      </c>
      <c r="H1306" s="104" t="inlineStr">
        <is>
          <t>Software</t>
        </is>
      </c>
      <c r="I1306" s="104" t="n"/>
      <c r="J1306" s="104" t="n"/>
      <c r="K1306" s="104" t="n"/>
      <c r="L1306" s="104" t="n"/>
      <c r="M1306" s="104" t="n"/>
      <c r="N1306" s="104" t="n"/>
      <c r="O1306" s="104" t="n"/>
      <c r="P1306" s="104" t="n"/>
      <c r="Q1306" s="104" t="n"/>
      <c r="R1306" s="104" t="n"/>
      <c r="S1306" s="110" t="n"/>
      <c r="T1306" s="110" t="n"/>
      <c r="U1306" s="104" t="n"/>
    </row>
    <row r="1307">
      <c r="A1307" s="104" t="inlineStr">
        <is>
          <t>GUIDE001306</t>
        </is>
      </c>
      <c r="B1307" s="101" t="inlineStr">
        <is>
          <t>DEV000006</t>
        </is>
      </c>
      <c r="C1307" s="103" t="inlineStr">
        <is>
          <t>APL</t>
        </is>
      </c>
      <c r="D1307" s="103" t="inlineStr">
        <is>
          <t>PHN</t>
        </is>
      </c>
      <c r="E1307" s="60" t="inlineStr">
        <is>
          <t>iPhone 5</t>
        </is>
      </c>
      <c r="F1307" s="104" t="inlineStr">
        <is>
          <t>SVC000034</t>
        </is>
      </c>
      <c r="G1307" s="104" t="inlineStr">
        <is>
          <t>Software Repair</t>
        </is>
      </c>
      <c r="H1307" s="104" t="inlineStr">
        <is>
          <t>Software</t>
        </is>
      </c>
      <c r="I1307" s="104" t="n"/>
      <c r="J1307" s="104" t="n"/>
      <c r="K1307" s="104" t="n"/>
      <c r="L1307" s="104" t="n"/>
      <c r="M1307" s="104" t="n"/>
      <c r="N1307" s="104" t="n"/>
      <c r="O1307" s="104" t="n"/>
      <c r="P1307" s="104" t="n"/>
      <c r="Q1307" s="104" t="n"/>
      <c r="R1307" s="104" t="n"/>
      <c r="S1307" s="110" t="n"/>
      <c r="T1307" s="110" t="n"/>
      <c r="U1307" s="104" t="n"/>
    </row>
    <row r="1308">
      <c r="A1308" s="104" t="inlineStr">
        <is>
          <t>GUIDE001307</t>
        </is>
      </c>
      <c r="B1308" s="101" t="inlineStr">
        <is>
          <t>DEV000007</t>
        </is>
      </c>
      <c r="C1308" s="103" t="inlineStr">
        <is>
          <t>APL</t>
        </is>
      </c>
      <c r="D1308" s="103" t="inlineStr">
        <is>
          <t>PHN</t>
        </is>
      </c>
      <c r="E1308" s="60" t="inlineStr">
        <is>
          <t>iPhone 5c</t>
        </is>
      </c>
      <c r="F1308" s="104" t="inlineStr">
        <is>
          <t>SVC000034</t>
        </is>
      </c>
      <c r="G1308" s="104" t="inlineStr">
        <is>
          <t>Software Repair</t>
        </is>
      </c>
      <c r="H1308" s="104" t="inlineStr">
        <is>
          <t>Software</t>
        </is>
      </c>
      <c r="I1308" s="104" t="n"/>
      <c r="J1308" s="104" t="n"/>
      <c r="K1308" s="104" t="n"/>
      <c r="L1308" s="104" t="n"/>
      <c r="M1308" s="104" t="n"/>
      <c r="N1308" s="104" t="n"/>
      <c r="O1308" s="104" t="n"/>
      <c r="P1308" s="104" t="n"/>
      <c r="Q1308" s="104" t="n"/>
      <c r="R1308" s="104" t="n"/>
      <c r="S1308" s="110" t="n"/>
      <c r="T1308" s="110" t="n"/>
      <c r="U1308" s="104" t="n"/>
    </row>
    <row r="1309">
      <c r="A1309" s="105" t="inlineStr">
        <is>
          <t>GUIDE001308</t>
        </is>
      </c>
      <c r="B1309" s="101" t="inlineStr">
        <is>
          <t>DEV000008</t>
        </is>
      </c>
      <c r="C1309" s="103" t="inlineStr">
        <is>
          <t>APL</t>
        </is>
      </c>
      <c r="D1309" s="103" t="inlineStr">
        <is>
          <t>PHN</t>
        </is>
      </c>
      <c r="E1309" s="60" t="inlineStr">
        <is>
          <t>iPhone 5s</t>
        </is>
      </c>
      <c r="F1309" s="104" t="inlineStr">
        <is>
          <t>SVC000034</t>
        </is>
      </c>
      <c r="G1309" s="104" t="inlineStr">
        <is>
          <t>Software Repair</t>
        </is>
      </c>
      <c r="H1309" s="104" t="inlineStr">
        <is>
          <t>Software</t>
        </is>
      </c>
      <c r="I1309" s="104" t="n"/>
      <c r="J1309" s="104" t="n"/>
      <c r="K1309" s="104" t="n"/>
      <c r="L1309" s="104" t="n"/>
      <c r="M1309" s="104" t="n"/>
      <c r="N1309" s="104" t="n"/>
      <c r="O1309" s="104" t="n"/>
      <c r="P1309" s="104" t="n"/>
      <c r="Q1309" s="104" t="n"/>
      <c r="R1309" s="104" t="n"/>
      <c r="S1309" s="110" t="n"/>
      <c r="T1309" s="110" t="n"/>
      <c r="U1309" s="104" t="n"/>
    </row>
    <row r="1310">
      <c r="A1310" s="104" t="inlineStr">
        <is>
          <t>GUIDE001309</t>
        </is>
      </c>
      <c r="B1310" s="101" t="inlineStr">
        <is>
          <t>DEV000009</t>
        </is>
      </c>
      <c r="C1310" s="103" t="inlineStr">
        <is>
          <t>APL</t>
        </is>
      </c>
      <c r="D1310" s="103" t="inlineStr">
        <is>
          <t>PHN</t>
        </is>
      </c>
      <c r="E1310" s="60" t="inlineStr">
        <is>
          <t>iPhone 6</t>
        </is>
      </c>
      <c r="F1310" s="104" t="inlineStr">
        <is>
          <t>SVC000034</t>
        </is>
      </c>
      <c r="G1310" s="104" t="inlineStr">
        <is>
          <t>Software Repair</t>
        </is>
      </c>
      <c r="H1310" s="104" t="inlineStr">
        <is>
          <t>Software</t>
        </is>
      </c>
      <c r="I1310" s="104" t="n"/>
      <c r="J1310" s="104" t="n"/>
      <c r="K1310" s="104" t="n"/>
      <c r="L1310" s="104" t="n"/>
      <c r="M1310" s="104" t="n"/>
      <c r="N1310" s="104" t="n"/>
      <c r="O1310" s="104" t="n"/>
      <c r="P1310" s="104" t="n"/>
      <c r="Q1310" s="104" t="n"/>
      <c r="R1310" s="104" t="n"/>
      <c r="S1310" s="110" t="n"/>
      <c r="T1310" s="110" t="n"/>
      <c r="U1310" s="104" t="n"/>
    </row>
    <row r="1311">
      <c r="A1311" s="104" t="inlineStr">
        <is>
          <t>GUIDE001310</t>
        </is>
      </c>
      <c r="B1311" s="101" t="inlineStr">
        <is>
          <t>DEV000010</t>
        </is>
      </c>
      <c r="C1311" s="103" t="inlineStr">
        <is>
          <t>APL</t>
        </is>
      </c>
      <c r="D1311" s="103" t="inlineStr">
        <is>
          <t>PHN</t>
        </is>
      </c>
      <c r="E1311" s="60" t="inlineStr">
        <is>
          <t>iPhone 6 Plus</t>
        </is>
      </c>
      <c r="F1311" s="104" t="inlineStr">
        <is>
          <t>SVC000034</t>
        </is>
      </c>
      <c r="G1311" s="104" t="inlineStr">
        <is>
          <t>Software Repair</t>
        </is>
      </c>
      <c r="H1311" s="104" t="inlineStr">
        <is>
          <t>Software</t>
        </is>
      </c>
      <c r="I1311" s="104" t="n"/>
      <c r="J1311" s="104" t="n"/>
      <c r="K1311" s="104" t="n"/>
      <c r="L1311" s="104" t="n"/>
      <c r="M1311" s="104" t="n"/>
      <c r="N1311" s="104" t="n"/>
      <c r="O1311" s="104" t="n"/>
      <c r="P1311" s="104" t="n"/>
      <c r="Q1311" s="104" t="n"/>
      <c r="R1311" s="104" t="n"/>
      <c r="S1311" s="110" t="n"/>
      <c r="T1311" s="110" t="n"/>
      <c r="U1311" s="104" t="n"/>
    </row>
    <row r="1312">
      <c r="A1312" s="104" t="inlineStr">
        <is>
          <t>GUIDE001311</t>
        </is>
      </c>
      <c r="B1312" s="101" t="inlineStr">
        <is>
          <t>DEV000011</t>
        </is>
      </c>
      <c r="C1312" s="103" t="inlineStr">
        <is>
          <t>APL</t>
        </is>
      </c>
      <c r="D1312" s="103" t="inlineStr">
        <is>
          <t>PHN</t>
        </is>
      </c>
      <c r="E1312" s="60" t="inlineStr">
        <is>
          <t>iPhone 6s</t>
        </is>
      </c>
      <c r="F1312" s="104" t="inlineStr">
        <is>
          <t>SVC000034</t>
        </is>
      </c>
      <c r="G1312" s="104" t="inlineStr">
        <is>
          <t>Software Repair</t>
        </is>
      </c>
      <c r="H1312" s="104" t="inlineStr">
        <is>
          <t>Software</t>
        </is>
      </c>
      <c r="I1312" s="104" t="n"/>
      <c r="J1312" s="104" t="n"/>
      <c r="K1312" s="104" t="n"/>
      <c r="L1312" s="104" t="n"/>
      <c r="M1312" s="104" t="n"/>
      <c r="N1312" s="104" t="n"/>
      <c r="O1312" s="104" t="n"/>
      <c r="P1312" s="104" t="n"/>
      <c r="Q1312" s="104" t="n"/>
      <c r="R1312" s="104" t="n"/>
      <c r="S1312" s="110" t="n"/>
      <c r="T1312" s="110" t="n"/>
      <c r="U1312" s="104" t="n"/>
    </row>
    <row r="1313">
      <c r="A1313" s="104" t="inlineStr">
        <is>
          <t>GUIDE001312</t>
        </is>
      </c>
      <c r="B1313" s="101" t="inlineStr">
        <is>
          <t>DEV000012</t>
        </is>
      </c>
      <c r="C1313" s="103" t="inlineStr">
        <is>
          <t>APL</t>
        </is>
      </c>
      <c r="D1313" s="103" t="inlineStr">
        <is>
          <t>PHN</t>
        </is>
      </c>
      <c r="E1313" s="60" t="inlineStr">
        <is>
          <t>iPhone 6s Plus</t>
        </is>
      </c>
      <c r="F1313" s="104" t="inlineStr">
        <is>
          <t>SVC000034</t>
        </is>
      </c>
      <c r="G1313" s="104" t="inlineStr">
        <is>
          <t>Software Repair</t>
        </is>
      </c>
      <c r="H1313" s="104" t="inlineStr">
        <is>
          <t>Software</t>
        </is>
      </c>
      <c r="I1313" s="104" t="n"/>
      <c r="J1313" s="104" t="n"/>
      <c r="K1313" s="104" t="n"/>
      <c r="L1313" s="104" t="n"/>
      <c r="M1313" s="104" t="n"/>
      <c r="N1313" s="104" t="n"/>
      <c r="O1313" s="104" t="n"/>
      <c r="P1313" s="104" t="n"/>
      <c r="Q1313" s="104" t="n"/>
      <c r="R1313" s="104" t="n"/>
      <c r="S1313" s="110" t="n"/>
      <c r="T1313" s="110" t="n"/>
      <c r="U1313" s="104" t="n"/>
    </row>
    <row r="1314">
      <c r="A1314" s="104" t="inlineStr">
        <is>
          <t>GUIDE001313</t>
        </is>
      </c>
      <c r="B1314" s="101" t="inlineStr">
        <is>
          <t>DEV000013</t>
        </is>
      </c>
      <c r="C1314" s="103" t="inlineStr">
        <is>
          <t>APL</t>
        </is>
      </c>
      <c r="D1314" s="103" t="inlineStr">
        <is>
          <t>PHN</t>
        </is>
      </c>
      <c r="E1314" s="60" t="inlineStr">
        <is>
          <t>iPhone SE (1st Gen)</t>
        </is>
      </c>
      <c r="F1314" s="104" t="inlineStr">
        <is>
          <t>SVC000034</t>
        </is>
      </c>
      <c r="G1314" s="104" t="inlineStr">
        <is>
          <t>Software Repair</t>
        </is>
      </c>
      <c r="H1314" s="104" t="inlineStr">
        <is>
          <t>Software</t>
        </is>
      </c>
      <c r="I1314" s="104" t="n"/>
      <c r="J1314" s="104" t="n"/>
      <c r="K1314" s="104" t="n"/>
      <c r="L1314" s="104" t="n"/>
      <c r="M1314" s="104" t="n"/>
      <c r="N1314" s="104" t="n"/>
      <c r="O1314" s="104" t="n"/>
      <c r="P1314" s="104" t="n"/>
      <c r="Q1314" s="104" t="n"/>
      <c r="R1314" s="104" t="n"/>
      <c r="S1314" s="110" t="n"/>
      <c r="T1314" s="110" t="n"/>
      <c r="U1314" s="104" t="n"/>
    </row>
    <row r="1315">
      <c r="A1315" s="105" t="inlineStr">
        <is>
          <t>GUIDE001314</t>
        </is>
      </c>
      <c r="B1315" s="101" t="inlineStr">
        <is>
          <t>DEV000014</t>
        </is>
      </c>
      <c r="C1315" s="103" t="inlineStr">
        <is>
          <t>APL</t>
        </is>
      </c>
      <c r="D1315" s="103" t="inlineStr">
        <is>
          <t>PHN</t>
        </is>
      </c>
      <c r="E1315" s="60" t="inlineStr">
        <is>
          <t>iPhone 7</t>
        </is>
      </c>
      <c r="F1315" s="104" t="inlineStr">
        <is>
          <t>SVC000034</t>
        </is>
      </c>
      <c r="G1315" s="104" t="inlineStr">
        <is>
          <t>Software Repair</t>
        </is>
      </c>
      <c r="H1315" s="104" t="inlineStr">
        <is>
          <t>Software</t>
        </is>
      </c>
      <c r="I1315" s="104" t="n"/>
      <c r="J1315" s="104" t="n"/>
      <c r="K1315" s="104" t="n"/>
      <c r="L1315" s="104" t="n"/>
      <c r="M1315" s="104" t="n"/>
      <c r="N1315" s="104" t="n"/>
      <c r="O1315" s="104" t="n"/>
      <c r="P1315" s="104" t="n"/>
      <c r="Q1315" s="104" t="n"/>
      <c r="R1315" s="104" t="n"/>
      <c r="S1315" s="110" t="n"/>
      <c r="T1315" s="110" t="n"/>
      <c r="U1315" s="104" t="n"/>
    </row>
    <row r="1316">
      <c r="A1316" s="104" t="inlineStr">
        <is>
          <t>GUIDE001315</t>
        </is>
      </c>
      <c r="B1316" s="101" t="inlineStr">
        <is>
          <t>DEV000015</t>
        </is>
      </c>
      <c r="C1316" s="103" t="inlineStr">
        <is>
          <t>APL</t>
        </is>
      </c>
      <c r="D1316" s="103" t="inlineStr">
        <is>
          <t>PHN</t>
        </is>
      </c>
      <c r="E1316" s="60" t="inlineStr">
        <is>
          <t>iPhone 7 Plus</t>
        </is>
      </c>
      <c r="F1316" s="104" t="inlineStr">
        <is>
          <t>SVC000034</t>
        </is>
      </c>
      <c r="G1316" s="104" t="inlineStr">
        <is>
          <t>Software Repair</t>
        </is>
      </c>
      <c r="H1316" s="104" t="inlineStr">
        <is>
          <t>Software</t>
        </is>
      </c>
      <c r="I1316" s="104" t="n"/>
      <c r="J1316" s="104" t="n"/>
      <c r="K1316" s="104" t="n"/>
      <c r="L1316" s="104" t="n"/>
      <c r="M1316" s="104" t="n"/>
      <c r="N1316" s="104" t="n"/>
      <c r="O1316" s="104" t="n"/>
      <c r="P1316" s="104" t="n"/>
      <c r="Q1316" s="104" t="n"/>
      <c r="R1316" s="104" t="n"/>
      <c r="S1316" s="110" t="n"/>
      <c r="T1316" s="110" t="n"/>
      <c r="U1316" s="104" t="n"/>
    </row>
    <row r="1317">
      <c r="A1317" s="104" t="inlineStr">
        <is>
          <t>GUIDE001316</t>
        </is>
      </c>
      <c r="B1317" s="101" t="inlineStr">
        <is>
          <t>DEV000016</t>
        </is>
      </c>
      <c r="C1317" s="103" t="inlineStr">
        <is>
          <t>APL</t>
        </is>
      </c>
      <c r="D1317" s="103" t="inlineStr">
        <is>
          <t>PHN</t>
        </is>
      </c>
      <c r="E1317" s="60" t="inlineStr">
        <is>
          <t>iPhone 8</t>
        </is>
      </c>
      <c r="F1317" s="104" t="inlineStr">
        <is>
          <t>SVC000034</t>
        </is>
      </c>
      <c r="G1317" s="104" t="inlineStr">
        <is>
          <t>Software Repair</t>
        </is>
      </c>
      <c r="H1317" s="104" t="inlineStr">
        <is>
          <t>Software</t>
        </is>
      </c>
      <c r="I1317" s="104" t="n"/>
      <c r="J1317" s="104" t="n"/>
      <c r="K1317" s="104" t="n"/>
      <c r="L1317" s="104" t="n"/>
      <c r="M1317" s="104" t="n"/>
      <c r="N1317" s="104" t="n"/>
      <c r="O1317" s="104" t="n"/>
      <c r="P1317" s="104" t="n"/>
      <c r="Q1317" s="104" t="n"/>
      <c r="R1317" s="104" t="n"/>
      <c r="S1317" s="110" t="n"/>
      <c r="T1317" s="110" t="n"/>
      <c r="U1317" s="104" t="n"/>
    </row>
    <row r="1318">
      <c r="A1318" s="104" t="inlineStr">
        <is>
          <t>GUIDE001317</t>
        </is>
      </c>
      <c r="B1318" s="101" t="inlineStr">
        <is>
          <t>DEV000017</t>
        </is>
      </c>
      <c r="C1318" s="103" t="inlineStr">
        <is>
          <t>APL</t>
        </is>
      </c>
      <c r="D1318" s="103" t="inlineStr">
        <is>
          <t>PHN</t>
        </is>
      </c>
      <c r="E1318" s="60" t="inlineStr">
        <is>
          <t>iPhone 8 Plus</t>
        </is>
      </c>
      <c r="F1318" s="104" t="inlineStr">
        <is>
          <t>SVC000034</t>
        </is>
      </c>
      <c r="G1318" s="104" t="inlineStr">
        <is>
          <t>Software Repair</t>
        </is>
      </c>
      <c r="H1318" s="104" t="inlineStr">
        <is>
          <t>Software</t>
        </is>
      </c>
      <c r="I1318" s="104" t="n"/>
      <c r="J1318" s="104" t="n"/>
      <c r="K1318" s="104" t="n"/>
      <c r="L1318" s="104" t="n"/>
      <c r="M1318" s="104" t="n"/>
      <c r="N1318" s="104" t="n"/>
      <c r="O1318" s="104" t="n"/>
      <c r="P1318" s="104" t="n"/>
      <c r="Q1318" s="104" t="n"/>
      <c r="R1318" s="104" t="n"/>
      <c r="S1318" s="110" t="n"/>
      <c r="T1318" s="110" t="n"/>
      <c r="U1318" s="104" t="n"/>
    </row>
    <row r="1319">
      <c r="A1319" s="104" t="inlineStr">
        <is>
          <t>GUIDE001318</t>
        </is>
      </c>
      <c r="B1319" s="101" t="inlineStr">
        <is>
          <t>DEV000018</t>
        </is>
      </c>
      <c r="C1319" s="103" t="inlineStr">
        <is>
          <t>APL</t>
        </is>
      </c>
      <c r="D1319" s="103" t="inlineStr">
        <is>
          <t>PHN</t>
        </is>
      </c>
      <c r="E1319" s="60" t="inlineStr">
        <is>
          <t>iPhone X</t>
        </is>
      </c>
      <c r="F1319" s="104" t="inlineStr">
        <is>
          <t>SVC000034</t>
        </is>
      </c>
      <c r="G1319" s="104" t="inlineStr">
        <is>
          <t>Software Repair</t>
        </is>
      </c>
      <c r="H1319" s="104" t="inlineStr">
        <is>
          <t>Software</t>
        </is>
      </c>
      <c r="I1319" s="104" t="n"/>
      <c r="J1319" s="104" t="n"/>
      <c r="K1319" s="104" t="n"/>
      <c r="L1319" s="104" t="n"/>
      <c r="M1319" s="104" t="n"/>
      <c r="N1319" s="104" t="n"/>
      <c r="O1319" s="104" t="n"/>
      <c r="P1319" s="104" t="n"/>
      <c r="Q1319" s="104" t="n"/>
      <c r="R1319" s="104" t="n"/>
      <c r="S1319" s="110" t="n"/>
      <c r="T1319" s="110" t="n"/>
      <c r="U1319" s="104" t="n"/>
    </row>
    <row r="1320">
      <c r="A1320" s="104" t="inlineStr">
        <is>
          <t>GUIDE001319</t>
        </is>
      </c>
      <c r="B1320" s="101" t="inlineStr">
        <is>
          <t>DEV000019</t>
        </is>
      </c>
      <c r="C1320" s="103" t="inlineStr">
        <is>
          <t>APL</t>
        </is>
      </c>
      <c r="D1320" s="103" t="inlineStr">
        <is>
          <t>PHN</t>
        </is>
      </c>
      <c r="E1320" s="60" t="inlineStr">
        <is>
          <t>iPhone XR</t>
        </is>
      </c>
      <c r="F1320" s="104" t="inlineStr">
        <is>
          <t>SVC000034</t>
        </is>
      </c>
      <c r="G1320" s="104" t="inlineStr">
        <is>
          <t>Software Repair</t>
        </is>
      </c>
      <c r="H1320" s="104" t="inlineStr">
        <is>
          <t>Software</t>
        </is>
      </c>
      <c r="I1320" s="104" t="n"/>
      <c r="J1320" s="104" t="n"/>
      <c r="K1320" s="104" t="n"/>
      <c r="L1320" s="104" t="n"/>
      <c r="M1320" s="104" t="n"/>
      <c r="N1320" s="104" t="n"/>
      <c r="O1320" s="104" t="n"/>
      <c r="P1320" s="104" t="n"/>
      <c r="Q1320" s="104" t="n"/>
      <c r="R1320" s="104" t="n"/>
      <c r="S1320" s="110" t="n"/>
      <c r="T1320" s="110" t="n"/>
      <c r="U1320" s="104" t="n"/>
    </row>
    <row r="1321">
      <c r="A1321" s="105" t="inlineStr">
        <is>
          <t>GUIDE001320</t>
        </is>
      </c>
      <c r="B1321" s="101" t="inlineStr">
        <is>
          <t>DEV000020</t>
        </is>
      </c>
      <c r="C1321" s="103" t="inlineStr">
        <is>
          <t>APL</t>
        </is>
      </c>
      <c r="D1321" s="103" t="inlineStr">
        <is>
          <t>PHN</t>
        </is>
      </c>
      <c r="E1321" s="60" t="inlineStr">
        <is>
          <t>iPhone XS</t>
        </is>
      </c>
      <c r="F1321" s="104" t="inlineStr">
        <is>
          <t>SVC000034</t>
        </is>
      </c>
      <c r="G1321" s="104" t="inlineStr">
        <is>
          <t>Software Repair</t>
        </is>
      </c>
      <c r="H1321" s="104" t="inlineStr">
        <is>
          <t>Software</t>
        </is>
      </c>
      <c r="I1321" s="104" t="n"/>
      <c r="J1321" s="104" t="n"/>
      <c r="K1321" s="104" t="n"/>
      <c r="L1321" s="104" t="n"/>
      <c r="M1321" s="104" t="n"/>
      <c r="N1321" s="104" t="n"/>
      <c r="O1321" s="104" t="n"/>
      <c r="P1321" s="104" t="n"/>
      <c r="Q1321" s="104" t="n"/>
      <c r="R1321" s="104" t="n"/>
      <c r="S1321" s="110" t="n"/>
      <c r="T1321" s="110" t="n"/>
      <c r="U1321" s="104" t="n"/>
    </row>
    <row r="1322">
      <c r="A1322" s="104" t="inlineStr">
        <is>
          <t>GUIDE001321</t>
        </is>
      </c>
      <c r="B1322" s="101" t="inlineStr">
        <is>
          <t>DEV000021</t>
        </is>
      </c>
      <c r="C1322" s="103" t="inlineStr">
        <is>
          <t>APL</t>
        </is>
      </c>
      <c r="D1322" s="103" t="inlineStr">
        <is>
          <t>PHN</t>
        </is>
      </c>
      <c r="E1322" s="60" t="inlineStr">
        <is>
          <t>iPhone XS Max</t>
        </is>
      </c>
      <c r="F1322" s="104" t="inlineStr">
        <is>
          <t>SVC000034</t>
        </is>
      </c>
      <c r="G1322" s="104" t="inlineStr">
        <is>
          <t>Software Repair</t>
        </is>
      </c>
      <c r="H1322" s="104" t="inlineStr">
        <is>
          <t>Software</t>
        </is>
      </c>
      <c r="I1322" s="104" t="n"/>
      <c r="J1322" s="104" t="n"/>
      <c r="K1322" s="104" t="n"/>
      <c r="L1322" s="104" t="n"/>
      <c r="M1322" s="104" t="n"/>
      <c r="N1322" s="104" t="n"/>
      <c r="O1322" s="104" t="n"/>
      <c r="P1322" s="104" t="n"/>
      <c r="Q1322" s="104" t="n"/>
      <c r="R1322" s="104" t="n"/>
      <c r="S1322" s="110" t="n"/>
      <c r="T1322" s="110" t="n"/>
      <c r="U1322" s="104" t="n"/>
    </row>
    <row r="1323">
      <c r="A1323" s="104" t="inlineStr">
        <is>
          <t>GUIDE001322</t>
        </is>
      </c>
      <c r="B1323" s="101" t="inlineStr">
        <is>
          <t>DEV000022</t>
        </is>
      </c>
      <c r="C1323" s="103" t="inlineStr">
        <is>
          <t>APL</t>
        </is>
      </c>
      <c r="D1323" s="103" t="inlineStr">
        <is>
          <t>PHN</t>
        </is>
      </c>
      <c r="E1323" s="60" t="inlineStr">
        <is>
          <t>iPhone 11</t>
        </is>
      </c>
      <c r="F1323" s="104" t="inlineStr">
        <is>
          <t>SVC000034</t>
        </is>
      </c>
      <c r="G1323" s="104" t="inlineStr">
        <is>
          <t>Software Repair</t>
        </is>
      </c>
      <c r="H1323" s="104" t="inlineStr">
        <is>
          <t>Software</t>
        </is>
      </c>
      <c r="I1323" s="104" t="n"/>
      <c r="J1323" s="104" t="n"/>
      <c r="K1323" s="104" t="n"/>
      <c r="L1323" s="104" t="n"/>
      <c r="M1323" s="104" t="n"/>
      <c r="N1323" s="104" t="n"/>
      <c r="O1323" s="104" t="n"/>
      <c r="P1323" s="104" t="n"/>
      <c r="Q1323" s="104" t="n"/>
      <c r="R1323" s="104" t="n"/>
      <c r="S1323" s="110" t="n"/>
      <c r="T1323" s="110" t="n"/>
      <c r="U1323" s="104" t="n"/>
    </row>
    <row r="1324">
      <c r="A1324" s="104" t="inlineStr">
        <is>
          <t>GUIDE001323</t>
        </is>
      </c>
      <c r="B1324" s="101" t="inlineStr">
        <is>
          <t>DEV000023</t>
        </is>
      </c>
      <c r="C1324" s="103" t="inlineStr">
        <is>
          <t>APL</t>
        </is>
      </c>
      <c r="D1324" s="103" t="inlineStr">
        <is>
          <t>PHN</t>
        </is>
      </c>
      <c r="E1324" s="60" t="inlineStr">
        <is>
          <t>iPhone 11 Pro</t>
        </is>
      </c>
      <c r="F1324" s="104" t="inlineStr">
        <is>
          <t>SVC000034</t>
        </is>
      </c>
      <c r="G1324" s="104" t="inlineStr">
        <is>
          <t>Software Repair</t>
        </is>
      </c>
      <c r="H1324" s="104" t="inlineStr">
        <is>
          <t>Software</t>
        </is>
      </c>
      <c r="I1324" s="104" t="n"/>
      <c r="J1324" s="104" t="n"/>
      <c r="K1324" s="104" t="n"/>
      <c r="L1324" s="104" t="n"/>
      <c r="M1324" s="104" t="n"/>
      <c r="N1324" s="104" t="n"/>
      <c r="O1324" s="104" t="n"/>
      <c r="P1324" s="104" t="n"/>
      <c r="Q1324" s="104" t="n"/>
      <c r="R1324" s="104" t="n"/>
      <c r="S1324" s="110" t="n"/>
      <c r="T1324" s="110" t="n"/>
      <c r="U1324" s="104" t="n"/>
    </row>
    <row r="1325">
      <c r="A1325" s="104" t="inlineStr">
        <is>
          <t>GUIDE001324</t>
        </is>
      </c>
      <c r="B1325" s="101" t="inlineStr">
        <is>
          <t>DEV000024</t>
        </is>
      </c>
      <c r="C1325" s="103" t="inlineStr">
        <is>
          <t>APL</t>
        </is>
      </c>
      <c r="D1325" s="103" t="inlineStr">
        <is>
          <t>PHN</t>
        </is>
      </c>
      <c r="E1325" s="60" t="inlineStr">
        <is>
          <t>iPhone 11 Pro Max</t>
        </is>
      </c>
      <c r="F1325" s="104" t="inlineStr">
        <is>
          <t>SVC000034</t>
        </is>
      </c>
      <c r="G1325" s="104" t="inlineStr">
        <is>
          <t>Software Repair</t>
        </is>
      </c>
      <c r="H1325" s="104" t="inlineStr">
        <is>
          <t>Software</t>
        </is>
      </c>
      <c r="I1325" s="104" t="n"/>
      <c r="J1325" s="104" t="n"/>
      <c r="K1325" s="104" t="n"/>
      <c r="L1325" s="104" t="n"/>
      <c r="M1325" s="104" t="n"/>
      <c r="N1325" s="104" t="n"/>
      <c r="O1325" s="104" t="n"/>
      <c r="P1325" s="104" t="n"/>
      <c r="Q1325" s="104" t="n"/>
      <c r="R1325" s="104" t="n"/>
      <c r="S1325" s="110" t="n"/>
      <c r="T1325" s="110" t="n"/>
      <c r="U1325" s="104" t="n"/>
    </row>
    <row r="1326">
      <c r="A1326" s="104" t="inlineStr">
        <is>
          <t>GUIDE001325</t>
        </is>
      </c>
      <c r="B1326" s="101" t="inlineStr">
        <is>
          <t>DEV000025</t>
        </is>
      </c>
      <c r="C1326" s="103" t="inlineStr">
        <is>
          <t>APL</t>
        </is>
      </c>
      <c r="D1326" s="103" t="inlineStr">
        <is>
          <t>PHN</t>
        </is>
      </c>
      <c r="E1326" s="60" t="inlineStr">
        <is>
          <t>iPhone SE (2nd Generation)</t>
        </is>
      </c>
      <c r="F1326" s="104" t="inlineStr">
        <is>
          <t>SVC000034</t>
        </is>
      </c>
      <c r="G1326" s="104" t="inlineStr">
        <is>
          <t>Software Repair</t>
        </is>
      </c>
      <c r="H1326" s="104" t="inlineStr">
        <is>
          <t>Software</t>
        </is>
      </c>
      <c r="I1326" s="104" t="n"/>
      <c r="J1326" s="104" t="n"/>
      <c r="K1326" s="104" t="n"/>
      <c r="L1326" s="104" t="n"/>
      <c r="M1326" s="104" t="n"/>
      <c r="N1326" s="104" t="n"/>
      <c r="O1326" s="104" t="n"/>
      <c r="P1326" s="104" t="n"/>
      <c r="Q1326" s="104" t="n"/>
      <c r="R1326" s="104" t="n"/>
      <c r="S1326" s="110" t="n"/>
      <c r="T1326" s="110" t="n"/>
      <c r="U1326" s="104" t="n"/>
    </row>
    <row r="1327">
      <c r="A1327" s="105" t="inlineStr">
        <is>
          <t>GUIDE001326</t>
        </is>
      </c>
      <c r="B1327" s="101" t="inlineStr">
        <is>
          <t>DEV000026</t>
        </is>
      </c>
      <c r="C1327" s="103" t="inlineStr">
        <is>
          <t>APL</t>
        </is>
      </c>
      <c r="D1327" s="103" t="inlineStr">
        <is>
          <t>PHN</t>
        </is>
      </c>
      <c r="E1327" s="60" t="inlineStr">
        <is>
          <t>iPhone 12 mini</t>
        </is>
      </c>
      <c r="F1327" s="104" t="inlineStr">
        <is>
          <t>SVC000034</t>
        </is>
      </c>
      <c r="G1327" s="104" t="inlineStr">
        <is>
          <t>Software Repair</t>
        </is>
      </c>
      <c r="H1327" s="104" t="inlineStr">
        <is>
          <t>Software</t>
        </is>
      </c>
      <c r="I1327" s="104" t="n"/>
      <c r="J1327" s="104" t="n"/>
      <c r="K1327" s="104" t="n"/>
      <c r="L1327" s="104" t="n"/>
      <c r="M1327" s="104" t="n"/>
      <c r="N1327" s="104" t="n"/>
      <c r="O1327" s="104" t="n"/>
      <c r="P1327" s="104" t="n"/>
      <c r="Q1327" s="104" t="n"/>
      <c r="R1327" s="104" t="n"/>
      <c r="S1327" s="110" t="n"/>
      <c r="T1327" s="110" t="n"/>
      <c r="U1327" s="104" t="n"/>
    </row>
    <row r="1328">
      <c r="A1328" s="104" t="inlineStr">
        <is>
          <t>GUIDE001327</t>
        </is>
      </c>
      <c r="B1328" s="101" t="inlineStr">
        <is>
          <t>DEV000027</t>
        </is>
      </c>
      <c r="C1328" s="103" t="inlineStr">
        <is>
          <t>APL</t>
        </is>
      </c>
      <c r="D1328" s="103" t="inlineStr">
        <is>
          <t>PHN</t>
        </is>
      </c>
      <c r="E1328" s="60" t="inlineStr">
        <is>
          <t>iPhone 12</t>
        </is>
      </c>
      <c r="F1328" s="104" t="inlineStr">
        <is>
          <t>SVC000034</t>
        </is>
      </c>
      <c r="G1328" s="104" t="inlineStr">
        <is>
          <t>Software Repair</t>
        </is>
      </c>
      <c r="H1328" s="104" t="inlineStr">
        <is>
          <t>Software</t>
        </is>
      </c>
      <c r="I1328" s="104" t="n"/>
      <c r="J1328" s="104" t="n"/>
      <c r="K1328" s="104" t="n"/>
      <c r="L1328" s="104" t="n"/>
      <c r="M1328" s="104" t="n"/>
      <c r="N1328" s="104" t="n"/>
      <c r="O1328" s="104" t="n"/>
      <c r="P1328" s="104" t="n"/>
      <c r="Q1328" s="104" t="n"/>
      <c r="R1328" s="104" t="n"/>
      <c r="S1328" s="110" t="n"/>
      <c r="T1328" s="110" t="n"/>
      <c r="U1328" s="104" t="n"/>
    </row>
    <row r="1329">
      <c r="A1329" s="104" t="inlineStr">
        <is>
          <t>GUIDE001328</t>
        </is>
      </c>
      <c r="B1329" s="101" t="inlineStr">
        <is>
          <t>DEV000028</t>
        </is>
      </c>
      <c r="C1329" s="103" t="inlineStr">
        <is>
          <t>APL</t>
        </is>
      </c>
      <c r="D1329" s="103" t="inlineStr">
        <is>
          <t>PHN</t>
        </is>
      </c>
      <c r="E1329" s="60" t="inlineStr">
        <is>
          <t>iPhone 12 Pro</t>
        </is>
      </c>
      <c r="F1329" s="104" t="inlineStr">
        <is>
          <t>SVC000034</t>
        </is>
      </c>
      <c r="G1329" s="104" t="inlineStr">
        <is>
          <t>Software Repair</t>
        </is>
      </c>
      <c r="H1329" s="104" t="inlineStr">
        <is>
          <t>Software</t>
        </is>
      </c>
      <c r="I1329" s="104" t="n"/>
      <c r="J1329" s="104" t="n"/>
      <c r="K1329" s="104" t="n"/>
      <c r="L1329" s="104" t="n"/>
      <c r="M1329" s="104" t="n"/>
      <c r="N1329" s="104" t="n"/>
      <c r="O1329" s="104" t="n"/>
      <c r="P1329" s="104" t="n"/>
      <c r="Q1329" s="104" t="n"/>
      <c r="R1329" s="104" t="n"/>
      <c r="S1329" s="110" t="n"/>
      <c r="T1329" s="110" t="n"/>
      <c r="U1329" s="104" t="n"/>
    </row>
    <row r="1330">
      <c r="A1330" s="104" t="inlineStr">
        <is>
          <t>GUIDE001329</t>
        </is>
      </c>
      <c r="B1330" s="101" t="inlineStr">
        <is>
          <t>DEV000029</t>
        </is>
      </c>
      <c r="C1330" s="103" t="inlineStr">
        <is>
          <t>APL</t>
        </is>
      </c>
      <c r="D1330" s="103" t="inlineStr">
        <is>
          <t>PHN</t>
        </is>
      </c>
      <c r="E1330" s="60" t="inlineStr">
        <is>
          <t>iPhone 12 Pro Max</t>
        </is>
      </c>
      <c r="F1330" s="104" t="inlineStr">
        <is>
          <t>SVC000034</t>
        </is>
      </c>
      <c r="G1330" s="104" t="inlineStr">
        <is>
          <t>Software Repair</t>
        </is>
      </c>
      <c r="H1330" s="104" t="inlineStr">
        <is>
          <t>Software</t>
        </is>
      </c>
      <c r="I1330" s="104" t="n"/>
      <c r="J1330" s="104" t="n"/>
      <c r="K1330" s="104" t="n"/>
      <c r="L1330" s="104" t="n"/>
      <c r="M1330" s="104" t="n"/>
      <c r="N1330" s="104" t="n"/>
      <c r="O1330" s="104" t="n"/>
      <c r="P1330" s="104" t="n"/>
      <c r="Q1330" s="104" t="n"/>
      <c r="R1330" s="104" t="n"/>
      <c r="S1330" s="110" t="n"/>
      <c r="T1330" s="110" t="n"/>
      <c r="U1330" s="104" t="n"/>
    </row>
    <row r="1331">
      <c r="A1331" s="104" t="inlineStr">
        <is>
          <t>GUIDE001330</t>
        </is>
      </c>
      <c r="B1331" s="101" t="inlineStr">
        <is>
          <t>DEV000030</t>
        </is>
      </c>
      <c r="C1331" s="103" t="inlineStr">
        <is>
          <t>APL</t>
        </is>
      </c>
      <c r="D1331" s="103" t="inlineStr">
        <is>
          <t>PHN</t>
        </is>
      </c>
      <c r="E1331" s="60" t="inlineStr">
        <is>
          <t>iPhone 13 mini</t>
        </is>
      </c>
      <c r="F1331" s="104" t="inlineStr">
        <is>
          <t>SVC000034</t>
        </is>
      </c>
      <c r="G1331" s="104" t="inlineStr">
        <is>
          <t>Software Repair</t>
        </is>
      </c>
      <c r="H1331" s="104" t="inlineStr">
        <is>
          <t>Software</t>
        </is>
      </c>
      <c r="I1331" s="104" t="n"/>
      <c r="J1331" s="104" t="n"/>
      <c r="K1331" s="104" t="n"/>
      <c r="L1331" s="104" t="n"/>
      <c r="M1331" s="104" t="n"/>
      <c r="N1331" s="104" t="n"/>
      <c r="O1331" s="104" t="n"/>
      <c r="P1331" s="104" t="n"/>
      <c r="Q1331" s="104" t="n"/>
      <c r="R1331" s="104" t="n"/>
      <c r="S1331" s="110" t="n"/>
      <c r="T1331" s="110" t="n"/>
      <c r="U1331" s="104" t="n"/>
    </row>
    <row r="1332">
      <c r="A1332" s="104" t="inlineStr">
        <is>
          <t>GUIDE001331</t>
        </is>
      </c>
      <c r="B1332" s="101" t="inlineStr">
        <is>
          <t>DEV000031</t>
        </is>
      </c>
      <c r="C1332" s="103" t="inlineStr">
        <is>
          <t>APL</t>
        </is>
      </c>
      <c r="D1332" s="103" t="inlineStr">
        <is>
          <t>PHN</t>
        </is>
      </c>
      <c r="E1332" s="60" t="inlineStr">
        <is>
          <t>iPhone 13</t>
        </is>
      </c>
      <c r="F1332" s="104" t="inlineStr">
        <is>
          <t>SVC000034</t>
        </is>
      </c>
      <c r="G1332" s="104" t="inlineStr">
        <is>
          <t>Software Repair</t>
        </is>
      </c>
      <c r="H1332" s="104" t="inlineStr">
        <is>
          <t>Software</t>
        </is>
      </c>
      <c r="I1332" s="104" t="n"/>
      <c r="J1332" s="104" t="n"/>
      <c r="K1332" s="104" t="n"/>
      <c r="L1332" s="104" t="n"/>
      <c r="M1332" s="104" t="n"/>
      <c r="N1332" s="104" t="n"/>
      <c r="O1332" s="104" t="n"/>
      <c r="P1332" s="104" t="n"/>
      <c r="Q1332" s="104" t="n"/>
      <c r="R1332" s="104" t="n"/>
      <c r="S1332" s="110" t="n"/>
      <c r="T1332" s="110" t="n"/>
      <c r="U1332" s="104" t="n"/>
    </row>
    <row r="1333">
      <c r="A1333" s="105" t="inlineStr">
        <is>
          <t>GUIDE001332</t>
        </is>
      </c>
      <c r="B1333" s="101" t="inlineStr">
        <is>
          <t>DEV000032</t>
        </is>
      </c>
      <c r="C1333" s="103" t="inlineStr">
        <is>
          <t>APL</t>
        </is>
      </c>
      <c r="D1333" s="103" t="inlineStr">
        <is>
          <t>PHN</t>
        </is>
      </c>
      <c r="E1333" s="60" t="inlineStr">
        <is>
          <t>iPhone 13 Pro</t>
        </is>
      </c>
      <c r="F1333" s="104" t="inlineStr">
        <is>
          <t>SVC000034</t>
        </is>
      </c>
      <c r="G1333" s="104" t="inlineStr">
        <is>
          <t>Software Repair</t>
        </is>
      </c>
      <c r="H1333" s="104" t="inlineStr">
        <is>
          <t>Software</t>
        </is>
      </c>
      <c r="I1333" s="104" t="n"/>
      <c r="J1333" s="104" t="n"/>
      <c r="K1333" s="104" t="n"/>
      <c r="L1333" s="104" t="n"/>
      <c r="M1333" s="104" t="n"/>
      <c r="N1333" s="104" t="n"/>
      <c r="O1333" s="104" t="n"/>
      <c r="P1333" s="104" t="n"/>
      <c r="Q1333" s="104" t="n"/>
      <c r="R1333" s="104" t="n"/>
      <c r="S1333" s="110" t="n"/>
      <c r="T1333" s="110" t="n"/>
      <c r="U1333" s="104" t="n"/>
    </row>
    <row r="1334">
      <c r="A1334" s="104" t="inlineStr">
        <is>
          <t>GUIDE001333</t>
        </is>
      </c>
      <c r="B1334" s="101" t="inlineStr">
        <is>
          <t>DEV000033</t>
        </is>
      </c>
      <c r="C1334" s="103" t="inlineStr">
        <is>
          <t>APL</t>
        </is>
      </c>
      <c r="D1334" s="103" t="inlineStr">
        <is>
          <t>PHN</t>
        </is>
      </c>
      <c r="E1334" s="60" t="inlineStr">
        <is>
          <t>iPhone 13 Pro Max</t>
        </is>
      </c>
      <c r="F1334" s="104" t="inlineStr">
        <is>
          <t>SVC000034</t>
        </is>
      </c>
      <c r="G1334" s="104" t="inlineStr">
        <is>
          <t>Software Repair</t>
        </is>
      </c>
      <c r="H1334" s="104" t="inlineStr">
        <is>
          <t>Software</t>
        </is>
      </c>
      <c r="I1334" s="104" t="n"/>
      <c r="J1334" s="104" t="n"/>
      <c r="K1334" s="104" t="n"/>
      <c r="L1334" s="104" t="n"/>
      <c r="M1334" s="104" t="n"/>
      <c r="N1334" s="104" t="n"/>
      <c r="O1334" s="104" t="n"/>
      <c r="P1334" s="104" t="n"/>
      <c r="Q1334" s="104" t="n"/>
      <c r="R1334" s="104" t="n"/>
      <c r="S1334" s="110" t="n"/>
      <c r="T1334" s="110" t="n"/>
      <c r="U1334" s="104" t="n"/>
    </row>
    <row r="1335">
      <c r="A1335" s="104" t="inlineStr">
        <is>
          <t>GUIDE001334</t>
        </is>
      </c>
      <c r="B1335" s="101" t="inlineStr">
        <is>
          <t>DEV000034</t>
        </is>
      </c>
      <c r="C1335" s="103" t="inlineStr">
        <is>
          <t>APL</t>
        </is>
      </c>
      <c r="D1335" s="103" t="inlineStr">
        <is>
          <t>PHN</t>
        </is>
      </c>
      <c r="E1335" s="60" t="inlineStr">
        <is>
          <t>iPhone SE (3rd Generation)</t>
        </is>
      </c>
      <c r="F1335" s="104" t="inlineStr">
        <is>
          <t>SVC000034</t>
        </is>
      </c>
      <c r="G1335" s="104" t="inlineStr">
        <is>
          <t>Software Repair</t>
        </is>
      </c>
      <c r="H1335" s="104" t="inlineStr">
        <is>
          <t>Software</t>
        </is>
      </c>
      <c r="I1335" s="104" t="n"/>
      <c r="J1335" s="104" t="n"/>
      <c r="K1335" s="104" t="n"/>
      <c r="L1335" s="104" t="n"/>
      <c r="M1335" s="104" t="n"/>
      <c r="N1335" s="104" t="n"/>
      <c r="O1335" s="104" t="n"/>
      <c r="P1335" s="104" t="n"/>
      <c r="Q1335" s="104" t="n"/>
      <c r="R1335" s="104" t="n"/>
      <c r="S1335" s="110" t="n"/>
      <c r="T1335" s="110" t="n"/>
      <c r="U1335" s="104" t="n"/>
    </row>
    <row r="1336">
      <c r="A1336" s="104" t="inlineStr">
        <is>
          <t>GUIDE001335</t>
        </is>
      </c>
      <c r="B1336" s="101" t="inlineStr">
        <is>
          <t>DEV000035</t>
        </is>
      </c>
      <c r="C1336" s="103" t="inlineStr">
        <is>
          <t>APL</t>
        </is>
      </c>
      <c r="D1336" s="103" t="inlineStr">
        <is>
          <t>PHN</t>
        </is>
      </c>
      <c r="E1336" s="60" t="inlineStr">
        <is>
          <t>iPhone 14</t>
        </is>
      </c>
      <c r="F1336" s="104" t="inlineStr">
        <is>
          <t>SVC000034</t>
        </is>
      </c>
      <c r="G1336" s="104" t="inlineStr">
        <is>
          <t>Software Repair</t>
        </is>
      </c>
      <c r="H1336" s="104" t="inlineStr">
        <is>
          <t>Software</t>
        </is>
      </c>
      <c r="I1336" s="104" t="n"/>
      <c r="J1336" s="104" t="n"/>
      <c r="K1336" s="104" t="n"/>
      <c r="L1336" s="104" t="n"/>
      <c r="M1336" s="104" t="n"/>
      <c r="N1336" s="104" t="n"/>
      <c r="O1336" s="104" t="n"/>
      <c r="P1336" s="104" t="n"/>
      <c r="Q1336" s="104" t="n"/>
      <c r="R1336" s="104" t="n"/>
      <c r="S1336" s="110" t="n"/>
      <c r="T1336" s="110" t="n"/>
      <c r="U1336" s="104" t="n"/>
    </row>
    <row r="1337">
      <c r="A1337" s="104" t="inlineStr">
        <is>
          <t>GUIDE001336</t>
        </is>
      </c>
      <c r="B1337" s="101" t="inlineStr">
        <is>
          <t>DEV000036</t>
        </is>
      </c>
      <c r="C1337" s="103" t="inlineStr">
        <is>
          <t>APL</t>
        </is>
      </c>
      <c r="D1337" s="103" t="inlineStr">
        <is>
          <t>PHN</t>
        </is>
      </c>
      <c r="E1337" s="60" t="inlineStr">
        <is>
          <t>iPhone 14 Plus</t>
        </is>
      </c>
      <c r="F1337" s="104" t="inlineStr">
        <is>
          <t>SVC000034</t>
        </is>
      </c>
      <c r="G1337" s="104" t="inlineStr">
        <is>
          <t>Software Repair</t>
        </is>
      </c>
      <c r="H1337" s="104" t="inlineStr">
        <is>
          <t>Software</t>
        </is>
      </c>
      <c r="I1337" s="104" t="n"/>
      <c r="J1337" s="104" t="n"/>
      <c r="K1337" s="104" t="n"/>
      <c r="L1337" s="104" t="n"/>
      <c r="M1337" s="104" t="n"/>
      <c r="N1337" s="104" t="n"/>
      <c r="O1337" s="104" t="n"/>
      <c r="P1337" s="104" t="n"/>
      <c r="Q1337" s="104" t="n"/>
      <c r="R1337" s="104" t="n"/>
      <c r="S1337" s="110" t="n"/>
      <c r="T1337" s="110" t="n"/>
      <c r="U1337" s="104" t="n"/>
    </row>
    <row r="1338">
      <c r="A1338" s="104" t="inlineStr">
        <is>
          <t>GUIDE001337</t>
        </is>
      </c>
      <c r="B1338" s="101" t="inlineStr">
        <is>
          <t>DEV000037</t>
        </is>
      </c>
      <c r="C1338" s="103" t="inlineStr">
        <is>
          <t>APL</t>
        </is>
      </c>
      <c r="D1338" s="103" t="inlineStr">
        <is>
          <t>PHN</t>
        </is>
      </c>
      <c r="E1338" s="60" t="inlineStr">
        <is>
          <t>iPhone 14 Pro</t>
        </is>
      </c>
      <c r="F1338" s="104" t="inlineStr">
        <is>
          <t>SVC000034</t>
        </is>
      </c>
      <c r="G1338" s="104" t="inlineStr">
        <is>
          <t>Software Repair</t>
        </is>
      </c>
      <c r="H1338" s="104" t="inlineStr">
        <is>
          <t>Software</t>
        </is>
      </c>
      <c r="I1338" s="104" t="n"/>
      <c r="J1338" s="104" t="n"/>
      <c r="K1338" s="104" t="n"/>
      <c r="L1338" s="104" t="n"/>
      <c r="M1338" s="104" t="n"/>
      <c r="N1338" s="104" t="n"/>
      <c r="O1338" s="104" t="n"/>
      <c r="P1338" s="104" t="n"/>
      <c r="Q1338" s="104" t="n"/>
      <c r="R1338" s="104" t="n"/>
      <c r="S1338" s="110" t="n"/>
      <c r="T1338" s="110" t="n"/>
      <c r="U1338" s="104" t="n"/>
    </row>
    <row r="1339">
      <c r="A1339" s="105" t="inlineStr">
        <is>
          <t>GUIDE001338</t>
        </is>
      </c>
      <c r="B1339" s="101" t="inlineStr">
        <is>
          <t>DEV000038</t>
        </is>
      </c>
      <c r="C1339" s="103" t="inlineStr">
        <is>
          <t>APL</t>
        </is>
      </c>
      <c r="D1339" s="103" t="inlineStr">
        <is>
          <t>PHN</t>
        </is>
      </c>
      <c r="E1339" s="60" t="inlineStr">
        <is>
          <t>iPhone 14 Pro Max</t>
        </is>
      </c>
      <c r="F1339" s="104" t="inlineStr">
        <is>
          <t>SVC000034</t>
        </is>
      </c>
      <c r="G1339" s="104" t="inlineStr">
        <is>
          <t>Software Repair</t>
        </is>
      </c>
      <c r="H1339" s="104" t="inlineStr">
        <is>
          <t>Software</t>
        </is>
      </c>
      <c r="I1339" s="104" t="n"/>
      <c r="J1339" s="104" t="n"/>
      <c r="K1339" s="104" t="n"/>
      <c r="L1339" s="104" t="n"/>
      <c r="M1339" s="104" t="n"/>
      <c r="N1339" s="104" t="n"/>
      <c r="O1339" s="104" t="n"/>
      <c r="P1339" s="104" t="n"/>
      <c r="Q1339" s="104" t="n"/>
      <c r="R1339" s="104" t="n"/>
      <c r="S1339" s="110" t="n"/>
      <c r="T1339" s="110" t="n"/>
      <c r="U1339" s="104" t="n"/>
    </row>
    <row r="1340">
      <c r="A1340" s="104" t="inlineStr">
        <is>
          <t>GUIDE001339</t>
        </is>
      </c>
      <c r="B1340" s="101" t="inlineStr">
        <is>
          <t>DEV000039</t>
        </is>
      </c>
      <c r="C1340" s="103" t="inlineStr">
        <is>
          <t>APL</t>
        </is>
      </c>
      <c r="D1340" s="103" t="inlineStr">
        <is>
          <t>PHN</t>
        </is>
      </c>
      <c r="E1340" s="60" t="inlineStr">
        <is>
          <t>iPhone 15</t>
        </is>
      </c>
      <c r="F1340" s="104" t="inlineStr">
        <is>
          <t>SVC000034</t>
        </is>
      </c>
      <c r="G1340" s="104" t="inlineStr">
        <is>
          <t>Software Repair</t>
        </is>
      </c>
      <c r="H1340" s="104" t="inlineStr">
        <is>
          <t>Software</t>
        </is>
      </c>
      <c r="I1340" s="104" t="n"/>
      <c r="J1340" s="104" t="n"/>
      <c r="K1340" s="104" t="n"/>
      <c r="L1340" s="104" t="n"/>
      <c r="M1340" s="104" t="n"/>
      <c r="N1340" s="104" t="n"/>
      <c r="O1340" s="104" t="n"/>
      <c r="P1340" s="104" t="n"/>
      <c r="Q1340" s="104" t="n"/>
      <c r="R1340" s="104" t="n"/>
      <c r="S1340" s="110" t="n"/>
      <c r="T1340" s="110" t="n"/>
      <c r="U1340" s="104" t="n"/>
    </row>
    <row r="1341">
      <c r="A1341" s="104" t="inlineStr">
        <is>
          <t>GUIDE001340</t>
        </is>
      </c>
      <c r="B1341" s="101" t="inlineStr">
        <is>
          <t>DEV000040</t>
        </is>
      </c>
      <c r="C1341" s="103" t="inlineStr">
        <is>
          <t>APL</t>
        </is>
      </c>
      <c r="D1341" s="103" t="inlineStr">
        <is>
          <t>PHN</t>
        </is>
      </c>
      <c r="E1341" s="60" t="inlineStr">
        <is>
          <t>iPhone 15 Plus</t>
        </is>
      </c>
      <c r="F1341" s="104" t="inlineStr">
        <is>
          <t>SVC000034</t>
        </is>
      </c>
      <c r="G1341" s="104" t="inlineStr">
        <is>
          <t>Software Repair</t>
        </is>
      </c>
      <c r="H1341" s="104" t="inlineStr">
        <is>
          <t>Software</t>
        </is>
      </c>
      <c r="I1341" s="104" t="n"/>
      <c r="J1341" s="104" t="n"/>
      <c r="K1341" s="104" t="n"/>
      <c r="L1341" s="104" t="n"/>
      <c r="M1341" s="104" t="n"/>
      <c r="N1341" s="104" t="n"/>
      <c r="O1341" s="104" t="n"/>
      <c r="P1341" s="104" t="n"/>
      <c r="Q1341" s="104" t="n"/>
      <c r="R1341" s="104" t="n"/>
      <c r="S1341" s="110" t="n"/>
      <c r="T1341" s="110" t="n"/>
      <c r="U1341" s="104" t="n"/>
    </row>
    <row r="1342">
      <c r="A1342" s="104" t="inlineStr">
        <is>
          <t>GUIDE001341</t>
        </is>
      </c>
      <c r="B1342" s="101" t="inlineStr">
        <is>
          <t>DEV000041</t>
        </is>
      </c>
      <c r="C1342" s="103" t="inlineStr">
        <is>
          <t>APL</t>
        </is>
      </c>
      <c r="D1342" s="103" t="inlineStr">
        <is>
          <t>PHN</t>
        </is>
      </c>
      <c r="E1342" s="60" t="inlineStr">
        <is>
          <t>iPhone 15 Pro</t>
        </is>
      </c>
      <c r="F1342" s="104" t="inlineStr">
        <is>
          <t>SVC000034</t>
        </is>
      </c>
      <c r="G1342" s="104" t="inlineStr">
        <is>
          <t>Software Repair</t>
        </is>
      </c>
      <c r="H1342" s="104" t="inlineStr">
        <is>
          <t>Software</t>
        </is>
      </c>
      <c r="I1342" s="104" t="n"/>
      <c r="J1342" s="104" t="n"/>
      <c r="K1342" s="104" t="n"/>
      <c r="L1342" s="104" t="n"/>
      <c r="M1342" s="104" t="n"/>
      <c r="N1342" s="104" t="n"/>
      <c r="O1342" s="104" t="n"/>
      <c r="P1342" s="104" t="n"/>
      <c r="Q1342" s="104" t="n"/>
      <c r="R1342" s="104" t="n"/>
      <c r="S1342" s="110" t="n"/>
      <c r="T1342" s="110" t="n"/>
      <c r="U1342" s="104" t="n"/>
    </row>
    <row r="1343">
      <c r="A1343" s="104" t="inlineStr">
        <is>
          <t>GUIDE001342</t>
        </is>
      </c>
      <c r="B1343" s="101" t="inlineStr">
        <is>
          <t>DEV000042</t>
        </is>
      </c>
      <c r="C1343" s="103" t="inlineStr">
        <is>
          <t>APL</t>
        </is>
      </c>
      <c r="D1343" s="103" t="inlineStr">
        <is>
          <t>PHN</t>
        </is>
      </c>
      <c r="E1343" s="60" t="inlineStr">
        <is>
          <t>iPhone 15 Pro Max</t>
        </is>
      </c>
      <c r="F1343" s="104" t="inlineStr">
        <is>
          <t>SVC000034</t>
        </is>
      </c>
      <c r="G1343" s="104" t="inlineStr">
        <is>
          <t>Software Repair</t>
        </is>
      </c>
      <c r="H1343" s="104" t="inlineStr">
        <is>
          <t>Software</t>
        </is>
      </c>
      <c r="I1343" s="104" t="n"/>
      <c r="J1343" s="104" t="n"/>
      <c r="K1343" s="104" t="n"/>
      <c r="L1343" s="104" t="n"/>
      <c r="M1343" s="104" t="n"/>
      <c r="N1343" s="104" t="n"/>
      <c r="O1343" s="104" t="n"/>
      <c r="P1343" s="104" t="n"/>
      <c r="Q1343" s="104" t="n"/>
      <c r="R1343" s="104" t="n"/>
      <c r="S1343" s="110" t="n"/>
      <c r="T1343" s="110" t="n"/>
      <c r="U1343" s="104" t="n"/>
    </row>
    <row r="1344">
      <c r="A1344" s="104" t="inlineStr">
        <is>
          <t>GUIDE001343</t>
        </is>
      </c>
      <c r="B1344" s="101" t="inlineStr">
        <is>
          <t>DEV000043</t>
        </is>
      </c>
      <c r="C1344" s="103" t="inlineStr">
        <is>
          <t>APL</t>
        </is>
      </c>
      <c r="D1344" s="103" t="inlineStr">
        <is>
          <t>PHN</t>
        </is>
      </c>
      <c r="E1344" s="60" t="inlineStr">
        <is>
          <t>iPhone 16</t>
        </is>
      </c>
      <c r="F1344" s="104" t="inlineStr">
        <is>
          <t>SVC000034</t>
        </is>
      </c>
      <c r="G1344" s="104" t="inlineStr">
        <is>
          <t>Software Repair</t>
        </is>
      </c>
      <c r="H1344" s="104" t="inlineStr">
        <is>
          <t>Software</t>
        </is>
      </c>
      <c r="I1344" s="104" t="n"/>
      <c r="J1344" s="104" t="n"/>
      <c r="K1344" s="104" t="n"/>
      <c r="L1344" s="104" t="n"/>
      <c r="M1344" s="104" t="n"/>
      <c r="N1344" s="104" t="n"/>
      <c r="O1344" s="104" t="n"/>
      <c r="P1344" s="104" t="n"/>
      <c r="Q1344" s="104" t="n"/>
      <c r="R1344" s="104" t="n"/>
      <c r="S1344" s="110" t="n"/>
      <c r="T1344" s="110" t="n"/>
      <c r="U1344" s="104" t="n"/>
    </row>
    <row r="1345">
      <c r="A1345" s="105" t="inlineStr">
        <is>
          <t>GUIDE001344</t>
        </is>
      </c>
      <c r="B1345" s="101" t="inlineStr">
        <is>
          <t>DEV000044</t>
        </is>
      </c>
      <c r="C1345" s="103" t="inlineStr">
        <is>
          <t>APL</t>
        </is>
      </c>
      <c r="D1345" s="103" t="inlineStr">
        <is>
          <t>PHN</t>
        </is>
      </c>
      <c r="E1345" s="60" t="inlineStr">
        <is>
          <t>iPhone 16 Plus</t>
        </is>
      </c>
      <c r="F1345" s="104" t="inlineStr">
        <is>
          <t>SVC000034</t>
        </is>
      </c>
      <c r="G1345" s="104" t="inlineStr">
        <is>
          <t>Software Repair</t>
        </is>
      </c>
      <c r="H1345" s="104" t="inlineStr">
        <is>
          <t>Software</t>
        </is>
      </c>
      <c r="I1345" s="104" t="n"/>
      <c r="J1345" s="104" t="n"/>
      <c r="K1345" s="104" t="n"/>
      <c r="L1345" s="104" t="n"/>
      <c r="M1345" s="104" t="n"/>
      <c r="N1345" s="104" t="n"/>
      <c r="O1345" s="104" t="n"/>
      <c r="P1345" s="104" t="n"/>
      <c r="Q1345" s="104" t="n"/>
      <c r="R1345" s="104" t="n"/>
      <c r="S1345" s="110" t="n"/>
      <c r="T1345" s="110" t="n"/>
      <c r="U1345" s="104" t="n"/>
    </row>
    <row r="1346">
      <c r="A1346" s="104" t="inlineStr">
        <is>
          <t>GUIDE001345</t>
        </is>
      </c>
      <c r="B1346" s="101" t="inlineStr">
        <is>
          <t>DEV000045</t>
        </is>
      </c>
      <c r="C1346" s="103" t="inlineStr">
        <is>
          <t>APL</t>
        </is>
      </c>
      <c r="D1346" s="103" t="inlineStr">
        <is>
          <t>PHN</t>
        </is>
      </c>
      <c r="E1346" s="60" t="inlineStr">
        <is>
          <t>iPhone 16 Pro</t>
        </is>
      </c>
      <c r="F1346" s="104" t="inlineStr">
        <is>
          <t>SVC000034</t>
        </is>
      </c>
      <c r="G1346" s="104" t="inlineStr">
        <is>
          <t>Software Repair</t>
        </is>
      </c>
      <c r="H1346" s="104" t="inlineStr">
        <is>
          <t>Software</t>
        </is>
      </c>
      <c r="I1346" s="104" t="n"/>
      <c r="J1346" s="104" t="n"/>
      <c r="K1346" s="104" t="n"/>
      <c r="L1346" s="104" t="n"/>
      <c r="M1346" s="104" t="n"/>
      <c r="N1346" s="104" t="n"/>
      <c r="O1346" s="104" t="n"/>
      <c r="P1346" s="104" t="n"/>
      <c r="Q1346" s="104" t="n"/>
      <c r="R1346" s="104" t="n"/>
      <c r="S1346" s="110" t="n"/>
      <c r="T1346" s="110" t="n"/>
      <c r="U1346" s="104" t="n"/>
    </row>
    <row r="1347">
      <c r="A1347" s="104" t="inlineStr">
        <is>
          <t>GUIDE001346</t>
        </is>
      </c>
      <c r="B1347" s="101" t="inlineStr">
        <is>
          <t>DEV000046</t>
        </is>
      </c>
      <c r="C1347" s="103" t="inlineStr">
        <is>
          <t>APL</t>
        </is>
      </c>
      <c r="D1347" s="103" t="inlineStr">
        <is>
          <t>PHN</t>
        </is>
      </c>
      <c r="E1347" s="60" t="inlineStr">
        <is>
          <t>iPhone 16 Pro Max</t>
        </is>
      </c>
      <c r="F1347" s="104" t="inlineStr">
        <is>
          <t>SVC000034</t>
        </is>
      </c>
      <c r="G1347" s="104" t="inlineStr">
        <is>
          <t>Software Repair</t>
        </is>
      </c>
      <c r="H1347" s="104" t="inlineStr">
        <is>
          <t>Software</t>
        </is>
      </c>
      <c r="I1347" s="104" t="n"/>
      <c r="J1347" s="104" t="n"/>
      <c r="K1347" s="104" t="n"/>
      <c r="L1347" s="104" t="n"/>
      <c r="M1347" s="104" t="n"/>
      <c r="N1347" s="104" t="n"/>
      <c r="O1347" s="104" t="n"/>
      <c r="P1347" s="104" t="n"/>
      <c r="Q1347" s="104" t="n"/>
      <c r="R1347" s="104" t="n"/>
      <c r="S1347" s="110" t="n"/>
      <c r="T1347" s="110" t="n"/>
      <c r="U1347" s="104" t="n"/>
    </row>
    <row r="1348">
      <c r="A1348" s="104" t="inlineStr">
        <is>
          <t>GUIDE001347</t>
        </is>
      </c>
      <c r="B1348" s="101" t="inlineStr">
        <is>
          <t>DEV000047</t>
        </is>
      </c>
      <c r="C1348" s="103" t="inlineStr">
        <is>
          <t>APL</t>
        </is>
      </c>
      <c r="D1348" s="103" t="inlineStr">
        <is>
          <t>PHN</t>
        </is>
      </c>
      <c r="E1348" s="60" t="inlineStr">
        <is>
          <t>iPhone 16e</t>
        </is>
      </c>
      <c r="F1348" s="104" t="inlineStr">
        <is>
          <t>SVC000034</t>
        </is>
      </c>
      <c r="G1348" s="104" t="inlineStr">
        <is>
          <t>Software Repair</t>
        </is>
      </c>
      <c r="H1348" s="104" t="inlineStr">
        <is>
          <t>Software</t>
        </is>
      </c>
      <c r="I1348" s="104" t="n"/>
      <c r="J1348" s="104" t="n"/>
      <c r="K1348" s="104" t="n"/>
      <c r="L1348" s="104" t="n"/>
      <c r="M1348" s="104" t="n"/>
      <c r="N1348" s="104" t="n"/>
      <c r="O1348" s="104" t="n"/>
      <c r="P1348" s="104" t="n"/>
      <c r="Q1348" s="104" t="n"/>
      <c r="R1348" s="104" t="n"/>
      <c r="S1348" s="110" t="n"/>
      <c r="T1348" s="110" t="n"/>
      <c r="U1348" s="104" t="n"/>
    </row>
    <row r="1349">
      <c r="A1349" s="104" t="inlineStr">
        <is>
          <t>GUIDE001348</t>
        </is>
      </c>
      <c r="B1349" s="101" t="inlineStr">
        <is>
          <t>DEV000048</t>
        </is>
      </c>
      <c r="C1349" s="103" t="inlineStr">
        <is>
          <t>APL</t>
        </is>
      </c>
      <c r="D1349" s="103" t="inlineStr">
        <is>
          <t>PHN</t>
        </is>
      </c>
      <c r="E1349" s="60" t="inlineStr">
        <is>
          <t>iPhone 17</t>
        </is>
      </c>
      <c r="F1349" s="104" t="inlineStr">
        <is>
          <t>SVC000034</t>
        </is>
      </c>
      <c r="G1349" s="104" t="inlineStr">
        <is>
          <t>Software Repair</t>
        </is>
      </c>
      <c r="H1349" s="104" t="inlineStr">
        <is>
          <t>Software</t>
        </is>
      </c>
      <c r="I1349" s="104" t="n"/>
      <c r="J1349" s="104" t="n"/>
      <c r="K1349" s="104" t="n"/>
      <c r="L1349" s="104" t="n"/>
      <c r="M1349" s="104" t="n"/>
      <c r="N1349" s="104" t="n"/>
      <c r="O1349" s="104" t="n"/>
      <c r="P1349" s="104" t="n"/>
      <c r="Q1349" s="104" t="n"/>
      <c r="R1349" s="104" t="n"/>
      <c r="S1349" s="110" t="n"/>
      <c r="T1349" s="110" t="n"/>
      <c r="U1349" s="104" t="n"/>
    </row>
    <row r="1350">
      <c r="A1350" s="104" t="inlineStr">
        <is>
          <t>GUIDE001349</t>
        </is>
      </c>
      <c r="B1350" s="101" t="inlineStr">
        <is>
          <t>DEV000049</t>
        </is>
      </c>
      <c r="C1350" s="103" t="inlineStr">
        <is>
          <t>APL</t>
        </is>
      </c>
      <c r="D1350" s="103" t="inlineStr">
        <is>
          <t>PHN</t>
        </is>
      </c>
      <c r="E1350" s="60" t="inlineStr">
        <is>
          <t>iPhone 17 Pro</t>
        </is>
      </c>
      <c r="F1350" s="104" t="inlineStr">
        <is>
          <t>SVC000034</t>
        </is>
      </c>
      <c r="G1350" s="104" t="inlineStr">
        <is>
          <t>Software Repair</t>
        </is>
      </c>
      <c r="H1350" s="104" t="inlineStr">
        <is>
          <t>Software</t>
        </is>
      </c>
      <c r="I1350" s="104" t="n"/>
      <c r="J1350" s="104" t="n"/>
      <c r="K1350" s="104" t="n"/>
      <c r="L1350" s="104" t="n"/>
      <c r="M1350" s="104" t="n"/>
      <c r="N1350" s="104" t="n"/>
      <c r="O1350" s="104" t="n"/>
      <c r="P1350" s="104" t="n"/>
      <c r="Q1350" s="104" t="n"/>
      <c r="R1350" s="104" t="n"/>
      <c r="S1350" s="110" t="n"/>
      <c r="T1350" s="110" t="n"/>
      <c r="U1350" s="104" t="n"/>
    </row>
    <row r="1351">
      <c r="A1351" s="105" t="inlineStr">
        <is>
          <t>GUIDE001350</t>
        </is>
      </c>
      <c r="B1351" s="101" t="inlineStr">
        <is>
          <t>DEV000050</t>
        </is>
      </c>
      <c r="C1351" s="103" t="inlineStr">
        <is>
          <t>APL</t>
        </is>
      </c>
      <c r="D1351" s="103" t="inlineStr">
        <is>
          <t>PHN</t>
        </is>
      </c>
      <c r="E1351" s="60" t="inlineStr">
        <is>
          <t>iPhone 17 Pro Max</t>
        </is>
      </c>
      <c r="F1351" s="104" t="inlineStr">
        <is>
          <t>SVC000034</t>
        </is>
      </c>
      <c r="G1351" s="104" t="inlineStr">
        <is>
          <t>Software Repair</t>
        </is>
      </c>
      <c r="H1351" s="104" t="inlineStr">
        <is>
          <t>Software</t>
        </is>
      </c>
      <c r="I1351" s="104" t="n"/>
      <c r="J1351" s="104" t="n"/>
      <c r="K1351" s="104" t="n"/>
      <c r="L1351" s="104" t="n"/>
      <c r="M1351" s="104" t="n"/>
      <c r="N1351" s="104" t="n"/>
      <c r="O1351" s="104" t="n"/>
      <c r="P1351" s="104" t="n"/>
      <c r="Q1351" s="104" t="n"/>
      <c r="R1351" s="104" t="n"/>
      <c r="S1351" s="110" t="n"/>
      <c r="T1351" s="110" t="n"/>
      <c r="U1351" s="104" t="n"/>
    </row>
    <row r="1352">
      <c r="A1352" s="104" t="inlineStr">
        <is>
          <t>GUIDE001351</t>
        </is>
      </c>
      <c r="B1352" s="101" t="inlineStr">
        <is>
          <t>DEV000051</t>
        </is>
      </c>
      <c r="C1352" s="103" t="inlineStr">
        <is>
          <t>APL</t>
        </is>
      </c>
      <c r="D1352" s="103" t="inlineStr">
        <is>
          <t>PHN</t>
        </is>
      </c>
      <c r="E1352" s="60" t="inlineStr">
        <is>
          <t>iPhone Air</t>
        </is>
      </c>
      <c r="F1352" s="104" t="inlineStr">
        <is>
          <t>SVC000034</t>
        </is>
      </c>
      <c r="G1352" s="104" t="inlineStr">
        <is>
          <t>Software Repair</t>
        </is>
      </c>
      <c r="H1352" s="104" t="inlineStr">
        <is>
          <t>Software</t>
        </is>
      </c>
      <c r="I1352" s="104" t="n"/>
      <c r="J1352" s="104" t="n"/>
      <c r="K1352" s="104" t="n"/>
      <c r="L1352" s="104" t="n"/>
      <c r="M1352" s="104" t="n"/>
      <c r="N1352" s="104" t="n"/>
      <c r="O1352" s="104" t="n"/>
      <c r="P1352" s="104" t="n"/>
      <c r="Q1352" s="104" t="n"/>
      <c r="R1352" s="104" t="n"/>
      <c r="S1352" s="110" t="n"/>
      <c r="T1352" s="110" t="n"/>
      <c r="U1352" s="104" t="n"/>
    </row>
    <row r="1353">
      <c r="A1353" s="104" t="inlineStr">
        <is>
          <t>GUIDE001352</t>
        </is>
      </c>
      <c r="B1353" s="101" t="inlineStr">
        <is>
          <t>DEV000052</t>
        </is>
      </c>
      <c r="C1353" s="103" t="inlineStr">
        <is>
          <t>APL</t>
        </is>
      </c>
      <c r="D1353" s="103" t="inlineStr">
        <is>
          <t>PHN</t>
        </is>
      </c>
      <c r="E1353" s="60" t="inlineStr">
        <is>
          <t>iPhone 17e</t>
        </is>
      </c>
      <c r="F1353" s="104" t="inlineStr">
        <is>
          <t>SVC000034</t>
        </is>
      </c>
      <c r="G1353" s="104" t="inlineStr">
        <is>
          <t>Software Repair</t>
        </is>
      </c>
      <c r="H1353" s="104" t="inlineStr">
        <is>
          <t>Software</t>
        </is>
      </c>
      <c r="I1353" s="104" t="n"/>
      <c r="J1353" s="104" t="n"/>
      <c r="K1353" s="104" t="n"/>
      <c r="L1353" s="104" t="n"/>
      <c r="M1353" s="104" t="n"/>
      <c r="N1353" s="104" t="n"/>
      <c r="O1353" s="104" t="n"/>
      <c r="P1353" s="104" t="n"/>
      <c r="Q1353" s="104" t="n"/>
      <c r="R1353" s="104" t="n"/>
      <c r="S1353" s="110" t="n"/>
      <c r="T1353" s="110" t="n"/>
      <c r="U1353" s="104" t="n"/>
    </row>
    <row r="1354">
      <c r="A1354" s="104" t="inlineStr">
        <is>
          <t>GUIDE001353</t>
        </is>
      </c>
      <c r="B1354" s="101" t="inlineStr">
        <is>
          <t>DEV000001</t>
        </is>
      </c>
      <c r="C1354" s="103" t="inlineStr">
        <is>
          <t>APL</t>
        </is>
      </c>
      <c r="D1354" s="103" t="inlineStr">
        <is>
          <t>PHN</t>
        </is>
      </c>
      <c r="E1354" s="60" t="inlineStr">
        <is>
          <t>iPhone (2G)</t>
        </is>
      </c>
      <c r="F1354" s="104" t="inlineStr">
        <is>
          <t>SVC000035</t>
        </is>
      </c>
      <c r="G1354" s="104" t="inlineStr">
        <is>
          <t>Firmware Flash</t>
        </is>
      </c>
      <c r="H1354" s="104" t="inlineStr">
        <is>
          <t>Software</t>
        </is>
      </c>
      <c r="I1354" s="104" t="n"/>
      <c r="J1354" s="104" t="n"/>
      <c r="K1354" s="104" t="n"/>
      <c r="L1354" s="104" t="n"/>
      <c r="M1354" s="104" t="n"/>
      <c r="N1354" s="104" t="n"/>
      <c r="O1354" s="104" t="n"/>
      <c r="P1354" s="104" t="n"/>
      <c r="Q1354" s="104" t="n"/>
      <c r="R1354" s="104" t="n"/>
      <c r="S1354" s="110" t="n"/>
      <c r="T1354" s="110" t="n"/>
      <c r="U1354" s="104" t="n"/>
    </row>
    <row r="1355">
      <c r="A1355" s="104" t="inlineStr">
        <is>
          <t>GUIDE001354</t>
        </is>
      </c>
      <c r="B1355" s="101" t="inlineStr">
        <is>
          <t>DEV000002</t>
        </is>
      </c>
      <c r="C1355" s="103" t="inlineStr">
        <is>
          <t>APL</t>
        </is>
      </c>
      <c r="D1355" s="103" t="inlineStr">
        <is>
          <t>PHN</t>
        </is>
      </c>
      <c r="E1355" s="60" t="inlineStr">
        <is>
          <t>iPhone 3G</t>
        </is>
      </c>
      <c r="F1355" s="104" t="inlineStr">
        <is>
          <t>SVC000035</t>
        </is>
      </c>
      <c r="G1355" s="104" t="inlineStr">
        <is>
          <t>Firmware Flash</t>
        </is>
      </c>
      <c r="H1355" s="104" t="inlineStr">
        <is>
          <t>Software</t>
        </is>
      </c>
      <c r="I1355" s="104" t="n"/>
      <c r="J1355" s="104" t="n"/>
      <c r="K1355" s="104" t="n"/>
      <c r="L1355" s="104" t="n"/>
      <c r="M1355" s="104" t="n"/>
      <c r="N1355" s="104" t="n"/>
      <c r="O1355" s="104" t="n"/>
      <c r="P1355" s="104" t="n"/>
      <c r="Q1355" s="104" t="n"/>
      <c r="R1355" s="104" t="n"/>
      <c r="S1355" s="110" t="n"/>
      <c r="T1355" s="110" t="n"/>
      <c r="U1355" s="104" t="n"/>
    </row>
    <row r="1356">
      <c r="A1356" s="104" t="inlineStr">
        <is>
          <t>GUIDE001355</t>
        </is>
      </c>
      <c r="B1356" s="101" t="inlineStr">
        <is>
          <t>DEV000003</t>
        </is>
      </c>
      <c r="C1356" s="103" t="inlineStr">
        <is>
          <t>APL</t>
        </is>
      </c>
      <c r="D1356" s="103" t="inlineStr">
        <is>
          <t>PHN</t>
        </is>
      </c>
      <c r="E1356" s="60" t="inlineStr">
        <is>
          <t>iPhone 3GS</t>
        </is>
      </c>
      <c r="F1356" s="104" t="inlineStr">
        <is>
          <t>SVC000035</t>
        </is>
      </c>
      <c r="G1356" s="104" t="inlineStr">
        <is>
          <t>Firmware Flash</t>
        </is>
      </c>
      <c r="H1356" s="104" t="inlineStr">
        <is>
          <t>Software</t>
        </is>
      </c>
      <c r="I1356" s="104" t="n"/>
      <c r="J1356" s="104" t="n"/>
      <c r="K1356" s="104" t="n"/>
      <c r="L1356" s="104" t="n"/>
      <c r="M1356" s="104" t="n"/>
      <c r="N1356" s="104" t="n"/>
      <c r="O1356" s="104" t="n"/>
      <c r="P1356" s="104" t="n"/>
      <c r="Q1356" s="104" t="n"/>
      <c r="R1356" s="104" t="n"/>
      <c r="S1356" s="110" t="n"/>
      <c r="T1356" s="110" t="n"/>
      <c r="U1356" s="104" t="n"/>
    </row>
    <row r="1357">
      <c r="A1357" s="105" t="inlineStr">
        <is>
          <t>GUIDE001356</t>
        </is>
      </c>
      <c r="B1357" s="101" t="inlineStr">
        <is>
          <t>DEV000004</t>
        </is>
      </c>
      <c r="C1357" s="103" t="inlineStr">
        <is>
          <t>APL</t>
        </is>
      </c>
      <c r="D1357" s="103" t="inlineStr">
        <is>
          <t>PHN</t>
        </is>
      </c>
      <c r="E1357" s="60" t="inlineStr">
        <is>
          <t>iPhone 4</t>
        </is>
      </c>
      <c r="F1357" s="104" t="inlineStr">
        <is>
          <t>SVC000035</t>
        </is>
      </c>
      <c r="G1357" s="104" t="inlineStr">
        <is>
          <t>Firmware Flash</t>
        </is>
      </c>
      <c r="H1357" s="104" t="inlineStr">
        <is>
          <t>Software</t>
        </is>
      </c>
      <c r="I1357" s="104" t="n"/>
      <c r="J1357" s="104" t="n"/>
      <c r="K1357" s="104" t="n"/>
      <c r="L1357" s="104" t="n"/>
      <c r="M1357" s="104" t="n"/>
      <c r="N1357" s="104" t="n"/>
      <c r="O1357" s="104" t="n"/>
      <c r="P1357" s="104" t="n"/>
      <c r="Q1357" s="104" t="n"/>
      <c r="R1357" s="104" t="n"/>
      <c r="S1357" s="110" t="n"/>
      <c r="T1357" s="110" t="n"/>
      <c r="U1357" s="104" t="n"/>
    </row>
    <row r="1358">
      <c r="A1358" s="104" t="inlineStr">
        <is>
          <t>GUIDE001357</t>
        </is>
      </c>
      <c r="B1358" s="101" t="inlineStr">
        <is>
          <t>DEV000005</t>
        </is>
      </c>
      <c r="C1358" s="103" t="inlineStr">
        <is>
          <t>APL</t>
        </is>
      </c>
      <c r="D1358" s="103" t="inlineStr">
        <is>
          <t>PHN</t>
        </is>
      </c>
      <c r="E1358" s="60" t="inlineStr">
        <is>
          <t>iPhone 4s</t>
        </is>
      </c>
      <c r="F1358" s="104" t="inlineStr">
        <is>
          <t>SVC000035</t>
        </is>
      </c>
      <c r="G1358" s="104" t="inlineStr">
        <is>
          <t>Firmware Flash</t>
        </is>
      </c>
      <c r="H1358" s="104" t="inlineStr">
        <is>
          <t>Software</t>
        </is>
      </c>
      <c r="I1358" s="104" t="n"/>
      <c r="J1358" s="104" t="n"/>
      <c r="K1358" s="104" t="n"/>
      <c r="L1358" s="104" t="n"/>
      <c r="M1358" s="104" t="n"/>
      <c r="N1358" s="104" t="n"/>
      <c r="O1358" s="104" t="n"/>
      <c r="P1358" s="104" t="n"/>
      <c r="Q1358" s="104" t="n"/>
      <c r="R1358" s="104" t="n"/>
      <c r="S1358" s="110" t="n"/>
      <c r="T1358" s="110" t="n"/>
      <c r="U1358" s="104" t="n"/>
    </row>
    <row r="1359">
      <c r="A1359" s="104" t="inlineStr">
        <is>
          <t>GUIDE001358</t>
        </is>
      </c>
      <c r="B1359" s="101" t="inlineStr">
        <is>
          <t>DEV000006</t>
        </is>
      </c>
      <c r="C1359" s="103" t="inlineStr">
        <is>
          <t>APL</t>
        </is>
      </c>
      <c r="D1359" s="103" t="inlineStr">
        <is>
          <t>PHN</t>
        </is>
      </c>
      <c r="E1359" s="60" t="inlineStr">
        <is>
          <t>iPhone 5</t>
        </is>
      </c>
      <c r="F1359" s="104" t="inlineStr">
        <is>
          <t>SVC000035</t>
        </is>
      </c>
      <c r="G1359" s="104" t="inlineStr">
        <is>
          <t>Firmware Flash</t>
        </is>
      </c>
      <c r="H1359" s="104" t="inlineStr">
        <is>
          <t>Software</t>
        </is>
      </c>
      <c r="I1359" s="104" t="n"/>
      <c r="J1359" s="104" t="n"/>
      <c r="K1359" s="104" t="n"/>
      <c r="L1359" s="104" t="n"/>
      <c r="M1359" s="104" t="n"/>
      <c r="N1359" s="104" t="n"/>
      <c r="O1359" s="104" t="n"/>
      <c r="P1359" s="104" t="n"/>
      <c r="Q1359" s="104" t="n"/>
      <c r="R1359" s="104" t="n"/>
      <c r="S1359" s="110" t="n"/>
      <c r="T1359" s="110" t="n"/>
      <c r="U1359" s="104" t="n"/>
    </row>
    <row r="1360">
      <c r="A1360" s="104" t="inlineStr">
        <is>
          <t>GUIDE001359</t>
        </is>
      </c>
      <c r="B1360" s="101" t="inlineStr">
        <is>
          <t>DEV000007</t>
        </is>
      </c>
      <c r="C1360" s="103" t="inlineStr">
        <is>
          <t>APL</t>
        </is>
      </c>
      <c r="D1360" s="103" t="inlineStr">
        <is>
          <t>PHN</t>
        </is>
      </c>
      <c r="E1360" s="60" t="inlineStr">
        <is>
          <t>iPhone 5c</t>
        </is>
      </c>
      <c r="F1360" s="104" t="inlineStr">
        <is>
          <t>SVC000035</t>
        </is>
      </c>
      <c r="G1360" s="104" t="inlineStr">
        <is>
          <t>Firmware Flash</t>
        </is>
      </c>
      <c r="H1360" s="104" t="inlineStr">
        <is>
          <t>Software</t>
        </is>
      </c>
      <c r="I1360" s="104" t="n"/>
      <c r="J1360" s="104" t="n"/>
      <c r="K1360" s="104" t="n"/>
      <c r="L1360" s="104" t="n"/>
      <c r="M1360" s="104" t="n"/>
      <c r="N1360" s="104" t="n"/>
      <c r="O1360" s="104" t="n"/>
      <c r="P1360" s="104" t="n"/>
      <c r="Q1360" s="104" t="n"/>
      <c r="R1360" s="104" t="n"/>
      <c r="S1360" s="110" t="n"/>
      <c r="T1360" s="110" t="n"/>
      <c r="U1360" s="104" t="n"/>
    </row>
    <row r="1361">
      <c r="A1361" s="104" t="inlineStr">
        <is>
          <t>GUIDE001360</t>
        </is>
      </c>
      <c r="B1361" s="101" t="inlineStr">
        <is>
          <t>DEV000008</t>
        </is>
      </c>
      <c r="C1361" s="103" t="inlineStr">
        <is>
          <t>APL</t>
        </is>
      </c>
      <c r="D1361" s="103" t="inlineStr">
        <is>
          <t>PHN</t>
        </is>
      </c>
      <c r="E1361" s="60" t="inlineStr">
        <is>
          <t>iPhone 5s</t>
        </is>
      </c>
      <c r="F1361" s="104" t="inlineStr">
        <is>
          <t>SVC000035</t>
        </is>
      </c>
      <c r="G1361" s="104" t="inlineStr">
        <is>
          <t>Firmware Flash</t>
        </is>
      </c>
      <c r="H1361" s="104" t="inlineStr">
        <is>
          <t>Software</t>
        </is>
      </c>
      <c r="I1361" s="104" t="n"/>
      <c r="J1361" s="104" t="n"/>
      <c r="K1361" s="104" t="n"/>
      <c r="L1361" s="104" t="n"/>
      <c r="M1361" s="104" t="n"/>
      <c r="N1361" s="104" t="n"/>
      <c r="O1361" s="104" t="n"/>
      <c r="P1361" s="104" t="n"/>
      <c r="Q1361" s="104" t="n"/>
      <c r="R1361" s="104" t="n"/>
      <c r="S1361" s="110" t="n"/>
      <c r="T1361" s="110" t="n"/>
      <c r="U1361" s="104" t="n"/>
    </row>
    <row r="1362">
      <c r="A1362" s="104" t="inlineStr">
        <is>
          <t>GUIDE001361</t>
        </is>
      </c>
      <c r="B1362" s="101" t="inlineStr">
        <is>
          <t>DEV000009</t>
        </is>
      </c>
      <c r="C1362" s="103" t="inlineStr">
        <is>
          <t>APL</t>
        </is>
      </c>
      <c r="D1362" s="103" t="inlineStr">
        <is>
          <t>PHN</t>
        </is>
      </c>
      <c r="E1362" s="60" t="inlineStr">
        <is>
          <t>iPhone 6</t>
        </is>
      </c>
      <c r="F1362" s="104" t="inlineStr">
        <is>
          <t>SVC000035</t>
        </is>
      </c>
      <c r="G1362" s="104" t="inlineStr">
        <is>
          <t>Firmware Flash</t>
        </is>
      </c>
      <c r="H1362" s="104" t="inlineStr">
        <is>
          <t>Software</t>
        </is>
      </c>
      <c r="I1362" s="104" t="n"/>
      <c r="J1362" s="104" t="n"/>
      <c r="K1362" s="104" t="n"/>
      <c r="L1362" s="104" t="n"/>
      <c r="M1362" s="104" t="n"/>
      <c r="N1362" s="104" t="n"/>
      <c r="O1362" s="104" t="n"/>
      <c r="P1362" s="104" t="n"/>
      <c r="Q1362" s="104" t="n"/>
      <c r="R1362" s="104" t="n"/>
      <c r="S1362" s="110" t="n"/>
      <c r="T1362" s="110" t="n"/>
      <c r="U1362" s="104" t="n"/>
    </row>
    <row r="1363">
      <c r="A1363" s="105" t="inlineStr">
        <is>
          <t>GUIDE001362</t>
        </is>
      </c>
      <c r="B1363" s="101" t="inlineStr">
        <is>
          <t>DEV000010</t>
        </is>
      </c>
      <c r="C1363" s="103" t="inlineStr">
        <is>
          <t>APL</t>
        </is>
      </c>
      <c r="D1363" s="103" t="inlineStr">
        <is>
          <t>PHN</t>
        </is>
      </c>
      <c r="E1363" s="60" t="inlineStr">
        <is>
          <t>iPhone 6 Plus</t>
        </is>
      </c>
      <c r="F1363" s="104" t="inlineStr">
        <is>
          <t>SVC000035</t>
        </is>
      </c>
      <c r="G1363" s="104" t="inlineStr">
        <is>
          <t>Firmware Flash</t>
        </is>
      </c>
      <c r="H1363" s="104" t="inlineStr">
        <is>
          <t>Software</t>
        </is>
      </c>
      <c r="I1363" s="104" t="n"/>
      <c r="J1363" s="104" t="n"/>
      <c r="K1363" s="104" t="n"/>
      <c r="L1363" s="104" t="n"/>
      <c r="M1363" s="104" t="n"/>
      <c r="N1363" s="104" t="n"/>
      <c r="O1363" s="104" t="n"/>
      <c r="P1363" s="104" t="n"/>
      <c r="Q1363" s="104" t="n"/>
      <c r="R1363" s="104" t="n"/>
      <c r="S1363" s="110" t="n"/>
      <c r="T1363" s="110" t="n"/>
      <c r="U1363" s="104" t="n"/>
    </row>
    <row r="1364">
      <c r="A1364" s="104" t="inlineStr">
        <is>
          <t>GUIDE001363</t>
        </is>
      </c>
      <c r="B1364" s="101" t="inlineStr">
        <is>
          <t>DEV000011</t>
        </is>
      </c>
      <c r="C1364" s="103" t="inlineStr">
        <is>
          <t>APL</t>
        </is>
      </c>
      <c r="D1364" s="103" t="inlineStr">
        <is>
          <t>PHN</t>
        </is>
      </c>
      <c r="E1364" s="60" t="inlineStr">
        <is>
          <t>iPhone 6s</t>
        </is>
      </c>
      <c r="F1364" s="104" t="inlineStr">
        <is>
          <t>SVC000035</t>
        </is>
      </c>
      <c r="G1364" s="104" t="inlineStr">
        <is>
          <t>Firmware Flash</t>
        </is>
      </c>
      <c r="H1364" s="104" t="inlineStr">
        <is>
          <t>Software</t>
        </is>
      </c>
      <c r="I1364" s="104" t="n"/>
      <c r="J1364" s="104" t="n"/>
      <c r="K1364" s="104" t="n"/>
      <c r="L1364" s="104" t="n"/>
      <c r="M1364" s="104" t="n"/>
      <c r="N1364" s="104" t="n"/>
      <c r="O1364" s="104" t="n"/>
      <c r="P1364" s="104" t="n"/>
      <c r="Q1364" s="104" t="n"/>
      <c r="R1364" s="104" t="n"/>
      <c r="S1364" s="110" t="n"/>
      <c r="T1364" s="110" t="n"/>
      <c r="U1364" s="104" t="n"/>
    </row>
    <row r="1365">
      <c r="A1365" s="104" t="inlineStr">
        <is>
          <t>GUIDE001364</t>
        </is>
      </c>
      <c r="B1365" s="101" t="inlineStr">
        <is>
          <t>DEV000012</t>
        </is>
      </c>
      <c r="C1365" s="103" t="inlineStr">
        <is>
          <t>APL</t>
        </is>
      </c>
      <c r="D1365" s="103" t="inlineStr">
        <is>
          <t>PHN</t>
        </is>
      </c>
      <c r="E1365" s="60" t="inlineStr">
        <is>
          <t>iPhone 6s Plus</t>
        </is>
      </c>
      <c r="F1365" s="104" t="inlineStr">
        <is>
          <t>SVC000035</t>
        </is>
      </c>
      <c r="G1365" s="104" t="inlineStr">
        <is>
          <t>Firmware Flash</t>
        </is>
      </c>
      <c r="H1365" s="104" t="inlineStr">
        <is>
          <t>Software</t>
        </is>
      </c>
      <c r="I1365" s="104" t="n"/>
      <c r="J1365" s="104" t="n"/>
      <c r="K1365" s="104" t="n"/>
      <c r="L1365" s="104" t="n"/>
      <c r="M1365" s="104" t="n"/>
      <c r="N1365" s="104" t="n"/>
      <c r="O1365" s="104" t="n"/>
      <c r="P1365" s="104" t="n"/>
      <c r="Q1365" s="104" t="n"/>
      <c r="R1365" s="104" t="n"/>
      <c r="S1365" s="110" t="n"/>
      <c r="T1365" s="110" t="n"/>
      <c r="U1365" s="104" t="n"/>
    </row>
    <row r="1366">
      <c r="A1366" s="104" t="inlineStr">
        <is>
          <t>GUIDE001365</t>
        </is>
      </c>
      <c r="B1366" s="101" t="inlineStr">
        <is>
          <t>DEV000013</t>
        </is>
      </c>
      <c r="C1366" s="103" t="inlineStr">
        <is>
          <t>APL</t>
        </is>
      </c>
      <c r="D1366" s="103" t="inlineStr">
        <is>
          <t>PHN</t>
        </is>
      </c>
      <c r="E1366" s="60" t="inlineStr">
        <is>
          <t>iPhone SE (1st Gen)</t>
        </is>
      </c>
      <c r="F1366" s="104" t="inlineStr">
        <is>
          <t>SVC000035</t>
        </is>
      </c>
      <c r="G1366" s="104" t="inlineStr">
        <is>
          <t>Firmware Flash</t>
        </is>
      </c>
      <c r="H1366" s="104" t="inlineStr">
        <is>
          <t>Software</t>
        </is>
      </c>
      <c r="I1366" s="104" t="n"/>
      <c r="J1366" s="104" t="n"/>
      <c r="K1366" s="104" t="n"/>
      <c r="L1366" s="104" t="n"/>
      <c r="M1366" s="104" t="n"/>
      <c r="N1366" s="104" t="n"/>
      <c r="O1366" s="104" t="n"/>
      <c r="P1366" s="104" t="n"/>
      <c r="Q1366" s="104" t="n"/>
      <c r="R1366" s="104" t="n"/>
      <c r="S1366" s="110" t="n"/>
      <c r="T1366" s="110" t="n"/>
      <c r="U1366" s="104" t="n"/>
    </row>
    <row r="1367">
      <c r="A1367" s="104" t="inlineStr">
        <is>
          <t>GUIDE001366</t>
        </is>
      </c>
      <c r="B1367" s="101" t="inlineStr">
        <is>
          <t>DEV000014</t>
        </is>
      </c>
      <c r="C1367" s="103" t="inlineStr">
        <is>
          <t>APL</t>
        </is>
      </c>
      <c r="D1367" s="103" t="inlineStr">
        <is>
          <t>PHN</t>
        </is>
      </c>
      <c r="E1367" s="60" t="inlineStr">
        <is>
          <t>iPhone 7</t>
        </is>
      </c>
      <c r="F1367" s="104" t="inlineStr">
        <is>
          <t>SVC000035</t>
        </is>
      </c>
      <c r="G1367" s="104" t="inlineStr">
        <is>
          <t>Firmware Flash</t>
        </is>
      </c>
      <c r="H1367" s="104" t="inlineStr">
        <is>
          <t>Software</t>
        </is>
      </c>
      <c r="I1367" s="104" t="n"/>
      <c r="J1367" s="104" t="n"/>
      <c r="K1367" s="104" t="n"/>
      <c r="L1367" s="104" t="n"/>
      <c r="M1367" s="104" t="n"/>
      <c r="N1367" s="104" t="n"/>
      <c r="O1367" s="104" t="n"/>
      <c r="P1367" s="104" t="n"/>
      <c r="Q1367" s="104" t="n"/>
      <c r="R1367" s="104" t="n"/>
      <c r="S1367" s="110" t="n"/>
      <c r="T1367" s="110" t="n"/>
      <c r="U1367" s="104" t="n"/>
    </row>
    <row r="1368">
      <c r="A1368" s="104" t="inlineStr">
        <is>
          <t>GUIDE001367</t>
        </is>
      </c>
      <c r="B1368" s="101" t="inlineStr">
        <is>
          <t>DEV000015</t>
        </is>
      </c>
      <c r="C1368" s="103" t="inlineStr">
        <is>
          <t>APL</t>
        </is>
      </c>
      <c r="D1368" s="103" t="inlineStr">
        <is>
          <t>PHN</t>
        </is>
      </c>
      <c r="E1368" s="60" t="inlineStr">
        <is>
          <t>iPhone 7 Plus</t>
        </is>
      </c>
      <c r="F1368" s="104" t="inlineStr">
        <is>
          <t>SVC000035</t>
        </is>
      </c>
      <c r="G1368" s="104" t="inlineStr">
        <is>
          <t>Firmware Flash</t>
        </is>
      </c>
      <c r="H1368" s="104" t="inlineStr">
        <is>
          <t>Software</t>
        </is>
      </c>
      <c r="I1368" s="104" t="n"/>
      <c r="J1368" s="104" t="n"/>
      <c r="K1368" s="104" t="n"/>
      <c r="L1368" s="104" t="n"/>
      <c r="M1368" s="104" t="n"/>
      <c r="N1368" s="104" t="n"/>
      <c r="O1368" s="104" t="n"/>
      <c r="P1368" s="104" t="n"/>
      <c r="Q1368" s="104" t="n"/>
      <c r="R1368" s="104" t="n"/>
      <c r="S1368" s="110" t="n"/>
      <c r="T1368" s="110" t="n"/>
      <c r="U1368" s="104" t="n"/>
    </row>
    <row r="1369">
      <c r="A1369" s="105" t="inlineStr">
        <is>
          <t>GUIDE001368</t>
        </is>
      </c>
      <c r="B1369" s="101" t="inlineStr">
        <is>
          <t>DEV000016</t>
        </is>
      </c>
      <c r="C1369" s="103" t="inlineStr">
        <is>
          <t>APL</t>
        </is>
      </c>
      <c r="D1369" s="103" t="inlineStr">
        <is>
          <t>PHN</t>
        </is>
      </c>
      <c r="E1369" s="60" t="inlineStr">
        <is>
          <t>iPhone 8</t>
        </is>
      </c>
      <c r="F1369" s="104" t="inlineStr">
        <is>
          <t>SVC000035</t>
        </is>
      </c>
      <c r="G1369" s="104" t="inlineStr">
        <is>
          <t>Firmware Flash</t>
        </is>
      </c>
      <c r="H1369" s="104" t="inlineStr">
        <is>
          <t>Software</t>
        </is>
      </c>
      <c r="I1369" s="104" t="n"/>
      <c r="J1369" s="104" t="n"/>
      <c r="K1369" s="104" t="n"/>
      <c r="L1369" s="104" t="n"/>
      <c r="M1369" s="104" t="n"/>
      <c r="N1369" s="104" t="n"/>
      <c r="O1369" s="104" t="n"/>
      <c r="P1369" s="104" t="n"/>
      <c r="Q1369" s="104" t="n"/>
      <c r="R1369" s="104" t="n"/>
      <c r="S1369" s="110" t="n"/>
      <c r="T1369" s="110" t="n"/>
      <c r="U1369" s="104" t="n"/>
    </row>
    <row r="1370">
      <c r="A1370" s="104" t="inlineStr">
        <is>
          <t>GUIDE001369</t>
        </is>
      </c>
      <c r="B1370" s="101" t="inlineStr">
        <is>
          <t>DEV000017</t>
        </is>
      </c>
      <c r="C1370" s="103" t="inlineStr">
        <is>
          <t>APL</t>
        </is>
      </c>
      <c r="D1370" s="103" t="inlineStr">
        <is>
          <t>PHN</t>
        </is>
      </c>
      <c r="E1370" s="60" t="inlineStr">
        <is>
          <t>iPhone 8 Plus</t>
        </is>
      </c>
      <c r="F1370" s="104" t="inlineStr">
        <is>
          <t>SVC000035</t>
        </is>
      </c>
      <c r="G1370" s="104" t="inlineStr">
        <is>
          <t>Firmware Flash</t>
        </is>
      </c>
      <c r="H1370" s="104" t="inlineStr">
        <is>
          <t>Software</t>
        </is>
      </c>
      <c r="I1370" s="104" t="n"/>
      <c r="J1370" s="104" t="n"/>
      <c r="K1370" s="104" t="n"/>
      <c r="L1370" s="104" t="n"/>
      <c r="M1370" s="104" t="n"/>
      <c r="N1370" s="104" t="n"/>
      <c r="O1370" s="104" t="n"/>
      <c r="P1370" s="104" t="n"/>
      <c r="Q1370" s="104" t="n"/>
      <c r="R1370" s="104" t="n"/>
      <c r="S1370" s="110" t="n"/>
      <c r="T1370" s="110" t="n"/>
      <c r="U1370" s="104" t="n"/>
    </row>
    <row r="1371">
      <c r="A1371" s="104" t="inlineStr">
        <is>
          <t>GUIDE001370</t>
        </is>
      </c>
      <c r="B1371" s="101" t="inlineStr">
        <is>
          <t>DEV000018</t>
        </is>
      </c>
      <c r="C1371" s="103" t="inlineStr">
        <is>
          <t>APL</t>
        </is>
      </c>
      <c r="D1371" s="103" t="inlineStr">
        <is>
          <t>PHN</t>
        </is>
      </c>
      <c r="E1371" s="60" t="inlineStr">
        <is>
          <t>iPhone X</t>
        </is>
      </c>
      <c r="F1371" s="104" t="inlineStr">
        <is>
          <t>SVC000035</t>
        </is>
      </c>
      <c r="G1371" s="104" t="inlineStr">
        <is>
          <t>Firmware Flash</t>
        </is>
      </c>
      <c r="H1371" s="104" t="inlineStr">
        <is>
          <t>Software</t>
        </is>
      </c>
      <c r="I1371" s="104" t="n"/>
      <c r="J1371" s="104" t="n"/>
      <c r="K1371" s="104" t="n"/>
      <c r="L1371" s="104" t="n"/>
      <c r="M1371" s="104" t="n"/>
      <c r="N1371" s="104" t="n"/>
      <c r="O1371" s="104" t="n"/>
      <c r="P1371" s="104" t="n"/>
      <c r="Q1371" s="104" t="n"/>
      <c r="R1371" s="104" t="n"/>
      <c r="S1371" s="110" t="n"/>
      <c r="T1371" s="110" t="n"/>
      <c r="U1371" s="104" t="n"/>
    </row>
    <row r="1372">
      <c r="A1372" s="104" t="inlineStr">
        <is>
          <t>GUIDE001371</t>
        </is>
      </c>
      <c r="B1372" s="101" t="inlineStr">
        <is>
          <t>DEV000019</t>
        </is>
      </c>
      <c r="C1372" s="103" t="inlineStr">
        <is>
          <t>APL</t>
        </is>
      </c>
      <c r="D1372" s="103" t="inlineStr">
        <is>
          <t>PHN</t>
        </is>
      </c>
      <c r="E1372" s="60" t="inlineStr">
        <is>
          <t>iPhone XR</t>
        </is>
      </c>
      <c r="F1372" s="104" t="inlineStr">
        <is>
          <t>SVC000035</t>
        </is>
      </c>
      <c r="G1372" s="104" t="inlineStr">
        <is>
          <t>Firmware Flash</t>
        </is>
      </c>
      <c r="H1372" s="104" t="inlineStr">
        <is>
          <t>Software</t>
        </is>
      </c>
      <c r="I1372" s="104" t="n"/>
      <c r="J1372" s="104" t="n"/>
      <c r="K1372" s="104" t="n"/>
      <c r="L1372" s="104" t="n"/>
      <c r="M1372" s="104" t="n"/>
      <c r="N1372" s="104" t="n"/>
      <c r="O1372" s="104" t="n"/>
      <c r="P1372" s="104" t="n"/>
      <c r="Q1372" s="104" t="n"/>
      <c r="R1372" s="104" t="n"/>
      <c r="S1372" s="110" t="n"/>
      <c r="T1372" s="110" t="n"/>
      <c r="U1372" s="104" t="n"/>
    </row>
    <row r="1373">
      <c r="A1373" s="104" t="inlineStr">
        <is>
          <t>GUIDE001372</t>
        </is>
      </c>
      <c r="B1373" s="101" t="inlineStr">
        <is>
          <t>DEV000020</t>
        </is>
      </c>
      <c r="C1373" s="103" t="inlineStr">
        <is>
          <t>APL</t>
        </is>
      </c>
      <c r="D1373" s="103" t="inlineStr">
        <is>
          <t>PHN</t>
        </is>
      </c>
      <c r="E1373" s="60" t="inlineStr">
        <is>
          <t>iPhone XS</t>
        </is>
      </c>
      <c r="F1373" s="104" t="inlineStr">
        <is>
          <t>SVC000035</t>
        </is>
      </c>
      <c r="G1373" s="104" t="inlineStr">
        <is>
          <t>Firmware Flash</t>
        </is>
      </c>
      <c r="H1373" s="104" t="inlineStr">
        <is>
          <t>Software</t>
        </is>
      </c>
      <c r="I1373" s="104" t="n"/>
      <c r="J1373" s="104" t="n"/>
      <c r="K1373" s="104" t="n"/>
      <c r="L1373" s="104" t="n"/>
      <c r="M1373" s="104" t="n"/>
      <c r="N1373" s="104" t="n"/>
      <c r="O1373" s="104" t="n"/>
      <c r="P1373" s="104" t="n"/>
      <c r="Q1373" s="104" t="n"/>
      <c r="R1373" s="104" t="n"/>
      <c r="S1373" s="110" t="n"/>
      <c r="T1373" s="110" t="n"/>
      <c r="U1373" s="104" t="n"/>
    </row>
    <row r="1374">
      <c r="A1374" s="104" t="inlineStr">
        <is>
          <t>GUIDE001373</t>
        </is>
      </c>
      <c r="B1374" s="101" t="inlineStr">
        <is>
          <t>DEV000021</t>
        </is>
      </c>
      <c r="C1374" s="103" t="inlineStr">
        <is>
          <t>APL</t>
        </is>
      </c>
      <c r="D1374" s="103" t="inlineStr">
        <is>
          <t>PHN</t>
        </is>
      </c>
      <c r="E1374" s="60" t="inlineStr">
        <is>
          <t>iPhone XS Max</t>
        </is>
      </c>
      <c r="F1374" s="104" t="inlineStr">
        <is>
          <t>SVC000035</t>
        </is>
      </c>
      <c r="G1374" s="104" t="inlineStr">
        <is>
          <t>Firmware Flash</t>
        </is>
      </c>
      <c r="H1374" s="104" t="inlineStr">
        <is>
          <t>Software</t>
        </is>
      </c>
      <c r="I1374" s="104" t="n"/>
      <c r="J1374" s="104" t="n"/>
      <c r="K1374" s="104" t="n"/>
      <c r="L1374" s="104" t="n"/>
      <c r="M1374" s="104" t="n"/>
      <c r="N1374" s="104" t="n"/>
      <c r="O1374" s="104" t="n"/>
      <c r="P1374" s="104" t="n"/>
      <c r="Q1374" s="104" t="n"/>
      <c r="R1374" s="104" t="n"/>
      <c r="S1374" s="110" t="n"/>
      <c r="T1374" s="110" t="n"/>
      <c r="U1374" s="104" t="n"/>
    </row>
    <row r="1375">
      <c r="A1375" s="105" t="inlineStr">
        <is>
          <t>GUIDE001374</t>
        </is>
      </c>
      <c r="B1375" s="101" t="inlineStr">
        <is>
          <t>DEV000022</t>
        </is>
      </c>
      <c r="C1375" s="103" t="inlineStr">
        <is>
          <t>APL</t>
        </is>
      </c>
      <c r="D1375" s="103" t="inlineStr">
        <is>
          <t>PHN</t>
        </is>
      </c>
      <c r="E1375" s="60" t="inlineStr">
        <is>
          <t>iPhone 11</t>
        </is>
      </c>
      <c r="F1375" s="104" t="inlineStr">
        <is>
          <t>SVC000035</t>
        </is>
      </c>
      <c r="G1375" s="104" t="inlineStr">
        <is>
          <t>Firmware Flash</t>
        </is>
      </c>
      <c r="H1375" s="104" t="inlineStr">
        <is>
          <t>Software</t>
        </is>
      </c>
      <c r="I1375" s="104" t="n"/>
      <c r="J1375" s="104" t="n"/>
      <c r="K1375" s="104" t="n"/>
      <c r="L1375" s="104" t="n"/>
      <c r="M1375" s="104" t="n"/>
      <c r="N1375" s="104" t="n"/>
      <c r="O1375" s="104" t="n"/>
      <c r="P1375" s="104" t="n"/>
      <c r="Q1375" s="104" t="n"/>
      <c r="R1375" s="104" t="n"/>
      <c r="S1375" s="110" t="n"/>
      <c r="T1375" s="110" t="n"/>
      <c r="U1375" s="104" t="n"/>
    </row>
    <row r="1376">
      <c r="A1376" s="104" t="inlineStr">
        <is>
          <t>GUIDE001375</t>
        </is>
      </c>
      <c r="B1376" s="101" t="inlineStr">
        <is>
          <t>DEV000023</t>
        </is>
      </c>
      <c r="C1376" s="103" t="inlineStr">
        <is>
          <t>APL</t>
        </is>
      </c>
      <c r="D1376" s="103" t="inlineStr">
        <is>
          <t>PHN</t>
        </is>
      </c>
      <c r="E1376" s="60" t="inlineStr">
        <is>
          <t>iPhone 11 Pro</t>
        </is>
      </c>
      <c r="F1376" s="104" t="inlineStr">
        <is>
          <t>SVC000035</t>
        </is>
      </c>
      <c r="G1376" s="104" t="inlineStr">
        <is>
          <t>Firmware Flash</t>
        </is>
      </c>
      <c r="H1376" s="104" t="inlineStr">
        <is>
          <t>Software</t>
        </is>
      </c>
      <c r="I1376" s="104" t="n"/>
      <c r="J1376" s="104" t="n"/>
      <c r="K1376" s="104" t="n"/>
      <c r="L1376" s="104" t="n"/>
      <c r="M1376" s="104" t="n"/>
      <c r="N1376" s="104" t="n"/>
      <c r="O1376" s="104" t="n"/>
      <c r="P1376" s="104" t="n"/>
      <c r="Q1376" s="104" t="n"/>
      <c r="R1376" s="104" t="n"/>
      <c r="S1376" s="110" t="n"/>
      <c r="T1376" s="110" t="n"/>
      <c r="U1376" s="104" t="n"/>
    </row>
    <row r="1377">
      <c r="A1377" s="104" t="inlineStr">
        <is>
          <t>GUIDE001376</t>
        </is>
      </c>
      <c r="B1377" s="101" t="inlineStr">
        <is>
          <t>DEV000024</t>
        </is>
      </c>
      <c r="C1377" s="103" t="inlineStr">
        <is>
          <t>APL</t>
        </is>
      </c>
      <c r="D1377" s="103" t="inlineStr">
        <is>
          <t>PHN</t>
        </is>
      </c>
      <c r="E1377" s="60" t="inlineStr">
        <is>
          <t>iPhone 11 Pro Max</t>
        </is>
      </c>
      <c r="F1377" s="104" t="inlineStr">
        <is>
          <t>SVC000035</t>
        </is>
      </c>
      <c r="G1377" s="104" t="inlineStr">
        <is>
          <t>Firmware Flash</t>
        </is>
      </c>
      <c r="H1377" s="104" t="inlineStr">
        <is>
          <t>Software</t>
        </is>
      </c>
      <c r="I1377" s="104" t="n"/>
      <c r="J1377" s="104" t="n"/>
      <c r="K1377" s="104" t="n"/>
      <c r="L1377" s="104" t="n"/>
      <c r="M1377" s="104" t="n"/>
      <c r="N1377" s="104" t="n"/>
      <c r="O1377" s="104" t="n"/>
      <c r="P1377" s="104" t="n"/>
      <c r="Q1377" s="104" t="n"/>
      <c r="R1377" s="104" t="n"/>
      <c r="S1377" s="110" t="n"/>
      <c r="T1377" s="110" t="n"/>
      <c r="U1377" s="104" t="n"/>
    </row>
    <row r="1378">
      <c r="A1378" s="104" t="inlineStr">
        <is>
          <t>GUIDE001377</t>
        </is>
      </c>
      <c r="B1378" s="101" t="inlineStr">
        <is>
          <t>DEV000025</t>
        </is>
      </c>
      <c r="C1378" s="103" t="inlineStr">
        <is>
          <t>APL</t>
        </is>
      </c>
      <c r="D1378" s="103" t="inlineStr">
        <is>
          <t>PHN</t>
        </is>
      </c>
      <c r="E1378" s="60" t="inlineStr">
        <is>
          <t>iPhone SE (2nd Generation)</t>
        </is>
      </c>
      <c r="F1378" s="104" t="inlineStr">
        <is>
          <t>SVC000035</t>
        </is>
      </c>
      <c r="G1378" s="104" t="inlineStr">
        <is>
          <t>Firmware Flash</t>
        </is>
      </c>
      <c r="H1378" s="104" t="inlineStr">
        <is>
          <t>Software</t>
        </is>
      </c>
      <c r="I1378" s="104" t="n"/>
      <c r="J1378" s="104" t="n"/>
      <c r="K1378" s="104" t="n"/>
      <c r="L1378" s="104" t="n"/>
      <c r="M1378" s="104" t="n"/>
      <c r="N1378" s="104" t="n"/>
      <c r="O1378" s="104" t="n"/>
      <c r="P1378" s="104" t="n"/>
      <c r="Q1378" s="104" t="n"/>
      <c r="R1378" s="104" t="n"/>
      <c r="S1378" s="110" t="n"/>
      <c r="T1378" s="110" t="n"/>
      <c r="U1378" s="104" t="n"/>
    </row>
    <row r="1379">
      <c r="A1379" s="104" t="inlineStr">
        <is>
          <t>GUIDE001378</t>
        </is>
      </c>
      <c r="B1379" s="101" t="inlineStr">
        <is>
          <t>DEV000026</t>
        </is>
      </c>
      <c r="C1379" s="103" t="inlineStr">
        <is>
          <t>APL</t>
        </is>
      </c>
      <c r="D1379" s="103" t="inlineStr">
        <is>
          <t>PHN</t>
        </is>
      </c>
      <c r="E1379" s="60" t="inlineStr">
        <is>
          <t>iPhone 12 mini</t>
        </is>
      </c>
      <c r="F1379" s="104" t="inlineStr">
        <is>
          <t>SVC000035</t>
        </is>
      </c>
      <c r="G1379" s="104" t="inlineStr">
        <is>
          <t>Firmware Flash</t>
        </is>
      </c>
      <c r="H1379" s="104" t="inlineStr">
        <is>
          <t>Software</t>
        </is>
      </c>
      <c r="I1379" s="104" t="n"/>
      <c r="J1379" s="104" t="n"/>
      <c r="K1379" s="104" t="n"/>
      <c r="L1379" s="104" t="n"/>
      <c r="M1379" s="104" t="n"/>
      <c r="N1379" s="104" t="n"/>
      <c r="O1379" s="104" t="n"/>
      <c r="P1379" s="104" t="n"/>
      <c r="Q1379" s="104" t="n"/>
      <c r="R1379" s="104" t="n"/>
      <c r="S1379" s="110" t="n"/>
      <c r="T1379" s="110" t="n"/>
      <c r="U1379" s="104" t="n"/>
    </row>
    <row r="1380">
      <c r="A1380" s="104" t="inlineStr">
        <is>
          <t>GUIDE001379</t>
        </is>
      </c>
      <c r="B1380" s="101" t="inlineStr">
        <is>
          <t>DEV000027</t>
        </is>
      </c>
      <c r="C1380" s="103" t="inlineStr">
        <is>
          <t>APL</t>
        </is>
      </c>
      <c r="D1380" s="103" t="inlineStr">
        <is>
          <t>PHN</t>
        </is>
      </c>
      <c r="E1380" s="60" t="inlineStr">
        <is>
          <t>iPhone 12</t>
        </is>
      </c>
      <c r="F1380" s="104" t="inlineStr">
        <is>
          <t>SVC000035</t>
        </is>
      </c>
      <c r="G1380" s="104" t="inlineStr">
        <is>
          <t>Firmware Flash</t>
        </is>
      </c>
      <c r="H1380" s="104" t="inlineStr">
        <is>
          <t>Software</t>
        </is>
      </c>
      <c r="I1380" s="104" t="n"/>
      <c r="J1380" s="104" t="n"/>
      <c r="K1380" s="104" t="n"/>
      <c r="L1380" s="104" t="n"/>
      <c r="M1380" s="104" t="n"/>
      <c r="N1380" s="104" t="n"/>
      <c r="O1380" s="104" t="n"/>
      <c r="P1380" s="104" t="n"/>
      <c r="Q1380" s="104" t="n"/>
      <c r="R1380" s="104" t="n"/>
      <c r="S1380" s="110" t="n"/>
      <c r="T1380" s="110" t="n"/>
      <c r="U1380" s="104" t="n"/>
    </row>
    <row r="1381">
      <c r="A1381" s="105" t="inlineStr">
        <is>
          <t>GUIDE001380</t>
        </is>
      </c>
      <c r="B1381" s="101" t="inlineStr">
        <is>
          <t>DEV000028</t>
        </is>
      </c>
      <c r="C1381" s="103" t="inlineStr">
        <is>
          <t>APL</t>
        </is>
      </c>
      <c r="D1381" s="103" t="inlineStr">
        <is>
          <t>PHN</t>
        </is>
      </c>
      <c r="E1381" s="60" t="inlineStr">
        <is>
          <t>iPhone 12 Pro</t>
        </is>
      </c>
      <c r="F1381" s="104" t="inlineStr">
        <is>
          <t>SVC000035</t>
        </is>
      </c>
      <c r="G1381" s="104" t="inlineStr">
        <is>
          <t>Firmware Flash</t>
        </is>
      </c>
      <c r="H1381" s="104" t="inlineStr">
        <is>
          <t>Software</t>
        </is>
      </c>
      <c r="I1381" s="104" t="n"/>
      <c r="J1381" s="104" t="n"/>
      <c r="K1381" s="104" t="n"/>
      <c r="L1381" s="104" t="n"/>
      <c r="M1381" s="104" t="n"/>
      <c r="N1381" s="104" t="n"/>
      <c r="O1381" s="104" t="n"/>
      <c r="P1381" s="104" t="n"/>
      <c r="Q1381" s="104" t="n"/>
      <c r="R1381" s="104" t="n"/>
      <c r="S1381" s="110" t="n"/>
      <c r="T1381" s="110" t="n"/>
      <c r="U1381" s="104" t="n"/>
    </row>
    <row r="1382">
      <c r="A1382" s="104" t="inlineStr">
        <is>
          <t>GUIDE001381</t>
        </is>
      </c>
      <c r="B1382" s="101" t="inlineStr">
        <is>
          <t>DEV000029</t>
        </is>
      </c>
      <c r="C1382" s="103" t="inlineStr">
        <is>
          <t>APL</t>
        </is>
      </c>
      <c r="D1382" s="103" t="inlineStr">
        <is>
          <t>PHN</t>
        </is>
      </c>
      <c r="E1382" s="60" t="inlineStr">
        <is>
          <t>iPhone 12 Pro Max</t>
        </is>
      </c>
      <c r="F1382" s="104" t="inlineStr">
        <is>
          <t>SVC000035</t>
        </is>
      </c>
      <c r="G1382" s="104" t="inlineStr">
        <is>
          <t>Firmware Flash</t>
        </is>
      </c>
      <c r="H1382" s="104" t="inlineStr">
        <is>
          <t>Software</t>
        </is>
      </c>
      <c r="I1382" s="104" t="n"/>
      <c r="J1382" s="104" t="n"/>
      <c r="K1382" s="104" t="n"/>
      <c r="L1382" s="104" t="n"/>
      <c r="M1382" s="104" t="n"/>
      <c r="N1382" s="104" t="n"/>
      <c r="O1382" s="104" t="n"/>
      <c r="P1382" s="104" t="n"/>
      <c r="Q1382" s="104" t="n"/>
      <c r="R1382" s="104" t="n"/>
      <c r="S1382" s="110" t="n"/>
      <c r="T1382" s="110" t="n"/>
      <c r="U1382" s="104" t="n"/>
    </row>
    <row r="1383">
      <c r="A1383" s="104" t="inlineStr">
        <is>
          <t>GUIDE001382</t>
        </is>
      </c>
      <c r="B1383" s="101" t="inlineStr">
        <is>
          <t>DEV000030</t>
        </is>
      </c>
      <c r="C1383" s="103" t="inlineStr">
        <is>
          <t>APL</t>
        </is>
      </c>
      <c r="D1383" s="103" t="inlineStr">
        <is>
          <t>PHN</t>
        </is>
      </c>
      <c r="E1383" s="60" t="inlineStr">
        <is>
          <t>iPhone 13 mini</t>
        </is>
      </c>
      <c r="F1383" s="104" t="inlineStr">
        <is>
          <t>SVC000035</t>
        </is>
      </c>
      <c r="G1383" s="104" t="inlineStr">
        <is>
          <t>Firmware Flash</t>
        </is>
      </c>
      <c r="H1383" s="104" t="inlineStr">
        <is>
          <t>Software</t>
        </is>
      </c>
      <c r="I1383" s="104" t="n"/>
      <c r="J1383" s="104" t="n"/>
      <c r="K1383" s="104" t="n"/>
      <c r="L1383" s="104" t="n"/>
      <c r="M1383" s="104" t="n"/>
      <c r="N1383" s="104" t="n"/>
      <c r="O1383" s="104" t="n"/>
      <c r="P1383" s="104" t="n"/>
      <c r="Q1383" s="104" t="n"/>
      <c r="R1383" s="104" t="n"/>
      <c r="S1383" s="110" t="n"/>
      <c r="T1383" s="110" t="n"/>
      <c r="U1383" s="104" t="n"/>
    </row>
    <row r="1384">
      <c r="A1384" s="104" t="inlineStr">
        <is>
          <t>GUIDE001383</t>
        </is>
      </c>
      <c r="B1384" s="101" t="inlineStr">
        <is>
          <t>DEV000031</t>
        </is>
      </c>
      <c r="C1384" s="103" t="inlineStr">
        <is>
          <t>APL</t>
        </is>
      </c>
      <c r="D1384" s="103" t="inlineStr">
        <is>
          <t>PHN</t>
        </is>
      </c>
      <c r="E1384" s="60" t="inlineStr">
        <is>
          <t>iPhone 13</t>
        </is>
      </c>
      <c r="F1384" s="104" t="inlineStr">
        <is>
          <t>SVC000035</t>
        </is>
      </c>
      <c r="G1384" s="104" t="inlineStr">
        <is>
          <t>Firmware Flash</t>
        </is>
      </c>
      <c r="H1384" s="104" t="inlineStr">
        <is>
          <t>Software</t>
        </is>
      </c>
      <c r="I1384" s="104" t="n"/>
      <c r="J1384" s="104" t="n"/>
      <c r="K1384" s="104" t="n"/>
      <c r="L1384" s="104" t="n"/>
      <c r="M1384" s="104" t="n"/>
      <c r="N1384" s="104" t="n"/>
      <c r="O1384" s="104" t="n"/>
      <c r="P1384" s="104" t="n"/>
      <c r="Q1384" s="104" t="n"/>
      <c r="R1384" s="104" t="n"/>
      <c r="S1384" s="110" t="n"/>
      <c r="T1384" s="110" t="n"/>
      <c r="U1384" s="104" t="n"/>
    </row>
    <row r="1385">
      <c r="A1385" s="104" t="inlineStr">
        <is>
          <t>GUIDE001384</t>
        </is>
      </c>
      <c r="B1385" s="101" t="inlineStr">
        <is>
          <t>DEV000032</t>
        </is>
      </c>
      <c r="C1385" s="103" t="inlineStr">
        <is>
          <t>APL</t>
        </is>
      </c>
      <c r="D1385" s="103" t="inlineStr">
        <is>
          <t>PHN</t>
        </is>
      </c>
      <c r="E1385" s="60" t="inlineStr">
        <is>
          <t>iPhone 13 Pro</t>
        </is>
      </c>
      <c r="F1385" s="104" t="inlineStr">
        <is>
          <t>SVC000035</t>
        </is>
      </c>
      <c r="G1385" s="104" t="inlineStr">
        <is>
          <t>Firmware Flash</t>
        </is>
      </c>
      <c r="H1385" s="104" t="inlineStr">
        <is>
          <t>Software</t>
        </is>
      </c>
      <c r="I1385" s="104" t="n"/>
      <c r="J1385" s="104" t="n"/>
      <c r="K1385" s="104" t="n"/>
      <c r="L1385" s="104" t="n"/>
      <c r="M1385" s="104" t="n"/>
      <c r="N1385" s="104" t="n"/>
      <c r="O1385" s="104" t="n"/>
      <c r="P1385" s="104" t="n"/>
      <c r="Q1385" s="104" t="n"/>
      <c r="R1385" s="104" t="n"/>
      <c r="S1385" s="110" t="n"/>
      <c r="T1385" s="110" t="n"/>
      <c r="U1385" s="104" t="n"/>
    </row>
    <row r="1386">
      <c r="A1386" s="104" t="inlineStr">
        <is>
          <t>GUIDE001385</t>
        </is>
      </c>
      <c r="B1386" s="101" t="inlineStr">
        <is>
          <t>DEV000033</t>
        </is>
      </c>
      <c r="C1386" s="103" t="inlineStr">
        <is>
          <t>APL</t>
        </is>
      </c>
      <c r="D1386" s="103" t="inlineStr">
        <is>
          <t>PHN</t>
        </is>
      </c>
      <c r="E1386" s="60" t="inlineStr">
        <is>
          <t>iPhone 13 Pro Max</t>
        </is>
      </c>
      <c r="F1386" s="104" t="inlineStr">
        <is>
          <t>SVC000035</t>
        </is>
      </c>
      <c r="G1386" s="104" t="inlineStr">
        <is>
          <t>Firmware Flash</t>
        </is>
      </c>
      <c r="H1386" s="104" t="inlineStr">
        <is>
          <t>Software</t>
        </is>
      </c>
      <c r="I1386" s="104" t="n"/>
      <c r="J1386" s="104" t="n"/>
      <c r="K1386" s="104" t="n"/>
      <c r="L1386" s="104" t="n"/>
      <c r="M1386" s="104" t="n"/>
      <c r="N1386" s="104" t="n"/>
      <c r="O1386" s="104" t="n"/>
      <c r="P1386" s="104" t="n"/>
      <c r="Q1386" s="104" t="n"/>
      <c r="R1386" s="104" t="n"/>
      <c r="S1386" s="110" t="n"/>
      <c r="T1386" s="110" t="n"/>
      <c r="U1386" s="104" t="n"/>
    </row>
    <row r="1387">
      <c r="A1387" s="105" t="inlineStr">
        <is>
          <t>GUIDE001386</t>
        </is>
      </c>
      <c r="B1387" s="101" t="inlineStr">
        <is>
          <t>DEV000034</t>
        </is>
      </c>
      <c r="C1387" s="103" t="inlineStr">
        <is>
          <t>APL</t>
        </is>
      </c>
      <c r="D1387" s="103" t="inlineStr">
        <is>
          <t>PHN</t>
        </is>
      </c>
      <c r="E1387" s="60" t="inlineStr">
        <is>
          <t>iPhone SE (3rd Generation)</t>
        </is>
      </c>
      <c r="F1387" s="104" t="inlineStr">
        <is>
          <t>SVC000035</t>
        </is>
      </c>
      <c r="G1387" s="104" t="inlineStr">
        <is>
          <t>Firmware Flash</t>
        </is>
      </c>
      <c r="H1387" s="104" t="inlineStr">
        <is>
          <t>Software</t>
        </is>
      </c>
      <c r="I1387" s="104" t="n"/>
      <c r="J1387" s="104" t="n"/>
      <c r="K1387" s="104" t="n"/>
      <c r="L1387" s="104" t="n"/>
      <c r="M1387" s="104" t="n"/>
      <c r="N1387" s="104" t="n"/>
      <c r="O1387" s="104" t="n"/>
      <c r="P1387" s="104" t="n"/>
      <c r="Q1387" s="104" t="n"/>
      <c r="R1387" s="104" t="n"/>
      <c r="S1387" s="110" t="n"/>
      <c r="T1387" s="110" t="n"/>
      <c r="U1387" s="104" t="n"/>
    </row>
    <row r="1388">
      <c r="A1388" s="104" t="inlineStr">
        <is>
          <t>GUIDE001387</t>
        </is>
      </c>
      <c r="B1388" s="101" t="inlineStr">
        <is>
          <t>DEV000035</t>
        </is>
      </c>
      <c r="C1388" s="103" t="inlineStr">
        <is>
          <t>APL</t>
        </is>
      </c>
      <c r="D1388" s="103" t="inlineStr">
        <is>
          <t>PHN</t>
        </is>
      </c>
      <c r="E1388" s="60" t="inlineStr">
        <is>
          <t>iPhone 14</t>
        </is>
      </c>
      <c r="F1388" s="104" t="inlineStr">
        <is>
          <t>SVC000035</t>
        </is>
      </c>
      <c r="G1388" s="104" t="inlineStr">
        <is>
          <t>Firmware Flash</t>
        </is>
      </c>
      <c r="H1388" s="104" t="inlineStr">
        <is>
          <t>Software</t>
        </is>
      </c>
      <c r="I1388" s="104" t="n"/>
      <c r="J1388" s="104" t="n"/>
      <c r="K1388" s="104" t="n"/>
      <c r="L1388" s="104" t="n"/>
      <c r="M1388" s="104" t="n"/>
      <c r="N1388" s="104" t="n"/>
      <c r="O1388" s="104" t="n"/>
      <c r="P1388" s="104" t="n"/>
      <c r="Q1388" s="104" t="n"/>
      <c r="R1388" s="104" t="n"/>
      <c r="S1388" s="110" t="n"/>
      <c r="T1388" s="110" t="n"/>
      <c r="U1388" s="104" t="n"/>
    </row>
    <row r="1389">
      <c r="A1389" s="104" t="inlineStr">
        <is>
          <t>GUIDE001388</t>
        </is>
      </c>
      <c r="B1389" s="101" t="inlineStr">
        <is>
          <t>DEV000036</t>
        </is>
      </c>
      <c r="C1389" s="103" t="inlineStr">
        <is>
          <t>APL</t>
        </is>
      </c>
      <c r="D1389" s="103" t="inlineStr">
        <is>
          <t>PHN</t>
        </is>
      </c>
      <c r="E1389" s="60" t="inlineStr">
        <is>
          <t>iPhone 14 Plus</t>
        </is>
      </c>
      <c r="F1389" s="104" t="inlineStr">
        <is>
          <t>SVC000035</t>
        </is>
      </c>
      <c r="G1389" s="104" t="inlineStr">
        <is>
          <t>Firmware Flash</t>
        </is>
      </c>
      <c r="H1389" s="104" t="inlineStr">
        <is>
          <t>Software</t>
        </is>
      </c>
      <c r="I1389" s="104" t="n"/>
      <c r="J1389" s="104" t="n"/>
      <c r="K1389" s="104" t="n"/>
      <c r="L1389" s="104" t="n"/>
      <c r="M1389" s="104" t="n"/>
      <c r="N1389" s="104" t="n"/>
      <c r="O1389" s="104" t="n"/>
      <c r="P1389" s="104" t="n"/>
      <c r="Q1389" s="104" t="n"/>
      <c r="R1389" s="104" t="n"/>
      <c r="S1389" s="110" t="n"/>
      <c r="T1389" s="110" t="n"/>
      <c r="U1389" s="104" t="n"/>
    </row>
    <row r="1390">
      <c r="A1390" s="104" t="inlineStr">
        <is>
          <t>GUIDE001389</t>
        </is>
      </c>
      <c r="B1390" s="101" t="inlineStr">
        <is>
          <t>DEV000037</t>
        </is>
      </c>
      <c r="C1390" s="103" t="inlineStr">
        <is>
          <t>APL</t>
        </is>
      </c>
      <c r="D1390" s="103" t="inlineStr">
        <is>
          <t>PHN</t>
        </is>
      </c>
      <c r="E1390" s="60" t="inlineStr">
        <is>
          <t>iPhone 14 Pro</t>
        </is>
      </c>
      <c r="F1390" s="104" t="inlineStr">
        <is>
          <t>SVC000035</t>
        </is>
      </c>
      <c r="G1390" s="104" t="inlineStr">
        <is>
          <t>Firmware Flash</t>
        </is>
      </c>
      <c r="H1390" s="104" t="inlineStr">
        <is>
          <t>Software</t>
        </is>
      </c>
      <c r="I1390" s="104" t="n"/>
      <c r="J1390" s="104" t="n"/>
      <c r="K1390" s="104" t="n"/>
      <c r="L1390" s="104" t="n"/>
      <c r="M1390" s="104" t="n"/>
      <c r="N1390" s="104" t="n"/>
      <c r="O1390" s="104" t="n"/>
      <c r="P1390" s="104" t="n"/>
      <c r="Q1390" s="104" t="n"/>
      <c r="R1390" s="104" t="n"/>
      <c r="S1390" s="110" t="n"/>
      <c r="T1390" s="110" t="n"/>
      <c r="U1390" s="104" t="n"/>
    </row>
    <row r="1391">
      <c r="A1391" s="104" t="inlineStr">
        <is>
          <t>GUIDE001390</t>
        </is>
      </c>
      <c r="B1391" s="101" t="inlineStr">
        <is>
          <t>DEV000038</t>
        </is>
      </c>
      <c r="C1391" s="103" t="inlineStr">
        <is>
          <t>APL</t>
        </is>
      </c>
      <c r="D1391" s="103" t="inlineStr">
        <is>
          <t>PHN</t>
        </is>
      </c>
      <c r="E1391" s="60" t="inlineStr">
        <is>
          <t>iPhone 14 Pro Max</t>
        </is>
      </c>
      <c r="F1391" s="104" t="inlineStr">
        <is>
          <t>SVC000035</t>
        </is>
      </c>
      <c r="G1391" s="104" t="inlineStr">
        <is>
          <t>Firmware Flash</t>
        </is>
      </c>
      <c r="H1391" s="104" t="inlineStr">
        <is>
          <t>Software</t>
        </is>
      </c>
      <c r="I1391" s="104" t="n"/>
      <c r="J1391" s="104" t="n"/>
      <c r="K1391" s="104" t="n"/>
      <c r="L1391" s="104" t="n"/>
      <c r="M1391" s="104" t="n"/>
      <c r="N1391" s="104" t="n"/>
      <c r="O1391" s="104" t="n"/>
      <c r="P1391" s="104" t="n"/>
      <c r="Q1391" s="104" t="n"/>
      <c r="R1391" s="104" t="n"/>
      <c r="S1391" s="110" t="n"/>
      <c r="T1391" s="110" t="n"/>
      <c r="U1391" s="104" t="n"/>
    </row>
    <row r="1392">
      <c r="A1392" s="104" t="inlineStr">
        <is>
          <t>GUIDE001391</t>
        </is>
      </c>
      <c r="B1392" s="101" t="inlineStr">
        <is>
          <t>DEV000039</t>
        </is>
      </c>
      <c r="C1392" s="103" t="inlineStr">
        <is>
          <t>APL</t>
        </is>
      </c>
      <c r="D1392" s="103" t="inlineStr">
        <is>
          <t>PHN</t>
        </is>
      </c>
      <c r="E1392" s="60" t="inlineStr">
        <is>
          <t>iPhone 15</t>
        </is>
      </c>
      <c r="F1392" s="104" t="inlineStr">
        <is>
          <t>SVC000035</t>
        </is>
      </c>
      <c r="G1392" s="104" t="inlineStr">
        <is>
          <t>Firmware Flash</t>
        </is>
      </c>
      <c r="H1392" s="104" t="inlineStr">
        <is>
          <t>Software</t>
        </is>
      </c>
      <c r="I1392" s="104" t="n"/>
      <c r="J1392" s="104" t="n"/>
      <c r="K1392" s="104" t="n"/>
      <c r="L1392" s="104" t="n"/>
      <c r="M1392" s="104" t="n"/>
      <c r="N1392" s="104" t="n"/>
      <c r="O1392" s="104" t="n"/>
      <c r="P1392" s="104" t="n"/>
      <c r="Q1392" s="104" t="n"/>
      <c r="R1392" s="104" t="n"/>
      <c r="S1392" s="110" t="n"/>
      <c r="T1392" s="110" t="n"/>
      <c r="U1392" s="104" t="n"/>
    </row>
    <row r="1393">
      <c r="A1393" s="105" t="inlineStr">
        <is>
          <t>GUIDE001392</t>
        </is>
      </c>
      <c r="B1393" s="101" t="inlineStr">
        <is>
          <t>DEV000040</t>
        </is>
      </c>
      <c r="C1393" s="103" t="inlineStr">
        <is>
          <t>APL</t>
        </is>
      </c>
      <c r="D1393" s="103" t="inlineStr">
        <is>
          <t>PHN</t>
        </is>
      </c>
      <c r="E1393" s="60" t="inlineStr">
        <is>
          <t>iPhone 15 Plus</t>
        </is>
      </c>
      <c r="F1393" s="104" t="inlineStr">
        <is>
          <t>SVC000035</t>
        </is>
      </c>
      <c r="G1393" s="104" t="inlineStr">
        <is>
          <t>Firmware Flash</t>
        </is>
      </c>
      <c r="H1393" s="104" t="inlineStr">
        <is>
          <t>Software</t>
        </is>
      </c>
      <c r="I1393" s="104" t="n"/>
      <c r="J1393" s="104" t="n"/>
      <c r="K1393" s="104" t="n"/>
      <c r="L1393" s="104" t="n"/>
      <c r="M1393" s="104" t="n"/>
      <c r="N1393" s="104" t="n"/>
      <c r="O1393" s="104" t="n"/>
      <c r="P1393" s="104" t="n"/>
      <c r="Q1393" s="104" t="n"/>
      <c r="R1393" s="104" t="n"/>
      <c r="S1393" s="110" t="n"/>
      <c r="T1393" s="110" t="n"/>
      <c r="U1393" s="104" t="n"/>
    </row>
    <row r="1394">
      <c r="A1394" s="104" t="inlineStr">
        <is>
          <t>GUIDE001393</t>
        </is>
      </c>
      <c r="B1394" s="101" t="inlineStr">
        <is>
          <t>DEV000041</t>
        </is>
      </c>
      <c r="C1394" s="103" t="inlineStr">
        <is>
          <t>APL</t>
        </is>
      </c>
      <c r="D1394" s="103" t="inlineStr">
        <is>
          <t>PHN</t>
        </is>
      </c>
      <c r="E1394" s="60" t="inlineStr">
        <is>
          <t>iPhone 15 Pro</t>
        </is>
      </c>
      <c r="F1394" s="104" t="inlineStr">
        <is>
          <t>SVC000035</t>
        </is>
      </c>
      <c r="G1394" s="104" t="inlineStr">
        <is>
          <t>Firmware Flash</t>
        </is>
      </c>
      <c r="H1394" s="104" t="inlineStr">
        <is>
          <t>Software</t>
        </is>
      </c>
      <c r="I1394" s="104" t="n"/>
      <c r="J1394" s="104" t="n"/>
      <c r="K1394" s="104" t="n"/>
      <c r="L1394" s="104" t="n"/>
      <c r="M1394" s="104" t="n"/>
      <c r="N1394" s="104" t="n"/>
      <c r="O1394" s="104" t="n"/>
      <c r="P1394" s="104" t="n"/>
      <c r="Q1394" s="104" t="n"/>
      <c r="R1394" s="104" t="n"/>
      <c r="S1394" s="110" t="n"/>
      <c r="T1394" s="110" t="n"/>
      <c r="U1394" s="104" t="n"/>
    </row>
    <row r="1395">
      <c r="A1395" s="104" t="inlineStr">
        <is>
          <t>GUIDE001394</t>
        </is>
      </c>
      <c r="B1395" s="101" t="inlineStr">
        <is>
          <t>DEV000042</t>
        </is>
      </c>
      <c r="C1395" s="103" t="inlineStr">
        <is>
          <t>APL</t>
        </is>
      </c>
      <c r="D1395" s="103" t="inlineStr">
        <is>
          <t>PHN</t>
        </is>
      </c>
      <c r="E1395" s="60" t="inlineStr">
        <is>
          <t>iPhone 15 Pro Max</t>
        </is>
      </c>
      <c r="F1395" s="104" t="inlineStr">
        <is>
          <t>SVC000035</t>
        </is>
      </c>
      <c r="G1395" s="104" t="inlineStr">
        <is>
          <t>Firmware Flash</t>
        </is>
      </c>
      <c r="H1395" s="104" t="inlineStr">
        <is>
          <t>Software</t>
        </is>
      </c>
      <c r="I1395" s="104" t="n"/>
      <c r="J1395" s="104" t="n"/>
      <c r="K1395" s="104" t="n"/>
      <c r="L1395" s="104" t="n"/>
      <c r="M1395" s="104" t="n"/>
      <c r="N1395" s="104" t="n"/>
      <c r="O1395" s="104" t="n"/>
      <c r="P1395" s="104" t="n"/>
      <c r="Q1395" s="104" t="n"/>
      <c r="R1395" s="104" t="n"/>
      <c r="S1395" s="110" t="n"/>
      <c r="T1395" s="110" t="n"/>
      <c r="U1395" s="104" t="n"/>
    </row>
    <row r="1396">
      <c r="A1396" s="104" t="inlineStr">
        <is>
          <t>GUIDE001395</t>
        </is>
      </c>
      <c r="B1396" s="101" t="inlineStr">
        <is>
          <t>DEV000043</t>
        </is>
      </c>
      <c r="C1396" s="103" t="inlineStr">
        <is>
          <t>APL</t>
        </is>
      </c>
      <c r="D1396" s="103" t="inlineStr">
        <is>
          <t>PHN</t>
        </is>
      </c>
      <c r="E1396" s="60" t="inlineStr">
        <is>
          <t>iPhone 16</t>
        </is>
      </c>
      <c r="F1396" s="104" t="inlineStr">
        <is>
          <t>SVC000035</t>
        </is>
      </c>
      <c r="G1396" s="104" t="inlineStr">
        <is>
          <t>Firmware Flash</t>
        </is>
      </c>
      <c r="H1396" s="104" t="inlineStr">
        <is>
          <t>Software</t>
        </is>
      </c>
      <c r="I1396" s="104" t="n"/>
      <c r="J1396" s="104" t="n"/>
      <c r="K1396" s="104" t="n"/>
      <c r="L1396" s="104" t="n"/>
      <c r="M1396" s="104" t="n"/>
      <c r="N1396" s="104" t="n"/>
      <c r="O1396" s="104" t="n"/>
      <c r="P1396" s="104" t="n"/>
      <c r="Q1396" s="104" t="n"/>
      <c r="R1396" s="104" t="n"/>
      <c r="S1396" s="110" t="n"/>
      <c r="T1396" s="110" t="n"/>
      <c r="U1396" s="104" t="n"/>
    </row>
    <row r="1397">
      <c r="A1397" s="104" t="inlineStr">
        <is>
          <t>GUIDE001396</t>
        </is>
      </c>
      <c r="B1397" s="101" t="inlineStr">
        <is>
          <t>DEV000044</t>
        </is>
      </c>
      <c r="C1397" s="103" t="inlineStr">
        <is>
          <t>APL</t>
        </is>
      </c>
      <c r="D1397" s="103" t="inlineStr">
        <is>
          <t>PHN</t>
        </is>
      </c>
      <c r="E1397" s="60" t="inlineStr">
        <is>
          <t>iPhone 16 Plus</t>
        </is>
      </c>
      <c r="F1397" s="104" t="inlineStr">
        <is>
          <t>SVC000035</t>
        </is>
      </c>
      <c r="G1397" s="104" t="inlineStr">
        <is>
          <t>Firmware Flash</t>
        </is>
      </c>
      <c r="H1397" s="104" t="inlineStr">
        <is>
          <t>Software</t>
        </is>
      </c>
      <c r="I1397" s="104" t="n"/>
      <c r="J1397" s="104" t="n"/>
      <c r="K1397" s="104" t="n"/>
      <c r="L1397" s="104" t="n"/>
      <c r="M1397" s="104" t="n"/>
      <c r="N1397" s="104" t="n"/>
      <c r="O1397" s="104" t="n"/>
      <c r="P1397" s="104" t="n"/>
      <c r="Q1397" s="104" t="n"/>
      <c r="R1397" s="104" t="n"/>
      <c r="S1397" s="110" t="n"/>
      <c r="T1397" s="110" t="n"/>
      <c r="U1397" s="104" t="n"/>
    </row>
    <row r="1398">
      <c r="A1398" s="104" t="inlineStr">
        <is>
          <t>GUIDE001397</t>
        </is>
      </c>
      <c r="B1398" s="101" t="inlineStr">
        <is>
          <t>DEV000045</t>
        </is>
      </c>
      <c r="C1398" s="103" t="inlineStr">
        <is>
          <t>APL</t>
        </is>
      </c>
      <c r="D1398" s="103" t="inlineStr">
        <is>
          <t>PHN</t>
        </is>
      </c>
      <c r="E1398" s="60" t="inlineStr">
        <is>
          <t>iPhone 16 Pro</t>
        </is>
      </c>
      <c r="F1398" s="104" t="inlineStr">
        <is>
          <t>SVC000035</t>
        </is>
      </c>
      <c r="G1398" s="104" t="inlineStr">
        <is>
          <t>Firmware Flash</t>
        </is>
      </c>
      <c r="H1398" s="104" t="inlineStr">
        <is>
          <t>Software</t>
        </is>
      </c>
      <c r="I1398" s="104" t="n"/>
      <c r="J1398" s="104" t="n"/>
      <c r="K1398" s="104" t="n"/>
      <c r="L1398" s="104" t="n"/>
      <c r="M1398" s="104" t="n"/>
      <c r="N1398" s="104" t="n"/>
      <c r="O1398" s="104" t="n"/>
      <c r="P1398" s="104" t="n"/>
      <c r="Q1398" s="104" t="n"/>
      <c r="R1398" s="104" t="n"/>
      <c r="S1398" s="110" t="n"/>
      <c r="T1398" s="110" t="n"/>
      <c r="U1398" s="104" t="n"/>
    </row>
    <row r="1399">
      <c r="A1399" s="105" t="inlineStr">
        <is>
          <t>GUIDE001398</t>
        </is>
      </c>
      <c r="B1399" s="101" t="inlineStr">
        <is>
          <t>DEV000046</t>
        </is>
      </c>
      <c r="C1399" s="103" t="inlineStr">
        <is>
          <t>APL</t>
        </is>
      </c>
      <c r="D1399" s="103" t="inlineStr">
        <is>
          <t>PHN</t>
        </is>
      </c>
      <c r="E1399" s="60" t="inlineStr">
        <is>
          <t>iPhone 16 Pro Max</t>
        </is>
      </c>
      <c r="F1399" s="104" t="inlineStr">
        <is>
          <t>SVC000035</t>
        </is>
      </c>
      <c r="G1399" s="104" t="inlineStr">
        <is>
          <t>Firmware Flash</t>
        </is>
      </c>
      <c r="H1399" s="104" t="inlineStr">
        <is>
          <t>Software</t>
        </is>
      </c>
      <c r="I1399" s="104" t="n"/>
      <c r="J1399" s="104" t="n"/>
      <c r="K1399" s="104" t="n"/>
      <c r="L1399" s="104" t="n"/>
      <c r="M1399" s="104" t="n"/>
      <c r="N1399" s="104" t="n"/>
      <c r="O1399" s="104" t="n"/>
      <c r="P1399" s="104" t="n"/>
      <c r="Q1399" s="104" t="n"/>
      <c r="R1399" s="104" t="n"/>
      <c r="S1399" s="110" t="n"/>
      <c r="T1399" s="110" t="n"/>
      <c r="U1399" s="104" t="n"/>
    </row>
    <row r="1400">
      <c r="A1400" s="104" t="inlineStr">
        <is>
          <t>GUIDE001399</t>
        </is>
      </c>
      <c r="B1400" s="101" t="inlineStr">
        <is>
          <t>DEV000047</t>
        </is>
      </c>
      <c r="C1400" s="103" t="inlineStr">
        <is>
          <t>APL</t>
        </is>
      </c>
      <c r="D1400" s="103" t="inlineStr">
        <is>
          <t>PHN</t>
        </is>
      </c>
      <c r="E1400" s="60" t="inlineStr">
        <is>
          <t>iPhone 16e</t>
        </is>
      </c>
      <c r="F1400" s="104" t="inlineStr">
        <is>
          <t>SVC000035</t>
        </is>
      </c>
      <c r="G1400" s="104" t="inlineStr">
        <is>
          <t>Firmware Flash</t>
        </is>
      </c>
      <c r="H1400" s="104" t="inlineStr">
        <is>
          <t>Software</t>
        </is>
      </c>
      <c r="I1400" s="104" t="n"/>
      <c r="J1400" s="104" t="n"/>
      <c r="K1400" s="104" t="n"/>
      <c r="L1400" s="104" t="n"/>
      <c r="M1400" s="104" t="n"/>
      <c r="N1400" s="104" t="n"/>
      <c r="O1400" s="104" t="n"/>
      <c r="P1400" s="104" t="n"/>
      <c r="Q1400" s="104" t="n"/>
      <c r="R1400" s="104" t="n"/>
      <c r="S1400" s="110" t="n"/>
      <c r="T1400" s="110" t="n"/>
      <c r="U1400" s="104" t="n"/>
    </row>
    <row r="1401">
      <c r="A1401" s="104" t="inlineStr">
        <is>
          <t>GUIDE001400</t>
        </is>
      </c>
      <c r="B1401" s="101" t="inlineStr">
        <is>
          <t>DEV000048</t>
        </is>
      </c>
      <c r="C1401" s="103" t="inlineStr">
        <is>
          <t>APL</t>
        </is>
      </c>
      <c r="D1401" s="103" t="inlineStr">
        <is>
          <t>PHN</t>
        </is>
      </c>
      <c r="E1401" s="60" t="inlineStr">
        <is>
          <t>iPhone 17</t>
        </is>
      </c>
      <c r="F1401" s="104" t="inlineStr">
        <is>
          <t>SVC000035</t>
        </is>
      </c>
      <c r="G1401" s="104" t="inlineStr">
        <is>
          <t>Firmware Flash</t>
        </is>
      </c>
      <c r="H1401" s="104" t="inlineStr">
        <is>
          <t>Software</t>
        </is>
      </c>
      <c r="I1401" s="104" t="n"/>
      <c r="J1401" s="104" t="n"/>
      <c r="K1401" s="104" t="n"/>
      <c r="L1401" s="104" t="n"/>
      <c r="M1401" s="104" t="n"/>
      <c r="N1401" s="104" t="n"/>
      <c r="O1401" s="104" t="n"/>
      <c r="P1401" s="104" t="n"/>
      <c r="Q1401" s="104" t="n"/>
      <c r="R1401" s="104" t="n"/>
      <c r="S1401" s="110" t="n"/>
      <c r="T1401" s="110" t="n"/>
      <c r="U1401" s="104" t="n"/>
    </row>
    <row r="1402">
      <c r="A1402" s="104" t="inlineStr">
        <is>
          <t>GUIDE001401</t>
        </is>
      </c>
      <c r="B1402" s="101" t="inlineStr">
        <is>
          <t>DEV000049</t>
        </is>
      </c>
      <c r="C1402" s="103" t="inlineStr">
        <is>
          <t>APL</t>
        </is>
      </c>
      <c r="D1402" s="103" t="inlineStr">
        <is>
          <t>PHN</t>
        </is>
      </c>
      <c r="E1402" s="60" t="inlineStr">
        <is>
          <t>iPhone 17 Pro</t>
        </is>
      </c>
      <c r="F1402" s="104" t="inlineStr">
        <is>
          <t>SVC000035</t>
        </is>
      </c>
      <c r="G1402" s="104" t="inlineStr">
        <is>
          <t>Firmware Flash</t>
        </is>
      </c>
      <c r="H1402" s="104" t="inlineStr">
        <is>
          <t>Software</t>
        </is>
      </c>
      <c r="I1402" s="104" t="n"/>
      <c r="J1402" s="104" t="n"/>
      <c r="K1402" s="104" t="n"/>
      <c r="L1402" s="104" t="n"/>
      <c r="M1402" s="104" t="n"/>
      <c r="N1402" s="104" t="n"/>
      <c r="O1402" s="104" t="n"/>
      <c r="P1402" s="104" t="n"/>
      <c r="Q1402" s="104" t="n"/>
      <c r="R1402" s="104" t="n"/>
      <c r="S1402" s="110" t="n"/>
      <c r="T1402" s="110" t="n"/>
      <c r="U1402" s="104" t="n"/>
    </row>
    <row r="1403">
      <c r="A1403" s="104" t="inlineStr">
        <is>
          <t>GUIDE001402</t>
        </is>
      </c>
      <c r="B1403" s="101" t="inlineStr">
        <is>
          <t>DEV000050</t>
        </is>
      </c>
      <c r="C1403" s="103" t="inlineStr">
        <is>
          <t>APL</t>
        </is>
      </c>
      <c r="D1403" s="103" t="inlineStr">
        <is>
          <t>PHN</t>
        </is>
      </c>
      <c r="E1403" s="60" t="inlineStr">
        <is>
          <t>iPhone 17 Pro Max</t>
        </is>
      </c>
      <c r="F1403" s="104" t="inlineStr">
        <is>
          <t>SVC000035</t>
        </is>
      </c>
      <c r="G1403" s="104" t="inlineStr">
        <is>
          <t>Firmware Flash</t>
        </is>
      </c>
      <c r="H1403" s="104" t="inlineStr">
        <is>
          <t>Software</t>
        </is>
      </c>
      <c r="I1403" s="104" t="n"/>
      <c r="J1403" s="104" t="n"/>
      <c r="K1403" s="104" t="n"/>
      <c r="L1403" s="104" t="n"/>
      <c r="M1403" s="104" t="n"/>
      <c r="N1403" s="104" t="n"/>
      <c r="O1403" s="104" t="n"/>
      <c r="P1403" s="104" t="n"/>
      <c r="Q1403" s="104" t="n"/>
      <c r="R1403" s="104" t="n"/>
      <c r="S1403" s="110" t="n"/>
      <c r="T1403" s="110" t="n"/>
      <c r="U1403" s="104" t="n"/>
    </row>
    <row r="1404">
      <c r="A1404" s="104" t="inlineStr">
        <is>
          <t>GUIDE001403</t>
        </is>
      </c>
      <c r="B1404" s="101" t="inlineStr">
        <is>
          <t>DEV000051</t>
        </is>
      </c>
      <c r="C1404" s="103" t="inlineStr">
        <is>
          <t>APL</t>
        </is>
      </c>
      <c r="D1404" s="103" t="inlineStr">
        <is>
          <t>PHN</t>
        </is>
      </c>
      <c r="E1404" s="60" t="inlineStr">
        <is>
          <t>iPhone Air</t>
        </is>
      </c>
      <c r="F1404" s="104" t="inlineStr">
        <is>
          <t>SVC000035</t>
        </is>
      </c>
      <c r="G1404" s="104" t="inlineStr">
        <is>
          <t>Firmware Flash</t>
        </is>
      </c>
      <c r="H1404" s="104" t="inlineStr">
        <is>
          <t>Software</t>
        </is>
      </c>
      <c r="I1404" s="104" t="n"/>
      <c r="J1404" s="104" t="n"/>
      <c r="K1404" s="104" t="n"/>
      <c r="L1404" s="104" t="n"/>
      <c r="M1404" s="104" t="n"/>
      <c r="N1404" s="104" t="n"/>
      <c r="O1404" s="104" t="n"/>
      <c r="P1404" s="104" t="n"/>
      <c r="Q1404" s="104" t="n"/>
      <c r="R1404" s="104" t="n"/>
      <c r="S1404" s="110" t="n"/>
      <c r="T1404" s="110" t="n"/>
      <c r="U1404" s="104" t="n"/>
    </row>
    <row r="1405">
      <c r="A1405" s="105" t="inlineStr">
        <is>
          <t>GUIDE001404</t>
        </is>
      </c>
      <c r="B1405" s="101" t="inlineStr">
        <is>
          <t>DEV000052</t>
        </is>
      </c>
      <c r="C1405" s="103" t="inlineStr">
        <is>
          <t>APL</t>
        </is>
      </c>
      <c r="D1405" s="103" t="inlineStr">
        <is>
          <t>PHN</t>
        </is>
      </c>
      <c r="E1405" s="60" t="inlineStr">
        <is>
          <t>iPhone 17e</t>
        </is>
      </c>
      <c r="F1405" s="104" t="inlineStr">
        <is>
          <t>SVC000035</t>
        </is>
      </c>
      <c r="G1405" s="104" t="inlineStr">
        <is>
          <t>Firmware Flash</t>
        </is>
      </c>
      <c r="H1405" s="104" t="inlineStr">
        <is>
          <t>Software</t>
        </is>
      </c>
      <c r="I1405" s="104" t="n"/>
      <c r="J1405" s="104" t="n"/>
      <c r="K1405" s="104" t="n"/>
      <c r="L1405" s="104" t="n"/>
      <c r="M1405" s="104" t="n"/>
      <c r="N1405" s="104" t="n"/>
      <c r="O1405" s="104" t="n"/>
      <c r="P1405" s="104" t="n"/>
      <c r="Q1405" s="104" t="n"/>
      <c r="R1405" s="104" t="n"/>
      <c r="S1405" s="110" t="n"/>
      <c r="T1405" s="110" t="n"/>
      <c r="U1405" s="104" t="n"/>
    </row>
    <row r="1406">
      <c r="A1406" s="104" t="inlineStr">
        <is>
          <t>GUIDE001405</t>
        </is>
      </c>
      <c r="B1406" s="101" t="inlineStr">
        <is>
          <t>DEV000001</t>
        </is>
      </c>
      <c r="C1406" s="103" t="inlineStr">
        <is>
          <t>APL</t>
        </is>
      </c>
      <c r="D1406" s="103" t="inlineStr">
        <is>
          <t>PHN</t>
        </is>
      </c>
      <c r="E1406" s="60" t="inlineStr">
        <is>
          <t>iPhone (2G)</t>
        </is>
      </c>
      <c r="F1406" s="104" t="inlineStr">
        <is>
          <t>SVC000036</t>
        </is>
      </c>
      <c r="G1406" s="104" t="inlineStr">
        <is>
          <t>Device Setup</t>
        </is>
      </c>
      <c r="H1406" s="104" t="inlineStr">
        <is>
          <t>Software</t>
        </is>
      </c>
      <c r="I1406" s="104" t="n"/>
      <c r="J1406" s="104" t="n"/>
      <c r="K1406" s="104" t="n"/>
      <c r="L1406" s="104" t="n"/>
      <c r="M1406" s="104" t="n"/>
      <c r="N1406" s="104" t="n"/>
      <c r="O1406" s="104" t="n"/>
      <c r="P1406" s="104" t="n"/>
      <c r="Q1406" s="104" t="n"/>
      <c r="R1406" s="104" t="n"/>
      <c r="S1406" s="110" t="n"/>
      <c r="T1406" s="110" t="n"/>
      <c r="U1406" s="104" t="n"/>
    </row>
    <row r="1407">
      <c r="A1407" s="104" t="inlineStr">
        <is>
          <t>GUIDE001406</t>
        </is>
      </c>
      <c r="B1407" s="101" t="inlineStr">
        <is>
          <t>DEV000002</t>
        </is>
      </c>
      <c r="C1407" s="103" t="inlineStr">
        <is>
          <t>APL</t>
        </is>
      </c>
      <c r="D1407" s="103" t="inlineStr">
        <is>
          <t>PHN</t>
        </is>
      </c>
      <c r="E1407" s="60" t="inlineStr">
        <is>
          <t>iPhone 3G</t>
        </is>
      </c>
      <c r="F1407" s="104" t="inlineStr">
        <is>
          <t>SVC000036</t>
        </is>
      </c>
      <c r="G1407" s="104" t="inlineStr">
        <is>
          <t>Device Setup</t>
        </is>
      </c>
      <c r="H1407" s="104" t="inlineStr">
        <is>
          <t>Software</t>
        </is>
      </c>
      <c r="I1407" s="104" t="n"/>
      <c r="J1407" s="104" t="n"/>
      <c r="K1407" s="104" t="n"/>
      <c r="L1407" s="104" t="n"/>
      <c r="M1407" s="104" t="n"/>
      <c r="N1407" s="104" t="n"/>
      <c r="O1407" s="104" t="n"/>
      <c r="P1407" s="104" t="n"/>
      <c r="Q1407" s="104" t="n"/>
      <c r="R1407" s="104" t="n"/>
      <c r="S1407" s="110" t="n"/>
      <c r="T1407" s="110" t="n"/>
      <c r="U1407" s="104" t="n"/>
    </row>
    <row r="1408">
      <c r="A1408" s="104" t="inlineStr">
        <is>
          <t>GUIDE001407</t>
        </is>
      </c>
      <c r="B1408" s="101" t="inlineStr">
        <is>
          <t>DEV000003</t>
        </is>
      </c>
      <c r="C1408" s="103" t="inlineStr">
        <is>
          <t>APL</t>
        </is>
      </c>
      <c r="D1408" s="103" t="inlineStr">
        <is>
          <t>PHN</t>
        </is>
      </c>
      <c r="E1408" s="60" t="inlineStr">
        <is>
          <t>iPhone 3GS</t>
        </is>
      </c>
      <c r="F1408" s="104" t="inlineStr">
        <is>
          <t>SVC000036</t>
        </is>
      </c>
      <c r="G1408" s="104" t="inlineStr">
        <is>
          <t>Device Setup</t>
        </is>
      </c>
      <c r="H1408" s="104" t="inlineStr">
        <is>
          <t>Software</t>
        </is>
      </c>
      <c r="I1408" s="104" t="n"/>
      <c r="J1408" s="104" t="n"/>
      <c r="K1408" s="104" t="n"/>
      <c r="L1408" s="104" t="n"/>
      <c r="M1408" s="104" t="n"/>
      <c r="N1408" s="104" t="n"/>
      <c r="O1408" s="104" t="n"/>
      <c r="P1408" s="104" t="n"/>
      <c r="Q1408" s="104" t="n"/>
      <c r="R1408" s="104" t="n"/>
      <c r="S1408" s="110" t="n"/>
      <c r="T1408" s="110" t="n"/>
      <c r="U1408" s="104" t="n"/>
    </row>
    <row r="1409">
      <c r="A1409" s="104" t="inlineStr">
        <is>
          <t>GUIDE001408</t>
        </is>
      </c>
      <c r="B1409" s="101" t="inlineStr">
        <is>
          <t>DEV000004</t>
        </is>
      </c>
      <c r="C1409" s="103" t="inlineStr">
        <is>
          <t>APL</t>
        </is>
      </c>
      <c r="D1409" s="103" t="inlineStr">
        <is>
          <t>PHN</t>
        </is>
      </c>
      <c r="E1409" s="60" t="inlineStr">
        <is>
          <t>iPhone 4</t>
        </is>
      </c>
      <c r="F1409" s="104" t="inlineStr">
        <is>
          <t>SVC000036</t>
        </is>
      </c>
      <c r="G1409" s="104" t="inlineStr">
        <is>
          <t>Device Setup</t>
        </is>
      </c>
      <c r="H1409" s="104" t="inlineStr">
        <is>
          <t>Software</t>
        </is>
      </c>
      <c r="I1409" s="104" t="n"/>
      <c r="J1409" s="104" t="n"/>
      <c r="K1409" s="104" t="n"/>
      <c r="L1409" s="104" t="n"/>
      <c r="M1409" s="104" t="n"/>
      <c r="N1409" s="104" t="n"/>
      <c r="O1409" s="104" t="n"/>
      <c r="P1409" s="104" t="n"/>
      <c r="Q1409" s="104" t="n"/>
      <c r="R1409" s="104" t="n"/>
      <c r="S1409" s="110" t="n"/>
      <c r="T1409" s="110" t="n"/>
      <c r="U1409" s="104" t="n"/>
    </row>
    <row r="1410">
      <c r="A1410" s="104" t="inlineStr">
        <is>
          <t>GUIDE001409</t>
        </is>
      </c>
      <c r="B1410" s="101" t="inlineStr">
        <is>
          <t>DEV000005</t>
        </is>
      </c>
      <c r="C1410" s="103" t="inlineStr">
        <is>
          <t>APL</t>
        </is>
      </c>
      <c r="D1410" s="103" t="inlineStr">
        <is>
          <t>PHN</t>
        </is>
      </c>
      <c r="E1410" s="60" t="inlineStr">
        <is>
          <t>iPhone 4s</t>
        </is>
      </c>
      <c r="F1410" s="104" t="inlineStr">
        <is>
          <t>SVC000036</t>
        </is>
      </c>
      <c r="G1410" s="104" t="inlineStr">
        <is>
          <t>Device Setup</t>
        </is>
      </c>
      <c r="H1410" s="104" t="inlineStr">
        <is>
          <t>Software</t>
        </is>
      </c>
      <c r="I1410" s="104" t="n"/>
      <c r="J1410" s="104" t="n"/>
      <c r="K1410" s="104" t="n"/>
      <c r="L1410" s="104" t="n"/>
      <c r="M1410" s="104" t="n"/>
      <c r="N1410" s="104" t="n"/>
      <c r="O1410" s="104" t="n"/>
      <c r="P1410" s="104" t="n"/>
      <c r="Q1410" s="104" t="n"/>
      <c r="R1410" s="104" t="n"/>
      <c r="S1410" s="110" t="n"/>
      <c r="T1410" s="110" t="n"/>
      <c r="U1410" s="104" t="n"/>
    </row>
    <row r="1411">
      <c r="A1411" s="105" t="inlineStr">
        <is>
          <t>GUIDE001410</t>
        </is>
      </c>
      <c r="B1411" s="101" t="inlineStr">
        <is>
          <t>DEV000006</t>
        </is>
      </c>
      <c r="C1411" s="103" t="inlineStr">
        <is>
          <t>APL</t>
        </is>
      </c>
      <c r="D1411" s="103" t="inlineStr">
        <is>
          <t>PHN</t>
        </is>
      </c>
      <c r="E1411" s="60" t="inlineStr">
        <is>
          <t>iPhone 5</t>
        </is>
      </c>
      <c r="F1411" s="104" t="inlineStr">
        <is>
          <t>SVC000036</t>
        </is>
      </c>
      <c r="G1411" s="104" t="inlineStr">
        <is>
          <t>Device Setup</t>
        </is>
      </c>
      <c r="H1411" s="104" t="inlineStr">
        <is>
          <t>Software</t>
        </is>
      </c>
      <c r="I1411" s="104" t="n"/>
      <c r="J1411" s="104" t="n"/>
      <c r="K1411" s="104" t="n"/>
      <c r="L1411" s="104" t="n"/>
      <c r="M1411" s="104" t="n"/>
      <c r="N1411" s="104" t="n"/>
      <c r="O1411" s="104" t="n"/>
      <c r="P1411" s="104" t="n"/>
      <c r="Q1411" s="104" t="n"/>
      <c r="R1411" s="104" t="n"/>
      <c r="S1411" s="110" t="n"/>
      <c r="T1411" s="110" t="n"/>
      <c r="U1411" s="104" t="n"/>
    </row>
    <row r="1412">
      <c r="A1412" s="104" t="inlineStr">
        <is>
          <t>GUIDE001411</t>
        </is>
      </c>
      <c r="B1412" s="101" t="inlineStr">
        <is>
          <t>DEV000007</t>
        </is>
      </c>
      <c r="C1412" s="103" t="inlineStr">
        <is>
          <t>APL</t>
        </is>
      </c>
      <c r="D1412" s="103" t="inlineStr">
        <is>
          <t>PHN</t>
        </is>
      </c>
      <c r="E1412" s="60" t="inlineStr">
        <is>
          <t>iPhone 5c</t>
        </is>
      </c>
      <c r="F1412" s="104" t="inlineStr">
        <is>
          <t>SVC000036</t>
        </is>
      </c>
      <c r="G1412" s="104" t="inlineStr">
        <is>
          <t>Device Setup</t>
        </is>
      </c>
      <c r="H1412" s="104" t="inlineStr">
        <is>
          <t>Software</t>
        </is>
      </c>
      <c r="I1412" s="104" t="n"/>
      <c r="J1412" s="104" t="n"/>
      <c r="K1412" s="104" t="n"/>
      <c r="L1412" s="104" t="n"/>
      <c r="M1412" s="104" t="n"/>
      <c r="N1412" s="104" t="n"/>
      <c r="O1412" s="104" t="n"/>
      <c r="P1412" s="104" t="n"/>
      <c r="Q1412" s="104" t="n"/>
      <c r="R1412" s="104" t="n"/>
      <c r="S1412" s="110" t="n"/>
      <c r="T1412" s="110" t="n"/>
      <c r="U1412" s="104" t="n"/>
    </row>
    <row r="1413">
      <c r="A1413" s="104" t="inlineStr">
        <is>
          <t>GUIDE001412</t>
        </is>
      </c>
      <c r="B1413" s="101" t="inlineStr">
        <is>
          <t>DEV000008</t>
        </is>
      </c>
      <c r="C1413" s="103" t="inlineStr">
        <is>
          <t>APL</t>
        </is>
      </c>
      <c r="D1413" s="103" t="inlineStr">
        <is>
          <t>PHN</t>
        </is>
      </c>
      <c r="E1413" s="60" t="inlineStr">
        <is>
          <t>iPhone 5s</t>
        </is>
      </c>
      <c r="F1413" s="104" t="inlineStr">
        <is>
          <t>SVC000036</t>
        </is>
      </c>
      <c r="G1413" s="104" t="inlineStr">
        <is>
          <t>Device Setup</t>
        </is>
      </c>
      <c r="H1413" s="104" t="inlineStr">
        <is>
          <t>Software</t>
        </is>
      </c>
      <c r="I1413" s="104" t="n"/>
      <c r="J1413" s="104" t="n"/>
      <c r="K1413" s="104" t="n"/>
      <c r="L1413" s="104" t="n"/>
      <c r="M1413" s="104" t="n"/>
      <c r="N1413" s="104" t="n"/>
      <c r="O1413" s="104" t="n"/>
      <c r="P1413" s="104" t="n"/>
      <c r="Q1413" s="104" t="n"/>
      <c r="R1413" s="104" t="n"/>
      <c r="S1413" s="110" t="n"/>
      <c r="T1413" s="110" t="n"/>
      <c r="U1413" s="104" t="n"/>
    </row>
    <row r="1414">
      <c r="A1414" s="104" t="inlineStr">
        <is>
          <t>GUIDE001413</t>
        </is>
      </c>
      <c r="B1414" s="101" t="inlineStr">
        <is>
          <t>DEV000009</t>
        </is>
      </c>
      <c r="C1414" s="103" t="inlineStr">
        <is>
          <t>APL</t>
        </is>
      </c>
      <c r="D1414" s="103" t="inlineStr">
        <is>
          <t>PHN</t>
        </is>
      </c>
      <c r="E1414" s="60" t="inlineStr">
        <is>
          <t>iPhone 6</t>
        </is>
      </c>
      <c r="F1414" s="104" t="inlineStr">
        <is>
          <t>SVC000036</t>
        </is>
      </c>
      <c r="G1414" s="104" t="inlineStr">
        <is>
          <t>Device Setup</t>
        </is>
      </c>
      <c r="H1414" s="104" t="inlineStr">
        <is>
          <t>Software</t>
        </is>
      </c>
      <c r="I1414" s="104" t="n"/>
      <c r="J1414" s="104" t="n"/>
      <c r="K1414" s="104" t="n"/>
      <c r="L1414" s="104" t="n"/>
      <c r="M1414" s="104" t="n"/>
      <c r="N1414" s="104" t="n"/>
      <c r="O1414" s="104" t="n"/>
      <c r="P1414" s="104" t="n"/>
      <c r="Q1414" s="104" t="n"/>
      <c r="R1414" s="104" t="n"/>
      <c r="S1414" s="110" t="n"/>
      <c r="T1414" s="110" t="n"/>
      <c r="U1414" s="104" t="n"/>
    </row>
    <row r="1415">
      <c r="A1415" s="104" t="inlineStr">
        <is>
          <t>GUIDE001414</t>
        </is>
      </c>
      <c r="B1415" s="101" t="inlineStr">
        <is>
          <t>DEV000010</t>
        </is>
      </c>
      <c r="C1415" s="103" t="inlineStr">
        <is>
          <t>APL</t>
        </is>
      </c>
      <c r="D1415" s="103" t="inlineStr">
        <is>
          <t>PHN</t>
        </is>
      </c>
      <c r="E1415" s="60" t="inlineStr">
        <is>
          <t>iPhone 6 Plus</t>
        </is>
      </c>
      <c r="F1415" s="104" t="inlineStr">
        <is>
          <t>SVC000036</t>
        </is>
      </c>
      <c r="G1415" s="104" t="inlineStr">
        <is>
          <t>Device Setup</t>
        </is>
      </c>
      <c r="H1415" s="104" t="inlineStr">
        <is>
          <t>Software</t>
        </is>
      </c>
      <c r="I1415" s="104" t="n"/>
      <c r="J1415" s="104" t="n"/>
      <c r="K1415" s="104" t="n"/>
      <c r="L1415" s="104" t="n"/>
      <c r="M1415" s="104" t="n"/>
      <c r="N1415" s="104" t="n"/>
      <c r="O1415" s="104" t="n"/>
      <c r="P1415" s="104" t="n"/>
      <c r="Q1415" s="104" t="n"/>
      <c r="R1415" s="104" t="n"/>
      <c r="S1415" s="110" t="n"/>
      <c r="T1415" s="110" t="n"/>
      <c r="U1415" s="104" t="n"/>
    </row>
    <row r="1416">
      <c r="A1416" s="104" t="inlineStr">
        <is>
          <t>GUIDE001415</t>
        </is>
      </c>
      <c r="B1416" s="101" t="inlineStr">
        <is>
          <t>DEV000011</t>
        </is>
      </c>
      <c r="C1416" s="103" t="inlineStr">
        <is>
          <t>APL</t>
        </is>
      </c>
      <c r="D1416" s="103" t="inlineStr">
        <is>
          <t>PHN</t>
        </is>
      </c>
      <c r="E1416" s="60" t="inlineStr">
        <is>
          <t>iPhone 6s</t>
        </is>
      </c>
      <c r="F1416" s="104" t="inlineStr">
        <is>
          <t>SVC000036</t>
        </is>
      </c>
      <c r="G1416" s="104" t="inlineStr">
        <is>
          <t>Device Setup</t>
        </is>
      </c>
      <c r="H1416" s="104" t="inlineStr">
        <is>
          <t>Software</t>
        </is>
      </c>
      <c r="I1416" s="104" t="n"/>
      <c r="J1416" s="104" t="n"/>
      <c r="K1416" s="104" t="n"/>
      <c r="L1416" s="104" t="n"/>
      <c r="M1416" s="104" t="n"/>
      <c r="N1416" s="104" t="n"/>
      <c r="O1416" s="104" t="n"/>
      <c r="P1416" s="104" t="n"/>
      <c r="Q1416" s="104" t="n"/>
      <c r="R1416" s="104" t="n"/>
      <c r="S1416" s="110" t="n"/>
      <c r="T1416" s="110" t="n"/>
      <c r="U1416" s="104" t="n"/>
    </row>
    <row r="1417">
      <c r="A1417" s="105" t="inlineStr">
        <is>
          <t>GUIDE001416</t>
        </is>
      </c>
      <c r="B1417" s="101" t="inlineStr">
        <is>
          <t>DEV000012</t>
        </is>
      </c>
      <c r="C1417" s="103" t="inlineStr">
        <is>
          <t>APL</t>
        </is>
      </c>
      <c r="D1417" s="103" t="inlineStr">
        <is>
          <t>PHN</t>
        </is>
      </c>
      <c r="E1417" s="60" t="inlineStr">
        <is>
          <t>iPhone 6s Plus</t>
        </is>
      </c>
      <c r="F1417" s="104" t="inlineStr">
        <is>
          <t>SVC000036</t>
        </is>
      </c>
      <c r="G1417" s="104" t="inlineStr">
        <is>
          <t>Device Setup</t>
        </is>
      </c>
      <c r="H1417" s="104" t="inlineStr">
        <is>
          <t>Software</t>
        </is>
      </c>
      <c r="I1417" s="104" t="n"/>
      <c r="J1417" s="104" t="n"/>
      <c r="K1417" s="104" t="n"/>
      <c r="L1417" s="104" t="n"/>
      <c r="M1417" s="104" t="n"/>
      <c r="N1417" s="104" t="n"/>
      <c r="O1417" s="104" t="n"/>
      <c r="P1417" s="104" t="n"/>
      <c r="Q1417" s="104" t="n"/>
      <c r="R1417" s="104" t="n"/>
      <c r="S1417" s="110" t="n"/>
      <c r="T1417" s="110" t="n"/>
      <c r="U1417" s="104" t="n"/>
    </row>
    <row r="1418">
      <c r="A1418" s="104" t="inlineStr">
        <is>
          <t>GUIDE001417</t>
        </is>
      </c>
      <c r="B1418" s="101" t="inlineStr">
        <is>
          <t>DEV000013</t>
        </is>
      </c>
      <c r="C1418" s="103" t="inlineStr">
        <is>
          <t>APL</t>
        </is>
      </c>
      <c r="D1418" s="103" t="inlineStr">
        <is>
          <t>PHN</t>
        </is>
      </c>
      <c r="E1418" s="60" t="inlineStr">
        <is>
          <t>iPhone SE (1st Gen)</t>
        </is>
      </c>
      <c r="F1418" s="104" t="inlineStr">
        <is>
          <t>SVC000036</t>
        </is>
      </c>
      <c r="G1418" s="104" t="inlineStr">
        <is>
          <t>Device Setup</t>
        </is>
      </c>
      <c r="H1418" s="104" t="inlineStr">
        <is>
          <t>Software</t>
        </is>
      </c>
      <c r="I1418" s="104" t="n"/>
      <c r="J1418" s="104" t="n"/>
      <c r="K1418" s="104" t="n"/>
      <c r="L1418" s="104" t="n"/>
      <c r="M1418" s="104" t="n"/>
      <c r="N1418" s="104" t="n"/>
      <c r="O1418" s="104" t="n"/>
      <c r="P1418" s="104" t="n"/>
      <c r="Q1418" s="104" t="n"/>
      <c r="R1418" s="104" t="n"/>
      <c r="S1418" s="110" t="n"/>
      <c r="T1418" s="110" t="n"/>
      <c r="U1418" s="104" t="n"/>
    </row>
    <row r="1419">
      <c r="A1419" s="104" t="inlineStr">
        <is>
          <t>GUIDE001418</t>
        </is>
      </c>
      <c r="B1419" s="101" t="inlineStr">
        <is>
          <t>DEV000014</t>
        </is>
      </c>
      <c r="C1419" s="103" t="inlineStr">
        <is>
          <t>APL</t>
        </is>
      </c>
      <c r="D1419" s="103" t="inlineStr">
        <is>
          <t>PHN</t>
        </is>
      </c>
      <c r="E1419" s="60" t="inlineStr">
        <is>
          <t>iPhone 7</t>
        </is>
      </c>
      <c r="F1419" s="104" t="inlineStr">
        <is>
          <t>SVC000036</t>
        </is>
      </c>
      <c r="G1419" s="104" t="inlineStr">
        <is>
          <t>Device Setup</t>
        </is>
      </c>
      <c r="H1419" s="104" t="inlineStr">
        <is>
          <t>Software</t>
        </is>
      </c>
      <c r="I1419" s="104" t="n"/>
      <c r="J1419" s="104" t="n"/>
      <c r="K1419" s="104" t="n"/>
      <c r="L1419" s="104" t="n"/>
      <c r="M1419" s="104" t="n"/>
      <c r="N1419" s="104" t="n"/>
      <c r="O1419" s="104" t="n"/>
      <c r="P1419" s="104" t="n"/>
      <c r="Q1419" s="104" t="n"/>
      <c r="R1419" s="104" t="n"/>
      <c r="S1419" s="110" t="n"/>
      <c r="T1419" s="110" t="n"/>
      <c r="U1419" s="104" t="n"/>
    </row>
    <row r="1420">
      <c r="A1420" s="104" t="inlineStr">
        <is>
          <t>GUIDE001419</t>
        </is>
      </c>
      <c r="B1420" s="101" t="inlineStr">
        <is>
          <t>DEV000015</t>
        </is>
      </c>
      <c r="C1420" s="103" t="inlineStr">
        <is>
          <t>APL</t>
        </is>
      </c>
      <c r="D1420" s="103" t="inlineStr">
        <is>
          <t>PHN</t>
        </is>
      </c>
      <c r="E1420" s="60" t="inlineStr">
        <is>
          <t>iPhone 7 Plus</t>
        </is>
      </c>
      <c r="F1420" s="104" t="inlineStr">
        <is>
          <t>SVC000036</t>
        </is>
      </c>
      <c r="G1420" s="104" t="inlineStr">
        <is>
          <t>Device Setup</t>
        </is>
      </c>
      <c r="H1420" s="104" t="inlineStr">
        <is>
          <t>Software</t>
        </is>
      </c>
      <c r="I1420" s="104" t="n"/>
      <c r="J1420" s="104" t="n"/>
      <c r="K1420" s="104" t="n"/>
      <c r="L1420" s="104" t="n"/>
      <c r="M1420" s="104" t="n"/>
      <c r="N1420" s="104" t="n"/>
      <c r="O1420" s="104" t="n"/>
      <c r="P1420" s="104" t="n"/>
      <c r="Q1420" s="104" t="n"/>
      <c r="R1420" s="104" t="n"/>
      <c r="S1420" s="110" t="n"/>
      <c r="T1420" s="110" t="n"/>
      <c r="U1420" s="104" t="n"/>
    </row>
    <row r="1421">
      <c r="A1421" s="104" t="inlineStr">
        <is>
          <t>GUIDE001420</t>
        </is>
      </c>
      <c r="B1421" s="101" t="inlineStr">
        <is>
          <t>DEV000016</t>
        </is>
      </c>
      <c r="C1421" s="103" t="inlineStr">
        <is>
          <t>APL</t>
        </is>
      </c>
      <c r="D1421" s="103" t="inlineStr">
        <is>
          <t>PHN</t>
        </is>
      </c>
      <c r="E1421" s="60" t="inlineStr">
        <is>
          <t>iPhone 8</t>
        </is>
      </c>
      <c r="F1421" s="104" t="inlineStr">
        <is>
          <t>SVC000036</t>
        </is>
      </c>
      <c r="G1421" s="104" t="inlineStr">
        <is>
          <t>Device Setup</t>
        </is>
      </c>
      <c r="H1421" s="104" t="inlineStr">
        <is>
          <t>Software</t>
        </is>
      </c>
      <c r="I1421" s="104" t="n"/>
      <c r="J1421" s="104" t="n"/>
      <c r="K1421" s="104" t="n"/>
      <c r="L1421" s="104" t="n"/>
      <c r="M1421" s="104" t="n"/>
      <c r="N1421" s="104" t="n"/>
      <c r="O1421" s="104" t="n"/>
      <c r="P1421" s="104" t="n"/>
      <c r="Q1421" s="104" t="n"/>
      <c r="R1421" s="104" t="n"/>
      <c r="S1421" s="110" t="n"/>
      <c r="T1421" s="110" t="n"/>
      <c r="U1421" s="104" t="n"/>
    </row>
    <row r="1422">
      <c r="A1422" s="104" t="inlineStr">
        <is>
          <t>GUIDE001421</t>
        </is>
      </c>
      <c r="B1422" s="101" t="inlineStr">
        <is>
          <t>DEV000017</t>
        </is>
      </c>
      <c r="C1422" s="103" t="inlineStr">
        <is>
          <t>APL</t>
        </is>
      </c>
      <c r="D1422" s="103" t="inlineStr">
        <is>
          <t>PHN</t>
        </is>
      </c>
      <c r="E1422" s="60" t="inlineStr">
        <is>
          <t>iPhone 8 Plus</t>
        </is>
      </c>
      <c r="F1422" s="104" t="inlineStr">
        <is>
          <t>SVC000036</t>
        </is>
      </c>
      <c r="G1422" s="104" t="inlineStr">
        <is>
          <t>Device Setup</t>
        </is>
      </c>
      <c r="H1422" s="104" t="inlineStr">
        <is>
          <t>Software</t>
        </is>
      </c>
      <c r="I1422" s="104" t="n"/>
      <c r="J1422" s="104" t="n"/>
      <c r="K1422" s="104" t="n"/>
      <c r="L1422" s="104" t="n"/>
      <c r="M1422" s="104" t="n"/>
      <c r="N1422" s="104" t="n"/>
      <c r="O1422" s="104" t="n"/>
      <c r="P1422" s="104" t="n"/>
      <c r="Q1422" s="104" t="n"/>
      <c r="R1422" s="104" t="n"/>
      <c r="S1422" s="110" t="n"/>
      <c r="T1422" s="110" t="n"/>
      <c r="U1422" s="104" t="n"/>
    </row>
    <row r="1423">
      <c r="A1423" s="105" t="inlineStr">
        <is>
          <t>GUIDE001422</t>
        </is>
      </c>
      <c r="B1423" s="101" t="inlineStr">
        <is>
          <t>DEV000018</t>
        </is>
      </c>
      <c r="C1423" s="103" t="inlineStr">
        <is>
          <t>APL</t>
        </is>
      </c>
      <c r="D1423" s="103" t="inlineStr">
        <is>
          <t>PHN</t>
        </is>
      </c>
      <c r="E1423" s="60" t="inlineStr">
        <is>
          <t>iPhone X</t>
        </is>
      </c>
      <c r="F1423" s="104" t="inlineStr">
        <is>
          <t>SVC000036</t>
        </is>
      </c>
      <c r="G1423" s="104" t="inlineStr">
        <is>
          <t>Device Setup</t>
        </is>
      </c>
      <c r="H1423" s="104" t="inlineStr">
        <is>
          <t>Software</t>
        </is>
      </c>
      <c r="I1423" s="104" t="n"/>
      <c r="J1423" s="104" t="n"/>
      <c r="K1423" s="104" t="n"/>
      <c r="L1423" s="104" t="n"/>
      <c r="M1423" s="104" t="n"/>
      <c r="N1423" s="104" t="n"/>
      <c r="O1423" s="104" t="n"/>
      <c r="P1423" s="104" t="n"/>
      <c r="Q1423" s="104" t="n"/>
      <c r="R1423" s="104" t="n"/>
      <c r="S1423" s="110" t="n"/>
      <c r="T1423" s="110" t="n"/>
      <c r="U1423" s="104" t="n"/>
    </row>
    <row r="1424">
      <c r="A1424" s="104" t="inlineStr">
        <is>
          <t>GUIDE001423</t>
        </is>
      </c>
      <c r="B1424" s="101" t="inlineStr">
        <is>
          <t>DEV000019</t>
        </is>
      </c>
      <c r="C1424" s="103" t="inlineStr">
        <is>
          <t>APL</t>
        </is>
      </c>
      <c r="D1424" s="103" t="inlineStr">
        <is>
          <t>PHN</t>
        </is>
      </c>
      <c r="E1424" s="60" t="inlineStr">
        <is>
          <t>iPhone XR</t>
        </is>
      </c>
      <c r="F1424" s="104" t="inlineStr">
        <is>
          <t>SVC000036</t>
        </is>
      </c>
      <c r="G1424" s="104" t="inlineStr">
        <is>
          <t>Device Setup</t>
        </is>
      </c>
      <c r="H1424" s="104" t="inlineStr">
        <is>
          <t>Software</t>
        </is>
      </c>
      <c r="I1424" s="104" t="n"/>
      <c r="J1424" s="104" t="n"/>
      <c r="K1424" s="104" t="n"/>
      <c r="L1424" s="104" t="n"/>
      <c r="M1424" s="104" t="n"/>
      <c r="N1424" s="104" t="n"/>
      <c r="O1424" s="104" t="n"/>
      <c r="P1424" s="104" t="n"/>
      <c r="Q1424" s="104" t="n"/>
      <c r="R1424" s="104" t="n"/>
      <c r="S1424" s="110" t="n"/>
      <c r="T1424" s="110" t="n"/>
      <c r="U1424" s="104" t="n"/>
    </row>
    <row r="1425">
      <c r="A1425" s="104" t="inlineStr">
        <is>
          <t>GUIDE001424</t>
        </is>
      </c>
      <c r="B1425" s="101" t="inlineStr">
        <is>
          <t>DEV000020</t>
        </is>
      </c>
      <c r="C1425" s="103" t="inlineStr">
        <is>
          <t>APL</t>
        </is>
      </c>
      <c r="D1425" s="103" t="inlineStr">
        <is>
          <t>PHN</t>
        </is>
      </c>
      <c r="E1425" s="60" t="inlineStr">
        <is>
          <t>iPhone XS</t>
        </is>
      </c>
      <c r="F1425" s="104" t="inlineStr">
        <is>
          <t>SVC000036</t>
        </is>
      </c>
      <c r="G1425" s="104" t="inlineStr">
        <is>
          <t>Device Setup</t>
        </is>
      </c>
      <c r="H1425" s="104" t="inlineStr">
        <is>
          <t>Software</t>
        </is>
      </c>
      <c r="I1425" s="104" t="n"/>
      <c r="J1425" s="104" t="n"/>
      <c r="K1425" s="104" t="n"/>
      <c r="L1425" s="104" t="n"/>
      <c r="M1425" s="104" t="n"/>
      <c r="N1425" s="104" t="n"/>
      <c r="O1425" s="104" t="n"/>
      <c r="P1425" s="104" t="n"/>
      <c r="Q1425" s="104" t="n"/>
      <c r="R1425" s="104" t="n"/>
      <c r="S1425" s="110" t="n"/>
      <c r="T1425" s="110" t="n"/>
      <c r="U1425" s="104" t="n"/>
    </row>
    <row r="1426">
      <c r="A1426" s="104" t="inlineStr">
        <is>
          <t>GUIDE001425</t>
        </is>
      </c>
      <c r="B1426" s="101" t="inlineStr">
        <is>
          <t>DEV000021</t>
        </is>
      </c>
      <c r="C1426" s="103" t="inlineStr">
        <is>
          <t>APL</t>
        </is>
      </c>
      <c r="D1426" s="103" t="inlineStr">
        <is>
          <t>PHN</t>
        </is>
      </c>
      <c r="E1426" s="60" t="inlineStr">
        <is>
          <t>iPhone XS Max</t>
        </is>
      </c>
      <c r="F1426" s="104" t="inlineStr">
        <is>
          <t>SVC000036</t>
        </is>
      </c>
      <c r="G1426" s="104" t="inlineStr">
        <is>
          <t>Device Setup</t>
        </is>
      </c>
      <c r="H1426" s="104" t="inlineStr">
        <is>
          <t>Software</t>
        </is>
      </c>
      <c r="I1426" s="104" t="n"/>
      <c r="J1426" s="104" t="n"/>
      <c r="K1426" s="104" t="n"/>
      <c r="L1426" s="104" t="n"/>
      <c r="M1426" s="104" t="n"/>
      <c r="N1426" s="104" t="n"/>
      <c r="O1426" s="104" t="n"/>
      <c r="P1426" s="104" t="n"/>
      <c r="Q1426" s="104" t="n"/>
      <c r="R1426" s="104" t="n"/>
      <c r="S1426" s="110" t="n"/>
      <c r="T1426" s="110" t="n"/>
      <c r="U1426" s="104" t="n"/>
    </row>
    <row r="1427">
      <c r="A1427" s="104" t="inlineStr">
        <is>
          <t>GUIDE001426</t>
        </is>
      </c>
      <c r="B1427" s="101" t="inlineStr">
        <is>
          <t>DEV000022</t>
        </is>
      </c>
      <c r="C1427" s="103" t="inlineStr">
        <is>
          <t>APL</t>
        </is>
      </c>
      <c r="D1427" s="103" t="inlineStr">
        <is>
          <t>PHN</t>
        </is>
      </c>
      <c r="E1427" s="60" t="inlineStr">
        <is>
          <t>iPhone 11</t>
        </is>
      </c>
      <c r="F1427" s="104" t="inlineStr">
        <is>
          <t>SVC000036</t>
        </is>
      </c>
      <c r="G1427" s="104" t="inlineStr">
        <is>
          <t>Device Setup</t>
        </is>
      </c>
      <c r="H1427" s="104" t="inlineStr">
        <is>
          <t>Software</t>
        </is>
      </c>
      <c r="I1427" s="104" t="n"/>
      <c r="J1427" s="104" t="n"/>
      <c r="K1427" s="104" t="n"/>
      <c r="L1427" s="104" t="n"/>
      <c r="M1427" s="104" t="n"/>
      <c r="N1427" s="104" t="n"/>
      <c r="O1427" s="104" t="n"/>
      <c r="P1427" s="104" t="n"/>
      <c r="Q1427" s="104" t="n"/>
      <c r="R1427" s="104" t="n"/>
      <c r="S1427" s="110" t="n"/>
      <c r="T1427" s="110" t="n"/>
      <c r="U1427" s="104" t="n"/>
    </row>
    <row r="1428">
      <c r="A1428" s="104" t="inlineStr">
        <is>
          <t>GUIDE001427</t>
        </is>
      </c>
      <c r="B1428" s="101" t="inlineStr">
        <is>
          <t>DEV000023</t>
        </is>
      </c>
      <c r="C1428" s="103" t="inlineStr">
        <is>
          <t>APL</t>
        </is>
      </c>
      <c r="D1428" s="103" t="inlineStr">
        <is>
          <t>PHN</t>
        </is>
      </c>
      <c r="E1428" s="60" t="inlineStr">
        <is>
          <t>iPhone 11 Pro</t>
        </is>
      </c>
      <c r="F1428" s="104" t="inlineStr">
        <is>
          <t>SVC000036</t>
        </is>
      </c>
      <c r="G1428" s="104" t="inlineStr">
        <is>
          <t>Device Setup</t>
        </is>
      </c>
      <c r="H1428" s="104" t="inlineStr">
        <is>
          <t>Software</t>
        </is>
      </c>
      <c r="I1428" s="104" t="n"/>
      <c r="J1428" s="104" t="n"/>
      <c r="K1428" s="104" t="n"/>
      <c r="L1428" s="104" t="n"/>
      <c r="M1428" s="104" t="n"/>
      <c r="N1428" s="104" t="n"/>
      <c r="O1428" s="104" t="n"/>
      <c r="P1428" s="104" t="n"/>
      <c r="Q1428" s="104" t="n"/>
      <c r="R1428" s="104" t="n"/>
      <c r="S1428" s="110" t="n"/>
      <c r="T1428" s="110" t="n"/>
      <c r="U1428" s="104" t="n"/>
    </row>
    <row r="1429">
      <c r="A1429" s="105" t="inlineStr">
        <is>
          <t>GUIDE001428</t>
        </is>
      </c>
      <c r="B1429" s="101" t="inlineStr">
        <is>
          <t>DEV000024</t>
        </is>
      </c>
      <c r="C1429" s="103" t="inlineStr">
        <is>
          <t>APL</t>
        </is>
      </c>
      <c r="D1429" s="103" t="inlineStr">
        <is>
          <t>PHN</t>
        </is>
      </c>
      <c r="E1429" s="60" t="inlineStr">
        <is>
          <t>iPhone 11 Pro Max</t>
        </is>
      </c>
      <c r="F1429" s="104" t="inlineStr">
        <is>
          <t>SVC000036</t>
        </is>
      </c>
      <c r="G1429" s="104" t="inlineStr">
        <is>
          <t>Device Setup</t>
        </is>
      </c>
      <c r="H1429" s="104" t="inlineStr">
        <is>
          <t>Software</t>
        </is>
      </c>
      <c r="I1429" s="104" t="n"/>
      <c r="J1429" s="104" t="n"/>
      <c r="K1429" s="104" t="n"/>
      <c r="L1429" s="104" t="n"/>
      <c r="M1429" s="104" t="n"/>
      <c r="N1429" s="104" t="n"/>
      <c r="O1429" s="104" t="n"/>
      <c r="P1429" s="104" t="n"/>
      <c r="Q1429" s="104" t="n"/>
      <c r="R1429" s="104" t="n"/>
      <c r="S1429" s="110" t="n"/>
      <c r="T1429" s="110" t="n"/>
      <c r="U1429" s="104" t="n"/>
    </row>
    <row r="1430">
      <c r="A1430" s="104" t="inlineStr">
        <is>
          <t>GUIDE001429</t>
        </is>
      </c>
      <c r="B1430" s="101" t="inlineStr">
        <is>
          <t>DEV000025</t>
        </is>
      </c>
      <c r="C1430" s="103" t="inlineStr">
        <is>
          <t>APL</t>
        </is>
      </c>
      <c r="D1430" s="103" t="inlineStr">
        <is>
          <t>PHN</t>
        </is>
      </c>
      <c r="E1430" s="60" t="inlineStr">
        <is>
          <t>iPhone SE (2nd Generation)</t>
        </is>
      </c>
      <c r="F1430" s="104" t="inlineStr">
        <is>
          <t>SVC000036</t>
        </is>
      </c>
      <c r="G1430" s="104" t="inlineStr">
        <is>
          <t>Device Setup</t>
        </is>
      </c>
      <c r="H1430" s="104" t="inlineStr">
        <is>
          <t>Software</t>
        </is>
      </c>
      <c r="I1430" s="104" t="n"/>
      <c r="J1430" s="104" t="n"/>
      <c r="K1430" s="104" t="n"/>
      <c r="L1430" s="104" t="n"/>
      <c r="M1430" s="104" t="n"/>
      <c r="N1430" s="104" t="n"/>
      <c r="O1430" s="104" t="n"/>
      <c r="P1430" s="104" t="n"/>
      <c r="Q1430" s="104" t="n"/>
      <c r="R1430" s="104" t="n"/>
      <c r="S1430" s="110" t="n"/>
      <c r="T1430" s="110" t="n"/>
      <c r="U1430" s="104" t="n"/>
    </row>
    <row r="1431">
      <c r="A1431" s="104" t="inlineStr">
        <is>
          <t>GUIDE001430</t>
        </is>
      </c>
      <c r="B1431" s="101" t="inlineStr">
        <is>
          <t>DEV000026</t>
        </is>
      </c>
      <c r="C1431" s="103" t="inlineStr">
        <is>
          <t>APL</t>
        </is>
      </c>
      <c r="D1431" s="103" t="inlineStr">
        <is>
          <t>PHN</t>
        </is>
      </c>
      <c r="E1431" s="60" t="inlineStr">
        <is>
          <t>iPhone 12 mini</t>
        </is>
      </c>
      <c r="F1431" s="104" t="inlineStr">
        <is>
          <t>SVC000036</t>
        </is>
      </c>
      <c r="G1431" s="104" t="inlineStr">
        <is>
          <t>Device Setup</t>
        </is>
      </c>
      <c r="H1431" s="104" t="inlineStr">
        <is>
          <t>Software</t>
        </is>
      </c>
      <c r="I1431" s="104" t="n"/>
      <c r="J1431" s="104" t="n"/>
      <c r="K1431" s="104" t="n"/>
      <c r="L1431" s="104" t="n"/>
      <c r="M1431" s="104" t="n"/>
      <c r="N1431" s="104" t="n"/>
      <c r="O1431" s="104" t="n"/>
      <c r="P1431" s="104" t="n"/>
      <c r="Q1431" s="104" t="n"/>
      <c r="R1431" s="104" t="n"/>
      <c r="S1431" s="110" t="n"/>
      <c r="T1431" s="110" t="n"/>
      <c r="U1431" s="104" t="n"/>
    </row>
    <row r="1432">
      <c r="A1432" s="104" t="inlineStr">
        <is>
          <t>GUIDE001431</t>
        </is>
      </c>
      <c r="B1432" s="101" t="inlineStr">
        <is>
          <t>DEV000027</t>
        </is>
      </c>
      <c r="C1432" s="103" t="inlineStr">
        <is>
          <t>APL</t>
        </is>
      </c>
      <c r="D1432" s="103" t="inlineStr">
        <is>
          <t>PHN</t>
        </is>
      </c>
      <c r="E1432" s="60" t="inlineStr">
        <is>
          <t>iPhone 12</t>
        </is>
      </c>
      <c r="F1432" s="104" t="inlineStr">
        <is>
          <t>SVC000036</t>
        </is>
      </c>
      <c r="G1432" s="104" t="inlineStr">
        <is>
          <t>Device Setup</t>
        </is>
      </c>
      <c r="H1432" s="104" t="inlineStr">
        <is>
          <t>Software</t>
        </is>
      </c>
      <c r="I1432" s="104" t="n"/>
      <c r="J1432" s="104" t="n"/>
      <c r="K1432" s="104" t="n"/>
      <c r="L1432" s="104" t="n"/>
      <c r="M1432" s="104" t="n"/>
      <c r="N1432" s="104" t="n"/>
      <c r="O1432" s="104" t="n"/>
      <c r="P1432" s="104" t="n"/>
      <c r="Q1432" s="104" t="n"/>
      <c r="R1432" s="104" t="n"/>
      <c r="S1432" s="110" t="n"/>
      <c r="T1432" s="110" t="n"/>
      <c r="U1432" s="104" t="n"/>
    </row>
    <row r="1433">
      <c r="A1433" s="104" t="inlineStr">
        <is>
          <t>GUIDE001432</t>
        </is>
      </c>
      <c r="B1433" s="101" t="inlineStr">
        <is>
          <t>DEV000028</t>
        </is>
      </c>
      <c r="C1433" s="103" t="inlineStr">
        <is>
          <t>APL</t>
        </is>
      </c>
      <c r="D1433" s="103" t="inlineStr">
        <is>
          <t>PHN</t>
        </is>
      </c>
      <c r="E1433" s="60" t="inlineStr">
        <is>
          <t>iPhone 12 Pro</t>
        </is>
      </c>
      <c r="F1433" s="104" t="inlineStr">
        <is>
          <t>SVC000036</t>
        </is>
      </c>
      <c r="G1433" s="104" t="inlineStr">
        <is>
          <t>Device Setup</t>
        </is>
      </c>
      <c r="H1433" s="104" t="inlineStr">
        <is>
          <t>Software</t>
        </is>
      </c>
      <c r="I1433" s="104" t="n"/>
      <c r="J1433" s="104" t="n"/>
      <c r="K1433" s="104" t="n"/>
      <c r="L1433" s="104" t="n"/>
      <c r="M1433" s="104" t="n"/>
      <c r="N1433" s="104" t="n"/>
      <c r="O1433" s="104" t="n"/>
      <c r="P1433" s="104" t="n"/>
      <c r="Q1433" s="104" t="n"/>
      <c r="R1433" s="104" t="n"/>
      <c r="S1433" s="110" t="n"/>
      <c r="T1433" s="110" t="n"/>
      <c r="U1433" s="104" t="n"/>
    </row>
    <row r="1434">
      <c r="A1434" s="104" t="inlineStr">
        <is>
          <t>GUIDE001433</t>
        </is>
      </c>
      <c r="B1434" s="101" t="inlineStr">
        <is>
          <t>DEV000029</t>
        </is>
      </c>
      <c r="C1434" s="103" t="inlineStr">
        <is>
          <t>APL</t>
        </is>
      </c>
      <c r="D1434" s="103" t="inlineStr">
        <is>
          <t>PHN</t>
        </is>
      </c>
      <c r="E1434" s="60" t="inlineStr">
        <is>
          <t>iPhone 12 Pro Max</t>
        </is>
      </c>
      <c r="F1434" s="104" t="inlineStr">
        <is>
          <t>SVC000036</t>
        </is>
      </c>
      <c r="G1434" s="104" t="inlineStr">
        <is>
          <t>Device Setup</t>
        </is>
      </c>
      <c r="H1434" s="104" t="inlineStr">
        <is>
          <t>Software</t>
        </is>
      </c>
      <c r="I1434" s="104" t="n"/>
      <c r="J1434" s="104" t="n"/>
      <c r="K1434" s="104" t="n"/>
      <c r="L1434" s="104" t="n"/>
      <c r="M1434" s="104" t="n"/>
      <c r="N1434" s="104" t="n"/>
      <c r="O1434" s="104" t="n"/>
      <c r="P1434" s="104" t="n"/>
      <c r="Q1434" s="104" t="n"/>
      <c r="R1434" s="104" t="n"/>
      <c r="S1434" s="110" t="n"/>
      <c r="T1434" s="110" t="n"/>
      <c r="U1434" s="104" t="n"/>
    </row>
    <row r="1435">
      <c r="A1435" s="105" t="inlineStr">
        <is>
          <t>GUIDE001434</t>
        </is>
      </c>
      <c r="B1435" s="101" t="inlineStr">
        <is>
          <t>DEV000030</t>
        </is>
      </c>
      <c r="C1435" s="103" t="inlineStr">
        <is>
          <t>APL</t>
        </is>
      </c>
      <c r="D1435" s="103" t="inlineStr">
        <is>
          <t>PHN</t>
        </is>
      </c>
      <c r="E1435" s="60" t="inlineStr">
        <is>
          <t>iPhone 13 mini</t>
        </is>
      </c>
      <c r="F1435" s="104" t="inlineStr">
        <is>
          <t>SVC000036</t>
        </is>
      </c>
      <c r="G1435" s="104" t="inlineStr">
        <is>
          <t>Device Setup</t>
        </is>
      </c>
      <c r="H1435" s="104" t="inlineStr">
        <is>
          <t>Software</t>
        </is>
      </c>
      <c r="I1435" s="104" t="n"/>
      <c r="J1435" s="104" t="n"/>
      <c r="K1435" s="104" t="n"/>
      <c r="L1435" s="104" t="n"/>
      <c r="M1435" s="104" t="n"/>
      <c r="N1435" s="104" t="n"/>
      <c r="O1435" s="104" t="n"/>
      <c r="P1435" s="104" t="n"/>
      <c r="Q1435" s="104" t="n"/>
      <c r="R1435" s="104" t="n"/>
      <c r="S1435" s="110" t="n"/>
      <c r="T1435" s="110" t="n"/>
      <c r="U1435" s="104" t="n"/>
    </row>
    <row r="1436">
      <c r="A1436" s="104" t="inlineStr">
        <is>
          <t>GUIDE001435</t>
        </is>
      </c>
      <c r="B1436" s="101" t="inlineStr">
        <is>
          <t>DEV000031</t>
        </is>
      </c>
      <c r="C1436" s="103" t="inlineStr">
        <is>
          <t>APL</t>
        </is>
      </c>
      <c r="D1436" s="103" t="inlineStr">
        <is>
          <t>PHN</t>
        </is>
      </c>
      <c r="E1436" s="60" t="inlineStr">
        <is>
          <t>iPhone 13</t>
        </is>
      </c>
      <c r="F1436" s="104" t="inlineStr">
        <is>
          <t>SVC000036</t>
        </is>
      </c>
      <c r="G1436" s="104" t="inlineStr">
        <is>
          <t>Device Setup</t>
        </is>
      </c>
      <c r="H1436" s="104" t="inlineStr">
        <is>
          <t>Software</t>
        </is>
      </c>
      <c r="I1436" s="104" t="n"/>
      <c r="J1436" s="104" t="n"/>
      <c r="K1436" s="104" t="n"/>
      <c r="L1436" s="104" t="n"/>
      <c r="M1436" s="104" t="n"/>
      <c r="N1436" s="104" t="n"/>
      <c r="O1436" s="104" t="n"/>
      <c r="P1436" s="104" t="n"/>
      <c r="Q1436" s="104" t="n"/>
      <c r="R1436" s="104" t="n"/>
      <c r="S1436" s="110" t="n"/>
      <c r="T1436" s="110" t="n"/>
      <c r="U1436" s="104" t="n"/>
    </row>
    <row r="1437">
      <c r="A1437" s="104" t="inlineStr">
        <is>
          <t>GUIDE001436</t>
        </is>
      </c>
      <c r="B1437" s="101" t="inlineStr">
        <is>
          <t>DEV000032</t>
        </is>
      </c>
      <c r="C1437" s="103" t="inlineStr">
        <is>
          <t>APL</t>
        </is>
      </c>
      <c r="D1437" s="103" t="inlineStr">
        <is>
          <t>PHN</t>
        </is>
      </c>
      <c r="E1437" s="60" t="inlineStr">
        <is>
          <t>iPhone 13 Pro</t>
        </is>
      </c>
      <c r="F1437" s="104" t="inlineStr">
        <is>
          <t>SVC000036</t>
        </is>
      </c>
      <c r="G1437" s="104" t="inlineStr">
        <is>
          <t>Device Setup</t>
        </is>
      </c>
      <c r="H1437" s="104" t="inlineStr">
        <is>
          <t>Software</t>
        </is>
      </c>
      <c r="I1437" s="104" t="n"/>
      <c r="J1437" s="104" t="n"/>
      <c r="K1437" s="104" t="n"/>
      <c r="L1437" s="104" t="n"/>
      <c r="M1437" s="104" t="n"/>
      <c r="N1437" s="104" t="n"/>
      <c r="O1437" s="104" t="n"/>
      <c r="P1437" s="104" t="n"/>
      <c r="Q1437" s="104" t="n"/>
      <c r="R1437" s="104" t="n"/>
      <c r="S1437" s="110" t="n"/>
      <c r="T1437" s="110" t="n"/>
      <c r="U1437" s="104" t="n"/>
    </row>
    <row r="1438">
      <c r="A1438" s="104" t="inlineStr">
        <is>
          <t>GUIDE001437</t>
        </is>
      </c>
      <c r="B1438" s="101" t="inlineStr">
        <is>
          <t>DEV000033</t>
        </is>
      </c>
      <c r="C1438" s="103" t="inlineStr">
        <is>
          <t>APL</t>
        </is>
      </c>
      <c r="D1438" s="103" t="inlineStr">
        <is>
          <t>PHN</t>
        </is>
      </c>
      <c r="E1438" s="60" t="inlineStr">
        <is>
          <t>iPhone 13 Pro Max</t>
        </is>
      </c>
      <c r="F1438" s="104" t="inlineStr">
        <is>
          <t>SVC000036</t>
        </is>
      </c>
      <c r="G1438" s="104" t="inlineStr">
        <is>
          <t>Device Setup</t>
        </is>
      </c>
      <c r="H1438" s="104" t="inlineStr">
        <is>
          <t>Software</t>
        </is>
      </c>
      <c r="I1438" s="104" t="n"/>
      <c r="J1438" s="104" t="n"/>
      <c r="K1438" s="104" t="n"/>
      <c r="L1438" s="104" t="n"/>
      <c r="M1438" s="104" t="n"/>
      <c r="N1438" s="104" t="n"/>
      <c r="O1438" s="104" t="n"/>
      <c r="P1438" s="104" t="n"/>
      <c r="Q1438" s="104" t="n"/>
      <c r="R1438" s="104" t="n"/>
      <c r="S1438" s="110" t="n"/>
      <c r="T1438" s="110" t="n"/>
      <c r="U1438" s="104" t="n"/>
    </row>
    <row r="1439">
      <c r="A1439" s="104" t="inlineStr">
        <is>
          <t>GUIDE001438</t>
        </is>
      </c>
      <c r="B1439" s="101" t="inlineStr">
        <is>
          <t>DEV000034</t>
        </is>
      </c>
      <c r="C1439" s="103" t="inlineStr">
        <is>
          <t>APL</t>
        </is>
      </c>
      <c r="D1439" s="103" t="inlineStr">
        <is>
          <t>PHN</t>
        </is>
      </c>
      <c r="E1439" s="60" t="inlineStr">
        <is>
          <t>iPhone SE (3rd Generation)</t>
        </is>
      </c>
      <c r="F1439" s="104" t="inlineStr">
        <is>
          <t>SVC000036</t>
        </is>
      </c>
      <c r="G1439" s="104" t="inlineStr">
        <is>
          <t>Device Setup</t>
        </is>
      </c>
      <c r="H1439" s="104" t="inlineStr">
        <is>
          <t>Software</t>
        </is>
      </c>
      <c r="I1439" s="104" t="n"/>
      <c r="J1439" s="104" t="n"/>
      <c r="K1439" s="104" t="n"/>
      <c r="L1439" s="104" t="n"/>
      <c r="M1439" s="104" t="n"/>
      <c r="N1439" s="104" t="n"/>
      <c r="O1439" s="104" t="n"/>
      <c r="P1439" s="104" t="n"/>
      <c r="Q1439" s="104" t="n"/>
      <c r="R1439" s="104" t="n"/>
      <c r="S1439" s="110" t="n"/>
      <c r="T1439" s="110" t="n"/>
      <c r="U1439" s="104" t="n"/>
    </row>
    <row r="1440">
      <c r="A1440" s="104" t="inlineStr">
        <is>
          <t>GUIDE001439</t>
        </is>
      </c>
      <c r="B1440" s="101" t="inlineStr">
        <is>
          <t>DEV000035</t>
        </is>
      </c>
      <c r="C1440" s="103" t="inlineStr">
        <is>
          <t>APL</t>
        </is>
      </c>
      <c r="D1440" s="103" t="inlineStr">
        <is>
          <t>PHN</t>
        </is>
      </c>
      <c r="E1440" s="60" t="inlineStr">
        <is>
          <t>iPhone 14</t>
        </is>
      </c>
      <c r="F1440" s="104" t="inlineStr">
        <is>
          <t>SVC000036</t>
        </is>
      </c>
      <c r="G1440" s="104" t="inlineStr">
        <is>
          <t>Device Setup</t>
        </is>
      </c>
      <c r="H1440" s="104" t="inlineStr">
        <is>
          <t>Software</t>
        </is>
      </c>
      <c r="I1440" s="104" t="n"/>
      <c r="J1440" s="104" t="n"/>
      <c r="K1440" s="104" t="n"/>
      <c r="L1440" s="104" t="n"/>
      <c r="M1440" s="104" t="n"/>
      <c r="N1440" s="104" t="n"/>
      <c r="O1440" s="104" t="n"/>
      <c r="P1440" s="104" t="n"/>
      <c r="Q1440" s="104" t="n"/>
      <c r="R1440" s="104" t="n"/>
      <c r="S1440" s="110" t="n"/>
      <c r="T1440" s="110" t="n"/>
      <c r="U1440" s="104" t="n"/>
    </row>
    <row r="1441">
      <c r="A1441" s="105" t="inlineStr">
        <is>
          <t>GUIDE001440</t>
        </is>
      </c>
      <c r="B1441" s="101" t="inlineStr">
        <is>
          <t>DEV000036</t>
        </is>
      </c>
      <c r="C1441" s="103" t="inlineStr">
        <is>
          <t>APL</t>
        </is>
      </c>
      <c r="D1441" s="103" t="inlineStr">
        <is>
          <t>PHN</t>
        </is>
      </c>
      <c r="E1441" s="60" t="inlineStr">
        <is>
          <t>iPhone 14 Plus</t>
        </is>
      </c>
      <c r="F1441" s="104" t="inlineStr">
        <is>
          <t>SVC000036</t>
        </is>
      </c>
      <c r="G1441" s="104" t="inlineStr">
        <is>
          <t>Device Setup</t>
        </is>
      </c>
      <c r="H1441" s="104" t="inlineStr">
        <is>
          <t>Software</t>
        </is>
      </c>
      <c r="I1441" s="104" t="n"/>
      <c r="J1441" s="104" t="n"/>
      <c r="K1441" s="104" t="n"/>
      <c r="L1441" s="104" t="n"/>
      <c r="M1441" s="104" t="n"/>
      <c r="N1441" s="104" t="n"/>
      <c r="O1441" s="104" t="n"/>
      <c r="P1441" s="104" t="n"/>
      <c r="Q1441" s="104" t="n"/>
      <c r="R1441" s="104" t="n"/>
      <c r="S1441" s="110" t="n"/>
      <c r="T1441" s="110" t="n"/>
      <c r="U1441" s="104" t="n"/>
    </row>
    <row r="1442">
      <c r="A1442" s="104" t="inlineStr">
        <is>
          <t>GUIDE001441</t>
        </is>
      </c>
      <c r="B1442" s="101" t="inlineStr">
        <is>
          <t>DEV000037</t>
        </is>
      </c>
      <c r="C1442" s="103" t="inlineStr">
        <is>
          <t>APL</t>
        </is>
      </c>
      <c r="D1442" s="103" t="inlineStr">
        <is>
          <t>PHN</t>
        </is>
      </c>
      <c r="E1442" s="60" t="inlineStr">
        <is>
          <t>iPhone 14 Pro</t>
        </is>
      </c>
      <c r="F1442" s="104" t="inlineStr">
        <is>
          <t>SVC000036</t>
        </is>
      </c>
      <c r="G1442" s="104" t="inlineStr">
        <is>
          <t>Device Setup</t>
        </is>
      </c>
      <c r="H1442" s="104" t="inlineStr">
        <is>
          <t>Software</t>
        </is>
      </c>
      <c r="I1442" s="104" t="n"/>
      <c r="J1442" s="104" t="n"/>
      <c r="K1442" s="104" t="n"/>
      <c r="L1442" s="104" t="n"/>
      <c r="M1442" s="104" t="n"/>
      <c r="N1442" s="104" t="n"/>
      <c r="O1442" s="104" t="n"/>
      <c r="P1442" s="104" t="n"/>
      <c r="Q1442" s="104" t="n"/>
      <c r="R1442" s="104" t="n"/>
      <c r="S1442" s="110" t="n"/>
      <c r="T1442" s="110" t="n"/>
      <c r="U1442" s="104" t="n"/>
    </row>
    <row r="1443">
      <c r="A1443" s="104" t="inlineStr">
        <is>
          <t>GUIDE001442</t>
        </is>
      </c>
      <c r="B1443" s="101" t="inlineStr">
        <is>
          <t>DEV000038</t>
        </is>
      </c>
      <c r="C1443" s="103" t="inlineStr">
        <is>
          <t>APL</t>
        </is>
      </c>
      <c r="D1443" s="103" t="inlineStr">
        <is>
          <t>PHN</t>
        </is>
      </c>
      <c r="E1443" s="60" t="inlineStr">
        <is>
          <t>iPhone 14 Pro Max</t>
        </is>
      </c>
      <c r="F1443" s="104" t="inlineStr">
        <is>
          <t>SVC000036</t>
        </is>
      </c>
      <c r="G1443" s="104" t="inlineStr">
        <is>
          <t>Device Setup</t>
        </is>
      </c>
      <c r="H1443" s="104" t="inlineStr">
        <is>
          <t>Software</t>
        </is>
      </c>
      <c r="I1443" s="104" t="n"/>
      <c r="J1443" s="104" t="n"/>
      <c r="K1443" s="104" t="n"/>
      <c r="L1443" s="104" t="n"/>
      <c r="M1443" s="104" t="n"/>
      <c r="N1443" s="104" t="n"/>
      <c r="O1443" s="104" t="n"/>
      <c r="P1443" s="104" t="n"/>
      <c r="Q1443" s="104" t="n"/>
      <c r="R1443" s="104" t="n"/>
      <c r="S1443" s="110" t="n"/>
      <c r="T1443" s="110" t="n"/>
      <c r="U1443" s="104" t="n"/>
    </row>
    <row r="1444">
      <c r="A1444" s="104" t="inlineStr">
        <is>
          <t>GUIDE001443</t>
        </is>
      </c>
      <c r="B1444" s="101" t="inlineStr">
        <is>
          <t>DEV000039</t>
        </is>
      </c>
      <c r="C1444" s="103" t="inlineStr">
        <is>
          <t>APL</t>
        </is>
      </c>
      <c r="D1444" s="103" t="inlineStr">
        <is>
          <t>PHN</t>
        </is>
      </c>
      <c r="E1444" s="60" t="inlineStr">
        <is>
          <t>iPhone 15</t>
        </is>
      </c>
      <c r="F1444" s="104" t="inlineStr">
        <is>
          <t>SVC000036</t>
        </is>
      </c>
      <c r="G1444" s="104" t="inlineStr">
        <is>
          <t>Device Setup</t>
        </is>
      </c>
      <c r="H1444" s="104" t="inlineStr">
        <is>
          <t>Software</t>
        </is>
      </c>
      <c r="I1444" s="104" t="n"/>
      <c r="J1444" s="104" t="n"/>
      <c r="K1444" s="104" t="n"/>
      <c r="L1444" s="104" t="n"/>
      <c r="M1444" s="104" t="n"/>
      <c r="N1444" s="104" t="n"/>
      <c r="O1444" s="104" t="n"/>
      <c r="P1444" s="104" t="n"/>
      <c r="Q1444" s="104" t="n"/>
      <c r="R1444" s="104" t="n"/>
      <c r="S1444" s="110" t="n"/>
      <c r="T1444" s="110" t="n"/>
      <c r="U1444" s="104" t="n"/>
    </row>
    <row r="1445">
      <c r="A1445" s="104" t="inlineStr">
        <is>
          <t>GUIDE001444</t>
        </is>
      </c>
      <c r="B1445" s="101" t="inlineStr">
        <is>
          <t>DEV000040</t>
        </is>
      </c>
      <c r="C1445" s="103" t="inlineStr">
        <is>
          <t>APL</t>
        </is>
      </c>
      <c r="D1445" s="103" t="inlineStr">
        <is>
          <t>PHN</t>
        </is>
      </c>
      <c r="E1445" s="60" t="inlineStr">
        <is>
          <t>iPhone 15 Plus</t>
        </is>
      </c>
      <c r="F1445" s="104" t="inlineStr">
        <is>
          <t>SVC000036</t>
        </is>
      </c>
      <c r="G1445" s="104" t="inlineStr">
        <is>
          <t>Device Setup</t>
        </is>
      </c>
      <c r="H1445" s="104" t="inlineStr">
        <is>
          <t>Software</t>
        </is>
      </c>
      <c r="I1445" s="104" t="n"/>
      <c r="J1445" s="104" t="n"/>
      <c r="K1445" s="104" t="n"/>
      <c r="L1445" s="104" t="n"/>
      <c r="M1445" s="104" t="n"/>
      <c r="N1445" s="104" t="n"/>
      <c r="O1445" s="104" t="n"/>
      <c r="P1445" s="104" t="n"/>
      <c r="Q1445" s="104" t="n"/>
      <c r="R1445" s="104" t="n"/>
      <c r="S1445" s="110" t="n"/>
      <c r="T1445" s="110" t="n"/>
      <c r="U1445" s="104" t="n"/>
    </row>
    <row r="1446">
      <c r="A1446" s="104" t="inlineStr">
        <is>
          <t>GUIDE001445</t>
        </is>
      </c>
      <c r="B1446" s="101" t="inlineStr">
        <is>
          <t>DEV000041</t>
        </is>
      </c>
      <c r="C1446" s="103" t="inlineStr">
        <is>
          <t>APL</t>
        </is>
      </c>
      <c r="D1446" s="103" t="inlineStr">
        <is>
          <t>PHN</t>
        </is>
      </c>
      <c r="E1446" s="60" t="inlineStr">
        <is>
          <t>iPhone 15 Pro</t>
        </is>
      </c>
      <c r="F1446" s="104" t="inlineStr">
        <is>
          <t>SVC000036</t>
        </is>
      </c>
      <c r="G1446" s="104" t="inlineStr">
        <is>
          <t>Device Setup</t>
        </is>
      </c>
      <c r="H1446" s="104" t="inlineStr">
        <is>
          <t>Software</t>
        </is>
      </c>
      <c r="I1446" s="104" t="n"/>
      <c r="J1446" s="104" t="n"/>
      <c r="K1446" s="104" t="n"/>
      <c r="L1446" s="104" t="n"/>
      <c r="M1446" s="104" t="n"/>
      <c r="N1446" s="104" t="n"/>
      <c r="O1446" s="104" t="n"/>
      <c r="P1446" s="104" t="n"/>
      <c r="Q1446" s="104" t="n"/>
      <c r="R1446" s="104" t="n"/>
      <c r="S1446" s="110" t="n"/>
      <c r="T1446" s="110" t="n"/>
      <c r="U1446" s="104" t="n"/>
    </row>
    <row r="1447">
      <c r="A1447" s="105" t="inlineStr">
        <is>
          <t>GUIDE001446</t>
        </is>
      </c>
      <c r="B1447" s="101" t="inlineStr">
        <is>
          <t>DEV000042</t>
        </is>
      </c>
      <c r="C1447" s="103" t="inlineStr">
        <is>
          <t>APL</t>
        </is>
      </c>
      <c r="D1447" s="103" t="inlineStr">
        <is>
          <t>PHN</t>
        </is>
      </c>
      <c r="E1447" s="60" t="inlineStr">
        <is>
          <t>iPhone 15 Pro Max</t>
        </is>
      </c>
      <c r="F1447" s="104" t="inlineStr">
        <is>
          <t>SVC000036</t>
        </is>
      </c>
      <c r="G1447" s="104" t="inlineStr">
        <is>
          <t>Device Setup</t>
        </is>
      </c>
      <c r="H1447" s="104" t="inlineStr">
        <is>
          <t>Software</t>
        </is>
      </c>
      <c r="I1447" s="104" t="n"/>
      <c r="J1447" s="104" t="n"/>
      <c r="K1447" s="104" t="n"/>
      <c r="L1447" s="104" t="n"/>
      <c r="M1447" s="104" t="n"/>
      <c r="N1447" s="104" t="n"/>
      <c r="O1447" s="104" t="n"/>
      <c r="P1447" s="104" t="n"/>
      <c r="Q1447" s="104" t="n"/>
      <c r="R1447" s="104" t="n"/>
      <c r="S1447" s="110" t="n"/>
      <c r="T1447" s="110" t="n"/>
      <c r="U1447" s="104" t="n"/>
    </row>
    <row r="1448">
      <c r="A1448" s="104" t="inlineStr">
        <is>
          <t>GUIDE001447</t>
        </is>
      </c>
      <c r="B1448" s="101" t="inlineStr">
        <is>
          <t>DEV000043</t>
        </is>
      </c>
      <c r="C1448" s="103" t="inlineStr">
        <is>
          <t>APL</t>
        </is>
      </c>
      <c r="D1448" s="103" t="inlineStr">
        <is>
          <t>PHN</t>
        </is>
      </c>
      <c r="E1448" s="60" t="inlineStr">
        <is>
          <t>iPhone 16</t>
        </is>
      </c>
      <c r="F1448" s="104" t="inlineStr">
        <is>
          <t>SVC000036</t>
        </is>
      </c>
      <c r="G1448" s="104" t="inlineStr">
        <is>
          <t>Device Setup</t>
        </is>
      </c>
      <c r="H1448" s="104" t="inlineStr">
        <is>
          <t>Software</t>
        </is>
      </c>
      <c r="I1448" s="104" t="n"/>
      <c r="J1448" s="104" t="n"/>
      <c r="K1448" s="104" t="n"/>
      <c r="L1448" s="104" t="n"/>
      <c r="M1448" s="104" t="n"/>
      <c r="N1448" s="104" t="n"/>
      <c r="O1448" s="104" t="n"/>
      <c r="P1448" s="104" t="n"/>
      <c r="Q1448" s="104" t="n"/>
      <c r="R1448" s="104" t="n"/>
      <c r="S1448" s="110" t="n"/>
      <c r="T1448" s="110" t="n"/>
      <c r="U1448" s="104" t="n"/>
    </row>
    <row r="1449">
      <c r="A1449" s="104" t="inlineStr">
        <is>
          <t>GUIDE001448</t>
        </is>
      </c>
      <c r="B1449" s="101" t="inlineStr">
        <is>
          <t>DEV000044</t>
        </is>
      </c>
      <c r="C1449" s="103" t="inlineStr">
        <is>
          <t>APL</t>
        </is>
      </c>
      <c r="D1449" s="103" t="inlineStr">
        <is>
          <t>PHN</t>
        </is>
      </c>
      <c r="E1449" s="60" t="inlineStr">
        <is>
          <t>iPhone 16 Plus</t>
        </is>
      </c>
      <c r="F1449" s="104" t="inlineStr">
        <is>
          <t>SVC000036</t>
        </is>
      </c>
      <c r="G1449" s="104" t="inlineStr">
        <is>
          <t>Device Setup</t>
        </is>
      </c>
      <c r="H1449" s="104" t="inlineStr">
        <is>
          <t>Software</t>
        </is>
      </c>
      <c r="I1449" s="104" t="n"/>
      <c r="J1449" s="104" t="n"/>
      <c r="K1449" s="104" t="n"/>
      <c r="L1449" s="104" t="n"/>
      <c r="M1449" s="104" t="n"/>
      <c r="N1449" s="104" t="n"/>
      <c r="O1449" s="104" t="n"/>
      <c r="P1449" s="104" t="n"/>
      <c r="Q1449" s="104" t="n"/>
      <c r="R1449" s="104" t="n"/>
      <c r="S1449" s="110" t="n"/>
      <c r="T1449" s="110" t="n"/>
      <c r="U1449" s="104" t="n"/>
    </row>
    <row r="1450">
      <c r="A1450" s="104" t="inlineStr">
        <is>
          <t>GUIDE001449</t>
        </is>
      </c>
      <c r="B1450" s="101" t="inlineStr">
        <is>
          <t>DEV000045</t>
        </is>
      </c>
      <c r="C1450" s="103" t="inlineStr">
        <is>
          <t>APL</t>
        </is>
      </c>
      <c r="D1450" s="103" t="inlineStr">
        <is>
          <t>PHN</t>
        </is>
      </c>
      <c r="E1450" s="60" t="inlineStr">
        <is>
          <t>iPhone 16 Pro</t>
        </is>
      </c>
      <c r="F1450" s="104" t="inlineStr">
        <is>
          <t>SVC000036</t>
        </is>
      </c>
      <c r="G1450" s="104" t="inlineStr">
        <is>
          <t>Device Setup</t>
        </is>
      </c>
      <c r="H1450" s="104" t="inlineStr">
        <is>
          <t>Software</t>
        </is>
      </c>
      <c r="I1450" s="104" t="n"/>
      <c r="J1450" s="104" t="n"/>
      <c r="K1450" s="104" t="n"/>
      <c r="L1450" s="104" t="n"/>
      <c r="M1450" s="104" t="n"/>
      <c r="N1450" s="104" t="n"/>
      <c r="O1450" s="104" t="n"/>
      <c r="P1450" s="104" t="n"/>
      <c r="Q1450" s="104" t="n"/>
      <c r="R1450" s="104" t="n"/>
      <c r="S1450" s="110" t="n"/>
      <c r="T1450" s="110" t="n"/>
      <c r="U1450" s="104" t="n"/>
    </row>
    <row r="1451">
      <c r="A1451" s="104" t="inlineStr">
        <is>
          <t>GUIDE001450</t>
        </is>
      </c>
      <c r="B1451" s="101" t="inlineStr">
        <is>
          <t>DEV000046</t>
        </is>
      </c>
      <c r="C1451" s="103" t="inlineStr">
        <is>
          <t>APL</t>
        </is>
      </c>
      <c r="D1451" s="103" t="inlineStr">
        <is>
          <t>PHN</t>
        </is>
      </c>
      <c r="E1451" s="60" t="inlineStr">
        <is>
          <t>iPhone 16 Pro Max</t>
        </is>
      </c>
      <c r="F1451" s="104" t="inlineStr">
        <is>
          <t>SVC000036</t>
        </is>
      </c>
      <c r="G1451" s="104" t="inlineStr">
        <is>
          <t>Device Setup</t>
        </is>
      </c>
      <c r="H1451" s="104" t="inlineStr">
        <is>
          <t>Software</t>
        </is>
      </c>
      <c r="I1451" s="104" t="n"/>
      <c r="J1451" s="104" t="n"/>
      <c r="K1451" s="104" t="n"/>
      <c r="L1451" s="104" t="n"/>
      <c r="M1451" s="104" t="n"/>
      <c r="N1451" s="104" t="n"/>
      <c r="O1451" s="104" t="n"/>
      <c r="P1451" s="104" t="n"/>
      <c r="Q1451" s="104" t="n"/>
      <c r="R1451" s="104" t="n"/>
      <c r="S1451" s="110" t="n"/>
      <c r="T1451" s="110" t="n"/>
      <c r="U1451" s="104" t="n"/>
    </row>
    <row r="1452">
      <c r="A1452" s="104" t="inlineStr">
        <is>
          <t>GUIDE001451</t>
        </is>
      </c>
      <c r="B1452" s="101" t="inlineStr">
        <is>
          <t>DEV000047</t>
        </is>
      </c>
      <c r="C1452" s="103" t="inlineStr">
        <is>
          <t>APL</t>
        </is>
      </c>
      <c r="D1452" s="103" t="inlineStr">
        <is>
          <t>PHN</t>
        </is>
      </c>
      <c r="E1452" s="60" t="inlineStr">
        <is>
          <t>iPhone 16e</t>
        </is>
      </c>
      <c r="F1452" s="104" t="inlineStr">
        <is>
          <t>SVC000036</t>
        </is>
      </c>
      <c r="G1452" s="104" t="inlineStr">
        <is>
          <t>Device Setup</t>
        </is>
      </c>
      <c r="H1452" s="104" t="inlineStr">
        <is>
          <t>Software</t>
        </is>
      </c>
      <c r="I1452" s="104" t="n"/>
      <c r="J1452" s="104" t="n"/>
      <c r="K1452" s="104" t="n"/>
      <c r="L1452" s="104" t="n"/>
      <c r="M1452" s="104" t="n"/>
      <c r="N1452" s="104" t="n"/>
      <c r="O1452" s="104" t="n"/>
      <c r="P1452" s="104" t="n"/>
      <c r="Q1452" s="104" t="n"/>
      <c r="R1452" s="104" t="n"/>
      <c r="S1452" s="110" t="n"/>
      <c r="T1452" s="110" t="n"/>
      <c r="U1452" s="104" t="n"/>
    </row>
    <row r="1453">
      <c r="A1453" s="105" t="inlineStr">
        <is>
          <t>GUIDE001452</t>
        </is>
      </c>
      <c r="B1453" s="101" t="inlineStr">
        <is>
          <t>DEV000048</t>
        </is>
      </c>
      <c r="C1453" s="103" t="inlineStr">
        <is>
          <t>APL</t>
        </is>
      </c>
      <c r="D1453" s="103" t="inlineStr">
        <is>
          <t>PHN</t>
        </is>
      </c>
      <c r="E1453" s="60" t="inlineStr">
        <is>
          <t>iPhone 17</t>
        </is>
      </c>
      <c r="F1453" s="104" t="inlineStr">
        <is>
          <t>SVC000036</t>
        </is>
      </c>
      <c r="G1453" s="104" t="inlineStr">
        <is>
          <t>Device Setup</t>
        </is>
      </c>
      <c r="H1453" s="104" t="inlineStr">
        <is>
          <t>Software</t>
        </is>
      </c>
      <c r="I1453" s="104" t="n"/>
      <c r="J1453" s="104" t="n"/>
      <c r="K1453" s="104" t="n"/>
      <c r="L1453" s="104" t="n"/>
      <c r="M1453" s="104" t="n"/>
      <c r="N1453" s="104" t="n"/>
      <c r="O1453" s="104" t="n"/>
      <c r="P1453" s="104" t="n"/>
      <c r="Q1453" s="104" t="n"/>
      <c r="R1453" s="104" t="n"/>
      <c r="S1453" s="110" t="n"/>
      <c r="T1453" s="110" t="n"/>
      <c r="U1453" s="104" t="n"/>
    </row>
    <row r="1454">
      <c r="A1454" s="104" t="inlineStr">
        <is>
          <t>GUIDE001453</t>
        </is>
      </c>
      <c r="B1454" s="101" t="inlineStr">
        <is>
          <t>DEV000049</t>
        </is>
      </c>
      <c r="C1454" s="103" t="inlineStr">
        <is>
          <t>APL</t>
        </is>
      </c>
      <c r="D1454" s="103" t="inlineStr">
        <is>
          <t>PHN</t>
        </is>
      </c>
      <c r="E1454" s="60" t="inlineStr">
        <is>
          <t>iPhone 17 Pro</t>
        </is>
      </c>
      <c r="F1454" s="104" t="inlineStr">
        <is>
          <t>SVC000036</t>
        </is>
      </c>
      <c r="G1454" s="104" t="inlineStr">
        <is>
          <t>Device Setup</t>
        </is>
      </c>
      <c r="H1454" s="104" t="inlineStr">
        <is>
          <t>Software</t>
        </is>
      </c>
      <c r="I1454" s="104" t="n"/>
      <c r="J1454" s="104" t="n"/>
      <c r="K1454" s="104" t="n"/>
      <c r="L1454" s="104" t="n"/>
      <c r="M1454" s="104" t="n"/>
      <c r="N1454" s="104" t="n"/>
      <c r="O1454" s="104" t="n"/>
      <c r="P1454" s="104" t="n"/>
      <c r="Q1454" s="104" t="n"/>
      <c r="R1454" s="104" t="n"/>
      <c r="S1454" s="110" t="n"/>
      <c r="T1454" s="110" t="n"/>
      <c r="U1454" s="104" t="n"/>
    </row>
    <row r="1455">
      <c r="A1455" s="104" t="inlineStr">
        <is>
          <t>GUIDE001454</t>
        </is>
      </c>
      <c r="B1455" s="101" t="inlineStr">
        <is>
          <t>DEV000050</t>
        </is>
      </c>
      <c r="C1455" s="103" t="inlineStr">
        <is>
          <t>APL</t>
        </is>
      </c>
      <c r="D1455" s="103" t="inlineStr">
        <is>
          <t>PHN</t>
        </is>
      </c>
      <c r="E1455" s="60" t="inlineStr">
        <is>
          <t>iPhone 17 Pro Max</t>
        </is>
      </c>
      <c r="F1455" s="104" t="inlineStr">
        <is>
          <t>SVC000036</t>
        </is>
      </c>
      <c r="G1455" s="104" t="inlineStr">
        <is>
          <t>Device Setup</t>
        </is>
      </c>
      <c r="H1455" s="104" t="inlineStr">
        <is>
          <t>Software</t>
        </is>
      </c>
      <c r="I1455" s="104" t="n"/>
      <c r="J1455" s="104" t="n"/>
      <c r="K1455" s="104" t="n"/>
      <c r="L1455" s="104" t="n"/>
      <c r="M1455" s="104" t="n"/>
      <c r="N1455" s="104" t="n"/>
      <c r="O1455" s="104" t="n"/>
      <c r="P1455" s="104" t="n"/>
      <c r="Q1455" s="104" t="n"/>
      <c r="R1455" s="104" t="n"/>
      <c r="S1455" s="110" t="n"/>
      <c r="T1455" s="110" t="n"/>
      <c r="U1455" s="104" t="n"/>
    </row>
    <row r="1456">
      <c r="A1456" s="104" t="inlineStr">
        <is>
          <t>GUIDE001455</t>
        </is>
      </c>
      <c r="B1456" s="101" t="inlineStr">
        <is>
          <t>DEV000051</t>
        </is>
      </c>
      <c r="C1456" s="103" t="inlineStr">
        <is>
          <t>APL</t>
        </is>
      </c>
      <c r="D1456" s="103" t="inlineStr">
        <is>
          <t>PHN</t>
        </is>
      </c>
      <c r="E1456" s="60" t="inlineStr">
        <is>
          <t>iPhone Air</t>
        </is>
      </c>
      <c r="F1456" s="104" t="inlineStr">
        <is>
          <t>SVC000036</t>
        </is>
      </c>
      <c r="G1456" s="104" t="inlineStr">
        <is>
          <t>Device Setup</t>
        </is>
      </c>
      <c r="H1456" s="104" t="inlineStr">
        <is>
          <t>Software</t>
        </is>
      </c>
      <c r="I1456" s="104" t="n"/>
      <c r="J1456" s="104" t="n"/>
      <c r="K1456" s="104" t="n"/>
      <c r="L1456" s="104" t="n"/>
      <c r="M1456" s="104" t="n"/>
      <c r="N1456" s="104" t="n"/>
      <c r="O1456" s="104" t="n"/>
      <c r="P1456" s="104" t="n"/>
      <c r="Q1456" s="104" t="n"/>
      <c r="R1456" s="104" t="n"/>
      <c r="S1456" s="110" t="n"/>
      <c r="T1456" s="110" t="n"/>
      <c r="U1456" s="104" t="n"/>
    </row>
    <row r="1457">
      <c r="A1457" s="104" t="inlineStr">
        <is>
          <t>GUIDE001456</t>
        </is>
      </c>
      <c r="B1457" s="101" t="inlineStr">
        <is>
          <t>DEV000052</t>
        </is>
      </c>
      <c r="C1457" s="103" t="inlineStr">
        <is>
          <t>APL</t>
        </is>
      </c>
      <c r="D1457" s="103" t="inlineStr">
        <is>
          <t>PHN</t>
        </is>
      </c>
      <c r="E1457" s="60" t="inlineStr">
        <is>
          <t>iPhone 17e</t>
        </is>
      </c>
      <c r="F1457" s="104" t="inlineStr">
        <is>
          <t>SVC000036</t>
        </is>
      </c>
      <c r="G1457" s="104" t="inlineStr">
        <is>
          <t>Device Setup</t>
        </is>
      </c>
      <c r="H1457" s="104" t="inlineStr">
        <is>
          <t>Software</t>
        </is>
      </c>
      <c r="I1457" s="104" t="n"/>
      <c r="J1457" s="104" t="n"/>
      <c r="K1457" s="104" t="n"/>
      <c r="L1457" s="104" t="n"/>
      <c r="M1457" s="104" t="n"/>
      <c r="N1457" s="104" t="n"/>
      <c r="O1457" s="104" t="n"/>
      <c r="P1457" s="104" t="n"/>
      <c r="Q1457" s="104" t="n"/>
      <c r="R1457" s="104" t="n"/>
      <c r="S1457" s="110" t="n"/>
      <c r="T1457" s="110" t="n"/>
      <c r="U1457" s="104" t="n"/>
    </row>
    <row r="1458">
      <c r="A1458" s="104" t="inlineStr">
        <is>
          <t>GUIDE001457</t>
        </is>
      </c>
      <c r="B1458" s="101" t="inlineStr">
        <is>
          <t>DEV000001</t>
        </is>
      </c>
      <c r="C1458" s="103" t="inlineStr">
        <is>
          <t>APL</t>
        </is>
      </c>
      <c r="D1458" s="103" t="inlineStr">
        <is>
          <t>PHN</t>
        </is>
      </c>
      <c r="E1458" s="60" t="inlineStr">
        <is>
          <t>iPhone (2G)</t>
        </is>
      </c>
      <c r="F1458" s="104" t="inlineStr">
        <is>
          <t>SVC000037</t>
        </is>
      </c>
      <c r="G1458" s="104" t="inlineStr">
        <is>
          <t>Data Transfer</t>
        </is>
      </c>
      <c r="H1458" s="104" t="inlineStr">
        <is>
          <t>Software</t>
        </is>
      </c>
      <c r="I1458" s="104" t="n"/>
      <c r="J1458" s="104" t="n"/>
      <c r="K1458" s="104" t="n"/>
      <c r="L1458" s="104" t="n"/>
      <c r="M1458" s="104" t="n"/>
      <c r="N1458" s="104" t="n"/>
      <c r="O1458" s="104" t="n"/>
      <c r="P1458" s="104" t="n"/>
      <c r="Q1458" s="104" t="n"/>
      <c r="R1458" s="104" t="n"/>
      <c r="S1458" s="110" t="n"/>
      <c r="T1458" s="110" t="n"/>
      <c r="U1458" s="104" t="n"/>
    </row>
    <row r="1459">
      <c r="A1459" s="105" t="inlineStr">
        <is>
          <t>GUIDE001458</t>
        </is>
      </c>
      <c r="B1459" s="101" t="inlineStr">
        <is>
          <t>DEV000002</t>
        </is>
      </c>
      <c r="C1459" s="103" t="inlineStr">
        <is>
          <t>APL</t>
        </is>
      </c>
      <c r="D1459" s="103" t="inlineStr">
        <is>
          <t>PHN</t>
        </is>
      </c>
      <c r="E1459" s="60" t="inlineStr">
        <is>
          <t>iPhone 3G</t>
        </is>
      </c>
      <c r="F1459" s="104" t="inlineStr">
        <is>
          <t>SVC000037</t>
        </is>
      </c>
      <c r="G1459" s="104" t="inlineStr">
        <is>
          <t>Data Transfer</t>
        </is>
      </c>
      <c r="H1459" s="104" t="inlineStr">
        <is>
          <t>Software</t>
        </is>
      </c>
      <c r="I1459" s="104" t="n"/>
      <c r="J1459" s="104" t="n"/>
      <c r="K1459" s="104" t="n"/>
      <c r="L1459" s="104" t="n"/>
      <c r="M1459" s="104" t="n"/>
      <c r="N1459" s="104" t="n"/>
      <c r="O1459" s="104" t="n"/>
      <c r="P1459" s="104" t="n"/>
      <c r="Q1459" s="104" t="n"/>
      <c r="R1459" s="104" t="n"/>
      <c r="S1459" s="110" t="n"/>
      <c r="T1459" s="110" t="n"/>
      <c r="U1459" s="104" t="n"/>
    </row>
    <row r="1460">
      <c r="A1460" s="104" t="inlineStr">
        <is>
          <t>GUIDE001459</t>
        </is>
      </c>
      <c r="B1460" s="101" t="inlineStr">
        <is>
          <t>DEV000003</t>
        </is>
      </c>
      <c r="C1460" s="103" t="inlineStr">
        <is>
          <t>APL</t>
        </is>
      </c>
      <c r="D1460" s="103" t="inlineStr">
        <is>
          <t>PHN</t>
        </is>
      </c>
      <c r="E1460" s="60" t="inlineStr">
        <is>
          <t>iPhone 3GS</t>
        </is>
      </c>
      <c r="F1460" s="104" t="inlineStr">
        <is>
          <t>SVC000037</t>
        </is>
      </c>
      <c r="G1460" s="104" t="inlineStr">
        <is>
          <t>Data Transfer</t>
        </is>
      </c>
      <c r="H1460" s="104" t="inlineStr">
        <is>
          <t>Software</t>
        </is>
      </c>
      <c r="I1460" s="104" t="n"/>
      <c r="J1460" s="104" t="n"/>
      <c r="K1460" s="104" t="n"/>
      <c r="L1460" s="104" t="n"/>
      <c r="M1460" s="104" t="n"/>
      <c r="N1460" s="104" t="n"/>
      <c r="O1460" s="104" t="n"/>
      <c r="P1460" s="104" t="n"/>
      <c r="Q1460" s="104" t="n"/>
      <c r="R1460" s="104" t="n"/>
      <c r="S1460" s="110" t="n"/>
      <c r="T1460" s="110" t="n"/>
      <c r="U1460" s="104" t="n"/>
    </row>
    <row r="1461">
      <c r="A1461" s="104" t="inlineStr">
        <is>
          <t>GUIDE001460</t>
        </is>
      </c>
      <c r="B1461" s="101" t="inlineStr">
        <is>
          <t>DEV000004</t>
        </is>
      </c>
      <c r="C1461" s="103" t="inlineStr">
        <is>
          <t>APL</t>
        </is>
      </c>
      <c r="D1461" s="103" t="inlineStr">
        <is>
          <t>PHN</t>
        </is>
      </c>
      <c r="E1461" s="60" t="inlineStr">
        <is>
          <t>iPhone 4</t>
        </is>
      </c>
      <c r="F1461" s="104" t="inlineStr">
        <is>
          <t>SVC000037</t>
        </is>
      </c>
      <c r="G1461" s="104" t="inlineStr">
        <is>
          <t>Data Transfer</t>
        </is>
      </c>
      <c r="H1461" s="104" t="inlineStr">
        <is>
          <t>Software</t>
        </is>
      </c>
      <c r="I1461" s="104" t="n"/>
      <c r="J1461" s="104" t="n"/>
      <c r="K1461" s="104" t="n"/>
      <c r="L1461" s="104" t="n"/>
      <c r="M1461" s="104" t="n"/>
      <c r="N1461" s="104" t="n"/>
      <c r="O1461" s="104" t="n"/>
      <c r="P1461" s="104" t="n"/>
      <c r="Q1461" s="104" t="n"/>
      <c r="R1461" s="104" t="n"/>
      <c r="S1461" s="110" t="n"/>
      <c r="T1461" s="110" t="n"/>
      <c r="U1461" s="104" t="n"/>
    </row>
    <row r="1462">
      <c r="A1462" s="104" t="inlineStr">
        <is>
          <t>GUIDE001461</t>
        </is>
      </c>
      <c r="B1462" s="101" t="inlineStr">
        <is>
          <t>DEV000005</t>
        </is>
      </c>
      <c r="C1462" s="103" t="inlineStr">
        <is>
          <t>APL</t>
        </is>
      </c>
      <c r="D1462" s="103" t="inlineStr">
        <is>
          <t>PHN</t>
        </is>
      </c>
      <c r="E1462" s="60" t="inlineStr">
        <is>
          <t>iPhone 4s</t>
        </is>
      </c>
      <c r="F1462" s="104" t="inlineStr">
        <is>
          <t>SVC000037</t>
        </is>
      </c>
      <c r="G1462" s="104" t="inlineStr">
        <is>
          <t>Data Transfer</t>
        </is>
      </c>
      <c r="H1462" s="104" t="inlineStr">
        <is>
          <t>Software</t>
        </is>
      </c>
      <c r="I1462" s="104" t="n"/>
      <c r="J1462" s="104" t="n"/>
      <c r="K1462" s="104" t="n"/>
      <c r="L1462" s="104" t="n"/>
      <c r="M1462" s="104" t="n"/>
      <c r="N1462" s="104" t="n"/>
      <c r="O1462" s="104" t="n"/>
      <c r="P1462" s="104" t="n"/>
      <c r="Q1462" s="104" t="n"/>
      <c r="R1462" s="104" t="n"/>
      <c r="S1462" s="110" t="n"/>
      <c r="T1462" s="110" t="n"/>
      <c r="U1462" s="104" t="n"/>
    </row>
    <row r="1463">
      <c r="A1463" s="104" t="inlineStr">
        <is>
          <t>GUIDE001462</t>
        </is>
      </c>
      <c r="B1463" s="101" t="inlineStr">
        <is>
          <t>DEV000006</t>
        </is>
      </c>
      <c r="C1463" s="103" t="inlineStr">
        <is>
          <t>APL</t>
        </is>
      </c>
      <c r="D1463" s="103" t="inlineStr">
        <is>
          <t>PHN</t>
        </is>
      </c>
      <c r="E1463" s="60" t="inlineStr">
        <is>
          <t>iPhone 5</t>
        </is>
      </c>
      <c r="F1463" s="104" t="inlineStr">
        <is>
          <t>SVC000037</t>
        </is>
      </c>
      <c r="G1463" s="104" t="inlineStr">
        <is>
          <t>Data Transfer</t>
        </is>
      </c>
      <c r="H1463" s="104" t="inlineStr">
        <is>
          <t>Software</t>
        </is>
      </c>
      <c r="I1463" s="104" t="n"/>
      <c r="J1463" s="104" t="n"/>
      <c r="K1463" s="104" t="n"/>
      <c r="L1463" s="104" t="n"/>
      <c r="M1463" s="104" t="n"/>
      <c r="N1463" s="104" t="n"/>
      <c r="O1463" s="104" t="n"/>
      <c r="P1463" s="104" t="n"/>
      <c r="Q1463" s="104" t="n"/>
      <c r="R1463" s="104" t="n"/>
      <c r="S1463" s="110" t="n"/>
      <c r="T1463" s="110" t="n"/>
      <c r="U1463" s="104" t="n"/>
    </row>
    <row r="1464">
      <c r="A1464" s="104" t="inlineStr">
        <is>
          <t>GUIDE001463</t>
        </is>
      </c>
      <c r="B1464" s="101" t="inlineStr">
        <is>
          <t>DEV000007</t>
        </is>
      </c>
      <c r="C1464" s="103" t="inlineStr">
        <is>
          <t>APL</t>
        </is>
      </c>
      <c r="D1464" s="103" t="inlineStr">
        <is>
          <t>PHN</t>
        </is>
      </c>
      <c r="E1464" s="60" t="inlineStr">
        <is>
          <t>iPhone 5c</t>
        </is>
      </c>
      <c r="F1464" s="104" t="inlineStr">
        <is>
          <t>SVC000037</t>
        </is>
      </c>
      <c r="G1464" s="104" t="inlineStr">
        <is>
          <t>Data Transfer</t>
        </is>
      </c>
      <c r="H1464" s="104" t="inlineStr">
        <is>
          <t>Software</t>
        </is>
      </c>
      <c r="I1464" s="104" t="n"/>
      <c r="J1464" s="104" t="n"/>
      <c r="K1464" s="104" t="n"/>
      <c r="L1464" s="104" t="n"/>
      <c r="M1464" s="104" t="n"/>
      <c r="N1464" s="104" t="n"/>
      <c r="O1464" s="104" t="n"/>
      <c r="P1464" s="104" t="n"/>
      <c r="Q1464" s="104" t="n"/>
      <c r="R1464" s="104" t="n"/>
      <c r="S1464" s="110" t="n"/>
      <c r="T1464" s="110" t="n"/>
      <c r="U1464" s="104" t="n"/>
    </row>
    <row r="1465">
      <c r="A1465" s="105" t="inlineStr">
        <is>
          <t>GUIDE001464</t>
        </is>
      </c>
      <c r="B1465" s="101" t="inlineStr">
        <is>
          <t>DEV000008</t>
        </is>
      </c>
      <c r="C1465" s="103" t="inlineStr">
        <is>
          <t>APL</t>
        </is>
      </c>
      <c r="D1465" s="103" t="inlineStr">
        <is>
          <t>PHN</t>
        </is>
      </c>
      <c r="E1465" s="60" t="inlineStr">
        <is>
          <t>iPhone 5s</t>
        </is>
      </c>
      <c r="F1465" s="104" t="inlineStr">
        <is>
          <t>SVC000037</t>
        </is>
      </c>
      <c r="G1465" s="104" t="inlineStr">
        <is>
          <t>Data Transfer</t>
        </is>
      </c>
      <c r="H1465" s="104" t="inlineStr">
        <is>
          <t>Software</t>
        </is>
      </c>
      <c r="I1465" s="104" t="n"/>
      <c r="J1465" s="104" t="n"/>
      <c r="K1465" s="104" t="n"/>
      <c r="L1465" s="104" t="n"/>
      <c r="M1465" s="104" t="n"/>
      <c r="N1465" s="104" t="n"/>
      <c r="O1465" s="104" t="n"/>
      <c r="P1465" s="104" t="n"/>
      <c r="Q1465" s="104" t="n"/>
      <c r="R1465" s="104" t="n"/>
      <c r="S1465" s="110" t="n"/>
      <c r="T1465" s="110" t="n"/>
      <c r="U1465" s="104" t="n"/>
    </row>
    <row r="1466">
      <c r="A1466" s="104" t="inlineStr">
        <is>
          <t>GUIDE001465</t>
        </is>
      </c>
      <c r="B1466" s="101" t="inlineStr">
        <is>
          <t>DEV000009</t>
        </is>
      </c>
      <c r="C1466" s="103" t="inlineStr">
        <is>
          <t>APL</t>
        </is>
      </c>
      <c r="D1466" s="103" t="inlineStr">
        <is>
          <t>PHN</t>
        </is>
      </c>
      <c r="E1466" s="60" t="inlineStr">
        <is>
          <t>iPhone 6</t>
        </is>
      </c>
      <c r="F1466" s="104" t="inlineStr">
        <is>
          <t>SVC000037</t>
        </is>
      </c>
      <c r="G1466" s="104" t="inlineStr">
        <is>
          <t>Data Transfer</t>
        </is>
      </c>
      <c r="H1466" s="104" t="inlineStr">
        <is>
          <t>Software</t>
        </is>
      </c>
      <c r="I1466" s="104" t="n"/>
      <c r="J1466" s="104" t="n"/>
      <c r="K1466" s="104" t="n"/>
      <c r="L1466" s="104" t="n"/>
      <c r="M1466" s="104" t="n"/>
      <c r="N1466" s="104" t="n"/>
      <c r="O1466" s="104" t="n"/>
      <c r="P1466" s="104" t="n"/>
      <c r="Q1466" s="104" t="n"/>
      <c r="R1466" s="104" t="n"/>
      <c r="S1466" s="110" t="n"/>
      <c r="T1466" s="110" t="n"/>
      <c r="U1466" s="104" t="n"/>
    </row>
    <row r="1467">
      <c r="A1467" s="104" t="inlineStr">
        <is>
          <t>GUIDE001466</t>
        </is>
      </c>
      <c r="B1467" s="101" t="inlineStr">
        <is>
          <t>DEV000010</t>
        </is>
      </c>
      <c r="C1467" s="103" t="inlineStr">
        <is>
          <t>APL</t>
        </is>
      </c>
      <c r="D1467" s="103" t="inlineStr">
        <is>
          <t>PHN</t>
        </is>
      </c>
      <c r="E1467" s="60" t="inlineStr">
        <is>
          <t>iPhone 6 Plus</t>
        </is>
      </c>
      <c r="F1467" s="104" t="inlineStr">
        <is>
          <t>SVC000037</t>
        </is>
      </c>
      <c r="G1467" s="104" t="inlineStr">
        <is>
          <t>Data Transfer</t>
        </is>
      </c>
      <c r="H1467" s="104" t="inlineStr">
        <is>
          <t>Software</t>
        </is>
      </c>
      <c r="I1467" s="104" t="n"/>
      <c r="J1467" s="104" t="n"/>
      <c r="K1467" s="104" t="n"/>
      <c r="L1467" s="104" t="n"/>
      <c r="M1467" s="104" t="n"/>
      <c r="N1467" s="104" t="n"/>
      <c r="O1467" s="104" t="n"/>
      <c r="P1467" s="104" t="n"/>
      <c r="Q1467" s="104" t="n"/>
      <c r="R1467" s="104" t="n"/>
      <c r="S1467" s="110" t="n"/>
      <c r="T1467" s="110" t="n"/>
      <c r="U1467" s="104" t="n"/>
    </row>
    <row r="1468">
      <c r="A1468" s="104" t="inlineStr">
        <is>
          <t>GUIDE001467</t>
        </is>
      </c>
      <c r="B1468" s="101" t="inlineStr">
        <is>
          <t>DEV000011</t>
        </is>
      </c>
      <c r="C1468" s="103" t="inlineStr">
        <is>
          <t>APL</t>
        </is>
      </c>
      <c r="D1468" s="103" t="inlineStr">
        <is>
          <t>PHN</t>
        </is>
      </c>
      <c r="E1468" s="60" t="inlineStr">
        <is>
          <t>iPhone 6s</t>
        </is>
      </c>
      <c r="F1468" s="104" t="inlineStr">
        <is>
          <t>SVC000037</t>
        </is>
      </c>
      <c r="G1468" s="104" t="inlineStr">
        <is>
          <t>Data Transfer</t>
        </is>
      </c>
      <c r="H1468" s="104" t="inlineStr">
        <is>
          <t>Software</t>
        </is>
      </c>
      <c r="I1468" s="104" t="n"/>
      <c r="J1468" s="104" t="n"/>
      <c r="K1468" s="104" t="n"/>
      <c r="L1468" s="104" t="n"/>
      <c r="M1468" s="104" t="n"/>
      <c r="N1468" s="104" t="n"/>
      <c r="O1468" s="104" t="n"/>
      <c r="P1468" s="104" t="n"/>
      <c r="Q1468" s="104" t="n"/>
      <c r="R1468" s="104" t="n"/>
      <c r="S1468" s="110" t="n"/>
      <c r="T1468" s="110" t="n"/>
      <c r="U1468" s="104" t="n"/>
    </row>
    <row r="1469">
      <c r="A1469" s="104" t="inlineStr">
        <is>
          <t>GUIDE001468</t>
        </is>
      </c>
      <c r="B1469" s="101" t="inlineStr">
        <is>
          <t>DEV000012</t>
        </is>
      </c>
      <c r="C1469" s="103" t="inlineStr">
        <is>
          <t>APL</t>
        </is>
      </c>
      <c r="D1469" s="103" t="inlineStr">
        <is>
          <t>PHN</t>
        </is>
      </c>
      <c r="E1469" s="60" t="inlineStr">
        <is>
          <t>iPhone 6s Plus</t>
        </is>
      </c>
      <c r="F1469" s="104" t="inlineStr">
        <is>
          <t>SVC000037</t>
        </is>
      </c>
      <c r="G1469" s="104" t="inlineStr">
        <is>
          <t>Data Transfer</t>
        </is>
      </c>
      <c r="H1469" s="104" t="inlineStr">
        <is>
          <t>Software</t>
        </is>
      </c>
      <c r="I1469" s="104" t="n"/>
      <c r="J1469" s="104" t="n"/>
      <c r="K1469" s="104" t="n"/>
      <c r="L1469" s="104" t="n"/>
      <c r="M1469" s="104" t="n"/>
      <c r="N1469" s="104" t="n"/>
      <c r="O1469" s="104" t="n"/>
      <c r="P1469" s="104" t="n"/>
      <c r="Q1469" s="104" t="n"/>
      <c r="R1469" s="104" t="n"/>
      <c r="S1469" s="110" t="n"/>
      <c r="T1469" s="110" t="n"/>
      <c r="U1469" s="104" t="n"/>
    </row>
    <row r="1470">
      <c r="A1470" s="104" t="inlineStr">
        <is>
          <t>GUIDE001469</t>
        </is>
      </c>
      <c r="B1470" s="101" t="inlineStr">
        <is>
          <t>DEV000013</t>
        </is>
      </c>
      <c r="C1470" s="103" t="inlineStr">
        <is>
          <t>APL</t>
        </is>
      </c>
      <c r="D1470" s="103" t="inlineStr">
        <is>
          <t>PHN</t>
        </is>
      </c>
      <c r="E1470" s="60" t="inlineStr">
        <is>
          <t>iPhone SE (1st Gen)</t>
        </is>
      </c>
      <c r="F1470" s="104" t="inlineStr">
        <is>
          <t>SVC000037</t>
        </is>
      </c>
      <c r="G1470" s="104" t="inlineStr">
        <is>
          <t>Data Transfer</t>
        </is>
      </c>
      <c r="H1470" s="104" t="inlineStr">
        <is>
          <t>Software</t>
        </is>
      </c>
      <c r="I1470" s="104" t="n"/>
      <c r="J1470" s="104" t="n"/>
      <c r="K1470" s="104" t="n"/>
      <c r="L1470" s="104" t="n"/>
      <c r="M1470" s="104" t="n"/>
      <c r="N1470" s="104" t="n"/>
      <c r="O1470" s="104" t="n"/>
      <c r="P1470" s="104" t="n"/>
      <c r="Q1470" s="104" t="n"/>
      <c r="R1470" s="104" t="n"/>
      <c r="S1470" s="110" t="n"/>
      <c r="T1470" s="110" t="n"/>
      <c r="U1470" s="104" t="n"/>
    </row>
    <row r="1471">
      <c r="A1471" s="105" t="inlineStr">
        <is>
          <t>GUIDE001470</t>
        </is>
      </c>
      <c r="B1471" s="101" t="inlineStr">
        <is>
          <t>DEV000014</t>
        </is>
      </c>
      <c r="C1471" s="103" t="inlineStr">
        <is>
          <t>APL</t>
        </is>
      </c>
      <c r="D1471" s="103" t="inlineStr">
        <is>
          <t>PHN</t>
        </is>
      </c>
      <c r="E1471" s="60" t="inlineStr">
        <is>
          <t>iPhone 7</t>
        </is>
      </c>
      <c r="F1471" s="104" t="inlineStr">
        <is>
          <t>SVC000037</t>
        </is>
      </c>
      <c r="G1471" s="104" t="inlineStr">
        <is>
          <t>Data Transfer</t>
        </is>
      </c>
      <c r="H1471" s="104" t="inlineStr">
        <is>
          <t>Software</t>
        </is>
      </c>
      <c r="I1471" s="104" t="n"/>
      <c r="J1471" s="104" t="n"/>
      <c r="K1471" s="104" t="n"/>
      <c r="L1471" s="104" t="n"/>
      <c r="M1471" s="104" t="n"/>
      <c r="N1471" s="104" t="n"/>
      <c r="O1471" s="104" t="n"/>
      <c r="P1471" s="104" t="n"/>
      <c r="Q1471" s="104" t="n"/>
      <c r="R1471" s="104" t="n"/>
      <c r="S1471" s="110" t="n"/>
      <c r="T1471" s="110" t="n"/>
      <c r="U1471" s="104" t="n"/>
    </row>
    <row r="1472">
      <c r="A1472" s="104" t="inlineStr">
        <is>
          <t>GUIDE001471</t>
        </is>
      </c>
      <c r="B1472" s="101" t="inlineStr">
        <is>
          <t>DEV000015</t>
        </is>
      </c>
      <c r="C1472" s="103" t="inlineStr">
        <is>
          <t>APL</t>
        </is>
      </c>
      <c r="D1472" s="103" t="inlineStr">
        <is>
          <t>PHN</t>
        </is>
      </c>
      <c r="E1472" s="60" t="inlineStr">
        <is>
          <t>iPhone 7 Plus</t>
        </is>
      </c>
      <c r="F1472" s="104" t="inlineStr">
        <is>
          <t>SVC000037</t>
        </is>
      </c>
      <c r="G1472" s="104" t="inlineStr">
        <is>
          <t>Data Transfer</t>
        </is>
      </c>
      <c r="H1472" s="104" t="inlineStr">
        <is>
          <t>Software</t>
        </is>
      </c>
      <c r="I1472" s="104" t="n"/>
      <c r="J1472" s="104" t="n"/>
      <c r="K1472" s="104" t="n"/>
      <c r="L1472" s="104" t="n"/>
      <c r="M1472" s="104" t="n"/>
      <c r="N1472" s="104" t="n"/>
      <c r="O1472" s="104" t="n"/>
      <c r="P1472" s="104" t="n"/>
      <c r="Q1472" s="104" t="n"/>
      <c r="R1472" s="104" t="n"/>
      <c r="S1472" s="110" t="n"/>
      <c r="T1472" s="110" t="n"/>
      <c r="U1472" s="104" t="n"/>
    </row>
    <row r="1473">
      <c r="A1473" s="104" t="inlineStr">
        <is>
          <t>GUIDE001472</t>
        </is>
      </c>
      <c r="B1473" s="101" t="inlineStr">
        <is>
          <t>DEV000016</t>
        </is>
      </c>
      <c r="C1473" s="103" t="inlineStr">
        <is>
          <t>APL</t>
        </is>
      </c>
      <c r="D1473" s="103" t="inlineStr">
        <is>
          <t>PHN</t>
        </is>
      </c>
      <c r="E1473" s="60" t="inlineStr">
        <is>
          <t>iPhone 8</t>
        </is>
      </c>
      <c r="F1473" s="104" t="inlineStr">
        <is>
          <t>SVC000037</t>
        </is>
      </c>
      <c r="G1473" s="104" t="inlineStr">
        <is>
          <t>Data Transfer</t>
        </is>
      </c>
      <c r="H1473" s="104" t="inlineStr">
        <is>
          <t>Software</t>
        </is>
      </c>
      <c r="I1473" s="104" t="n"/>
      <c r="J1473" s="104" t="n"/>
      <c r="K1473" s="104" t="n"/>
      <c r="L1473" s="104" t="n"/>
      <c r="M1473" s="104" t="n"/>
      <c r="N1473" s="104" t="n"/>
      <c r="O1473" s="104" t="n"/>
      <c r="P1473" s="104" t="n"/>
      <c r="Q1473" s="104" t="n"/>
      <c r="R1473" s="104" t="n"/>
      <c r="S1473" s="110" t="n"/>
      <c r="T1473" s="110" t="n"/>
      <c r="U1473" s="104" t="n"/>
    </row>
    <row r="1474">
      <c r="A1474" s="104" t="inlineStr">
        <is>
          <t>GUIDE001473</t>
        </is>
      </c>
      <c r="B1474" s="101" t="inlineStr">
        <is>
          <t>DEV000017</t>
        </is>
      </c>
      <c r="C1474" s="103" t="inlineStr">
        <is>
          <t>APL</t>
        </is>
      </c>
      <c r="D1474" s="103" t="inlineStr">
        <is>
          <t>PHN</t>
        </is>
      </c>
      <c r="E1474" s="60" t="inlineStr">
        <is>
          <t>iPhone 8 Plus</t>
        </is>
      </c>
      <c r="F1474" s="104" t="inlineStr">
        <is>
          <t>SVC000037</t>
        </is>
      </c>
      <c r="G1474" s="104" t="inlineStr">
        <is>
          <t>Data Transfer</t>
        </is>
      </c>
      <c r="H1474" s="104" t="inlineStr">
        <is>
          <t>Software</t>
        </is>
      </c>
      <c r="I1474" s="104" t="n"/>
      <c r="J1474" s="104" t="n"/>
      <c r="K1474" s="104" t="n"/>
      <c r="L1474" s="104" t="n"/>
      <c r="M1474" s="104" t="n"/>
      <c r="N1474" s="104" t="n"/>
      <c r="O1474" s="104" t="n"/>
      <c r="P1474" s="104" t="n"/>
      <c r="Q1474" s="104" t="n"/>
      <c r="R1474" s="104" t="n"/>
      <c r="S1474" s="110" t="n"/>
      <c r="T1474" s="110" t="n"/>
      <c r="U1474" s="104" t="n"/>
    </row>
    <row r="1475">
      <c r="A1475" s="104" t="inlineStr">
        <is>
          <t>GUIDE001474</t>
        </is>
      </c>
      <c r="B1475" s="101" t="inlineStr">
        <is>
          <t>DEV000018</t>
        </is>
      </c>
      <c r="C1475" s="103" t="inlineStr">
        <is>
          <t>APL</t>
        </is>
      </c>
      <c r="D1475" s="103" t="inlineStr">
        <is>
          <t>PHN</t>
        </is>
      </c>
      <c r="E1475" s="60" t="inlineStr">
        <is>
          <t>iPhone X</t>
        </is>
      </c>
      <c r="F1475" s="104" t="inlineStr">
        <is>
          <t>SVC000037</t>
        </is>
      </c>
      <c r="G1475" s="104" t="inlineStr">
        <is>
          <t>Data Transfer</t>
        </is>
      </c>
      <c r="H1475" s="104" t="inlineStr">
        <is>
          <t>Software</t>
        </is>
      </c>
      <c r="I1475" s="104" t="n"/>
      <c r="J1475" s="104" t="n"/>
      <c r="K1475" s="104" t="n"/>
      <c r="L1475" s="104" t="n"/>
      <c r="M1475" s="104" t="n"/>
      <c r="N1475" s="104" t="n"/>
      <c r="O1475" s="104" t="n"/>
      <c r="P1475" s="104" t="n"/>
      <c r="Q1475" s="104" t="n"/>
      <c r="R1475" s="104" t="n"/>
      <c r="S1475" s="110" t="n"/>
      <c r="T1475" s="110" t="n"/>
      <c r="U1475" s="104" t="n"/>
    </row>
    <row r="1476">
      <c r="A1476" s="104" t="inlineStr">
        <is>
          <t>GUIDE001475</t>
        </is>
      </c>
      <c r="B1476" s="101" t="inlineStr">
        <is>
          <t>DEV000019</t>
        </is>
      </c>
      <c r="C1476" s="103" t="inlineStr">
        <is>
          <t>APL</t>
        </is>
      </c>
      <c r="D1476" s="103" t="inlineStr">
        <is>
          <t>PHN</t>
        </is>
      </c>
      <c r="E1476" s="60" t="inlineStr">
        <is>
          <t>iPhone XR</t>
        </is>
      </c>
      <c r="F1476" s="104" t="inlineStr">
        <is>
          <t>SVC000037</t>
        </is>
      </c>
      <c r="G1476" s="104" t="inlineStr">
        <is>
          <t>Data Transfer</t>
        </is>
      </c>
      <c r="H1476" s="104" t="inlineStr">
        <is>
          <t>Software</t>
        </is>
      </c>
      <c r="I1476" s="104" t="n"/>
      <c r="J1476" s="104" t="n"/>
      <c r="K1476" s="104" t="n"/>
      <c r="L1476" s="104" t="n"/>
      <c r="M1476" s="104" t="n"/>
      <c r="N1476" s="104" t="n"/>
      <c r="O1476" s="104" t="n"/>
      <c r="P1476" s="104" t="n"/>
      <c r="Q1476" s="104" t="n"/>
      <c r="R1476" s="104" t="n"/>
      <c r="S1476" s="110" t="n"/>
      <c r="T1476" s="110" t="n"/>
      <c r="U1476" s="104" t="n"/>
    </row>
    <row r="1477">
      <c r="A1477" s="105" t="inlineStr">
        <is>
          <t>GUIDE001476</t>
        </is>
      </c>
      <c r="B1477" s="101" t="inlineStr">
        <is>
          <t>DEV000020</t>
        </is>
      </c>
      <c r="C1477" s="103" t="inlineStr">
        <is>
          <t>APL</t>
        </is>
      </c>
      <c r="D1477" s="103" t="inlineStr">
        <is>
          <t>PHN</t>
        </is>
      </c>
      <c r="E1477" s="60" t="inlineStr">
        <is>
          <t>iPhone XS</t>
        </is>
      </c>
      <c r="F1477" s="104" t="inlineStr">
        <is>
          <t>SVC000037</t>
        </is>
      </c>
      <c r="G1477" s="104" t="inlineStr">
        <is>
          <t>Data Transfer</t>
        </is>
      </c>
      <c r="H1477" s="104" t="inlineStr">
        <is>
          <t>Software</t>
        </is>
      </c>
      <c r="I1477" s="104" t="n"/>
      <c r="J1477" s="104" t="n"/>
      <c r="K1477" s="104" t="n"/>
      <c r="L1477" s="104" t="n"/>
      <c r="M1477" s="104" t="n"/>
      <c r="N1477" s="104" t="n"/>
      <c r="O1477" s="104" t="n"/>
      <c r="P1477" s="104" t="n"/>
      <c r="Q1477" s="104" t="n"/>
      <c r="R1477" s="104" t="n"/>
      <c r="S1477" s="110" t="n"/>
      <c r="T1477" s="110" t="n"/>
      <c r="U1477" s="104" t="n"/>
    </row>
    <row r="1478">
      <c r="A1478" s="104" t="inlineStr">
        <is>
          <t>GUIDE001477</t>
        </is>
      </c>
      <c r="B1478" s="101" t="inlineStr">
        <is>
          <t>DEV000021</t>
        </is>
      </c>
      <c r="C1478" s="103" t="inlineStr">
        <is>
          <t>APL</t>
        </is>
      </c>
      <c r="D1478" s="103" t="inlineStr">
        <is>
          <t>PHN</t>
        </is>
      </c>
      <c r="E1478" s="60" t="inlineStr">
        <is>
          <t>iPhone XS Max</t>
        </is>
      </c>
      <c r="F1478" s="104" t="inlineStr">
        <is>
          <t>SVC000037</t>
        </is>
      </c>
      <c r="G1478" s="104" t="inlineStr">
        <is>
          <t>Data Transfer</t>
        </is>
      </c>
      <c r="H1478" s="104" t="inlineStr">
        <is>
          <t>Software</t>
        </is>
      </c>
      <c r="I1478" s="104" t="n"/>
      <c r="J1478" s="104" t="n"/>
      <c r="K1478" s="104" t="n"/>
      <c r="L1478" s="104" t="n"/>
      <c r="M1478" s="104" t="n"/>
      <c r="N1478" s="104" t="n"/>
      <c r="O1478" s="104" t="n"/>
      <c r="P1478" s="104" t="n"/>
      <c r="Q1478" s="104" t="n"/>
      <c r="R1478" s="104" t="n"/>
      <c r="S1478" s="110" t="n"/>
      <c r="T1478" s="110" t="n"/>
      <c r="U1478" s="104" t="n"/>
    </row>
    <row r="1479">
      <c r="A1479" s="104" t="inlineStr">
        <is>
          <t>GUIDE001478</t>
        </is>
      </c>
      <c r="B1479" s="101" t="inlineStr">
        <is>
          <t>DEV000022</t>
        </is>
      </c>
      <c r="C1479" s="103" t="inlineStr">
        <is>
          <t>APL</t>
        </is>
      </c>
      <c r="D1479" s="103" t="inlineStr">
        <is>
          <t>PHN</t>
        </is>
      </c>
      <c r="E1479" s="60" t="inlineStr">
        <is>
          <t>iPhone 11</t>
        </is>
      </c>
      <c r="F1479" s="104" t="inlineStr">
        <is>
          <t>SVC000037</t>
        </is>
      </c>
      <c r="G1479" s="104" t="inlineStr">
        <is>
          <t>Data Transfer</t>
        </is>
      </c>
      <c r="H1479" s="104" t="inlineStr">
        <is>
          <t>Software</t>
        </is>
      </c>
      <c r="I1479" s="104" t="n"/>
      <c r="J1479" s="104" t="n"/>
      <c r="K1479" s="104" t="n"/>
      <c r="L1479" s="104" t="n"/>
      <c r="M1479" s="104" t="n"/>
      <c r="N1479" s="104" t="n"/>
      <c r="O1479" s="104" t="n"/>
      <c r="P1479" s="104" t="n"/>
      <c r="Q1479" s="104" t="n"/>
      <c r="R1479" s="104" t="n"/>
      <c r="S1479" s="110" t="n"/>
      <c r="T1479" s="110" t="n"/>
      <c r="U1479" s="104" t="n"/>
    </row>
    <row r="1480">
      <c r="A1480" s="104" t="inlineStr">
        <is>
          <t>GUIDE001479</t>
        </is>
      </c>
      <c r="B1480" s="101" t="inlineStr">
        <is>
          <t>DEV000023</t>
        </is>
      </c>
      <c r="C1480" s="103" t="inlineStr">
        <is>
          <t>APL</t>
        </is>
      </c>
      <c r="D1480" s="103" t="inlineStr">
        <is>
          <t>PHN</t>
        </is>
      </c>
      <c r="E1480" s="60" t="inlineStr">
        <is>
          <t>iPhone 11 Pro</t>
        </is>
      </c>
      <c r="F1480" s="104" t="inlineStr">
        <is>
          <t>SVC000037</t>
        </is>
      </c>
      <c r="G1480" s="104" t="inlineStr">
        <is>
          <t>Data Transfer</t>
        </is>
      </c>
      <c r="H1480" s="104" t="inlineStr">
        <is>
          <t>Software</t>
        </is>
      </c>
      <c r="I1480" s="104" t="n"/>
      <c r="J1480" s="104" t="n"/>
      <c r="K1480" s="104" t="n"/>
      <c r="L1480" s="104" t="n"/>
      <c r="M1480" s="104" t="n"/>
      <c r="N1480" s="104" t="n"/>
      <c r="O1480" s="104" t="n"/>
      <c r="P1480" s="104" t="n"/>
      <c r="Q1480" s="104" t="n"/>
      <c r="R1480" s="104" t="n"/>
      <c r="S1480" s="110" t="n"/>
      <c r="T1480" s="110" t="n"/>
      <c r="U1480" s="104" t="n"/>
    </row>
    <row r="1481">
      <c r="A1481" s="104" t="inlineStr">
        <is>
          <t>GUIDE001480</t>
        </is>
      </c>
      <c r="B1481" s="101" t="inlineStr">
        <is>
          <t>DEV000024</t>
        </is>
      </c>
      <c r="C1481" s="103" t="inlineStr">
        <is>
          <t>APL</t>
        </is>
      </c>
      <c r="D1481" s="103" t="inlineStr">
        <is>
          <t>PHN</t>
        </is>
      </c>
      <c r="E1481" s="60" t="inlineStr">
        <is>
          <t>iPhone 11 Pro Max</t>
        </is>
      </c>
      <c r="F1481" s="104" t="inlineStr">
        <is>
          <t>SVC000037</t>
        </is>
      </c>
      <c r="G1481" s="104" t="inlineStr">
        <is>
          <t>Data Transfer</t>
        </is>
      </c>
      <c r="H1481" s="104" t="inlineStr">
        <is>
          <t>Software</t>
        </is>
      </c>
      <c r="I1481" s="104" t="n"/>
      <c r="J1481" s="104" t="n"/>
      <c r="K1481" s="104" t="n"/>
      <c r="L1481" s="104" t="n"/>
      <c r="M1481" s="104" t="n"/>
      <c r="N1481" s="104" t="n"/>
      <c r="O1481" s="104" t="n"/>
      <c r="P1481" s="104" t="n"/>
      <c r="Q1481" s="104" t="n"/>
      <c r="R1481" s="104" t="n"/>
      <c r="S1481" s="110" t="n"/>
      <c r="T1481" s="110" t="n"/>
      <c r="U1481" s="104" t="n"/>
    </row>
    <row r="1482">
      <c r="A1482" s="104" t="inlineStr">
        <is>
          <t>GUIDE001481</t>
        </is>
      </c>
      <c r="B1482" s="101" t="inlineStr">
        <is>
          <t>DEV000025</t>
        </is>
      </c>
      <c r="C1482" s="103" t="inlineStr">
        <is>
          <t>APL</t>
        </is>
      </c>
      <c r="D1482" s="103" t="inlineStr">
        <is>
          <t>PHN</t>
        </is>
      </c>
      <c r="E1482" s="60" t="inlineStr">
        <is>
          <t>iPhone SE (2nd Generation)</t>
        </is>
      </c>
      <c r="F1482" s="104" t="inlineStr">
        <is>
          <t>SVC000037</t>
        </is>
      </c>
      <c r="G1482" s="104" t="inlineStr">
        <is>
          <t>Data Transfer</t>
        </is>
      </c>
      <c r="H1482" s="104" t="inlineStr">
        <is>
          <t>Software</t>
        </is>
      </c>
      <c r="I1482" s="104" t="n"/>
      <c r="J1482" s="104" t="n"/>
      <c r="K1482" s="104" t="n"/>
      <c r="L1482" s="104" t="n"/>
      <c r="M1482" s="104" t="n"/>
      <c r="N1482" s="104" t="n"/>
      <c r="O1482" s="104" t="n"/>
      <c r="P1482" s="104" t="n"/>
      <c r="Q1482" s="104" t="n"/>
      <c r="R1482" s="104" t="n"/>
      <c r="S1482" s="110" t="n"/>
      <c r="T1482" s="110" t="n"/>
      <c r="U1482" s="104" t="n"/>
    </row>
    <row r="1483">
      <c r="A1483" s="105" t="inlineStr">
        <is>
          <t>GUIDE001482</t>
        </is>
      </c>
      <c r="B1483" s="101" t="inlineStr">
        <is>
          <t>DEV000026</t>
        </is>
      </c>
      <c r="C1483" s="103" t="inlineStr">
        <is>
          <t>APL</t>
        </is>
      </c>
      <c r="D1483" s="103" t="inlineStr">
        <is>
          <t>PHN</t>
        </is>
      </c>
      <c r="E1483" s="60" t="inlineStr">
        <is>
          <t>iPhone 12 mini</t>
        </is>
      </c>
      <c r="F1483" s="104" t="inlineStr">
        <is>
          <t>SVC000037</t>
        </is>
      </c>
      <c r="G1483" s="104" t="inlineStr">
        <is>
          <t>Data Transfer</t>
        </is>
      </c>
      <c r="H1483" s="104" t="inlineStr">
        <is>
          <t>Software</t>
        </is>
      </c>
      <c r="I1483" s="104" t="n"/>
      <c r="J1483" s="104" t="n"/>
      <c r="K1483" s="104" t="n"/>
      <c r="L1483" s="104" t="n"/>
      <c r="M1483" s="104" t="n"/>
      <c r="N1483" s="104" t="n"/>
      <c r="O1483" s="104" t="n"/>
      <c r="P1483" s="104" t="n"/>
      <c r="Q1483" s="104" t="n"/>
      <c r="R1483" s="104" t="n"/>
      <c r="S1483" s="110" t="n"/>
      <c r="T1483" s="110" t="n"/>
      <c r="U1483" s="104" t="n"/>
    </row>
    <row r="1484">
      <c r="A1484" s="104" t="inlineStr">
        <is>
          <t>GUIDE001483</t>
        </is>
      </c>
      <c r="B1484" s="101" t="inlineStr">
        <is>
          <t>DEV000027</t>
        </is>
      </c>
      <c r="C1484" s="103" t="inlineStr">
        <is>
          <t>APL</t>
        </is>
      </c>
      <c r="D1484" s="103" t="inlineStr">
        <is>
          <t>PHN</t>
        </is>
      </c>
      <c r="E1484" s="60" t="inlineStr">
        <is>
          <t>iPhone 12</t>
        </is>
      </c>
      <c r="F1484" s="104" t="inlineStr">
        <is>
          <t>SVC000037</t>
        </is>
      </c>
      <c r="G1484" s="104" t="inlineStr">
        <is>
          <t>Data Transfer</t>
        </is>
      </c>
      <c r="H1484" s="104" t="inlineStr">
        <is>
          <t>Software</t>
        </is>
      </c>
      <c r="I1484" s="104" t="n"/>
      <c r="J1484" s="104" t="n"/>
      <c r="K1484" s="104" t="n"/>
      <c r="L1484" s="104" t="n"/>
      <c r="M1484" s="104" t="n"/>
      <c r="N1484" s="104" t="n"/>
      <c r="O1484" s="104" t="n"/>
      <c r="P1484" s="104" t="n"/>
      <c r="Q1484" s="104" t="n"/>
      <c r="R1484" s="104" t="n"/>
      <c r="S1484" s="110" t="n"/>
      <c r="T1484" s="110" t="n"/>
      <c r="U1484" s="104" t="n"/>
    </row>
    <row r="1485">
      <c r="A1485" s="104" t="inlineStr">
        <is>
          <t>GUIDE001484</t>
        </is>
      </c>
      <c r="B1485" s="101" t="inlineStr">
        <is>
          <t>DEV000028</t>
        </is>
      </c>
      <c r="C1485" s="103" t="inlineStr">
        <is>
          <t>APL</t>
        </is>
      </c>
      <c r="D1485" s="103" t="inlineStr">
        <is>
          <t>PHN</t>
        </is>
      </c>
      <c r="E1485" s="60" t="inlineStr">
        <is>
          <t>iPhone 12 Pro</t>
        </is>
      </c>
      <c r="F1485" s="104" t="inlineStr">
        <is>
          <t>SVC000037</t>
        </is>
      </c>
      <c r="G1485" s="104" t="inlineStr">
        <is>
          <t>Data Transfer</t>
        </is>
      </c>
      <c r="H1485" s="104" t="inlineStr">
        <is>
          <t>Software</t>
        </is>
      </c>
      <c r="I1485" s="104" t="n"/>
      <c r="J1485" s="104" t="n"/>
      <c r="K1485" s="104" t="n"/>
      <c r="L1485" s="104" t="n"/>
      <c r="M1485" s="104" t="n"/>
      <c r="N1485" s="104" t="n"/>
      <c r="O1485" s="104" t="n"/>
      <c r="P1485" s="104" t="n"/>
      <c r="Q1485" s="104" t="n"/>
      <c r="R1485" s="104" t="n"/>
      <c r="S1485" s="110" t="n"/>
      <c r="T1485" s="110" t="n"/>
      <c r="U1485" s="104" t="n"/>
    </row>
    <row r="1486">
      <c r="A1486" s="104" t="inlineStr">
        <is>
          <t>GUIDE001485</t>
        </is>
      </c>
      <c r="B1486" s="101" t="inlineStr">
        <is>
          <t>DEV000029</t>
        </is>
      </c>
      <c r="C1486" s="103" t="inlineStr">
        <is>
          <t>APL</t>
        </is>
      </c>
      <c r="D1486" s="103" t="inlineStr">
        <is>
          <t>PHN</t>
        </is>
      </c>
      <c r="E1486" s="60" t="inlineStr">
        <is>
          <t>iPhone 12 Pro Max</t>
        </is>
      </c>
      <c r="F1486" s="104" t="inlineStr">
        <is>
          <t>SVC000037</t>
        </is>
      </c>
      <c r="G1486" s="104" t="inlineStr">
        <is>
          <t>Data Transfer</t>
        </is>
      </c>
      <c r="H1486" s="104" t="inlineStr">
        <is>
          <t>Software</t>
        </is>
      </c>
      <c r="I1486" s="104" t="n"/>
      <c r="J1486" s="104" t="n"/>
      <c r="K1486" s="104" t="n"/>
      <c r="L1486" s="104" t="n"/>
      <c r="M1486" s="104" t="n"/>
      <c r="N1486" s="104" t="n"/>
      <c r="O1486" s="104" t="n"/>
      <c r="P1486" s="104" t="n"/>
      <c r="Q1486" s="104" t="n"/>
      <c r="R1486" s="104" t="n"/>
      <c r="S1486" s="110" t="n"/>
      <c r="T1486" s="110" t="n"/>
      <c r="U1486" s="104" t="n"/>
    </row>
    <row r="1487">
      <c r="A1487" s="104" t="inlineStr">
        <is>
          <t>GUIDE001486</t>
        </is>
      </c>
      <c r="B1487" s="101" t="inlineStr">
        <is>
          <t>DEV000030</t>
        </is>
      </c>
      <c r="C1487" s="103" t="inlineStr">
        <is>
          <t>APL</t>
        </is>
      </c>
      <c r="D1487" s="103" t="inlineStr">
        <is>
          <t>PHN</t>
        </is>
      </c>
      <c r="E1487" s="60" t="inlineStr">
        <is>
          <t>iPhone 13 mini</t>
        </is>
      </c>
      <c r="F1487" s="104" t="inlineStr">
        <is>
          <t>SVC000037</t>
        </is>
      </c>
      <c r="G1487" s="104" t="inlineStr">
        <is>
          <t>Data Transfer</t>
        </is>
      </c>
      <c r="H1487" s="104" t="inlineStr">
        <is>
          <t>Software</t>
        </is>
      </c>
      <c r="I1487" s="104" t="n"/>
      <c r="J1487" s="104" t="n"/>
      <c r="K1487" s="104" t="n"/>
      <c r="L1487" s="104" t="n"/>
      <c r="M1487" s="104" t="n"/>
      <c r="N1487" s="104" t="n"/>
      <c r="O1487" s="104" t="n"/>
      <c r="P1487" s="104" t="n"/>
      <c r="Q1487" s="104" t="n"/>
      <c r="R1487" s="104" t="n"/>
      <c r="S1487" s="110" t="n"/>
      <c r="T1487" s="110" t="n"/>
      <c r="U1487" s="104" t="n"/>
    </row>
    <row r="1488">
      <c r="A1488" s="104" t="inlineStr">
        <is>
          <t>GUIDE001487</t>
        </is>
      </c>
      <c r="B1488" s="101" t="inlineStr">
        <is>
          <t>DEV000031</t>
        </is>
      </c>
      <c r="C1488" s="103" t="inlineStr">
        <is>
          <t>APL</t>
        </is>
      </c>
      <c r="D1488" s="103" t="inlineStr">
        <is>
          <t>PHN</t>
        </is>
      </c>
      <c r="E1488" s="60" t="inlineStr">
        <is>
          <t>iPhone 13</t>
        </is>
      </c>
      <c r="F1488" s="104" t="inlineStr">
        <is>
          <t>SVC000037</t>
        </is>
      </c>
      <c r="G1488" s="104" t="inlineStr">
        <is>
          <t>Data Transfer</t>
        </is>
      </c>
      <c r="H1488" s="104" t="inlineStr">
        <is>
          <t>Software</t>
        </is>
      </c>
      <c r="I1488" s="104" t="n"/>
      <c r="J1488" s="104" t="n"/>
      <c r="K1488" s="104" t="n"/>
      <c r="L1488" s="104" t="n"/>
      <c r="M1488" s="104" t="n"/>
      <c r="N1488" s="104" t="n"/>
      <c r="O1488" s="104" t="n"/>
      <c r="P1488" s="104" t="n"/>
      <c r="Q1488" s="104" t="n"/>
      <c r="R1488" s="104" t="n"/>
      <c r="S1488" s="110" t="n"/>
      <c r="T1488" s="110" t="n"/>
      <c r="U1488" s="104" t="n"/>
    </row>
    <row r="1489">
      <c r="A1489" s="105" t="inlineStr">
        <is>
          <t>GUIDE001488</t>
        </is>
      </c>
      <c r="B1489" s="101" t="inlineStr">
        <is>
          <t>DEV000032</t>
        </is>
      </c>
      <c r="C1489" s="103" t="inlineStr">
        <is>
          <t>APL</t>
        </is>
      </c>
      <c r="D1489" s="103" t="inlineStr">
        <is>
          <t>PHN</t>
        </is>
      </c>
      <c r="E1489" s="60" t="inlineStr">
        <is>
          <t>iPhone 13 Pro</t>
        </is>
      </c>
      <c r="F1489" s="104" t="inlineStr">
        <is>
          <t>SVC000037</t>
        </is>
      </c>
      <c r="G1489" s="104" t="inlineStr">
        <is>
          <t>Data Transfer</t>
        </is>
      </c>
      <c r="H1489" s="104" t="inlineStr">
        <is>
          <t>Software</t>
        </is>
      </c>
      <c r="I1489" s="104" t="n"/>
      <c r="J1489" s="104" t="n"/>
      <c r="K1489" s="104" t="n"/>
      <c r="L1489" s="104" t="n"/>
      <c r="M1489" s="104" t="n"/>
      <c r="N1489" s="104" t="n"/>
      <c r="O1489" s="104" t="n"/>
      <c r="P1489" s="104" t="n"/>
      <c r="Q1489" s="104" t="n"/>
      <c r="R1489" s="104" t="n"/>
      <c r="S1489" s="110" t="n"/>
      <c r="T1489" s="110" t="n"/>
      <c r="U1489" s="104" t="n"/>
    </row>
    <row r="1490">
      <c r="A1490" s="104" t="inlineStr">
        <is>
          <t>GUIDE001489</t>
        </is>
      </c>
      <c r="B1490" s="101" t="inlineStr">
        <is>
          <t>DEV000033</t>
        </is>
      </c>
      <c r="C1490" s="103" t="inlineStr">
        <is>
          <t>APL</t>
        </is>
      </c>
      <c r="D1490" s="103" t="inlineStr">
        <is>
          <t>PHN</t>
        </is>
      </c>
      <c r="E1490" s="60" t="inlineStr">
        <is>
          <t>iPhone 13 Pro Max</t>
        </is>
      </c>
      <c r="F1490" s="104" t="inlineStr">
        <is>
          <t>SVC000037</t>
        </is>
      </c>
      <c r="G1490" s="104" t="inlineStr">
        <is>
          <t>Data Transfer</t>
        </is>
      </c>
      <c r="H1490" s="104" t="inlineStr">
        <is>
          <t>Software</t>
        </is>
      </c>
      <c r="I1490" s="104" t="n"/>
      <c r="J1490" s="104" t="n"/>
      <c r="K1490" s="104" t="n"/>
      <c r="L1490" s="104" t="n"/>
      <c r="M1490" s="104" t="n"/>
      <c r="N1490" s="104" t="n"/>
      <c r="O1490" s="104" t="n"/>
      <c r="P1490" s="104" t="n"/>
      <c r="Q1490" s="104" t="n"/>
      <c r="R1490" s="104" t="n"/>
      <c r="S1490" s="110" t="n"/>
      <c r="T1490" s="110" t="n"/>
      <c r="U1490" s="104" t="n"/>
    </row>
    <row r="1491">
      <c r="A1491" s="104" t="inlineStr">
        <is>
          <t>GUIDE001490</t>
        </is>
      </c>
      <c r="B1491" s="101" t="inlineStr">
        <is>
          <t>DEV000034</t>
        </is>
      </c>
      <c r="C1491" s="103" t="inlineStr">
        <is>
          <t>APL</t>
        </is>
      </c>
      <c r="D1491" s="103" t="inlineStr">
        <is>
          <t>PHN</t>
        </is>
      </c>
      <c r="E1491" s="60" t="inlineStr">
        <is>
          <t>iPhone SE (3rd Generation)</t>
        </is>
      </c>
      <c r="F1491" s="104" t="inlineStr">
        <is>
          <t>SVC000037</t>
        </is>
      </c>
      <c r="G1491" s="104" t="inlineStr">
        <is>
          <t>Data Transfer</t>
        </is>
      </c>
      <c r="H1491" s="104" t="inlineStr">
        <is>
          <t>Software</t>
        </is>
      </c>
      <c r="I1491" s="104" t="n"/>
      <c r="J1491" s="104" t="n"/>
      <c r="K1491" s="104" t="n"/>
      <c r="L1491" s="104" t="n"/>
      <c r="M1491" s="104" t="n"/>
      <c r="N1491" s="104" t="n"/>
      <c r="O1491" s="104" t="n"/>
      <c r="P1491" s="104" t="n"/>
      <c r="Q1491" s="104" t="n"/>
      <c r="R1491" s="104" t="n"/>
      <c r="S1491" s="110" t="n"/>
      <c r="T1491" s="110" t="n"/>
      <c r="U1491" s="104" t="n"/>
    </row>
    <row r="1492">
      <c r="A1492" s="104" t="inlineStr">
        <is>
          <t>GUIDE001491</t>
        </is>
      </c>
      <c r="B1492" s="101" t="inlineStr">
        <is>
          <t>DEV000035</t>
        </is>
      </c>
      <c r="C1492" s="103" t="inlineStr">
        <is>
          <t>APL</t>
        </is>
      </c>
      <c r="D1492" s="103" t="inlineStr">
        <is>
          <t>PHN</t>
        </is>
      </c>
      <c r="E1492" s="60" t="inlineStr">
        <is>
          <t>iPhone 14</t>
        </is>
      </c>
      <c r="F1492" s="104" t="inlineStr">
        <is>
          <t>SVC000037</t>
        </is>
      </c>
      <c r="G1492" s="104" t="inlineStr">
        <is>
          <t>Data Transfer</t>
        </is>
      </c>
      <c r="H1492" s="104" t="inlineStr">
        <is>
          <t>Software</t>
        </is>
      </c>
      <c r="I1492" s="104" t="n"/>
      <c r="J1492" s="104" t="n"/>
      <c r="K1492" s="104" t="n"/>
      <c r="L1492" s="104" t="n"/>
      <c r="M1492" s="104" t="n"/>
      <c r="N1492" s="104" t="n"/>
      <c r="O1492" s="104" t="n"/>
      <c r="P1492" s="104" t="n"/>
      <c r="Q1492" s="104" t="n"/>
      <c r="R1492" s="104" t="n"/>
      <c r="S1492" s="110" t="n"/>
      <c r="T1492" s="110" t="n"/>
      <c r="U1492" s="104" t="n"/>
    </row>
    <row r="1493">
      <c r="A1493" s="104" t="inlineStr">
        <is>
          <t>GUIDE001492</t>
        </is>
      </c>
      <c r="B1493" s="101" t="inlineStr">
        <is>
          <t>DEV000036</t>
        </is>
      </c>
      <c r="C1493" s="103" t="inlineStr">
        <is>
          <t>APL</t>
        </is>
      </c>
      <c r="D1493" s="103" t="inlineStr">
        <is>
          <t>PHN</t>
        </is>
      </c>
      <c r="E1493" s="60" t="inlineStr">
        <is>
          <t>iPhone 14 Plus</t>
        </is>
      </c>
      <c r="F1493" s="104" t="inlineStr">
        <is>
          <t>SVC000037</t>
        </is>
      </c>
      <c r="G1493" s="104" t="inlineStr">
        <is>
          <t>Data Transfer</t>
        </is>
      </c>
      <c r="H1493" s="104" t="inlineStr">
        <is>
          <t>Software</t>
        </is>
      </c>
      <c r="I1493" s="104" t="n"/>
      <c r="J1493" s="104" t="n"/>
      <c r="K1493" s="104" t="n"/>
      <c r="L1493" s="104" t="n"/>
      <c r="M1493" s="104" t="n"/>
      <c r="N1493" s="104" t="n"/>
      <c r="O1493" s="104" t="n"/>
      <c r="P1493" s="104" t="n"/>
      <c r="Q1493" s="104" t="n"/>
      <c r="R1493" s="104" t="n"/>
      <c r="S1493" s="110" t="n"/>
      <c r="T1493" s="110" t="n"/>
      <c r="U1493" s="104" t="n"/>
    </row>
    <row r="1494">
      <c r="A1494" s="104" t="inlineStr">
        <is>
          <t>GUIDE001493</t>
        </is>
      </c>
      <c r="B1494" s="101" t="inlineStr">
        <is>
          <t>DEV000037</t>
        </is>
      </c>
      <c r="C1494" s="103" t="inlineStr">
        <is>
          <t>APL</t>
        </is>
      </c>
      <c r="D1494" s="103" t="inlineStr">
        <is>
          <t>PHN</t>
        </is>
      </c>
      <c r="E1494" s="60" t="inlineStr">
        <is>
          <t>iPhone 14 Pro</t>
        </is>
      </c>
      <c r="F1494" s="104" t="inlineStr">
        <is>
          <t>SVC000037</t>
        </is>
      </c>
      <c r="G1494" s="104" t="inlineStr">
        <is>
          <t>Data Transfer</t>
        </is>
      </c>
      <c r="H1494" s="104" t="inlineStr">
        <is>
          <t>Software</t>
        </is>
      </c>
      <c r="I1494" s="104" t="n"/>
      <c r="J1494" s="104" t="n"/>
      <c r="K1494" s="104" t="n"/>
      <c r="L1494" s="104" t="n"/>
      <c r="M1494" s="104" t="n"/>
      <c r="N1494" s="104" t="n"/>
      <c r="O1494" s="104" t="n"/>
      <c r="P1494" s="104" t="n"/>
      <c r="Q1494" s="104" t="n"/>
      <c r="R1494" s="104" t="n"/>
      <c r="S1494" s="110" t="n"/>
      <c r="T1494" s="110" t="n"/>
      <c r="U1494" s="104" t="n"/>
    </row>
    <row r="1495">
      <c r="A1495" s="105" t="inlineStr">
        <is>
          <t>GUIDE001494</t>
        </is>
      </c>
      <c r="B1495" s="101" t="inlineStr">
        <is>
          <t>DEV000038</t>
        </is>
      </c>
      <c r="C1495" s="103" t="inlineStr">
        <is>
          <t>APL</t>
        </is>
      </c>
      <c r="D1495" s="103" t="inlineStr">
        <is>
          <t>PHN</t>
        </is>
      </c>
      <c r="E1495" s="60" t="inlineStr">
        <is>
          <t>iPhone 14 Pro Max</t>
        </is>
      </c>
      <c r="F1495" s="104" t="inlineStr">
        <is>
          <t>SVC000037</t>
        </is>
      </c>
      <c r="G1495" s="104" t="inlineStr">
        <is>
          <t>Data Transfer</t>
        </is>
      </c>
      <c r="H1495" s="104" t="inlineStr">
        <is>
          <t>Software</t>
        </is>
      </c>
      <c r="I1495" s="104" t="n"/>
      <c r="J1495" s="104" t="n"/>
      <c r="K1495" s="104" t="n"/>
      <c r="L1495" s="104" t="n"/>
      <c r="M1495" s="104" t="n"/>
      <c r="N1495" s="104" t="n"/>
      <c r="O1495" s="104" t="n"/>
      <c r="P1495" s="104" t="n"/>
      <c r="Q1495" s="104" t="n"/>
      <c r="R1495" s="104" t="n"/>
      <c r="S1495" s="110" t="n"/>
      <c r="T1495" s="110" t="n"/>
      <c r="U1495" s="104" t="n"/>
    </row>
    <row r="1496">
      <c r="A1496" s="104" t="inlineStr">
        <is>
          <t>GUIDE001495</t>
        </is>
      </c>
      <c r="B1496" s="101" t="inlineStr">
        <is>
          <t>DEV000039</t>
        </is>
      </c>
      <c r="C1496" s="103" t="inlineStr">
        <is>
          <t>APL</t>
        </is>
      </c>
      <c r="D1496" s="103" t="inlineStr">
        <is>
          <t>PHN</t>
        </is>
      </c>
      <c r="E1496" s="60" t="inlineStr">
        <is>
          <t>iPhone 15</t>
        </is>
      </c>
      <c r="F1496" s="104" t="inlineStr">
        <is>
          <t>SVC000037</t>
        </is>
      </c>
      <c r="G1496" s="104" t="inlineStr">
        <is>
          <t>Data Transfer</t>
        </is>
      </c>
      <c r="H1496" s="104" t="inlineStr">
        <is>
          <t>Software</t>
        </is>
      </c>
      <c r="I1496" s="104" t="n"/>
      <c r="J1496" s="104" t="n"/>
      <c r="K1496" s="104" t="n"/>
      <c r="L1496" s="104" t="n"/>
      <c r="M1496" s="104" t="n"/>
      <c r="N1496" s="104" t="n"/>
      <c r="O1496" s="104" t="n"/>
      <c r="P1496" s="104" t="n"/>
      <c r="Q1496" s="104" t="n"/>
      <c r="R1496" s="104" t="n"/>
      <c r="S1496" s="110" t="n"/>
      <c r="T1496" s="110" t="n"/>
      <c r="U1496" s="104" t="n"/>
    </row>
    <row r="1497">
      <c r="A1497" s="104" t="inlineStr">
        <is>
          <t>GUIDE001496</t>
        </is>
      </c>
      <c r="B1497" s="101" t="inlineStr">
        <is>
          <t>DEV000040</t>
        </is>
      </c>
      <c r="C1497" s="103" t="inlineStr">
        <is>
          <t>APL</t>
        </is>
      </c>
      <c r="D1497" s="103" t="inlineStr">
        <is>
          <t>PHN</t>
        </is>
      </c>
      <c r="E1497" s="60" t="inlineStr">
        <is>
          <t>iPhone 15 Plus</t>
        </is>
      </c>
      <c r="F1497" s="104" t="inlineStr">
        <is>
          <t>SVC000037</t>
        </is>
      </c>
      <c r="G1497" s="104" t="inlineStr">
        <is>
          <t>Data Transfer</t>
        </is>
      </c>
      <c r="H1497" s="104" t="inlineStr">
        <is>
          <t>Software</t>
        </is>
      </c>
      <c r="I1497" s="104" t="n"/>
      <c r="J1497" s="104" t="n"/>
      <c r="K1497" s="104" t="n"/>
      <c r="L1497" s="104" t="n"/>
      <c r="M1497" s="104" t="n"/>
      <c r="N1497" s="104" t="n"/>
      <c r="O1497" s="104" t="n"/>
      <c r="P1497" s="104" t="n"/>
      <c r="Q1497" s="104" t="n"/>
      <c r="R1497" s="104" t="n"/>
      <c r="S1497" s="110" t="n"/>
      <c r="T1497" s="110" t="n"/>
      <c r="U1497" s="104" t="n"/>
    </row>
    <row r="1498">
      <c r="A1498" s="104" t="inlineStr">
        <is>
          <t>GUIDE001497</t>
        </is>
      </c>
      <c r="B1498" s="101" t="inlineStr">
        <is>
          <t>DEV000041</t>
        </is>
      </c>
      <c r="C1498" s="103" t="inlineStr">
        <is>
          <t>APL</t>
        </is>
      </c>
      <c r="D1498" s="103" t="inlineStr">
        <is>
          <t>PHN</t>
        </is>
      </c>
      <c r="E1498" s="60" t="inlineStr">
        <is>
          <t>iPhone 15 Pro</t>
        </is>
      </c>
      <c r="F1498" s="104" t="inlineStr">
        <is>
          <t>SVC000037</t>
        </is>
      </c>
      <c r="G1498" s="104" t="inlineStr">
        <is>
          <t>Data Transfer</t>
        </is>
      </c>
      <c r="H1498" s="104" t="inlineStr">
        <is>
          <t>Software</t>
        </is>
      </c>
      <c r="I1498" s="104" t="n"/>
      <c r="J1498" s="104" t="n"/>
      <c r="K1498" s="104" t="n"/>
      <c r="L1498" s="104" t="n"/>
      <c r="M1498" s="104" t="n"/>
      <c r="N1498" s="104" t="n"/>
      <c r="O1498" s="104" t="n"/>
      <c r="P1498" s="104" t="n"/>
      <c r="Q1498" s="104" t="n"/>
      <c r="R1498" s="104" t="n"/>
      <c r="S1498" s="110" t="n"/>
      <c r="T1498" s="110" t="n"/>
      <c r="U1498" s="104" t="n"/>
    </row>
    <row r="1499">
      <c r="A1499" s="104" t="inlineStr">
        <is>
          <t>GUIDE001498</t>
        </is>
      </c>
      <c r="B1499" s="101" t="inlineStr">
        <is>
          <t>DEV000042</t>
        </is>
      </c>
      <c r="C1499" s="103" t="inlineStr">
        <is>
          <t>APL</t>
        </is>
      </c>
      <c r="D1499" s="103" t="inlineStr">
        <is>
          <t>PHN</t>
        </is>
      </c>
      <c r="E1499" s="60" t="inlineStr">
        <is>
          <t>iPhone 15 Pro Max</t>
        </is>
      </c>
      <c r="F1499" s="104" t="inlineStr">
        <is>
          <t>SVC000037</t>
        </is>
      </c>
      <c r="G1499" s="104" t="inlineStr">
        <is>
          <t>Data Transfer</t>
        </is>
      </c>
      <c r="H1499" s="104" t="inlineStr">
        <is>
          <t>Software</t>
        </is>
      </c>
      <c r="I1499" s="104" t="n"/>
      <c r="J1499" s="104" t="n"/>
      <c r="K1499" s="104" t="n"/>
      <c r="L1499" s="104" t="n"/>
      <c r="M1499" s="104" t="n"/>
      <c r="N1499" s="104" t="n"/>
      <c r="O1499" s="104" t="n"/>
      <c r="P1499" s="104" t="n"/>
      <c r="Q1499" s="104" t="n"/>
      <c r="R1499" s="104" t="n"/>
      <c r="S1499" s="110" t="n"/>
      <c r="T1499" s="110" t="n"/>
      <c r="U1499" s="104" t="n"/>
    </row>
    <row r="1500">
      <c r="A1500" s="104" t="inlineStr">
        <is>
          <t>GUIDE001499</t>
        </is>
      </c>
      <c r="B1500" s="101" t="inlineStr">
        <is>
          <t>DEV000043</t>
        </is>
      </c>
      <c r="C1500" s="103" t="inlineStr">
        <is>
          <t>APL</t>
        </is>
      </c>
      <c r="D1500" s="103" t="inlineStr">
        <is>
          <t>PHN</t>
        </is>
      </c>
      <c r="E1500" s="60" t="inlineStr">
        <is>
          <t>iPhone 16</t>
        </is>
      </c>
      <c r="F1500" s="104" t="inlineStr">
        <is>
          <t>SVC000037</t>
        </is>
      </c>
      <c r="G1500" s="104" t="inlineStr">
        <is>
          <t>Data Transfer</t>
        </is>
      </c>
      <c r="H1500" s="104" t="inlineStr">
        <is>
          <t>Software</t>
        </is>
      </c>
      <c r="I1500" s="104" t="n"/>
      <c r="J1500" s="104" t="n"/>
      <c r="K1500" s="104" t="n"/>
      <c r="L1500" s="104" t="n"/>
      <c r="M1500" s="104" t="n"/>
      <c r="N1500" s="104" t="n"/>
      <c r="O1500" s="104" t="n"/>
      <c r="P1500" s="104" t="n"/>
      <c r="Q1500" s="104" t="n"/>
      <c r="R1500" s="104" t="n"/>
      <c r="S1500" s="110" t="n"/>
      <c r="T1500" s="110" t="n"/>
      <c r="U1500" s="104" t="n"/>
    </row>
    <row r="1501">
      <c r="A1501" s="105" t="inlineStr">
        <is>
          <t>GUIDE001500</t>
        </is>
      </c>
      <c r="B1501" s="101" t="inlineStr">
        <is>
          <t>DEV000044</t>
        </is>
      </c>
      <c r="C1501" s="103" t="inlineStr">
        <is>
          <t>APL</t>
        </is>
      </c>
      <c r="D1501" s="103" t="inlineStr">
        <is>
          <t>PHN</t>
        </is>
      </c>
      <c r="E1501" s="60" t="inlineStr">
        <is>
          <t>iPhone 16 Plus</t>
        </is>
      </c>
      <c r="F1501" s="104" t="inlineStr">
        <is>
          <t>SVC000037</t>
        </is>
      </c>
      <c r="G1501" s="104" t="inlineStr">
        <is>
          <t>Data Transfer</t>
        </is>
      </c>
      <c r="H1501" s="104" t="inlineStr">
        <is>
          <t>Software</t>
        </is>
      </c>
      <c r="I1501" s="104" t="n"/>
      <c r="J1501" s="104" t="n"/>
      <c r="K1501" s="104" t="n"/>
      <c r="L1501" s="104" t="n"/>
      <c r="M1501" s="104" t="n"/>
      <c r="N1501" s="104" t="n"/>
      <c r="O1501" s="104" t="n"/>
      <c r="P1501" s="104" t="n"/>
      <c r="Q1501" s="104" t="n"/>
      <c r="R1501" s="104" t="n"/>
      <c r="S1501" s="110" t="n"/>
      <c r="T1501" s="110" t="n"/>
      <c r="U1501" s="104" t="n"/>
    </row>
    <row r="1502">
      <c r="A1502" s="104" t="inlineStr">
        <is>
          <t>GUIDE001501</t>
        </is>
      </c>
      <c r="B1502" s="101" t="inlineStr">
        <is>
          <t>DEV000045</t>
        </is>
      </c>
      <c r="C1502" s="103" t="inlineStr">
        <is>
          <t>APL</t>
        </is>
      </c>
      <c r="D1502" s="103" t="inlineStr">
        <is>
          <t>PHN</t>
        </is>
      </c>
      <c r="E1502" s="60" t="inlineStr">
        <is>
          <t>iPhone 16 Pro</t>
        </is>
      </c>
      <c r="F1502" s="104" t="inlineStr">
        <is>
          <t>SVC000037</t>
        </is>
      </c>
      <c r="G1502" s="104" t="inlineStr">
        <is>
          <t>Data Transfer</t>
        </is>
      </c>
      <c r="H1502" s="104" t="inlineStr">
        <is>
          <t>Software</t>
        </is>
      </c>
      <c r="I1502" s="104" t="n"/>
      <c r="J1502" s="104" t="n"/>
      <c r="K1502" s="104" t="n"/>
      <c r="L1502" s="104" t="n"/>
      <c r="M1502" s="104" t="n"/>
      <c r="N1502" s="104" t="n"/>
      <c r="O1502" s="104" t="n"/>
      <c r="P1502" s="104" t="n"/>
      <c r="Q1502" s="104" t="n"/>
      <c r="R1502" s="104" t="n"/>
      <c r="S1502" s="110" t="n"/>
      <c r="T1502" s="110" t="n"/>
      <c r="U1502" s="104" t="n"/>
    </row>
    <row r="1503">
      <c r="A1503" s="104" t="inlineStr">
        <is>
          <t>GUIDE001502</t>
        </is>
      </c>
      <c r="B1503" s="101" t="inlineStr">
        <is>
          <t>DEV000046</t>
        </is>
      </c>
      <c r="C1503" s="103" t="inlineStr">
        <is>
          <t>APL</t>
        </is>
      </c>
      <c r="D1503" s="103" t="inlineStr">
        <is>
          <t>PHN</t>
        </is>
      </c>
      <c r="E1503" s="60" t="inlineStr">
        <is>
          <t>iPhone 16 Pro Max</t>
        </is>
      </c>
      <c r="F1503" s="104" t="inlineStr">
        <is>
          <t>SVC000037</t>
        </is>
      </c>
      <c r="G1503" s="104" t="inlineStr">
        <is>
          <t>Data Transfer</t>
        </is>
      </c>
      <c r="H1503" s="104" t="inlineStr">
        <is>
          <t>Software</t>
        </is>
      </c>
      <c r="I1503" s="104" t="n"/>
      <c r="J1503" s="104" t="n"/>
      <c r="K1503" s="104" t="n"/>
      <c r="L1503" s="104" t="n"/>
      <c r="M1503" s="104" t="n"/>
      <c r="N1503" s="104" t="n"/>
      <c r="O1503" s="104" t="n"/>
      <c r="P1503" s="104" t="n"/>
      <c r="Q1503" s="104" t="n"/>
      <c r="R1503" s="104" t="n"/>
      <c r="S1503" s="110" t="n"/>
      <c r="T1503" s="110" t="n"/>
      <c r="U1503" s="104" t="n"/>
    </row>
    <row r="1504">
      <c r="A1504" s="104" t="inlineStr">
        <is>
          <t>GUIDE001503</t>
        </is>
      </c>
      <c r="B1504" s="101" t="inlineStr">
        <is>
          <t>DEV000047</t>
        </is>
      </c>
      <c r="C1504" s="103" t="inlineStr">
        <is>
          <t>APL</t>
        </is>
      </c>
      <c r="D1504" s="103" t="inlineStr">
        <is>
          <t>PHN</t>
        </is>
      </c>
      <c r="E1504" s="60" t="inlineStr">
        <is>
          <t>iPhone 16e</t>
        </is>
      </c>
      <c r="F1504" s="104" t="inlineStr">
        <is>
          <t>SVC000037</t>
        </is>
      </c>
      <c r="G1504" s="104" t="inlineStr">
        <is>
          <t>Data Transfer</t>
        </is>
      </c>
      <c r="H1504" s="104" t="inlineStr">
        <is>
          <t>Software</t>
        </is>
      </c>
      <c r="I1504" s="104" t="n"/>
      <c r="J1504" s="104" t="n"/>
      <c r="K1504" s="104" t="n"/>
      <c r="L1504" s="104" t="n"/>
      <c r="M1504" s="104" t="n"/>
      <c r="N1504" s="104" t="n"/>
      <c r="O1504" s="104" t="n"/>
      <c r="P1504" s="104" t="n"/>
      <c r="Q1504" s="104" t="n"/>
      <c r="R1504" s="104" t="n"/>
      <c r="S1504" s="110" t="n"/>
      <c r="T1504" s="110" t="n"/>
      <c r="U1504" s="104" t="n"/>
    </row>
    <row r="1505">
      <c r="A1505" s="104" t="inlineStr">
        <is>
          <t>GUIDE001504</t>
        </is>
      </c>
      <c r="B1505" s="101" t="inlineStr">
        <is>
          <t>DEV000048</t>
        </is>
      </c>
      <c r="C1505" s="103" t="inlineStr">
        <is>
          <t>APL</t>
        </is>
      </c>
      <c r="D1505" s="103" t="inlineStr">
        <is>
          <t>PHN</t>
        </is>
      </c>
      <c r="E1505" s="60" t="inlineStr">
        <is>
          <t>iPhone 17</t>
        </is>
      </c>
      <c r="F1505" s="104" t="inlineStr">
        <is>
          <t>SVC000037</t>
        </is>
      </c>
      <c r="G1505" s="104" t="inlineStr">
        <is>
          <t>Data Transfer</t>
        </is>
      </c>
      <c r="H1505" s="104" t="inlineStr">
        <is>
          <t>Software</t>
        </is>
      </c>
      <c r="I1505" s="104" t="n"/>
      <c r="J1505" s="104" t="n"/>
      <c r="K1505" s="104" t="n"/>
      <c r="L1505" s="104" t="n"/>
      <c r="M1505" s="104" t="n"/>
      <c r="N1505" s="104" t="n"/>
      <c r="O1505" s="104" t="n"/>
      <c r="P1505" s="104" t="n"/>
      <c r="Q1505" s="104" t="n"/>
      <c r="R1505" s="104" t="n"/>
      <c r="S1505" s="110" t="n"/>
      <c r="T1505" s="110" t="n"/>
      <c r="U1505" s="104" t="n"/>
    </row>
    <row r="1506">
      <c r="A1506" s="104" t="inlineStr">
        <is>
          <t>GUIDE001505</t>
        </is>
      </c>
      <c r="B1506" s="101" t="inlineStr">
        <is>
          <t>DEV000049</t>
        </is>
      </c>
      <c r="C1506" s="103" t="inlineStr">
        <is>
          <t>APL</t>
        </is>
      </c>
      <c r="D1506" s="103" t="inlineStr">
        <is>
          <t>PHN</t>
        </is>
      </c>
      <c r="E1506" s="60" t="inlineStr">
        <is>
          <t>iPhone 17 Pro</t>
        </is>
      </c>
      <c r="F1506" s="104" t="inlineStr">
        <is>
          <t>SVC000037</t>
        </is>
      </c>
      <c r="G1506" s="104" t="inlineStr">
        <is>
          <t>Data Transfer</t>
        </is>
      </c>
      <c r="H1506" s="104" t="inlineStr">
        <is>
          <t>Software</t>
        </is>
      </c>
      <c r="I1506" s="104" t="n"/>
      <c r="J1506" s="104" t="n"/>
      <c r="K1506" s="104" t="n"/>
      <c r="L1506" s="104" t="n"/>
      <c r="M1506" s="104" t="n"/>
      <c r="N1506" s="104" t="n"/>
      <c r="O1506" s="104" t="n"/>
      <c r="P1506" s="104" t="n"/>
      <c r="Q1506" s="104" t="n"/>
      <c r="R1506" s="104" t="n"/>
      <c r="S1506" s="110" t="n"/>
      <c r="T1506" s="110" t="n"/>
      <c r="U1506" s="104" t="n"/>
    </row>
    <row r="1507">
      <c r="A1507" s="105" t="inlineStr">
        <is>
          <t>GUIDE001506</t>
        </is>
      </c>
      <c r="B1507" s="101" t="inlineStr">
        <is>
          <t>DEV000050</t>
        </is>
      </c>
      <c r="C1507" s="103" t="inlineStr">
        <is>
          <t>APL</t>
        </is>
      </c>
      <c r="D1507" s="103" t="inlineStr">
        <is>
          <t>PHN</t>
        </is>
      </c>
      <c r="E1507" s="60" t="inlineStr">
        <is>
          <t>iPhone 17 Pro Max</t>
        </is>
      </c>
      <c r="F1507" s="104" t="inlineStr">
        <is>
          <t>SVC000037</t>
        </is>
      </c>
      <c r="G1507" s="104" t="inlineStr">
        <is>
          <t>Data Transfer</t>
        </is>
      </c>
      <c r="H1507" s="104" t="inlineStr">
        <is>
          <t>Software</t>
        </is>
      </c>
      <c r="I1507" s="104" t="n"/>
      <c r="J1507" s="104" t="n"/>
      <c r="K1507" s="104" t="n"/>
      <c r="L1507" s="104" t="n"/>
      <c r="M1507" s="104" t="n"/>
      <c r="N1507" s="104" t="n"/>
      <c r="O1507" s="104" t="n"/>
      <c r="P1507" s="104" t="n"/>
      <c r="Q1507" s="104" t="n"/>
      <c r="R1507" s="104" t="n"/>
      <c r="S1507" s="110" t="n"/>
      <c r="T1507" s="110" t="n"/>
      <c r="U1507" s="104" t="n"/>
    </row>
    <row r="1508">
      <c r="A1508" s="104" t="inlineStr">
        <is>
          <t>GUIDE001507</t>
        </is>
      </c>
      <c r="B1508" s="101" t="inlineStr">
        <is>
          <t>DEV000051</t>
        </is>
      </c>
      <c r="C1508" s="103" t="inlineStr">
        <is>
          <t>APL</t>
        </is>
      </c>
      <c r="D1508" s="103" t="inlineStr">
        <is>
          <t>PHN</t>
        </is>
      </c>
      <c r="E1508" s="60" t="inlineStr">
        <is>
          <t>iPhone Air</t>
        </is>
      </c>
      <c r="F1508" s="104" t="inlineStr">
        <is>
          <t>SVC000037</t>
        </is>
      </c>
      <c r="G1508" s="104" t="inlineStr">
        <is>
          <t>Data Transfer</t>
        </is>
      </c>
      <c r="H1508" s="104" t="inlineStr">
        <is>
          <t>Software</t>
        </is>
      </c>
      <c r="I1508" s="104" t="n"/>
      <c r="J1508" s="104" t="n"/>
      <c r="K1508" s="104" t="n"/>
      <c r="L1508" s="104" t="n"/>
      <c r="M1508" s="104" t="n"/>
      <c r="N1508" s="104" t="n"/>
      <c r="O1508" s="104" t="n"/>
      <c r="P1508" s="104" t="n"/>
      <c r="Q1508" s="104" t="n"/>
      <c r="R1508" s="104" t="n"/>
      <c r="S1508" s="110" t="n"/>
      <c r="T1508" s="110" t="n"/>
      <c r="U1508" s="104" t="n"/>
    </row>
    <row r="1509">
      <c r="A1509" s="104" t="inlineStr">
        <is>
          <t>GUIDE001508</t>
        </is>
      </c>
      <c r="B1509" s="101" t="inlineStr">
        <is>
          <t>DEV000052</t>
        </is>
      </c>
      <c r="C1509" s="103" t="inlineStr">
        <is>
          <t>APL</t>
        </is>
      </c>
      <c r="D1509" s="103" t="inlineStr">
        <is>
          <t>PHN</t>
        </is>
      </c>
      <c r="E1509" s="60" t="inlineStr">
        <is>
          <t>iPhone 17e</t>
        </is>
      </c>
      <c r="F1509" s="104" t="inlineStr">
        <is>
          <t>SVC000037</t>
        </is>
      </c>
      <c r="G1509" s="104" t="inlineStr">
        <is>
          <t>Data Transfer</t>
        </is>
      </c>
      <c r="H1509" s="104" t="inlineStr">
        <is>
          <t>Software</t>
        </is>
      </c>
      <c r="I1509" s="104" t="n"/>
      <c r="J1509" s="104" t="n"/>
      <c r="K1509" s="104" t="n"/>
      <c r="L1509" s="104" t="n"/>
      <c r="M1509" s="104" t="n"/>
      <c r="N1509" s="104" t="n"/>
      <c r="O1509" s="104" t="n"/>
      <c r="P1509" s="104" t="n"/>
      <c r="Q1509" s="104" t="n"/>
      <c r="R1509" s="104" t="n"/>
      <c r="S1509" s="110" t="n"/>
      <c r="T1509" s="110" t="n"/>
      <c r="U1509" s="104" t="n"/>
    </row>
    <row r="1510">
      <c r="A1510" s="104" t="inlineStr">
        <is>
          <t>GUIDE001509</t>
        </is>
      </c>
      <c r="B1510" s="101" t="inlineStr">
        <is>
          <t>DEV000001</t>
        </is>
      </c>
      <c r="C1510" s="103" t="inlineStr">
        <is>
          <t>APL</t>
        </is>
      </c>
      <c r="D1510" s="103" t="inlineStr">
        <is>
          <t>PHN</t>
        </is>
      </c>
      <c r="E1510" s="60" t="inlineStr">
        <is>
          <t>iPhone (2G)</t>
        </is>
      </c>
      <c r="F1510" s="104" t="inlineStr">
        <is>
          <t>SVC000038</t>
        </is>
      </c>
      <c r="G1510" s="104" t="inlineStr">
        <is>
          <t>Account Recovery</t>
        </is>
      </c>
      <c r="H1510" s="104" t="inlineStr">
        <is>
          <t>Software</t>
        </is>
      </c>
      <c r="I1510" s="104" t="n"/>
      <c r="J1510" s="104" t="n"/>
      <c r="K1510" s="104" t="n"/>
      <c r="L1510" s="104" t="n"/>
      <c r="M1510" s="104" t="n"/>
      <c r="N1510" s="104" t="n"/>
      <c r="O1510" s="104" t="n"/>
      <c r="P1510" s="104" t="n"/>
      <c r="Q1510" s="104" t="n"/>
      <c r="R1510" s="104" t="n"/>
      <c r="S1510" s="110" t="n"/>
      <c r="T1510" s="110" t="n"/>
      <c r="U1510" s="104" t="n"/>
    </row>
    <row r="1511">
      <c r="A1511" s="104" t="inlineStr">
        <is>
          <t>GUIDE001510</t>
        </is>
      </c>
      <c r="B1511" s="101" t="inlineStr">
        <is>
          <t>DEV000002</t>
        </is>
      </c>
      <c r="C1511" s="103" t="inlineStr">
        <is>
          <t>APL</t>
        </is>
      </c>
      <c r="D1511" s="103" t="inlineStr">
        <is>
          <t>PHN</t>
        </is>
      </c>
      <c r="E1511" s="60" t="inlineStr">
        <is>
          <t>iPhone 3G</t>
        </is>
      </c>
      <c r="F1511" s="104" t="inlineStr">
        <is>
          <t>SVC000038</t>
        </is>
      </c>
      <c r="G1511" s="104" t="inlineStr">
        <is>
          <t>Account Recovery</t>
        </is>
      </c>
      <c r="H1511" s="104" t="inlineStr">
        <is>
          <t>Software</t>
        </is>
      </c>
      <c r="I1511" s="104" t="n"/>
      <c r="J1511" s="104" t="n"/>
      <c r="K1511" s="104" t="n"/>
      <c r="L1511" s="104" t="n"/>
      <c r="M1511" s="104" t="n"/>
      <c r="N1511" s="104" t="n"/>
      <c r="O1511" s="104" t="n"/>
      <c r="P1511" s="104" t="n"/>
      <c r="Q1511" s="104" t="n"/>
      <c r="R1511" s="104" t="n"/>
      <c r="S1511" s="110" t="n"/>
      <c r="T1511" s="110" t="n"/>
      <c r="U1511" s="104" t="n"/>
    </row>
    <row r="1512">
      <c r="A1512" s="104" t="inlineStr">
        <is>
          <t>GUIDE001511</t>
        </is>
      </c>
      <c r="B1512" s="101" t="inlineStr">
        <is>
          <t>DEV000003</t>
        </is>
      </c>
      <c r="C1512" s="103" t="inlineStr">
        <is>
          <t>APL</t>
        </is>
      </c>
      <c r="D1512" s="103" t="inlineStr">
        <is>
          <t>PHN</t>
        </is>
      </c>
      <c r="E1512" s="60" t="inlineStr">
        <is>
          <t>iPhone 3GS</t>
        </is>
      </c>
      <c r="F1512" s="104" t="inlineStr">
        <is>
          <t>SVC000038</t>
        </is>
      </c>
      <c r="G1512" s="104" t="inlineStr">
        <is>
          <t>Account Recovery</t>
        </is>
      </c>
      <c r="H1512" s="104" t="inlineStr">
        <is>
          <t>Software</t>
        </is>
      </c>
      <c r="I1512" s="104" t="n"/>
      <c r="J1512" s="104" t="n"/>
      <c r="K1512" s="104" t="n"/>
      <c r="L1512" s="104" t="n"/>
      <c r="M1512" s="104" t="n"/>
      <c r="N1512" s="104" t="n"/>
      <c r="O1512" s="104" t="n"/>
      <c r="P1512" s="104" t="n"/>
      <c r="Q1512" s="104" t="n"/>
      <c r="R1512" s="104" t="n"/>
      <c r="S1512" s="110" t="n"/>
      <c r="T1512" s="110" t="n"/>
      <c r="U1512" s="104" t="n"/>
    </row>
    <row r="1513">
      <c r="A1513" s="105" t="inlineStr">
        <is>
          <t>GUIDE001512</t>
        </is>
      </c>
      <c r="B1513" s="101" t="inlineStr">
        <is>
          <t>DEV000004</t>
        </is>
      </c>
      <c r="C1513" s="103" t="inlineStr">
        <is>
          <t>APL</t>
        </is>
      </c>
      <c r="D1513" s="103" t="inlineStr">
        <is>
          <t>PHN</t>
        </is>
      </c>
      <c r="E1513" s="60" t="inlineStr">
        <is>
          <t>iPhone 4</t>
        </is>
      </c>
      <c r="F1513" s="104" t="inlineStr">
        <is>
          <t>SVC000038</t>
        </is>
      </c>
      <c r="G1513" s="104" t="inlineStr">
        <is>
          <t>Account Recovery</t>
        </is>
      </c>
      <c r="H1513" s="104" t="inlineStr">
        <is>
          <t>Software</t>
        </is>
      </c>
      <c r="I1513" s="104" t="n"/>
      <c r="J1513" s="104" t="n"/>
      <c r="K1513" s="104" t="n"/>
      <c r="L1513" s="104" t="n"/>
      <c r="M1513" s="104" t="n"/>
      <c r="N1513" s="104" t="n"/>
      <c r="O1513" s="104" t="n"/>
      <c r="P1513" s="104" t="n"/>
      <c r="Q1513" s="104" t="n"/>
      <c r="R1513" s="104" t="n"/>
      <c r="S1513" s="110" t="n"/>
      <c r="T1513" s="110" t="n"/>
      <c r="U1513" s="104" t="n"/>
    </row>
    <row r="1514">
      <c r="A1514" s="104" t="inlineStr">
        <is>
          <t>GUIDE001513</t>
        </is>
      </c>
      <c r="B1514" s="101" t="inlineStr">
        <is>
          <t>DEV000005</t>
        </is>
      </c>
      <c r="C1514" s="103" t="inlineStr">
        <is>
          <t>APL</t>
        </is>
      </c>
      <c r="D1514" s="103" t="inlineStr">
        <is>
          <t>PHN</t>
        </is>
      </c>
      <c r="E1514" s="60" t="inlineStr">
        <is>
          <t>iPhone 4s</t>
        </is>
      </c>
      <c r="F1514" s="104" t="inlineStr">
        <is>
          <t>SVC000038</t>
        </is>
      </c>
      <c r="G1514" s="104" t="inlineStr">
        <is>
          <t>Account Recovery</t>
        </is>
      </c>
      <c r="H1514" s="104" t="inlineStr">
        <is>
          <t>Software</t>
        </is>
      </c>
      <c r="I1514" s="104" t="n"/>
      <c r="J1514" s="104" t="n"/>
      <c r="K1514" s="104" t="n"/>
      <c r="L1514" s="104" t="n"/>
      <c r="M1514" s="104" t="n"/>
      <c r="N1514" s="104" t="n"/>
      <c r="O1514" s="104" t="n"/>
      <c r="P1514" s="104" t="n"/>
      <c r="Q1514" s="104" t="n"/>
      <c r="R1514" s="104" t="n"/>
      <c r="S1514" s="110" t="n"/>
      <c r="T1514" s="110" t="n"/>
      <c r="U1514" s="104" t="n"/>
    </row>
    <row r="1515">
      <c r="A1515" s="104" t="inlineStr">
        <is>
          <t>GUIDE001514</t>
        </is>
      </c>
      <c r="B1515" s="101" t="inlineStr">
        <is>
          <t>DEV000006</t>
        </is>
      </c>
      <c r="C1515" s="103" t="inlineStr">
        <is>
          <t>APL</t>
        </is>
      </c>
      <c r="D1515" s="103" t="inlineStr">
        <is>
          <t>PHN</t>
        </is>
      </c>
      <c r="E1515" s="60" t="inlineStr">
        <is>
          <t>iPhone 5</t>
        </is>
      </c>
      <c r="F1515" s="104" t="inlineStr">
        <is>
          <t>SVC000038</t>
        </is>
      </c>
      <c r="G1515" s="104" t="inlineStr">
        <is>
          <t>Account Recovery</t>
        </is>
      </c>
      <c r="H1515" s="104" t="inlineStr">
        <is>
          <t>Software</t>
        </is>
      </c>
      <c r="I1515" s="104" t="n"/>
      <c r="J1515" s="104" t="n"/>
      <c r="K1515" s="104" t="n"/>
      <c r="L1515" s="104" t="n"/>
      <c r="M1515" s="104" t="n"/>
      <c r="N1515" s="104" t="n"/>
      <c r="O1515" s="104" t="n"/>
      <c r="P1515" s="104" t="n"/>
      <c r="Q1515" s="104" t="n"/>
      <c r="R1515" s="104" t="n"/>
      <c r="S1515" s="110" t="n"/>
      <c r="T1515" s="110" t="n"/>
      <c r="U1515" s="104" t="n"/>
    </row>
    <row r="1516">
      <c r="A1516" s="104" t="inlineStr">
        <is>
          <t>GUIDE001515</t>
        </is>
      </c>
      <c r="B1516" s="101" t="inlineStr">
        <is>
          <t>DEV000007</t>
        </is>
      </c>
      <c r="C1516" s="103" t="inlineStr">
        <is>
          <t>APL</t>
        </is>
      </c>
      <c r="D1516" s="103" t="inlineStr">
        <is>
          <t>PHN</t>
        </is>
      </c>
      <c r="E1516" s="60" t="inlineStr">
        <is>
          <t>iPhone 5c</t>
        </is>
      </c>
      <c r="F1516" s="104" t="inlineStr">
        <is>
          <t>SVC000038</t>
        </is>
      </c>
      <c r="G1516" s="104" t="inlineStr">
        <is>
          <t>Account Recovery</t>
        </is>
      </c>
      <c r="H1516" s="104" t="inlineStr">
        <is>
          <t>Software</t>
        </is>
      </c>
      <c r="I1516" s="104" t="n"/>
      <c r="J1516" s="104" t="n"/>
      <c r="K1516" s="104" t="n"/>
      <c r="L1516" s="104" t="n"/>
      <c r="M1516" s="104" t="n"/>
      <c r="N1516" s="104" t="n"/>
      <c r="O1516" s="104" t="n"/>
      <c r="P1516" s="104" t="n"/>
      <c r="Q1516" s="104" t="n"/>
      <c r="R1516" s="104" t="n"/>
      <c r="S1516" s="110" t="n"/>
      <c r="T1516" s="110" t="n"/>
      <c r="U1516" s="104" t="n"/>
    </row>
    <row r="1517">
      <c r="A1517" s="104" t="inlineStr">
        <is>
          <t>GUIDE001516</t>
        </is>
      </c>
      <c r="B1517" s="101" t="inlineStr">
        <is>
          <t>DEV000008</t>
        </is>
      </c>
      <c r="C1517" s="103" t="inlineStr">
        <is>
          <t>APL</t>
        </is>
      </c>
      <c r="D1517" s="103" t="inlineStr">
        <is>
          <t>PHN</t>
        </is>
      </c>
      <c r="E1517" s="60" t="inlineStr">
        <is>
          <t>iPhone 5s</t>
        </is>
      </c>
      <c r="F1517" s="104" t="inlineStr">
        <is>
          <t>SVC000038</t>
        </is>
      </c>
      <c r="G1517" s="104" t="inlineStr">
        <is>
          <t>Account Recovery</t>
        </is>
      </c>
      <c r="H1517" s="104" t="inlineStr">
        <is>
          <t>Software</t>
        </is>
      </c>
      <c r="I1517" s="104" t="n"/>
      <c r="J1517" s="104" t="n"/>
      <c r="K1517" s="104" t="n"/>
      <c r="L1517" s="104" t="n"/>
      <c r="M1517" s="104" t="n"/>
      <c r="N1517" s="104" t="n"/>
      <c r="O1517" s="104" t="n"/>
      <c r="P1517" s="104" t="n"/>
      <c r="Q1517" s="104" t="n"/>
      <c r="R1517" s="104" t="n"/>
      <c r="S1517" s="110" t="n"/>
      <c r="T1517" s="110" t="n"/>
      <c r="U1517" s="104" t="n"/>
    </row>
    <row r="1518">
      <c r="A1518" s="104" t="inlineStr">
        <is>
          <t>GUIDE001517</t>
        </is>
      </c>
      <c r="B1518" s="101" t="inlineStr">
        <is>
          <t>DEV000009</t>
        </is>
      </c>
      <c r="C1518" s="103" t="inlineStr">
        <is>
          <t>APL</t>
        </is>
      </c>
      <c r="D1518" s="103" t="inlineStr">
        <is>
          <t>PHN</t>
        </is>
      </c>
      <c r="E1518" s="60" t="inlineStr">
        <is>
          <t>iPhone 6</t>
        </is>
      </c>
      <c r="F1518" s="104" t="inlineStr">
        <is>
          <t>SVC000038</t>
        </is>
      </c>
      <c r="G1518" s="104" t="inlineStr">
        <is>
          <t>Account Recovery</t>
        </is>
      </c>
      <c r="H1518" s="104" t="inlineStr">
        <is>
          <t>Software</t>
        </is>
      </c>
      <c r="I1518" s="104" t="n"/>
      <c r="J1518" s="104" t="n"/>
      <c r="K1518" s="104" t="n"/>
      <c r="L1518" s="104" t="n"/>
      <c r="M1518" s="104" t="n"/>
      <c r="N1518" s="104" t="n"/>
      <c r="O1518" s="104" t="n"/>
      <c r="P1518" s="104" t="n"/>
      <c r="Q1518" s="104" t="n"/>
      <c r="R1518" s="104" t="n"/>
      <c r="S1518" s="110" t="n"/>
      <c r="T1518" s="110" t="n"/>
      <c r="U1518" s="104" t="n"/>
    </row>
    <row r="1519">
      <c r="A1519" s="105" t="inlineStr">
        <is>
          <t>GUIDE001518</t>
        </is>
      </c>
      <c r="B1519" s="101" t="inlineStr">
        <is>
          <t>DEV000010</t>
        </is>
      </c>
      <c r="C1519" s="103" t="inlineStr">
        <is>
          <t>APL</t>
        </is>
      </c>
      <c r="D1519" s="103" t="inlineStr">
        <is>
          <t>PHN</t>
        </is>
      </c>
      <c r="E1519" s="60" t="inlineStr">
        <is>
          <t>iPhone 6 Plus</t>
        </is>
      </c>
      <c r="F1519" s="104" t="inlineStr">
        <is>
          <t>SVC000038</t>
        </is>
      </c>
      <c r="G1519" s="104" t="inlineStr">
        <is>
          <t>Account Recovery</t>
        </is>
      </c>
      <c r="H1519" s="104" t="inlineStr">
        <is>
          <t>Software</t>
        </is>
      </c>
      <c r="I1519" s="104" t="n"/>
      <c r="J1519" s="104" t="n"/>
      <c r="K1519" s="104" t="n"/>
      <c r="L1519" s="104" t="n"/>
      <c r="M1519" s="104" t="n"/>
      <c r="N1519" s="104" t="n"/>
      <c r="O1519" s="104" t="n"/>
      <c r="P1519" s="104" t="n"/>
      <c r="Q1519" s="104" t="n"/>
      <c r="R1519" s="104" t="n"/>
      <c r="S1519" s="110" t="n"/>
      <c r="T1519" s="110" t="n"/>
      <c r="U1519" s="104" t="n"/>
    </row>
    <row r="1520">
      <c r="A1520" s="104" t="inlineStr">
        <is>
          <t>GUIDE001519</t>
        </is>
      </c>
      <c r="B1520" s="101" t="inlineStr">
        <is>
          <t>DEV000011</t>
        </is>
      </c>
      <c r="C1520" s="103" t="inlineStr">
        <is>
          <t>APL</t>
        </is>
      </c>
      <c r="D1520" s="103" t="inlineStr">
        <is>
          <t>PHN</t>
        </is>
      </c>
      <c r="E1520" s="60" t="inlineStr">
        <is>
          <t>iPhone 6s</t>
        </is>
      </c>
      <c r="F1520" s="104" t="inlineStr">
        <is>
          <t>SVC000038</t>
        </is>
      </c>
      <c r="G1520" s="104" t="inlineStr">
        <is>
          <t>Account Recovery</t>
        </is>
      </c>
      <c r="H1520" s="104" t="inlineStr">
        <is>
          <t>Software</t>
        </is>
      </c>
      <c r="I1520" s="104" t="n"/>
      <c r="J1520" s="104" t="n"/>
      <c r="K1520" s="104" t="n"/>
      <c r="L1520" s="104" t="n"/>
      <c r="M1520" s="104" t="n"/>
      <c r="N1520" s="104" t="n"/>
      <c r="O1520" s="104" t="n"/>
      <c r="P1520" s="104" t="n"/>
      <c r="Q1520" s="104" t="n"/>
      <c r="R1520" s="104" t="n"/>
      <c r="S1520" s="110" t="n"/>
      <c r="T1520" s="110" t="n"/>
      <c r="U1520" s="104" t="n"/>
    </row>
    <row r="1521">
      <c r="A1521" s="104" t="inlineStr">
        <is>
          <t>GUIDE001520</t>
        </is>
      </c>
      <c r="B1521" s="101" t="inlineStr">
        <is>
          <t>DEV000012</t>
        </is>
      </c>
      <c r="C1521" s="103" t="inlineStr">
        <is>
          <t>APL</t>
        </is>
      </c>
      <c r="D1521" s="103" t="inlineStr">
        <is>
          <t>PHN</t>
        </is>
      </c>
      <c r="E1521" s="60" t="inlineStr">
        <is>
          <t>iPhone 6s Plus</t>
        </is>
      </c>
      <c r="F1521" s="104" t="inlineStr">
        <is>
          <t>SVC000038</t>
        </is>
      </c>
      <c r="G1521" s="104" t="inlineStr">
        <is>
          <t>Account Recovery</t>
        </is>
      </c>
      <c r="H1521" s="104" t="inlineStr">
        <is>
          <t>Software</t>
        </is>
      </c>
      <c r="I1521" s="104" t="n"/>
      <c r="J1521" s="104" t="n"/>
      <c r="K1521" s="104" t="n"/>
      <c r="L1521" s="104" t="n"/>
      <c r="M1521" s="104" t="n"/>
      <c r="N1521" s="104" t="n"/>
      <c r="O1521" s="104" t="n"/>
      <c r="P1521" s="104" t="n"/>
      <c r="Q1521" s="104" t="n"/>
      <c r="R1521" s="104" t="n"/>
      <c r="S1521" s="110" t="n"/>
      <c r="T1521" s="110" t="n"/>
      <c r="U1521" s="104" t="n"/>
    </row>
    <row r="1522">
      <c r="A1522" s="104" t="inlineStr">
        <is>
          <t>GUIDE001521</t>
        </is>
      </c>
      <c r="B1522" s="101" t="inlineStr">
        <is>
          <t>DEV000013</t>
        </is>
      </c>
      <c r="C1522" s="103" t="inlineStr">
        <is>
          <t>APL</t>
        </is>
      </c>
      <c r="D1522" s="103" t="inlineStr">
        <is>
          <t>PHN</t>
        </is>
      </c>
      <c r="E1522" s="60" t="inlineStr">
        <is>
          <t>iPhone SE (1st Gen)</t>
        </is>
      </c>
      <c r="F1522" s="104" t="inlineStr">
        <is>
          <t>SVC000038</t>
        </is>
      </c>
      <c r="G1522" s="104" t="inlineStr">
        <is>
          <t>Account Recovery</t>
        </is>
      </c>
      <c r="H1522" s="104" t="inlineStr">
        <is>
          <t>Software</t>
        </is>
      </c>
      <c r="I1522" s="104" t="n"/>
      <c r="J1522" s="104" t="n"/>
      <c r="K1522" s="104" t="n"/>
      <c r="L1522" s="104" t="n"/>
      <c r="M1522" s="104" t="n"/>
      <c r="N1522" s="104" t="n"/>
      <c r="O1522" s="104" t="n"/>
      <c r="P1522" s="104" t="n"/>
      <c r="Q1522" s="104" t="n"/>
      <c r="R1522" s="104" t="n"/>
      <c r="S1522" s="110" t="n"/>
      <c r="T1522" s="110" t="n"/>
      <c r="U1522" s="104" t="n"/>
    </row>
    <row r="1523">
      <c r="A1523" s="104" t="inlineStr">
        <is>
          <t>GUIDE001522</t>
        </is>
      </c>
      <c r="B1523" s="101" t="inlineStr">
        <is>
          <t>DEV000014</t>
        </is>
      </c>
      <c r="C1523" s="103" t="inlineStr">
        <is>
          <t>APL</t>
        </is>
      </c>
      <c r="D1523" s="103" t="inlineStr">
        <is>
          <t>PHN</t>
        </is>
      </c>
      <c r="E1523" s="60" t="inlineStr">
        <is>
          <t>iPhone 7</t>
        </is>
      </c>
      <c r="F1523" s="104" t="inlineStr">
        <is>
          <t>SVC000038</t>
        </is>
      </c>
      <c r="G1523" s="104" t="inlineStr">
        <is>
          <t>Account Recovery</t>
        </is>
      </c>
      <c r="H1523" s="104" t="inlineStr">
        <is>
          <t>Software</t>
        </is>
      </c>
      <c r="I1523" s="104" t="n"/>
      <c r="J1523" s="104" t="n"/>
      <c r="K1523" s="104" t="n"/>
      <c r="L1523" s="104" t="n"/>
      <c r="M1523" s="104" t="n"/>
      <c r="N1523" s="104" t="n"/>
      <c r="O1523" s="104" t="n"/>
      <c r="P1523" s="104" t="n"/>
      <c r="Q1523" s="104" t="n"/>
      <c r="R1523" s="104" t="n"/>
      <c r="S1523" s="110" t="n"/>
      <c r="T1523" s="110" t="n"/>
      <c r="U1523" s="104" t="n"/>
    </row>
    <row r="1524">
      <c r="A1524" s="104" t="inlineStr">
        <is>
          <t>GUIDE001523</t>
        </is>
      </c>
      <c r="B1524" s="101" t="inlineStr">
        <is>
          <t>DEV000015</t>
        </is>
      </c>
      <c r="C1524" s="103" t="inlineStr">
        <is>
          <t>APL</t>
        </is>
      </c>
      <c r="D1524" s="103" t="inlineStr">
        <is>
          <t>PHN</t>
        </is>
      </c>
      <c r="E1524" s="60" t="inlineStr">
        <is>
          <t>iPhone 7 Plus</t>
        </is>
      </c>
      <c r="F1524" s="104" t="inlineStr">
        <is>
          <t>SVC000038</t>
        </is>
      </c>
      <c r="G1524" s="104" t="inlineStr">
        <is>
          <t>Account Recovery</t>
        </is>
      </c>
      <c r="H1524" s="104" t="inlineStr">
        <is>
          <t>Software</t>
        </is>
      </c>
      <c r="I1524" s="104" t="n"/>
      <c r="J1524" s="104" t="n"/>
      <c r="K1524" s="104" t="n"/>
      <c r="L1524" s="104" t="n"/>
      <c r="M1524" s="104" t="n"/>
      <c r="N1524" s="104" t="n"/>
      <c r="O1524" s="104" t="n"/>
      <c r="P1524" s="104" t="n"/>
      <c r="Q1524" s="104" t="n"/>
      <c r="R1524" s="104" t="n"/>
      <c r="S1524" s="110" t="n"/>
      <c r="T1524" s="110" t="n"/>
      <c r="U1524" s="104" t="n"/>
    </row>
    <row r="1525">
      <c r="A1525" s="105" t="inlineStr">
        <is>
          <t>GUIDE001524</t>
        </is>
      </c>
      <c r="B1525" s="101" t="inlineStr">
        <is>
          <t>DEV000016</t>
        </is>
      </c>
      <c r="C1525" s="103" t="inlineStr">
        <is>
          <t>APL</t>
        </is>
      </c>
      <c r="D1525" s="103" t="inlineStr">
        <is>
          <t>PHN</t>
        </is>
      </c>
      <c r="E1525" s="60" t="inlineStr">
        <is>
          <t>iPhone 8</t>
        </is>
      </c>
      <c r="F1525" s="104" t="inlineStr">
        <is>
          <t>SVC000038</t>
        </is>
      </c>
      <c r="G1525" s="104" t="inlineStr">
        <is>
          <t>Account Recovery</t>
        </is>
      </c>
      <c r="H1525" s="104" t="inlineStr">
        <is>
          <t>Software</t>
        </is>
      </c>
      <c r="I1525" s="104" t="n"/>
      <c r="J1525" s="104" t="n"/>
      <c r="K1525" s="104" t="n"/>
      <c r="L1525" s="104" t="n"/>
      <c r="M1525" s="104" t="n"/>
      <c r="N1525" s="104" t="n"/>
      <c r="O1525" s="104" t="n"/>
      <c r="P1525" s="104" t="n"/>
      <c r="Q1525" s="104" t="n"/>
      <c r="R1525" s="104" t="n"/>
      <c r="S1525" s="110" t="n"/>
      <c r="T1525" s="110" t="n"/>
      <c r="U1525" s="104" t="n"/>
    </row>
    <row r="1526">
      <c r="A1526" s="104" t="inlineStr">
        <is>
          <t>GUIDE001525</t>
        </is>
      </c>
      <c r="B1526" s="101" t="inlineStr">
        <is>
          <t>DEV000017</t>
        </is>
      </c>
      <c r="C1526" s="103" t="inlineStr">
        <is>
          <t>APL</t>
        </is>
      </c>
      <c r="D1526" s="103" t="inlineStr">
        <is>
          <t>PHN</t>
        </is>
      </c>
      <c r="E1526" s="60" t="inlineStr">
        <is>
          <t>iPhone 8 Plus</t>
        </is>
      </c>
      <c r="F1526" s="104" t="inlineStr">
        <is>
          <t>SVC000038</t>
        </is>
      </c>
      <c r="G1526" s="104" t="inlineStr">
        <is>
          <t>Account Recovery</t>
        </is>
      </c>
      <c r="H1526" s="104" t="inlineStr">
        <is>
          <t>Software</t>
        </is>
      </c>
      <c r="I1526" s="104" t="n"/>
      <c r="J1526" s="104" t="n"/>
      <c r="K1526" s="104" t="n"/>
      <c r="L1526" s="104" t="n"/>
      <c r="M1526" s="104" t="n"/>
      <c r="N1526" s="104" t="n"/>
      <c r="O1526" s="104" t="n"/>
      <c r="P1526" s="104" t="n"/>
      <c r="Q1526" s="104" t="n"/>
      <c r="R1526" s="104" t="n"/>
      <c r="S1526" s="110" t="n"/>
      <c r="T1526" s="110" t="n"/>
      <c r="U1526" s="104" t="n"/>
    </row>
    <row r="1527">
      <c r="A1527" s="104" t="inlineStr">
        <is>
          <t>GUIDE001526</t>
        </is>
      </c>
      <c r="B1527" s="101" t="inlineStr">
        <is>
          <t>DEV000018</t>
        </is>
      </c>
      <c r="C1527" s="103" t="inlineStr">
        <is>
          <t>APL</t>
        </is>
      </c>
      <c r="D1527" s="103" t="inlineStr">
        <is>
          <t>PHN</t>
        </is>
      </c>
      <c r="E1527" s="60" t="inlineStr">
        <is>
          <t>iPhone X</t>
        </is>
      </c>
      <c r="F1527" s="104" t="inlineStr">
        <is>
          <t>SVC000038</t>
        </is>
      </c>
      <c r="G1527" s="104" t="inlineStr">
        <is>
          <t>Account Recovery</t>
        </is>
      </c>
      <c r="H1527" s="104" t="inlineStr">
        <is>
          <t>Software</t>
        </is>
      </c>
      <c r="I1527" s="104" t="n"/>
      <c r="J1527" s="104" t="n"/>
      <c r="K1527" s="104" t="n"/>
      <c r="L1527" s="104" t="n"/>
      <c r="M1527" s="104" t="n"/>
      <c r="N1527" s="104" t="n"/>
      <c r="O1527" s="104" t="n"/>
      <c r="P1527" s="104" t="n"/>
      <c r="Q1527" s="104" t="n"/>
      <c r="R1527" s="104" t="n"/>
      <c r="S1527" s="110" t="n"/>
      <c r="T1527" s="110" t="n"/>
      <c r="U1527" s="104" t="n"/>
    </row>
    <row r="1528">
      <c r="A1528" s="104" t="inlineStr">
        <is>
          <t>GUIDE001527</t>
        </is>
      </c>
      <c r="B1528" s="101" t="inlineStr">
        <is>
          <t>DEV000019</t>
        </is>
      </c>
      <c r="C1528" s="103" t="inlineStr">
        <is>
          <t>APL</t>
        </is>
      </c>
      <c r="D1528" s="103" t="inlineStr">
        <is>
          <t>PHN</t>
        </is>
      </c>
      <c r="E1528" s="60" t="inlineStr">
        <is>
          <t>iPhone XR</t>
        </is>
      </c>
      <c r="F1528" s="104" t="inlineStr">
        <is>
          <t>SVC000038</t>
        </is>
      </c>
      <c r="G1528" s="104" t="inlineStr">
        <is>
          <t>Account Recovery</t>
        </is>
      </c>
      <c r="H1528" s="104" t="inlineStr">
        <is>
          <t>Software</t>
        </is>
      </c>
      <c r="I1528" s="104" t="n"/>
      <c r="J1528" s="104" t="n"/>
      <c r="K1528" s="104" t="n"/>
      <c r="L1528" s="104" t="n"/>
      <c r="M1528" s="104" t="n"/>
      <c r="N1528" s="104" t="n"/>
      <c r="O1528" s="104" t="n"/>
      <c r="P1528" s="104" t="n"/>
      <c r="Q1528" s="104" t="n"/>
      <c r="R1528" s="104" t="n"/>
      <c r="S1528" s="110" t="n"/>
      <c r="T1528" s="110" t="n"/>
      <c r="U1528" s="104" t="n"/>
    </row>
    <row r="1529">
      <c r="A1529" s="104" t="inlineStr">
        <is>
          <t>GUIDE001528</t>
        </is>
      </c>
      <c r="B1529" s="101" t="inlineStr">
        <is>
          <t>DEV000020</t>
        </is>
      </c>
      <c r="C1529" s="103" t="inlineStr">
        <is>
          <t>APL</t>
        </is>
      </c>
      <c r="D1529" s="103" t="inlineStr">
        <is>
          <t>PHN</t>
        </is>
      </c>
      <c r="E1529" s="60" t="inlineStr">
        <is>
          <t>iPhone XS</t>
        </is>
      </c>
      <c r="F1529" s="104" t="inlineStr">
        <is>
          <t>SVC000038</t>
        </is>
      </c>
      <c r="G1529" s="104" t="inlineStr">
        <is>
          <t>Account Recovery</t>
        </is>
      </c>
      <c r="H1529" s="104" t="inlineStr">
        <is>
          <t>Software</t>
        </is>
      </c>
      <c r="I1529" s="104" t="n"/>
      <c r="J1529" s="104" t="n"/>
      <c r="K1529" s="104" t="n"/>
      <c r="L1529" s="104" t="n"/>
      <c r="M1529" s="104" t="n"/>
      <c r="N1529" s="104" t="n"/>
      <c r="O1529" s="104" t="n"/>
      <c r="P1529" s="104" t="n"/>
      <c r="Q1529" s="104" t="n"/>
      <c r="R1529" s="104" t="n"/>
      <c r="S1529" s="110" t="n"/>
      <c r="T1529" s="110" t="n"/>
      <c r="U1529" s="104" t="n"/>
    </row>
    <row r="1530">
      <c r="A1530" s="104" t="inlineStr">
        <is>
          <t>GUIDE001529</t>
        </is>
      </c>
      <c r="B1530" s="101" t="inlineStr">
        <is>
          <t>DEV000021</t>
        </is>
      </c>
      <c r="C1530" s="103" t="inlineStr">
        <is>
          <t>APL</t>
        </is>
      </c>
      <c r="D1530" s="103" t="inlineStr">
        <is>
          <t>PHN</t>
        </is>
      </c>
      <c r="E1530" s="60" t="inlineStr">
        <is>
          <t>iPhone XS Max</t>
        </is>
      </c>
      <c r="F1530" s="104" t="inlineStr">
        <is>
          <t>SVC000038</t>
        </is>
      </c>
      <c r="G1530" s="104" t="inlineStr">
        <is>
          <t>Account Recovery</t>
        </is>
      </c>
      <c r="H1530" s="104" t="inlineStr">
        <is>
          <t>Software</t>
        </is>
      </c>
      <c r="I1530" s="104" t="n"/>
      <c r="J1530" s="104" t="n"/>
      <c r="K1530" s="104" t="n"/>
      <c r="L1530" s="104" t="n"/>
      <c r="M1530" s="104" t="n"/>
      <c r="N1530" s="104" t="n"/>
      <c r="O1530" s="104" t="n"/>
      <c r="P1530" s="104" t="n"/>
      <c r="Q1530" s="104" t="n"/>
      <c r="R1530" s="104" t="n"/>
      <c r="S1530" s="110" t="n"/>
      <c r="T1530" s="110" t="n"/>
      <c r="U1530" s="104" t="n"/>
    </row>
    <row r="1531">
      <c r="A1531" s="105" t="inlineStr">
        <is>
          <t>GUIDE001530</t>
        </is>
      </c>
      <c r="B1531" s="101" t="inlineStr">
        <is>
          <t>DEV000022</t>
        </is>
      </c>
      <c r="C1531" s="103" t="inlineStr">
        <is>
          <t>APL</t>
        </is>
      </c>
      <c r="D1531" s="103" t="inlineStr">
        <is>
          <t>PHN</t>
        </is>
      </c>
      <c r="E1531" s="60" t="inlineStr">
        <is>
          <t>iPhone 11</t>
        </is>
      </c>
      <c r="F1531" s="104" t="inlineStr">
        <is>
          <t>SVC000038</t>
        </is>
      </c>
      <c r="G1531" s="104" t="inlineStr">
        <is>
          <t>Account Recovery</t>
        </is>
      </c>
      <c r="H1531" s="104" t="inlineStr">
        <is>
          <t>Software</t>
        </is>
      </c>
      <c r="I1531" s="104" t="n"/>
      <c r="J1531" s="104" t="n"/>
      <c r="K1531" s="104" t="n"/>
      <c r="L1531" s="104" t="n"/>
      <c r="M1531" s="104" t="n"/>
      <c r="N1531" s="104" t="n"/>
      <c r="O1531" s="104" t="n"/>
      <c r="P1531" s="104" t="n"/>
      <c r="Q1531" s="104" t="n"/>
      <c r="R1531" s="104" t="n"/>
      <c r="S1531" s="110" t="n"/>
      <c r="T1531" s="110" t="n"/>
      <c r="U1531" s="104" t="n"/>
    </row>
    <row r="1532">
      <c r="A1532" s="104" t="inlineStr">
        <is>
          <t>GUIDE001531</t>
        </is>
      </c>
      <c r="B1532" s="101" t="inlineStr">
        <is>
          <t>DEV000023</t>
        </is>
      </c>
      <c r="C1532" s="103" t="inlineStr">
        <is>
          <t>APL</t>
        </is>
      </c>
      <c r="D1532" s="103" t="inlineStr">
        <is>
          <t>PHN</t>
        </is>
      </c>
      <c r="E1532" s="60" t="inlineStr">
        <is>
          <t>iPhone 11 Pro</t>
        </is>
      </c>
      <c r="F1532" s="104" t="inlineStr">
        <is>
          <t>SVC000038</t>
        </is>
      </c>
      <c r="G1532" s="104" t="inlineStr">
        <is>
          <t>Account Recovery</t>
        </is>
      </c>
      <c r="H1532" s="104" t="inlineStr">
        <is>
          <t>Software</t>
        </is>
      </c>
      <c r="I1532" s="104" t="n"/>
      <c r="J1532" s="104" t="n"/>
      <c r="K1532" s="104" t="n"/>
      <c r="L1532" s="104" t="n"/>
      <c r="M1532" s="104" t="n"/>
      <c r="N1532" s="104" t="n"/>
      <c r="O1532" s="104" t="n"/>
      <c r="P1532" s="104" t="n"/>
      <c r="Q1532" s="104" t="n"/>
      <c r="R1532" s="104" t="n"/>
      <c r="S1532" s="110" t="n"/>
      <c r="T1532" s="110" t="n"/>
      <c r="U1532" s="104" t="n"/>
    </row>
    <row r="1533">
      <c r="A1533" s="104" t="inlineStr">
        <is>
          <t>GUIDE001532</t>
        </is>
      </c>
      <c r="B1533" s="101" t="inlineStr">
        <is>
          <t>DEV000024</t>
        </is>
      </c>
      <c r="C1533" s="103" t="inlineStr">
        <is>
          <t>APL</t>
        </is>
      </c>
      <c r="D1533" s="103" t="inlineStr">
        <is>
          <t>PHN</t>
        </is>
      </c>
      <c r="E1533" s="60" t="inlineStr">
        <is>
          <t>iPhone 11 Pro Max</t>
        </is>
      </c>
      <c r="F1533" s="104" t="inlineStr">
        <is>
          <t>SVC000038</t>
        </is>
      </c>
      <c r="G1533" s="104" t="inlineStr">
        <is>
          <t>Account Recovery</t>
        </is>
      </c>
      <c r="H1533" s="104" t="inlineStr">
        <is>
          <t>Software</t>
        </is>
      </c>
      <c r="I1533" s="104" t="n"/>
      <c r="J1533" s="104" t="n"/>
      <c r="K1533" s="104" t="n"/>
      <c r="L1533" s="104" t="n"/>
      <c r="M1533" s="104" t="n"/>
      <c r="N1533" s="104" t="n"/>
      <c r="O1533" s="104" t="n"/>
      <c r="P1533" s="104" t="n"/>
      <c r="Q1533" s="104" t="n"/>
      <c r="R1533" s="104" t="n"/>
      <c r="S1533" s="110" t="n"/>
      <c r="T1533" s="110" t="n"/>
      <c r="U1533" s="104" t="n"/>
    </row>
    <row r="1534">
      <c r="A1534" s="104" t="inlineStr">
        <is>
          <t>GUIDE001533</t>
        </is>
      </c>
      <c r="B1534" s="101" t="inlineStr">
        <is>
          <t>DEV000025</t>
        </is>
      </c>
      <c r="C1534" s="103" t="inlineStr">
        <is>
          <t>APL</t>
        </is>
      </c>
      <c r="D1534" s="103" t="inlineStr">
        <is>
          <t>PHN</t>
        </is>
      </c>
      <c r="E1534" s="60" t="inlineStr">
        <is>
          <t>iPhone SE (2nd Generation)</t>
        </is>
      </c>
      <c r="F1534" s="104" t="inlineStr">
        <is>
          <t>SVC000038</t>
        </is>
      </c>
      <c r="G1534" s="104" t="inlineStr">
        <is>
          <t>Account Recovery</t>
        </is>
      </c>
      <c r="H1534" s="104" t="inlineStr">
        <is>
          <t>Software</t>
        </is>
      </c>
      <c r="I1534" s="104" t="n"/>
      <c r="J1534" s="104" t="n"/>
      <c r="K1534" s="104" t="n"/>
      <c r="L1534" s="104" t="n"/>
      <c r="M1534" s="104" t="n"/>
      <c r="N1534" s="104" t="n"/>
      <c r="O1534" s="104" t="n"/>
      <c r="P1534" s="104" t="n"/>
      <c r="Q1534" s="104" t="n"/>
      <c r="R1534" s="104" t="n"/>
      <c r="S1534" s="110" t="n"/>
      <c r="T1534" s="110" t="n"/>
      <c r="U1534" s="104" t="n"/>
    </row>
    <row r="1535">
      <c r="A1535" s="104" t="inlineStr">
        <is>
          <t>GUIDE001534</t>
        </is>
      </c>
      <c r="B1535" s="101" t="inlineStr">
        <is>
          <t>DEV000026</t>
        </is>
      </c>
      <c r="C1535" s="103" t="inlineStr">
        <is>
          <t>APL</t>
        </is>
      </c>
      <c r="D1535" s="103" t="inlineStr">
        <is>
          <t>PHN</t>
        </is>
      </c>
      <c r="E1535" s="60" t="inlineStr">
        <is>
          <t>iPhone 12 mini</t>
        </is>
      </c>
      <c r="F1535" s="104" t="inlineStr">
        <is>
          <t>SVC000038</t>
        </is>
      </c>
      <c r="G1535" s="104" t="inlineStr">
        <is>
          <t>Account Recovery</t>
        </is>
      </c>
      <c r="H1535" s="104" t="inlineStr">
        <is>
          <t>Software</t>
        </is>
      </c>
      <c r="I1535" s="104" t="n"/>
      <c r="J1535" s="104" t="n"/>
      <c r="K1535" s="104" t="n"/>
      <c r="L1535" s="104" t="n"/>
      <c r="M1535" s="104" t="n"/>
      <c r="N1535" s="104" t="n"/>
      <c r="O1535" s="104" t="n"/>
      <c r="P1535" s="104" t="n"/>
      <c r="Q1535" s="104" t="n"/>
      <c r="R1535" s="104" t="n"/>
      <c r="S1535" s="110" t="n"/>
      <c r="T1535" s="110" t="n"/>
      <c r="U1535" s="104" t="n"/>
    </row>
    <row r="1536">
      <c r="A1536" s="104" t="inlineStr">
        <is>
          <t>GUIDE001535</t>
        </is>
      </c>
      <c r="B1536" s="101" t="inlineStr">
        <is>
          <t>DEV000027</t>
        </is>
      </c>
      <c r="C1536" s="103" t="inlineStr">
        <is>
          <t>APL</t>
        </is>
      </c>
      <c r="D1536" s="103" t="inlineStr">
        <is>
          <t>PHN</t>
        </is>
      </c>
      <c r="E1536" s="60" t="inlineStr">
        <is>
          <t>iPhone 12</t>
        </is>
      </c>
      <c r="F1536" s="104" t="inlineStr">
        <is>
          <t>SVC000038</t>
        </is>
      </c>
      <c r="G1536" s="104" t="inlineStr">
        <is>
          <t>Account Recovery</t>
        </is>
      </c>
      <c r="H1536" s="104" t="inlineStr">
        <is>
          <t>Software</t>
        </is>
      </c>
      <c r="I1536" s="104" t="n"/>
      <c r="J1536" s="104" t="n"/>
      <c r="K1536" s="104" t="n"/>
      <c r="L1536" s="104" t="n"/>
      <c r="M1536" s="104" t="n"/>
      <c r="N1536" s="104" t="n"/>
      <c r="O1536" s="104" t="n"/>
      <c r="P1536" s="104" t="n"/>
      <c r="Q1536" s="104" t="n"/>
      <c r="R1536" s="104" t="n"/>
      <c r="S1536" s="110" t="n"/>
      <c r="T1536" s="110" t="n"/>
      <c r="U1536" s="104" t="n"/>
    </row>
    <row r="1537">
      <c r="A1537" s="105" t="inlineStr">
        <is>
          <t>GUIDE001536</t>
        </is>
      </c>
      <c r="B1537" s="101" t="inlineStr">
        <is>
          <t>DEV000028</t>
        </is>
      </c>
      <c r="C1537" s="103" t="inlineStr">
        <is>
          <t>APL</t>
        </is>
      </c>
      <c r="D1537" s="103" t="inlineStr">
        <is>
          <t>PHN</t>
        </is>
      </c>
      <c r="E1537" s="60" t="inlineStr">
        <is>
          <t>iPhone 12 Pro</t>
        </is>
      </c>
      <c r="F1537" s="104" t="inlineStr">
        <is>
          <t>SVC000038</t>
        </is>
      </c>
      <c r="G1537" s="104" t="inlineStr">
        <is>
          <t>Account Recovery</t>
        </is>
      </c>
      <c r="H1537" s="104" t="inlineStr">
        <is>
          <t>Software</t>
        </is>
      </c>
      <c r="I1537" s="104" t="n"/>
      <c r="J1537" s="104" t="n"/>
      <c r="K1537" s="104" t="n"/>
      <c r="L1537" s="104" t="n"/>
      <c r="M1537" s="104" t="n"/>
      <c r="N1537" s="104" t="n"/>
      <c r="O1537" s="104" t="n"/>
      <c r="P1537" s="104" t="n"/>
      <c r="Q1537" s="104" t="n"/>
      <c r="R1537" s="104" t="n"/>
      <c r="S1537" s="110" t="n"/>
      <c r="T1537" s="110" t="n"/>
      <c r="U1537" s="104" t="n"/>
    </row>
    <row r="1538">
      <c r="A1538" s="104" t="inlineStr">
        <is>
          <t>GUIDE001537</t>
        </is>
      </c>
      <c r="B1538" s="101" t="inlineStr">
        <is>
          <t>DEV000029</t>
        </is>
      </c>
      <c r="C1538" s="103" t="inlineStr">
        <is>
          <t>APL</t>
        </is>
      </c>
      <c r="D1538" s="103" t="inlineStr">
        <is>
          <t>PHN</t>
        </is>
      </c>
      <c r="E1538" s="60" t="inlineStr">
        <is>
          <t>iPhone 12 Pro Max</t>
        </is>
      </c>
      <c r="F1538" s="104" t="inlineStr">
        <is>
          <t>SVC000038</t>
        </is>
      </c>
      <c r="G1538" s="104" t="inlineStr">
        <is>
          <t>Account Recovery</t>
        </is>
      </c>
      <c r="H1538" s="104" t="inlineStr">
        <is>
          <t>Software</t>
        </is>
      </c>
      <c r="I1538" s="104" t="n"/>
      <c r="J1538" s="104" t="n"/>
      <c r="K1538" s="104" t="n"/>
      <c r="L1538" s="104" t="n"/>
      <c r="M1538" s="104" t="n"/>
      <c r="N1538" s="104" t="n"/>
      <c r="O1538" s="104" t="n"/>
      <c r="P1538" s="104" t="n"/>
      <c r="Q1538" s="104" t="n"/>
      <c r="R1538" s="104" t="n"/>
      <c r="S1538" s="110" t="n"/>
      <c r="T1538" s="110" t="n"/>
      <c r="U1538" s="104" t="n"/>
    </row>
    <row r="1539">
      <c r="A1539" s="104" t="inlineStr">
        <is>
          <t>GUIDE001538</t>
        </is>
      </c>
      <c r="B1539" s="101" t="inlineStr">
        <is>
          <t>DEV000030</t>
        </is>
      </c>
      <c r="C1539" s="103" t="inlineStr">
        <is>
          <t>APL</t>
        </is>
      </c>
      <c r="D1539" s="103" t="inlineStr">
        <is>
          <t>PHN</t>
        </is>
      </c>
      <c r="E1539" s="60" t="inlineStr">
        <is>
          <t>iPhone 13 mini</t>
        </is>
      </c>
      <c r="F1539" s="104" t="inlineStr">
        <is>
          <t>SVC000038</t>
        </is>
      </c>
      <c r="G1539" s="104" t="inlineStr">
        <is>
          <t>Account Recovery</t>
        </is>
      </c>
      <c r="H1539" s="104" t="inlineStr">
        <is>
          <t>Software</t>
        </is>
      </c>
      <c r="I1539" s="104" t="n"/>
      <c r="J1539" s="104" t="n"/>
      <c r="K1539" s="104" t="n"/>
      <c r="L1539" s="104" t="n"/>
      <c r="M1539" s="104" t="n"/>
      <c r="N1539" s="104" t="n"/>
      <c r="O1539" s="104" t="n"/>
      <c r="P1539" s="104" t="n"/>
      <c r="Q1539" s="104" t="n"/>
      <c r="R1539" s="104" t="n"/>
      <c r="S1539" s="110" t="n"/>
      <c r="T1539" s="110" t="n"/>
      <c r="U1539" s="104" t="n"/>
    </row>
    <row r="1540">
      <c r="A1540" s="104" t="inlineStr">
        <is>
          <t>GUIDE001539</t>
        </is>
      </c>
      <c r="B1540" s="101" t="inlineStr">
        <is>
          <t>DEV000031</t>
        </is>
      </c>
      <c r="C1540" s="103" t="inlineStr">
        <is>
          <t>APL</t>
        </is>
      </c>
      <c r="D1540" s="103" t="inlineStr">
        <is>
          <t>PHN</t>
        </is>
      </c>
      <c r="E1540" s="60" t="inlineStr">
        <is>
          <t>iPhone 13</t>
        </is>
      </c>
      <c r="F1540" s="104" t="inlineStr">
        <is>
          <t>SVC000038</t>
        </is>
      </c>
      <c r="G1540" s="104" t="inlineStr">
        <is>
          <t>Account Recovery</t>
        </is>
      </c>
      <c r="H1540" s="104" t="inlineStr">
        <is>
          <t>Software</t>
        </is>
      </c>
      <c r="I1540" s="104" t="n"/>
      <c r="J1540" s="104" t="n"/>
      <c r="K1540" s="104" t="n"/>
      <c r="L1540" s="104" t="n"/>
      <c r="M1540" s="104" t="n"/>
      <c r="N1540" s="104" t="n"/>
      <c r="O1540" s="104" t="n"/>
      <c r="P1540" s="104" t="n"/>
      <c r="Q1540" s="104" t="n"/>
      <c r="R1540" s="104" t="n"/>
      <c r="S1540" s="110" t="n"/>
      <c r="T1540" s="110" t="n"/>
      <c r="U1540" s="104" t="n"/>
    </row>
    <row r="1541">
      <c r="A1541" s="104" t="inlineStr">
        <is>
          <t>GUIDE001540</t>
        </is>
      </c>
      <c r="B1541" s="101" t="inlineStr">
        <is>
          <t>DEV000032</t>
        </is>
      </c>
      <c r="C1541" s="103" t="inlineStr">
        <is>
          <t>APL</t>
        </is>
      </c>
      <c r="D1541" s="103" t="inlineStr">
        <is>
          <t>PHN</t>
        </is>
      </c>
      <c r="E1541" s="60" t="inlineStr">
        <is>
          <t>iPhone 13 Pro</t>
        </is>
      </c>
      <c r="F1541" s="104" t="inlineStr">
        <is>
          <t>SVC000038</t>
        </is>
      </c>
      <c r="G1541" s="104" t="inlineStr">
        <is>
          <t>Account Recovery</t>
        </is>
      </c>
      <c r="H1541" s="104" t="inlineStr">
        <is>
          <t>Software</t>
        </is>
      </c>
      <c r="I1541" s="104" t="n"/>
      <c r="J1541" s="104" t="n"/>
      <c r="K1541" s="104" t="n"/>
      <c r="L1541" s="104" t="n"/>
      <c r="M1541" s="104" t="n"/>
      <c r="N1541" s="104" t="n"/>
      <c r="O1541" s="104" t="n"/>
      <c r="P1541" s="104" t="n"/>
      <c r="Q1541" s="104" t="n"/>
      <c r="R1541" s="104" t="n"/>
      <c r="S1541" s="110" t="n"/>
      <c r="T1541" s="110" t="n"/>
      <c r="U1541" s="104" t="n"/>
    </row>
    <row r="1542">
      <c r="A1542" s="104" t="inlineStr">
        <is>
          <t>GUIDE001541</t>
        </is>
      </c>
      <c r="B1542" s="101" t="inlineStr">
        <is>
          <t>DEV000033</t>
        </is>
      </c>
      <c r="C1542" s="103" t="inlineStr">
        <is>
          <t>APL</t>
        </is>
      </c>
      <c r="D1542" s="103" t="inlineStr">
        <is>
          <t>PHN</t>
        </is>
      </c>
      <c r="E1542" s="60" t="inlineStr">
        <is>
          <t>iPhone 13 Pro Max</t>
        </is>
      </c>
      <c r="F1542" s="104" t="inlineStr">
        <is>
          <t>SVC000038</t>
        </is>
      </c>
      <c r="G1542" s="104" t="inlineStr">
        <is>
          <t>Account Recovery</t>
        </is>
      </c>
      <c r="H1542" s="104" t="inlineStr">
        <is>
          <t>Software</t>
        </is>
      </c>
      <c r="I1542" s="104" t="n"/>
      <c r="J1542" s="104" t="n"/>
      <c r="K1542" s="104" t="n"/>
      <c r="L1542" s="104" t="n"/>
      <c r="M1542" s="104" t="n"/>
      <c r="N1542" s="104" t="n"/>
      <c r="O1542" s="104" t="n"/>
      <c r="P1542" s="104" t="n"/>
      <c r="Q1542" s="104" t="n"/>
      <c r="R1542" s="104" t="n"/>
      <c r="S1542" s="110" t="n"/>
      <c r="T1542" s="110" t="n"/>
      <c r="U1542" s="104" t="n"/>
    </row>
    <row r="1543">
      <c r="A1543" s="105" t="inlineStr">
        <is>
          <t>GUIDE001542</t>
        </is>
      </c>
      <c r="B1543" s="101" t="inlineStr">
        <is>
          <t>DEV000034</t>
        </is>
      </c>
      <c r="C1543" s="103" t="inlineStr">
        <is>
          <t>APL</t>
        </is>
      </c>
      <c r="D1543" s="103" t="inlineStr">
        <is>
          <t>PHN</t>
        </is>
      </c>
      <c r="E1543" s="60" t="inlineStr">
        <is>
          <t>iPhone SE (3rd Generation)</t>
        </is>
      </c>
      <c r="F1543" s="104" t="inlineStr">
        <is>
          <t>SVC000038</t>
        </is>
      </c>
      <c r="G1543" s="104" t="inlineStr">
        <is>
          <t>Account Recovery</t>
        </is>
      </c>
      <c r="H1543" s="104" t="inlineStr">
        <is>
          <t>Software</t>
        </is>
      </c>
      <c r="I1543" s="104" t="n"/>
      <c r="J1543" s="104" t="n"/>
      <c r="K1543" s="104" t="n"/>
      <c r="L1543" s="104" t="n"/>
      <c r="M1543" s="104" t="n"/>
      <c r="N1543" s="104" t="n"/>
      <c r="O1543" s="104" t="n"/>
      <c r="P1543" s="104" t="n"/>
      <c r="Q1543" s="104" t="n"/>
      <c r="R1543" s="104" t="n"/>
      <c r="S1543" s="110" t="n"/>
      <c r="T1543" s="110" t="n"/>
      <c r="U1543" s="104" t="n"/>
    </row>
    <row r="1544">
      <c r="A1544" s="104" t="inlineStr">
        <is>
          <t>GUIDE001543</t>
        </is>
      </c>
      <c r="B1544" s="101" t="inlineStr">
        <is>
          <t>DEV000035</t>
        </is>
      </c>
      <c r="C1544" s="103" t="inlineStr">
        <is>
          <t>APL</t>
        </is>
      </c>
      <c r="D1544" s="103" t="inlineStr">
        <is>
          <t>PHN</t>
        </is>
      </c>
      <c r="E1544" s="60" t="inlineStr">
        <is>
          <t>iPhone 14</t>
        </is>
      </c>
      <c r="F1544" s="104" t="inlineStr">
        <is>
          <t>SVC000038</t>
        </is>
      </c>
      <c r="G1544" s="104" t="inlineStr">
        <is>
          <t>Account Recovery</t>
        </is>
      </c>
      <c r="H1544" s="104" t="inlineStr">
        <is>
          <t>Software</t>
        </is>
      </c>
      <c r="I1544" s="104" t="n"/>
      <c r="J1544" s="104" t="n"/>
      <c r="K1544" s="104" t="n"/>
      <c r="L1544" s="104" t="n"/>
      <c r="M1544" s="104" t="n"/>
      <c r="N1544" s="104" t="n"/>
      <c r="O1544" s="104" t="n"/>
      <c r="P1544" s="104" t="n"/>
      <c r="Q1544" s="104" t="n"/>
      <c r="R1544" s="104" t="n"/>
      <c r="S1544" s="110" t="n"/>
      <c r="T1544" s="110" t="n"/>
      <c r="U1544" s="104" t="n"/>
    </row>
    <row r="1545">
      <c r="A1545" s="104" t="inlineStr">
        <is>
          <t>GUIDE001544</t>
        </is>
      </c>
      <c r="B1545" s="101" t="inlineStr">
        <is>
          <t>DEV000036</t>
        </is>
      </c>
      <c r="C1545" s="103" t="inlineStr">
        <is>
          <t>APL</t>
        </is>
      </c>
      <c r="D1545" s="103" t="inlineStr">
        <is>
          <t>PHN</t>
        </is>
      </c>
      <c r="E1545" s="60" t="inlineStr">
        <is>
          <t>iPhone 14 Plus</t>
        </is>
      </c>
      <c r="F1545" s="104" t="inlineStr">
        <is>
          <t>SVC000038</t>
        </is>
      </c>
      <c r="G1545" s="104" t="inlineStr">
        <is>
          <t>Account Recovery</t>
        </is>
      </c>
      <c r="H1545" s="104" t="inlineStr">
        <is>
          <t>Software</t>
        </is>
      </c>
      <c r="I1545" s="104" t="n"/>
      <c r="J1545" s="104" t="n"/>
      <c r="K1545" s="104" t="n"/>
      <c r="L1545" s="104" t="n"/>
      <c r="M1545" s="104" t="n"/>
      <c r="N1545" s="104" t="n"/>
      <c r="O1545" s="104" t="n"/>
      <c r="P1545" s="104" t="n"/>
      <c r="Q1545" s="104" t="n"/>
      <c r="R1545" s="104" t="n"/>
      <c r="S1545" s="110" t="n"/>
      <c r="T1545" s="110" t="n"/>
      <c r="U1545" s="104" t="n"/>
    </row>
    <row r="1546">
      <c r="A1546" s="104" t="inlineStr">
        <is>
          <t>GUIDE001545</t>
        </is>
      </c>
      <c r="B1546" s="101" t="inlineStr">
        <is>
          <t>DEV000037</t>
        </is>
      </c>
      <c r="C1546" s="103" t="inlineStr">
        <is>
          <t>APL</t>
        </is>
      </c>
      <c r="D1546" s="103" t="inlineStr">
        <is>
          <t>PHN</t>
        </is>
      </c>
      <c r="E1546" s="60" t="inlineStr">
        <is>
          <t>iPhone 14 Pro</t>
        </is>
      </c>
      <c r="F1546" s="104" t="inlineStr">
        <is>
          <t>SVC000038</t>
        </is>
      </c>
      <c r="G1546" s="104" t="inlineStr">
        <is>
          <t>Account Recovery</t>
        </is>
      </c>
      <c r="H1546" s="104" t="inlineStr">
        <is>
          <t>Software</t>
        </is>
      </c>
      <c r="I1546" s="104" t="n"/>
      <c r="J1546" s="104" t="n"/>
      <c r="K1546" s="104" t="n"/>
      <c r="L1546" s="104" t="n"/>
      <c r="M1546" s="104" t="n"/>
      <c r="N1546" s="104" t="n"/>
      <c r="O1546" s="104" t="n"/>
      <c r="P1546" s="104" t="n"/>
      <c r="Q1546" s="104" t="n"/>
      <c r="R1546" s="104" t="n"/>
      <c r="S1546" s="110" t="n"/>
      <c r="T1546" s="110" t="n"/>
      <c r="U1546" s="104" t="n"/>
    </row>
    <row r="1547">
      <c r="A1547" s="104" t="inlineStr">
        <is>
          <t>GUIDE001546</t>
        </is>
      </c>
      <c r="B1547" s="101" t="inlineStr">
        <is>
          <t>DEV000038</t>
        </is>
      </c>
      <c r="C1547" s="103" t="inlineStr">
        <is>
          <t>APL</t>
        </is>
      </c>
      <c r="D1547" s="103" t="inlineStr">
        <is>
          <t>PHN</t>
        </is>
      </c>
      <c r="E1547" s="60" t="inlineStr">
        <is>
          <t>iPhone 14 Pro Max</t>
        </is>
      </c>
      <c r="F1547" s="104" t="inlineStr">
        <is>
          <t>SVC000038</t>
        </is>
      </c>
      <c r="G1547" s="104" t="inlineStr">
        <is>
          <t>Account Recovery</t>
        </is>
      </c>
      <c r="H1547" s="104" t="inlineStr">
        <is>
          <t>Software</t>
        </is>
      </c>
      <c r="I1547" s="104" t="n"/>
      <c r="J1547" s="104" t="n"/>
      <c r="K1547" s="104" t="n"/>
      <c r="L1547" s="104" t="n"/>
      <c r="M1547" s="104" t="n"/>
      <c r="N1547" s="104" t="n"/>
      <c r="O1547" s="104" t="n"/>
      <c r="P1547" s="104" t="n"/>
      <c r="Q1547" s="104" t="n"/>
      <c r="R1547" s="104" t="n"/>
      <c r="S1547" s="110" t="n"/>
      <c r="T1547" s="110" t="n"/>
      <c r="U1547" s="104" t="n"/>
    </row>
    <row r="1548">
      <c r="A1548" s="104" t="inlineStr">
        <is>
          <t>GUIDE001547</t>
        </is>
      </c>
      <c r="B1548" s="101" t="inlineStr">
        <is>
          <t>DEV000039</t>
        </is>
      </c>
      <c r="C1548" s="103" t="inlineStr">
        <is>
          <t>APL</t>
        </is>
      </c>
      <c r="D1548" s="103" t="inlineStr">
        <is>
          <t>PHN</t>
        </is>
      </c>
      <c r="E1548" s="60" t="inlineStr">
        <is>
          <t>iPhone 15</t>
        </is>
      </c>
      <c r="F1548" s="104" t="inlineStr">
        <is>
          <t>SVC000038</t>
        </is>
      </c>
      <c r="G1548" s="104" t="inlineStr">
        <is>
          <t>Account Recovery</t>
        </is>
      </c>
      <c r="H1548" s="104" t="inlineStr">
        <is>
          <t>Software</t>
        </is>
      </c>
      <c r="I1548" s="104" t="n"/>
      <c r="J1548" s="104" t="n"/>
      <c r="K1548" s="104" t="n"/>
      <c r="L1548" s="104" t="n"/>
      <c r="M1548" s="104" t="n"/>
      <c r="N1548" s="104" t="n"/>
      <c r="O1548" s="104" t="n"/>
      <c r="P1548" s="104" t="n"/>
      <c r="Q1548" s="104" t="n"/>
      <c r="R1548" s="104" t="n"/>
      <c r="S1548" s="110" t="n"/>
      <c r="T1548" s="110" t="n"/>
      <c r="U1548" s="104" t="n"/>
    </row>
    <row r="1549">
      <c r="A1549" s="105" t="inlineStr">
        <is>
          <t>GUIDE001548</t>
        </is>
      </c>
      <c r="B1549" s="101" t="inlineStr">
        <is>
          <t>DEV000040</t>
        </is>
      </c>
      <c r="C1549" s="103" t="inlineStr">
        <is>
          <t>APL</t>
        </is>
      </c>
      <c r="D1549" s="103" t="inlineStr">
        <is>
          <t>PHN</t>
        </is>
      </c>
      <c r="E1549" s="60" t="inlineStr">
        <is>
          <t>iPhone 15 Plus</t>
        </is>
      </c>
      <c r="F1549" s="104" t="inlineStr">
        <is>
          <t>SVC000038</t>
        </is>
      </c>
      <c r="G1549" s="104" t="inlineStr">
        <is>
          <t>Account Recovery</t>
        </is>
      </c>
      <c r="H1549" s="104" t="inlineStr">
        <is>
          <t>Software</t>
        </is>
      </c>
      <c r="I1549" s="104" t="n"/>
      <c r="J1549" s="104" t="n"/>
      <c r="K1549" s="104" t="n"/>
      <c r="L1549" s="104" t="n"/>
      <c r="M1549" s="104" t="n"/>
      <c r="N1549" s="104" t="n"/>
      <c r="O1549" s="104" t="n"/>
      <c r="P1549" s="104" t="n"/>
      <c r="Q1549" s="104" t="n"/>
      <c r="R1549" s="104" t="n"/>
      <c r="S1549" s="110" t="n"/>
      <c r="T1549" s="110" t="n"/>
      <c r="U1549" s="104" t="n"/>
    </row>
    <row r="1550">
      <c r="A1550" s="104" t="inlineStr">
        <is>
          <t>GUIDE001549</t>
        </is>
      </c>
      <c r="B1550" s="101" t="inlineStr">
        <is>
          <t>DEV000041</t>
        </is>
      </c>
      <c r="C1550" s="103" t="inlineStr">
        <is>
          <t>APL</t>
        </is>
      </c>
      <c r="D1550" s="103" t="inlineStr">
        <is>
          <t>PHN</t>
        </is>
      </c>
      <c r="E1550" s="60" t="inlineStr">
        <is>
          <t>iPhone 15 Pro</t>
        </is>
      </c>
      <c r="F1550" s="104" t="inlineStr">
        <is>
          <t>SVC000038</t>
        </is>
      </c>
      <c r="G1550" s="104" t="inlineStr">
        <is>
          <t>Account Recovery</t>
        </is>
      </c>
      <c r="H1550" s="104" t="inlineStr">
        <is>
          <t>Software</t>
        </is>
      </c>
      <c r="I1550" s="104" t="n"/>
      <c r="J1550" s="104" t="n"/>
      <c r="K1550" s="104" t="n"/>
      <c r="L1550" s="104" t="n"/>
      <c r="M1550" s="104" t="n"/>
      <c r="N1550" s="104" t="n"/>
      <c r="O1550" s="104" t="n"/>
      <c r="P1550" s="104" t="n"/>
      <c r="Q1550" s="104" t="n"/>
      <c r="R1550" s="104" t="n"/>
      <c r="S1550" s="110" t="n"/>
      <c r="T1550" s="110" t="n"/>
      <c r="U1550" s="104" t="n"/>
    </row>
    <row r="1551">
      <c r="A1551" s="104" t="inlineStr">
        <is>
          <t>GUIDE001550</t>
        </is>
      </c>
      <c r="B1551" s="101" t="inlineStr">
        <is>
          <t>DEV000042</t>
        </is>
      </c>
      <c r="C1551" s="103" t="inlineStr">
        <is>
          <t>APL</t>
        </is>
      </c>
      <c r="D1551" s="103" t="inlineStr">
        <is>
          <t>PHN</t>
        </is>
      </c>
      <c r="E1551" s="60" t="inlineStr">
        <is>
          <t>iPhone 15 Pro Max</t>
        </is>
      </c>
      <c r="F1551" s="104" t="inlineStr">
        <is>
          <t>SVC000038</t>
        </is>
      </c>
      <c r="G1551" s="104" t="inlineStr">
        <is>
          <t>Account Recovery</t>
        </is>
      </c>
      <c r="H1551" s="104" t="inlineStr">
        <is>
          <t>Software</t>
        </is>
      </c>
      <c r="I1551" s="104" t="n"/>
      <c r="J1551" s="104" t="n"/>
      <c r="K1551" s="104" t="n"/>
      <c r="L1551" s="104" t="n"/>
      <c r="M1551" s="104" t="n"/>
      <c r="N1551" s="104" t="n"/>
      <c r="O1551" s="104" t="n"/>
      <c r="P1551" s="104" t="n"/>
      <c r="Q1551" s="104" t="n"/>
      <c r="R1551" s="104" t="n"/>
      <c r="S1551" s="110" t="n"/>
      <c r="T1551" s="110" t="n"/>
      <c r="U1551" s="104" t="n"/>
    </row>
    <row r="1552">
      <c r="A1552" s="104" t="inlineStr">
        <is>
          <t>GUIDE001551</t>
        </is>
      </c>
      <c r="B1552" s="101" t="inlineStr">
        <is>
          <t>DEV000043</t>
        </is>
      </c>
      <c r="C1552" s="103" t="inlineStr">
        <is>
          <t>APL</t>
        </is>
      </c>
      <c r="D1552" s="103" t="inlineStr">
        <is>
          <t>PHN</t>
        </is>
      </c>
      <c r="E1552" s="60" t="inlineStr">
        <is>
          <t>iPhone 16</t>
        </is>
      </c>
      <c r="F1552" s="104" t="inlineStr">
        <is>
          <t>SVC000038</t>
        </is>
      </c>
      <c r="G1552" s="104" t="inlineStr">
        <is>
          <t>Account Recovery</t>
        </is>
      </c>
      <c r="H1552" s="104" t="inlineStr">
        <is>
          <t>Software</t>
        </is>
      </c>
      <c r="I1552" s="104" t="n"/>
      <c r="J1552" s="104" t="n"/>
      <c r="K1552" s="104" t="n"/>
      <c r="L1552" s="104" t="n"/>
      <c r="M1552" s="104" t="n"/>
      <c r="N1552" s="104" t="n"/>
      <c r="O1552" s="104" t="n"/>
      <c r="P1552" s="104" t="n"/>
      <c r="Q1552" s="104" t="n"/>
      <c r="R1552" s="104" t="n"/>
      <c r="S1552" s="110" t="n"/>
      <c r="T1552" s="110" t="n"/>
      <c r="U1552" s="104" t="n"/>
    </row>
    <row r="1553">
      <c r="A1553" s="104" t="inlineStr">
        <is>
          <t>GUIDE001552</t>
        </is>
      </c>
      <c r="B1553" s="101" t="inlineStr">
        <is>
          <t>DEV000044</t>
        </is>
      </c>
      <c r="C1553" s="103" t="inlineStr">
        <is>
          <t>APL</t>
        </is>
      </c>
      <c r="D1553" s="103" t="inlineStr">
        <is>
          <t>PHN</t>
        </is>
      </c>
      <c r="E1553" s="60" t="inlineStr">
        <is>
          <t>iPhone 16 Plus</t>
        </is>
      </c>
      <c r="F1553" s="104" t="inlineStr">
        <is>
          <t>SVC000038</t>
        </is>
      </c>
      <c r="G1553" s="104" t="inlineStr">
        <is>
          <t>Account Recovery</t>
        </is>
      </c>
      <c r="H1553" s="104" t="inlineStr">
        <is>
          <t>Software</t>
        </is>
      </c>
      <c r="I1553" s="104" t="n"/>
      <c r="J1553" s="104" t="n"/>
      <c r="K1553" s="104" t="n"/>
      <c r="L1553" s="104" t="n"/>
      <c r="M1553" s="104" t="n"/>
      <c r="N1553" s="104" t="n"/>
      <c r="O1553" s="104" t="n"/>
      <c r="P1553" s="104" t="n"/>
      <c r="Q1553" s="104" t="n"/>
      <c r="R1553" s="104" t="n"/>
      <c r="S1553" s="110" t="n"/>
      <c r="T1553" s="110" t="n"/>
      <c r="U1553" s="104" t="n"/>
    </row>
    <row r="1554">
      <c r="A1554" s="104" t="inlineStr">
        <is>
          <t>GUIDE001553</t>
        </is>
      </c>
      <c r="B1554" s="101" t="inlineStr">
        <is>
          <t>DEV000045</t>
        </is>
      </c>
      <c r="C1554" s="103" t="inlineStr">
        <is>
          <t>APL</t>
        </is>
      </c>
      <c r="D1554" s="103" t="inlineStr">
        <is>
          <t>PHN</t>
        </is>
      </c>
      <c r="E1554" s="60" t="inlineStr">
        <is>
          <t>iPhone 16 Pro</t>
        </is>
      </c>
      <c r="F1554" s="104" t="inlineStr">
        <is>
          <t>SVC000038</t>
        </is>
      </c>
      <c r="G1554" s="104" t="inlineStr">
        <is>
          <t>Account Recovery</t>
        </is>
      </c>
      <c r="H1554" s="104" t="inlineStr">
        <is>
          <t>Software</t>
        </is>
      </c>
      <c r="I1554" s="104" t="n"/>
      <c r="J1554" s="104" t="n"/>
      <c r="K1554" s="104" t="n"/>
      <c r="L1554" s="104" t="n"/>
      <c r="M1554" s="104" t="n"/>
      <c r="N1554" s="104" t="n"/>
      <c r="O1554" s="104" t="n"/>
      <c r="P1554" s="104" t="n"/>
      <c r="Q1554" s="104" t="n"/>
      <c r="R1554" s="104" t="n"/>
      <c r="S1554" s="110" t="n"/>
      <c r="T1554" s="110" t="n"/>
      <c r="U1554" s="104" t="n"/>
    </row>
    <row r="1555">
      <c r="A1555" s="105" t="inlineStr">
        <is>
          <t>GUIDE001554</t>
        </is>
      </c>
      <c r="B1555" s="101" t="inlineStr">
        <is>
          <t>DEV000046</t>
        </is>
      </c>
      <c r="C1555" s="103" t="inlineStr">
        <is>
          <t>APL</t>
        </is>
      </c>
      <c r="D1555" s="103" t="inlineStr">
        <is>
          <t>PHN</t>
        </is>
      </c>
      <c r="E1555" s="60" t="inlineStr">
        <is>
          <t>iPhone 16 Pro Max</t>
        </is>
      </c>
      <c r="F1555" s="104" t="inlineStr">
        <is>
          <t>SVC000038</t>
        </is>
      </c>
      <c r="G1555" s="104" t="inlineStr">
        <is>
          <t>Account Recovery</t>
        </is>
      </c>
      <c r="H1555" s="104" t="inlineStr">
        <is>
          <t>Software</t>
        </is>
      </c>
      <c r="I1555" s="104" t="n"/>
      <c r="J1555" s="104" t="n"/>
      <c r="K1555" s="104" t="n"/>
      <c r="L1555" s="104" t="n"/>
      <c r="M1555" s="104" t="n"/>
      <c r="N1555" s="104" t="n"/>
      <c r="O1555" s="104" t="n"/>
      <c r="P1555" s="104" t="n"/>
      <c r="Q1555" s="104" t="n"/>
      <c r="R1555" s="104" t="n"/>
      <c r="S1555" s="110" t="n"/>
      <c r="T1555" s="110" t="n"/>
      <c r="U1555" s="104" t="n"/>
    </row>
    <row r="1556">
      <c r="A1556" s="104" t="inlineStr">
        <is>
          <t>GUIDE001555</t>
        </is>
      </c>
      <c r="B1556" s="101" t="inlineStr">
        <is>
          <t>DEV000047</t>
        </is>
      </c>
      <c r="C1556" s="103" t="inlineStr">
        <is>
          <t>APL</t>
        </is>
      </c>
      <c r="D1556" s="103" t="inlineStr">
        <is>
          <t>PHN</t>
        </is>
      </c>
      <c r="E1556" s="60" t="inlineStr">
        <is>
          <t>iPhone 16e</t>
        </is>
      </c>
      <c r="F1556" s="104" t="inlineStr">
        <is>
          <t>SVC000038</t>
        </is>
      </c>
      <c r="G1556" s="104" t="inlineStr">
        <is>
          <t>Account Recovery</t>
        </is>
      </c>
      <c r="H1556" s="104" t="inlineStr">
        <is>
          <t>Software</t>
        </is>
      </c>
      <c r="I1556" s="104" t="n"/>
      <c r="J1556" s="104" t="n"/>
      <c r="K1556" s="104" t="n"/>
      <c r="L1556" s="104" t="n"/>
      <c r="M1556" s="104" t="n"/>
      <c r="N1556" s="104" t="n"/>
      <c r="O1556" s="104" t="n"/>
      <c r="P1556" s="104" t="n"/>
      <c r="Q1556" s="104" t="n"/>
      <c r="R1556" s="104" t="n"/>
      <c r="S1556" s="110" t="n"/>
      <c r="T1556" s="110" t="n"/>
      <c r="U1556" s="104" t="n"/>
    </row>
    <row r="1557">
      <c r="A1557" s="104" t="inlineStr">
        <is>
          <t>GUIDE001556</t>
        </is>
      </c>
      <c r="B1557" s="101" t="inlineStr">
        <is>
          <t>DEV000048</t>
        </is>
      </c>
      <c r="C1557" s="103" t="inlineStr">
        <is>
          <t>APL</t>
        </is>
      </c>
      <c r="D1557" s="103" t="inlineStr">
        <is>
          <t>PHN</t>
        </is>
      </c>
      <c r="E1557" s="60" t="inlineStr">
        <is>
          <t>iPhone 17</t>
        </is>
      </c>
      <c r="F1557" s="104" t="inlineStr">
        <is>
          <t>SVC000038</t>
        </is>
      </c>
      <c r="G1557" s="104" t="inlineStr">
        <is>
          <t>Account Recovery</t>
        </is>
      </c>
      <c r="H1557" s="104" t="inlineStr">
        <is>
          <t>Software</t>
        </is>
      </c>
      <c r="I1557" s="104" t="n"/>
      <c r="J1557" s="104" t="n"/>
      <c r="K1557" s="104" t="n"/>
      <c r="L1557" s="104" t="n"/>
      <c r="M1557" s="104" t="n"/>
      <c r="N1557" s="104" t="n"/>
      <c r="O1557" s="104" t="n"/>
      <c r="P1557" s="104" t="n"/>
      <c r="Q1557" s="104" t="n"/>
      <c r="R1557" s="104" t="n"/>
      <c r="S1557" s="110" t="n"/>
      <c r="T1557" s="110" t="n"/>
      <c r="U1557" s="104" t="n"/>
    </row>
    <row r="1558">
      <c r="A1558" s="104" t="inlineStr">
        <is>
          <t>GUIDE001557</t>
        </is>
      </c>
      <c r="B1558" s="101" t="inlineStr">
        <is>
          <t>DEV000049</t>
        </is>
      </c>
      <c r="C1558" s="103" t="inlineStr">
        <is>
          <t>APL</t>
        </is>
      </c>
      <c r="D1558" s="103" t="inlineStr">
        <is>
          <t>PHN</t>
        </is>
      </c>
      <c r="E1558" s="60" t="inlineStr">
        <is>
          <t>iPhone 17 Pro</t>
        </is>
      </c>
      <c r="F1558" s="104" t="inlineStr">
        <is>
          <t>SVC000038</t>
        </is>
      </c>
      <c r="G1558" s="104" t="inlineStr">
        <is>
          <t>Account Recovery</t>
        </is>
      </c>
      <c r="H1558" s="104" t="inlineStr">
        <is>
          <t>Software</t>
        </is>
      </c>
      <c r="I1558" s="104" t="n"/>
      <c r="J1558" s="104" t="n"/>
      <c r="K1558" s="104" t="n"/>
      <c r="L1558" s="104" t="n"/>
      <c r="M1558" s="104" t="n"/>
      <c r="N1558" s="104" t="n"/>
      <c r="O1558" s="104" t="n"/>
      <c r="P1558" s="104" t="n"/>
      <c r="Q1558" s="104" t="n"/>
      <c r="R1558" s="104" t="n"/>
      <c r="S1558" s="110" t="n"/>
      <c r="T1558" s="110" t="n"/>
      <c r="U1558" s="104" t="n"/>
    </row>
    <row r="1559">
      <c r="A1559" s="104" t="inlineStr">
        <is>
          <t>GUIDE001558</t>
        </is>
      </c>
      <c r="B1559" s="101" t="inlineStr">
        <is>
          <t>DEV000050</t>
        </is>
      </c>
      <c r="C1559" s="103" t="inlineStr">
        <is>
          <t>APL</t>
        </is>
      </c>
      <c r="D1559" s="103" t="inlineStr">
        <is>
          <t>PHN</t>
        </is>
      </c>
      <c r="E1559" s="60" t="inlineStr">
        <is>
          <t>iPhone 17 Pro Max</t>
        </is>
      </c>
      <c r="F1559" s="104" t="inlineStr">
        <is>
          <t>SVC000038</t>
        </is>
      </c>
      <c r="G1559" s="104" t="inlineStr">
        <is>
          <t>Account Recovery</t>
        </is>
      </c>
      <c r="H1559" s="104" t="inlineStr">
        <is>
          <t>Software</t>
        </is>
      </c>
      <c r="I1559" s="104" t="n"/>
      <c r="J1559" s="104" t="n"/>
      <c r="K1559" s="104" t="n"/>
      <c r="L1559" s="104" t="n"/>
      <c r="M1559" s="104" t="n"/>
      <c r="N1559" s="104" t="n"/>
      <c r="O1559" s="104" t="n"/>
      <c r="P1559" s="104" t="n"/>
      <c r="Q1559" s="104" t="n"/>
      <c r="R1559" s="104" t="n"/>
      <c r="S1559" s="110" t="n"/>
      <c r="T1559" s="110" t="n"/>
      <c r="U1559" s="104" t="n"/>
    </row>
    <row r="1560">
      <c r="A1560" s="104" t="inlineStr">
        <is>
          <t>GUIDE001559</t>
        </is>
      </c>
      <c r="B1560" s="101" t="inlineStr">
        <is>
          <t>DEV000051</t>
        </is>
      </c>
      <c r="C1560" s="103" t="inlineStr">
        <is>
          <t>APL</t>
        </is>
      </c>
      <c r="D1560" s="103" t="inlineStr">
        <is>
          <t>PHN</t>
        </is>
      </c>
      <c r="E1560" s="60" t="inlineStr">
        <is>
          <t>iPhone Air</t>
        </is>
      </c>
      <c r="F1560" s="104" t="inlineStr">
        <is>
          <t>SVC000038</t>
        </is>
      </c>
      <c r="G1560" s="104" t="inlineStr">
        <is>
          <t>Account Recovery</t>
        </is>
      </c>
      <c r="H1560" s="104" t="inlineStr">
        <is>
          <t>Software</t>
        </is>
      </c>
      <c r="I1560" s="104" t="n"/>
      <c r="J1560" s="104" t="n"/>
      <c r="K1560" s="104" t="n"/>
      <c r="L1560" s="104" t="n"/>
      <c r="M1560" s="104" t="n"/>
      <c r="N1560" s="104" t="n"/>
      <c r="O1560" s="104" t="n"/>
      <c r="P1560" s="104" t="n"/>
      <c r="Q1560" s="104" t="n"/>
      <c r="R1560" s="104" t="n"/>
      <c r="S1560" s="110" t="n"/>
      <c r="T1560" s="110" t="n"/>
      <c r="U1560" s="104" t="n"/>
    </row>
    <row r="1561">
      <c r="A1561" s="105" t="inlineStr">
        <is>
          <t>GUIDE001560</t>
        </is>
      </c>
      <c r="B1561" s="101" t="inlineStr">
        <is>
          <t>DEV000052</t>
        </is>
      </c>
      <c r="C1561" s="103" t="inlineStr">
        <is>
          <t>APL</t>
        </is>
      </c>
      <c r="D1561" s="103" t="inlineStr">
        <is>
          <t>PHN</t>
        </is>
      </c>
      <c r="E1561" s="60" t="inlineStr">
        <is>
          <t>iPhone 17e</t>
        </is>
      </c>
      <c r="F1561" s="104" t="inlineStr">
        <is>
          <t>SVC000038</t>
        </is>
      </c>
      <c r="G1561" s="104" t="inlineStr">
        <is>
          <t>Account Recovery</t>
        </is>
      </c>
      <c r="H1561" s="104" t="inlineStr">
        <is>
          <t>Software</t>
        </is>
      </c>
      <c r="I1561" s="104" t="n"/>
      <c r="J1561" s="104" t="n"/>
      <c r="K1561" s="104" t="n"/>
      <c r="L1561" s="104" t="n"/>
      <c r="M1561" s="104" t="n"/>
      <c r="N1561" s="104" t="n"/>
      <c r="O1561" s="104" t="n"/>
      <c r="P1561" s="104" t="n"/>
      <c r="Q1561" s="104" t="n"/>
      <c r="R1561" s="104" t="n"/>
      <c r="S1561" s="110" t="n"/>
      <c r="T1561" s="110" t="n"/>
      <c r="U1561" s="104" t="n"/>
    </row>
    <row r="1562">
      <c r="A1562" s="104" t="inlineStr">
        <is>
          <t>GUIDE001561</t>
        </is>
      </c>
      <c r="B1562" s="101" t="inlineStr">
        <is>
          <t>DEV000001</t>
        </is>
      </c>
      <c r="C1562" s="103" t="inlineStr">
        <is>
          <t>APL</t>
        </is>
      </c>
      <c r="D1562" s="103" t="inlineStr">
        <is>
          <t>PHN</t>
        </is>
      </c>
      <c r="E1562" s="60" t="inlineStr">
        <is>
          <t>iPhone (2G)</t>
        </is>
      </c>
      <c r="F1562" s="104" t="inlineStr">
        <is>
          <t>SVC000059</t>
        </is>
      </c>
      <c r="G1562" s="104" t="inlineStr">
        <is>
          <t>Bluetooth Repair</t>
        </is>
      </c>
      <c r="H1562" s="104" t="inlineStr">
        <is>
          <t>Connectivity</t>
        </is>
      </c>
      <c r="I1562" s="104" t="n"/>
      <c r="J1562" s="104" t="n"/>
      <c r="K1562" s="104" t="n"/>
      <c r="L1562" s="104" t="n"/>
      <c r="M1562" s="104" t="n"/>
      <c r="N1562" s="104" t="n"/>
      <c r="O1562" s="104" t="n"/>
      <c r="P1562" s="104" t="n"/>
      <c r="Q1562" s="104" t="n"/>
      <c r="R1562" s="104" t="n"/>
      <c r="S1562" s="110" t="n"/>
      <c r="T1562" s="110" t="n"/>
      <c r="U1562" s="104" t="n"/>
    </row>
    <row r="1563">
      <c r="A1563" s="104" t="inlineStr">
        <is>
          <t>GUIDE001562</t>
        </is>
      </c>
      <c r="B1563" s="101" t="inlineStr">
        <is>
          <t>DEV000002</t>
        </is>
      </c>
      <c r="C1563" s="103" t="inlineStr">
        <is>
          <t>APL</t>
        </is>
      </c>
      <c r="D1563" s="103" t="inlineStr">
        <is>
          <t>PHN</t>
        </is>
      </c>
      <c r="E1563" s="60" t="inlineStr">
        <is>
          <t>iPhone 3G</t>
        </is>
      </c>
      <c r="F1563" s="104" t="inlineStr">
        <is>
          <t>SVC000059</t>
        </is>
      </c>
      <c r="G1563" s="104" t="inlineStr">
        <is>
          <t>Bluetooth Repair</t>
        </is>
      </c>
      <c r="H1563" s="104" t="inlineStr">
        <is>
          <t>Connectivity</t>
        </is>
      </c>
      <c r="I1563" s="104" t="n"/>
      <c r="J1563" s="104" t="n"/>
      <c r="K1563" s="104" t="n"/>
      <c r="L1563" s="104" t="n"/>
      <c r="M1563" s="104" t="n"/>
      <c r="N1563" s="104" t="n"/>
      <c r="O1563" s="104" t="n"/>
      <c r="P1563" s="104" t="n"/>
      <c r="Q1563" s="104" t="n"/>
      <c r="R1563" s="104" t="n"/>
      <c r="S1563" s="110" t="n"/>
      <c r="T1563" s="110" t="n"/>
      <c r="U1563" s="104" t="n"/>
    </row>
    <row r="1564">
      <c r="A1564" s="104" t="inlineStr">
        <is>
          <t>GUIDE001563</t>
        </is>
      </c>
      <c r="B1564" s="101" t="inlineStr">
        <is>
          <t>DEV000003</t>
        </is>
      </c>
      <c r="C1564" s="103" t="inlineStr">
        <is>
          <t>APL</t>
        </is>
      </c>
      <c r="D1564" s="103" t="inlineStr">
        <is>
          <t>PHN</t>
        </is>
      </c>
      <c r="E1564" s="60" t="inlineStr">
        <is>
          <t>iPhone 3GS</t>
        </is>
      </c>
      <c r="F1564" s="104" t="inlineStr">
        <is>
          <t>SVC000059</t>
        </is>
      </c>
      <c r="G1564" s="104" t="inlineStr">
        <is>
          <t>Bluetooth Repair</t>
        </is>
      </c>
      <c r="H1564" s="104" t="inlineStr">
        <is>
          <t>Connectivity</t>
        </is>
      </c>
      <c r="I1564" s="104" t="n"/>
      <c r="J1564" s="104" t="n"/>
      <c r="K1564" s="104" t="n"/>
      <c r="L1564" s="104" t="n"/>
      <c r="M1564" s="104" t="n"/>
      <c r="N1564" s="104" t="n"/>
      <c r="O1564" s="104" t="n"/>
      <c r="P1564" s="104" t="n"/>
      <c r="Q1564" s="104" t="n"/>
      <c r="R1564" s="104" t="n"/>
      <c r="S1564" s="110" t="n"/>
      <c r="T1564" s="110" t="n"/>
      <c r="U1564" s="104" t="n"/>
    </row>
    <row r="1565">
      <c r="A1565" s="104" t="inlineStr">
        <is>
          <t>GUIDE001564</t>
        </is>
      </c>
      <c r="B1565" s="101" t="inlineStr">
        <is>
          <t>DEV000004</t>
        </is>
      </c>
      <c r="C1565" s="103" t="inlineStr">
        <is>
          <t>APL</t>
        </is>
      </c>
      <c r="D1565" s="103" t="inlineStr">
        <is>
          <t>PHN</t>
        </is>
      </c>
      <c r="E1565" s="60" t="inlineStr">
        <is>
          <t>iPhone 4</t>
        </is>
      </c>
      <c r="F1565" s="104" t="inlineStr">
        <is>
          <t>SVC000059</t>
        </is>
      </c>
      <c r="G1565" s="104" t="inlineStr">
        <is>
          <t>Bluetooth Repair</t>
        </is>
      </c>
      <c r="H1565" s="104" t="inlineStr">
        <is>
          <t>Connectivity</t>
        </is>
      </c>
      <c r="I1565" s="104" t="n"/>
      <c r="J1565" s="104" t="n"/>
      <c r="K1565" s="104" t="n"/>
      <c r="L1565" s="104" t="n"/>
      <c r="M1565" s="104" t="n"/>
      <c r="N1565" s="104" t="n"/>
      <c r="O1565" s="104" t="n"/>
      <c r="P1565" s="104" t="n"/>
      <c r="Q1565" s="104" t="n"/>
      <c r="R1565" s="104" t="n"/>
      <c r="S1565" s="110" t="n"/>
      <c r="T1565" s="110" t="n"/>
      <c r="U1565" s="104" t="n"/>
    </row>
    <row r="1566">
      <c r="A1566" s="104" t="inlineStr">
        <is>
          <t>GUIDE001565</t>
        </is>
      </c>
      <c r="B1566" s="101" t="inlineStr">
        <is>
          <t>DEV000005</t>
        </is>
      </c>
      <c r="C1566" s="103" t="inlineStr">
        <is>
          <t>APL</t>
        </is>
      </c>
      <c r="D1566" s="103" t="inlineStr">
        <is>
          <t>PHN</t>
        </is>
      </c>
      <c r="E1566" s="60" t="inlineStr">
        <is>
          <t>iPhone 4s</t>
        </is>
      </c>
      <c r="F1566" s="104" t="inlineStr">
        <is>
          <t>SVC000059</t>
        </is>
      </c>
      <c r="G1566" s="104" t="inlineStr">
        <is>
          <t>Bluetooth Repair</t>
        </is>
      </c>
      <c r="H1566" s="104" t="inlineStr">
        <is>
          <t>Connectivity</t>
        </is>
      </c>
      <c r="I1566" s="104" t="n"/>
      <c r="J1566" s="104" t="n"/>
      <c r="K1566" s="104" t="n"/>
      <c r="L1566" s="104" t="n"/>
      <c r="M1566" s="104" t="n"/>
      <c r="N1566" s="104" t="n"/>
      <c r="O1566" s="104" t="n"/>
      <c r="P1566" s="104" t="n"/>
      <c r="Q1566" s="104" t="n"/>
      <c r="R1566" s="104" t="n"/>
      <c r="S1566" s="110" t="n"/>
      <c r="T1566" s="110" t="n"/>
      <c r="U1566" s="104" t="n"/>
    </row>
    <row r="1567">
      <c r="A1567" s="105" t="inlineStr">
        <is>
          <t>GUIDE001566</t>
        </is>
      </c>
      <c r="B1567" s="101" t="inlineStr">
        <is>
          <t>DEV000006</t>
        </is>
      </c>
      <c r="C1567" s="103" t="inlineStr">
        <is>
          <t>APL</t>
        </is>
      </c>
      <c r="D1567" s="103" t="inlineStr">
        <is>
          <t>PHN</t>
        </is>
      </c>
      <c r="E1567" s="60" t="inlineStr">
        <is>
          <t>iPhone 5</t>
        </is>
      </c>
      <c r="F1567" s="104" t="inlineStr">
        <is>
          <t>SVC000059</t>
        </is>
      </c>
      <c r="G1567" s="104" t="inlineStr">
        <is>
          <t>Bluetooth Repair</t>
        </is>
      </c>
      <c r="H1567" s="104" t="inlineStr">
        <is>
          <t>Connectivity</t>
        </is>
      </c>
      <c r="I1567" s="104" t="n"/>
      <c r="J1567" s="104" t="n"/>
      <c r="K1567" s="104" t="n"/>
      <c r="L1567" s="104" t="n"/>
      <c r="M1567" s="104" t="n"/>
      <c r="N1567" s="104" t="n"/>
      <c r="O1567" s="104" t="n"/>
      <c r="P1567" s="104" t="n"/>
      <c r="Q1567" s="104" t="n"/>
      <c r="R1567" s="104" t="n"/>
      <c r="S1567" s="110" t="n"/>
      <c r="T1567" s="110" t="n"/>
      <c r="U1567" s="104" t="n"/>
    </row>
    <row r="1568">
      <c r="A1568" s="104" t="inlineStr">
        <is>
          <t>GUIDE001567</t>
        </is>
      </c>
      <c r="B1568" s="101" t="inlineStr">
        <is>
          <t>DEV000007</t>
        </is>
      </c>
      <c r="C1568" s="103" t="inlineStr">
        <is>
          <t>APL</t>
        </is>
      </c>
      <c r="D1568" s="103" t="inlineStr">
        <is>
          <t>PHN</t>
        </is>
      </c>
      <c r="E1568" s="60" t="inlineStr">
        <is>
          <t>iPhone 5c</t>
        </is>
      </c>
      <c r="F1568" s="104" t="inlineStr">
        <is>
          <t>SVC000059</t>
        </is>
      </c>
      <c r="G1568" s="104" t="inlineStr">
        <is>
          <t>Bluetooth Repair</t>
        </is>
      </c>
      <c r="H1568" s="104" t="inlineStr">
        <is>
          <t>Connectivity</t>
        </is>
      </c>
      <c r="I1568" s="104" t="n"/>
      <c r="J1568" s="104" t="n"/>
      <c r="K1568" s="104" t="n"/>
      <c r="L1568" s="104" t="n"/>
      <c r="M1568" s="104" t="n"/>
      <c r="N1568" s="104" t="n"/>
      <c r="O1568" s="104" t="n"/>
      <c r="P1568" s="104" t="n"/>
      <c r="Q1568" s="104" t="n"/>
      <c r="R1568" s="104" t="n"/>
      <c r="S1568" s="110" t="n"/>
      <c r="T1568" s="110" t="n"/>
      <c r="U1568" s="104" t="n"/>
    </row>
    <row r="1569">
      <c r="A1569" s="104" t="inlineStr">
        <is>
          <t>GUIDE001568</t>
        </is>
      </c>
      <c r="B1569" s="101" t="inlineStr">
        <is>
          <t>DEV000008</t>
        </is>
      </c>
      <c r="C1569" s="103" t="inlineStr">
        <is>
          <t>APL</t>
        </is>
      </c>
      <c r="D1569" s="103" t="inlineStr">
        <is>
          <t>PHN</t>
        </is>
      </c>
      <c r="E1569" s="60" t="inlineStr">
        <is>
          <t>iPhone 5s</t>
        </is>
      </c>
      <c r="F1569" s="104" t="inlineStr">
        <is>
          <t>SVC000059</t>
        </is>
      </c>
      <c r="G1569" s="104" t="inlineStr">
        <is>
          <t>Bluetooth Repair</t>
        </is>
      </c>
      <c r="H1569" s="104" t="inlineStr">
        <is>
          <t>Connectivity</t>
        </is>
      </c>
      <c r="I1569" s="104" t="n"/>
      <c r="J1569" s="104" t="n"/>
      <c r="K1569" s="104" t="n"/>
      <c r="L1569" s="104" t="n"/>
      <c r="M1569" s="104" t="n"/>
      <c r="N1569" s="104" t="n"/>
      <c r="O1569" s="104" t="n"/>
      <c r="P1569" s="104" t="n"/>
      <c r="Q1569" s="104" t="n"/>
      <c r="R1569" s="104" t="n"/>
      <c r="S1569" s="110" t="n"/>
      <c r="T1569" s="110" t="n"/>
      <c r="U1569" s="104" t="n"/>
    </row>
    <row r="1570">
      <c r="A1570" s="104" t="inlineStr">
        <is>
          <t>GUIDE001569</t>
        </is>
      </c>
      <c r="B1570" s="101" t="inlineStr">
        <is>
          <t>DEV000009</t>
        </is>
      </c>
      <c r="C1570" s="103" t="inlineStr">
        <is>
          <t>APL</t>
        </is>
      </c>
      <c r="D1570" s="103" t="inlineStr">
        <is>
          <t>PHN</t>
        </is>
      </c>
      <c r="E1570" s="60" t="inlineStr">
        <is>
          <t>iPhone 6</t>
        </is>
      </c>
      <c r="F1570" s="104" t="inlineStr">
        <is>
          <t>SVC000059</t>
        </is>
      </c>
      <c r="G1570" s="104" t="inlineStr">
        <is>
          <t>Bluetooth Repair</t>
        </is>
      </c>
      <c r="H1570" s="104" t="inlineStr">
        <is>
          <t>Connectivity</t>
        </is>
      </c>
      <c r="I1570" s="104" t="n"/>
      <c r="J1570" s="104" t="n"/>
      <c r="K1570" s="104" t="n"/>
      <c r="L1570" s="104" t="n"/>
      <c r="M1570" s="104" t="n"/>
      <c r="N1570" s="104" t="n"/>
      <c r="O1570" s="104" t="n"/>
      <c r="P1570" s="104" t="n"/>
      <c r="Q1570" s="104" t="n"/>
      <c r="R1570" s="104" t="n"/>
      <c r="S1570" s="110" t="n"/>
      <c r="T1570" s="110" t="n"/>
      <c r="U1570" s="104" t="n"/>
    </row>
    <row r="1571">
      <c r="A1571" s="104" t="inlineStr">
        <is>
          <t>GUIDE001570</t>
        </is>
      </c>
      <c r="B1571" s="101" t="inlineStr">
        <is>
          <t>DEV000010</t>
        </is>
      </c>
      <c r="C1571" s="103" t="inlineStr">
        <is>
          <t>APL</t>
        </is>
      </c>
      <c r="D1571" s="103" t="inlineStr">
        <is>
          <t>PHN</t>
        </is>
      </c>
      <c r="E1571" s="60" t="inlineStr">
        <is>
          <t>iPhone 6 Plus</t>
        </is>
      </c>
      <c r="F1571" s="104" t="inlineStr">
        <is>
          <t>SVC000059</t>
        </is>
      </c>
      <c r="G1571" s="104" t="inlineStr">
        <is>
          <t>Bluetooth Repair</t>
        </is>
      </c>
      <c r="H1571" s="104" t="inlineStr">
        <is>
          <t>Connectivity</t>
        </is>
      </c>
      <c r="I1571" s="104" t="n"/>
      <c r="J1571" s="104" t="n"/>
      <c r="K1571" s="104" t="n"/>
      <c r="L1571" s="104" t="n"/>
      <c r="M1571" s="104" t="n"/>
      <c r="N1571" s="104" t="n"/>
      <c r="O1571" s="104" t="n"/>
      <c r="P1571" s="104" t="n"/>
      <c r="Q1571" s="104" t="n"/>
      <c r="R1571" s="104" t="n"/>
      <c r="S1571" s="110" t="n"/>
      <c r="T1571" s="110" t="n"/>
      <c r="U1571" s="104" t="n"/>
    </row>
    <row r="1572">
      <c r="A1572" s="104" t="inlineStr">
        <is>
          <t>GUIDE001571</t>
        </is>
      </c>
      <c r="B1572" s="101" t="inlineStr">
        <is>
          <t>DEV000011</t>
        </is>
      </c>
      <c r="C1572" s="103" t="inlineStr">
        <is>
          <t>APL</t>
        </is>
      </c>
      <c r="D1572" s="103" t="inlineStr">
        <is>
          <t>PHN</t>
        </is>
      </c>
      <c r="E1572" s="60" t="inlineStr">
        <is>
          <t>iPhone 6s</t>
        </is>
      </c>
      <c r="F1572" s="104" t="inlineStr">
        <is>
          <t>SVC000059</t>
        </is>
      </c>
      <c r="G1572" s="104" t="inlineStr">
        <is>
          <t>Bluetooth Repair</t>
        </is>
      </c>
      <c r="H1572" s="104" t="inlineStr">
        <is>
          <t>Connectivity</t>
        </is>
      </c>
      <c r="I1572" s="104" t="n"/>
      <c r="J1572" s="104" t="n"/>
      <c r="K1572" s="104" t="n"/>
      <c r="L1572" s="104" t="n"/>
      <c r="M1572" s="104" t="n"/>
      <c r="N1572" s="104" t="n"/>
      <c r="O1572" s="104" t="n"/>
      <c r="P1572" s="104" t="n"/>
      <c r="Q1572" s="104" t="n"/>
      <c r="R1572" s="104" t="n"/>
      <c r="S1572" s="110" t="n"/>
      <c r="T1572" s="110" t="n"/>
      <c r="U1572" s="104" t="n"/>
    </row>
    <row r="1573">
      <c r="A1573" s="105" t="inlineStr">
        <is>
          <t>GUIDE001572</t>
        </is>
      </c>
      <c r="B1573" s="101" t="inlineStr">
        <is>
          <t>DEV000012</t>
        </is>
      </c>
      <c r="C1573" s="103" t="inlineStr">
        <is>
          <t>APL</t>
        </is>
      </c>
      <c r="D1573" s="103" t="inlineStr">
        <is>
          <t>PHN</t>
        </is>
      </c>
      <c r="E1573" s="60" t="inlineStr">
        <is>
          <t>iPhone 6s Plus</t>
        </is>
      </c>
      <c r="F1573" s="104" t="inlineStr">
        <is>
          <t>SVC000059</t>
        </is>
      </c>
      <c r="G1573" s="104" t="inlineStr">
        <is>
          <t>Bluetooth Repair</t>
        </is>
      </c>
      <c r="H1573" s="104" t="inlineStr">
        <is>
          <t>Connectivity</t>
        </is>
      </c>
      <c r="I1573" s="104" t="n"/>
      <c r="J1573" s="104" t="n"/>
      <c r="K1573" s="104" t="n"/>
      <c r="L1573" s="104" t="n"/>
      <c r="M1573" s="104" t="n"/>
      <c r="N1573" s="104" t="n"/>
      <c r="O1573" s="104" t="n"/>
      <c r="P1573" s="104" t="n"/>
      <c r="Q1573" s="104" t="n"/>
      <c r="R1573" s="104" t="n"/>
      <c r="S1573" s="110" t="n"/>
      <c r="T1573" s="110" t="n"/>
      <c r="U1573" s="104" t="n"/>
    </row>
    <row r="1574">
      <c r="A1574" s="104" t="inlineStr">
        <is>
          <t>GUIDE001573</t>
        </is>
      </c>
      <c r="B1574" s="101" t="inlineStr">
        <is>
          <t>DEV000013</t>
        </is>
      </c>
      <c r="C1574" s="103" t="inlineStr">
        <is>
          <t>APL</t>
        </is>
      </c>
      <c r="D1574" s="103" t="inlineStr">
        <is>
          <t>PHN</t>
        </is>
      </c>
      <c r="E1574" s="60" t="inlineStr">
        <is>
          <t>iPhone SE (1st Gen)</t>
        </is>
      </c>
      <c r="F1574" s="104" t="inlineStr">
        <is>
          <t>SVC000059</t>
        </is>
      </c>
      <c r="G1574" s="104" t="inlineStr">
        <is>
          <t>Bluetooth Repair</t>
        </is>
      </c>
      <c r="H1574" s="104" t="inlineStr">
        <is>
          <t>Connectivity</t>
        </is>
      </c>
      <c r="I1574" s="104" t="n"/>
      <c r="J1574" s="104" t="n"/>
      <c r="K1574" s="104" t="n"/>
      <c r="L1574" s="104" t="n"/>
      <c r="M1574" s="104" t="n"/>
      <c r="N1574" s="104" t="n"/>
      <c r="O1574" s="104" t="n"/>
      <c r="P1574" s="104" t="n"/>
      <c r="Q1574" s="104" t="n"/>
      <c r="R1574" s="104" t="n"/>
      <c r="S1574" s="110" t="n"/>
      <c r="T1574" s="110" t="n"/>
      <c r="U1574" s="104" t="n"/>
    </row>
    <row r="1575">
      <c r="A1575" s="104" t="inlineStr">
        <is>
          <t>GUIDE001574</t>
        </is>
      </c>
      <c r="B1575" s="101" t="inlineStr">
        <is>
          <t>DEV000014</t>
        </is>
      </c>
      <c r="C1575" s="103" t="inlineStr">
        <is>
          <t>APL</t>
        </is>
      </c>
      <c r="D1575" s="103" t="inlineStr">
        <is>
          <t>PHN</t>
        </is>
      </c>
      <c r="E1575" s="60" t="inlineStr">
        <is>
          <t>iPhone 7</t>
        </is>
      </c>
      <c r="F1575" s="104" t="inlineStr">
        <is>
          <t>SVC000059</t>
        </is>
      </c>
      <c r="G1575" s="104" t="inlineStr">
        <is>
          <t>Bluetooth Repair</t>
        </is>
      </c>
      <c r="H1575" s="104" t="inlineStr">
        <is>
          <t>Connectivity</t>
        </is>
      </c>
      <c r="I1575" s="104" t="n"/>
      <c r="J1575" s="104" t="n"/>
      <c r="K1575" s="104" t="n"/>
      <c r="L1575" s="104" t="n"/>
      <c r="M1575" s="104" t="n"/>
      <c r="N1575" s="104" t="n"/>
      <c r="O1575" s="104" t="n"/>
      <c r="P1575" s="104" t="n"/>
      <c r="Q1575" s="104" t="n"/>
      <c r="R1575" s="104" t="n"/>
      <c r="S1575" s="110" t="n"/>
      <c r="T1575" s="110" t="n"/>
      <c r="U1575" s="104" t="n"/>
    </row>
    <row r="1576">
      <c r="A1576" s="104" t="inlineStr">
        <is>
          <t>GUIDE001575</t>
        </is>
      </c>
      <c r="B1576" s="101" t="inlineStr">
        <is>
          <t>DEV000015</t>
        </is>
      </c>
      <c r="C1576" s="103" t="inlineStr">
        <is>
          <t>APL</t>
        </is>
      </c>
      <c r="D1576" s="103" t="inlineStr">
        <is>
          <t>PHN</t>
        </is>
      </c>
      <c r="E1576" s="60" t="inlineStr">
        <is>
          <t>iPhone 7 Plus</t>
        </is>
      </c>
      <c r="F1576" s="104" t="inlineStr">
        <is>
          <t>SVC000059</t>
        </is>
      </c>
      <c r="G1576" s="104" t="inlineStr">
        <is>
          <t>Bluetooth Repair</t>
        </is>
      </c>
      <c r="H1576" s="104" t="inlineStr">
        <is>
          <t>Connectivity</t>
        </is>
      </c>
      <c r="I1576" s="104" t="n"/>
      <c r="J1576" s="104" t="n"/>
      <c r="K1576" s="104" t="n"/>
      <c r="L1576" s="104" t="n"/>
      <c r="M1576" s="104" t="n"/>
      <c r="N1576" s="104" t="n"/>
      <c r="O1576" s="104" t="n"/>
      <c r="P1576" s="104" t="n"/>
      <c r="Q1576" s="104" t="n"/>
      <c r="R1576" s="104" t="n"/>
      <c r="S1576" s="110" t="n"/>
      <c r="T1576" s="110" t="n"/>
      <c r="U1576" s="104" t="n"/>
    </row>
    <row r="1577">
      <c r="A1577" s="104" t="inlineStr">
        <is>
          <t>GUIDE001576</t>
        </is>
      </c>
      <c r="B1577" s="101" t="inlineStr">
        <is>
          <t>DEV000016</t>
        </is>
      </c>
      <c r="C1577" s="103" t="inlineStr">
        <is>
          <t>APL</t>
        </is>
      </c>
      <c r="D1577" s="103" t="inlineStr">
        <is>
          <t>PHN</t>
        </is>
      </c>
      <c r="E1577" s="60" t="inlineStr">
        <is>
          <t>iPhone 8</t>
        </is>
      </c>
      <c r="F1577" s="104" t="inlineStr">
        <is>
          <t>SVC000059</t>
        </is>
      </c>
      <c r="G1577" s="104" t="inlineStr">
        <is>
          <t>Bluetooth Repair</t>
        </is>
      </c>
      <c r="H1577" s="104" t="inlineStr">
        <is>
          <t>Connectivity</t>
        </is>
      </c>
      <c r="I1577" s="104" t="n"/>
      <c r="J1577" s="104" t="n"/>
      <c r="K1577" s="104" t="n"/>
      <c r="L1577" s="104" t="n"/>
      <c r="M1577" s="104" t="n"/>
      <c r="N1577" s="104" t="n"/>
      <c r="O1577" s="104" t="n"/>
      <c r="P1577" s="104" t="n"/>
      <c r="Q1577" s="104" t="n"/>
      <c r="R1577" s="104" t="n"/>
      <c r="S1577" s="110" t="n"/>
      <c r="T1577" s="110" t="n"/>
      <c r="U1577" s="104" t="n"/>
    </row>
    <row r="1578">
      <c r="A1578" s="104" t="inlineStr">
        <is>
          <t>GUIDE001577</t>
        </is>
      </c>
      <c r="B1578" s="101" t="inlineStr">
        <is>
          <t>DEV000017</t>
        </is>
      </c>
      <c r="C1578" s="103" t="inlineStr">
        <is>
          <t>APL</t>
        </is>
      </c>
      <c r="D1578" s="103" t="inlineStr">
        <is>
          <t>PHN</t>
        </is>
      </c>
      <c r="E1578" s="60" t="inlineStr">
        <is>
          <t>iPhone 8 Plus</t>
        </is>
      </c>
      <c r="F1578" s="104" t="inlineStr">
        <is>
          <t>SVC000059</t>
        </is>
      </c>
      <c r="G1578" s="104" t="inlineStr">
        <is>
          <t>Bluetooth Repair</t>
        </is>
      </c>
      <c r="H1578" s="104" t="inlineStr">
        <is>
          <t>Connectivity</t>
        </is>
      </c>
      <c r="I1578" s="104" t="n"/>
      <c r="J1578" s="104" t="n"/>
      <c r="K1578" s="104" t="n"/>
      <c r="L1578" s="104" t="n"/>
      <c r="M1578" s="104" t="n"/>
      <c r="N1578" s="104" t="n"/>
      <c r="O1578" s="104" t="n"/>
      <c r="P1578" s="104" t="n"/>
      <c r="Q1578" s="104" t="n"/>
      <c r="R1578" s="104" t="n"/>
      <c r="S1578" s="110" t="n"/>
      <c r="T1578" s="110" t="n"/>
      <c r="U1578" s="104" t="n"/>
    </row>
    <row r="1579">
      <c r="A1579" s="105" t="inlineStr">
        <is>
          <t>GUIDE001578</t>
        </is>
      </c>
      <c r="B1579" s="101" t="inlineStr">
        <is>
          <t>DEV000018</t>
        </is>
      </c>
      <c r="C1579" s="103" t="inlineStr">
        <is>
          <t>APL</t>
        </is>
      </c>
      <c r="D1579" s="103" t="inlineStr">
        <is>
          <t>PHN</t>
        </is>
      </c>
      <c r="E1579" s="60" t="inlineStr">
        <is>
          <t>iPhone X</t>
        </is>
      </c>
      <c r="F1579" s="104" t="inlineStr">
        <is>
          <t>SVC000059</t>
        </is>
      </c>
      <c r="G1579" s="104" t="inlineStr">
        <is>
          <t>Bluetooth Repair</t>
        </is>
      </c>
      <c r="H1579" s="104" t="inlineStr">
        <is>
          <t>Connectivity</t>
        </is>
      </c>
      <c r="I1579" s="104" t="n"/>
      <c r="J1579" s="104" t="n"/>
      <c r="K1579" s="104" t="n"/>
      <c r="L1579" s="104" t="n"/>
      <c r="M1579" s="104" t="n"/>
      <c r="N1579" s="104" t="n"/>
      <c r="O1579" s="104" t="n"/>
      <c r="P1579" s="104" t="n"/>
      <c r="Q1579" s="104" t="n"/>
      <c r="R1579" s="104" t="n"/>
      <c r="S1579" s="110" t="n"/>
      <c r="T1579" s="110" t="n"/>
      <c r="U1579" s="104" t="n"/>
    </row>
    <row r="1580">
      <c r="A1580" s="104" t="inlineStr">
        <is>
          <t>GUIDE001579</t>
        </is>
      </c>
      <c r="B1580" s="101" t="inlineStr">
        <is>
          <t>DEV000019</t>
        </is>
      </c>
      <c r="C1580" s="103" t="inlineStr">
        <is>
          <t>APL</t>
        </is>
      </c>
      <c r="D1580" s="103" t="inlineStr">
        <is>
          <t>PHN</t>
        </is>
      </c>
      <c r="E1580" s="60" t="inlineStr">
        <is>
          <t>iPhone XR</t>
        </is>
      </c>
      <c r="F1580" s="104" t="inlineStr">
        <is>
          <t>SVC000059</t>
        </is>
      </c>
      <c r="G1580" s="104" t="inlineStr">
        <is>
          <t>Bluetooth Repair</t>
        </is>
      </c>
      <c r="H1580" s="104" t="inlineStr">
        <is>
          <t>Connectivity</t>
        </is>
      </c>
      <c r="I1580" s="104" t="n"/>
      <c r="J1580" s="104" t="n"/>
      <c r="K1580" s="104" t="n"/>
      <c r="L1580" s="104" t="n"/>
      <c r="M1580" s="104" t="n"/>
      <c r="N1580" s="104" t="n"/>
      <c r="O1580" s="104" t="n"/>
      <c r="P1580" s="104" t="n"/>
      <c r="Q1580" s="104" t="n"/>
      <c r="R1580" s="104" t="n"/>
      <c r="S1580" s="110" t="n"/>
      <c r="T1580" s="110" t="n"/>
      <c r="U1580" s="104" t="n"/>
    </row>
    <row r="1581">
      <c r="A1581" s="104" t="inlineStr">
        <is>
          <t>GUIDE001580</t>
        </is>
      </c>
      <c r="B1581" s="101" t="inlineStr">
        <is>
          <t>DEV000020</t>
        </is>
      </c>
      <c r="C1581" s="103" t="inlineStr">
        <is>
          <t>APL</t>
        </is>
      </c>
      <c r="D1581" s="103" t="inlineStr">
        <is>
          <t>PHN</t>
        </is>
      </c>
      <c r="E1581" s="60" t="inlineStr">
        <is>
          <t>iPhone XS</t>
        </is>
      </c>
      <c r="F1581" s="104" t="inlineStr">
        <is>
          <t>SVC000059</t>
        </is>
      </c>
      <c r="G1581" s="104" t="inlineStr">
        <is>
          <t>Bluetooth Repair</t>
        </is>
      </c>
      <c r="H1581" s="104" t="inlineStr">
        <is>
          <t>Connectivity</t>
        </is>
      </c>
      <c r="I1581" s="104" t="n"/>
      <c r="J1581" s="104" t="n"/>
      <c r="K1581" s="104" t="n"/>
      <c r="L1581" s="104" t="n"/>
      <c r="M1581" s="104" t="n"/>
      <c r="N1581" s="104" t="n"/>
      <c r="O1581" s="104" t="n"/>
      <c r="P1581" s="104" t="n"/>
      <c r="Q1581" s="104" t="n"/>
      <c r="R1581" s="104" t="n"/>
      <c r="S1581" s="110" t="n"/>
      <c r="T1581" s="110" t="n"/>
      <c r="U1581" s="104" t="n"/>
    </row>
    <row r="1582">
      <c r="A1582" s="104" t="inlineStr">
        <is>
          <t>GUIDE001581</t>
        </is>
      </c>
      <c r="B1582" s="101" t="inlineStr">
        <is>
          <t>DEV000021</t>
        </is>
      </c>
      <c r="C1582" s="103" t="inlineStr">
        <is>
          <t>APL</t>
        </is>
      </c>
      <c r="D1582" s="103" t="inlineStr">
        <is>
          <t>PHN</t>
        </is>
      </c>
      <c r="E1582" s="60" t="inlineStr">
        <is>
          <t>iPhone XS Max</t>
        </is>
      </c>
      <c r="F1582" s="104" t="inlineStr">
        <is>
          <t>SVC000059</t>
        </is>
      </c>
      <c r="G1582" s="104" t="inlineStr">
        <is>
          <t>Bluetooth Repair</t>
        </is>
      </c>
      <c r="H1582" s="104" t="inlineStr">
        <is>
          <t>Connectivity</t>
        </is>
      </c>
      <c r="I1582" s="104" t="n"/>
      <c r="J1582" s="104" t="n"/>
      <c r="K1582" s="104" t="n"/>
      <c r="L1582" s="104" t="n"/>
      <c r="M1582" s="104" t="n"/>
      <c r="N1582" s="104" t="n"/>
      <c r="O1582" s="104" t="n"/>
      <c r="P1582" s="104" t="n"/>
      <c r="Q1582" s="104" t="n"/>
      <c r="R1582" s="104" t="n"/>
      <c r="S1582" s="110" t="n"/>
      <c r="T1582" s="110" t="n"/>
      <c r="U1582" s="104" t="n"/>
    </row>
    <row r="1583">
      <c r="A1583" s="104" t="inlineStr">
        <is>
          <t>GUIDE001582</t>
        </is>
      </c>
      <c r="B1583" s="101" t="inlineStr">
        <is>
          <t>DEV000022</t>
        </is>
      </c>
      <c r="C1583" s="103" t="inlineStr">
        <is>
          <t>APL</t>
        </is>
      </c>
      <c r="D1583" s="103" t="inlineStr">
        <is>
          <t>PHN</t>
        </is>
      </c>
      <c r="E1583" s="60" t="inlineStr">
        <is>
          <t>iPhone 11</t>
        </is>
      </c>
      <c r="F1583" s="104" t="inlineStr">
        <is>
          <t>SVC000059</t>
        </is>
      </c>
      <c r="G1583" s="104" t="inlineStr">
        <is>
          <t>Bluetooth Repair</t>
        </is>
      </c>
      <c r="H1583" s="104" t="inlineStr">
        <is>
          <t>Connectivity</t>
        </is>
      </c>
      <c r="I1583" s="104" t="n"/>
      <c r="J1583" s="104" t="n"/>
      <c r="K1583" s="104" t="n"/>
      <c r="L1583" s="104" t="n"/>
      <c r="M1583" s="104" t="n"/>
      <c r="N1583" s="104" t="n"/>
      <c r="O1583" s="104" t="n"/>
      <c r="P1583" s="104" t="n"/>
      <c r="Q1583" s="104" t="n"/>
      <c r="R1583" s="104" t="n"/>
      <c r="S1583" s="110" t="n"/>
      <c r="T1583" s="110" t="n"/>
      <c r="U1583" s="104" t="n"/>
    </row>
    <row r="1584">
      <c r="A1584" s="104" t="inlineStr">
        <is>
          <t>GUIDE001583</t>
        </is>
      </c>
      <c r="B1584" s="101" t="inlineStr">
        <is>
          <t>DEV000023</t>
        </is>
      </c>
      <c r="C1584" s="103" t="inlineStr">
        <is>
          <t>APL</t>
        </is>
      </c>
      <c r="D1584" s="103" t="inlineStr">
        <is>
          <t>PHN</t>
        </is>
      </c>
      <c r="E1584" s="60" t="inlineStr">
        <is>
          <t>iPhone 11 Pro</t>
        </is>
      </c>
      <c r="F1584" s="104" t="inlineStr">
        <is>
          <t>SVC000059</t>
        </is>
      </c>
      <c r="G1584" s="104" t="inlineStr">
        <is>
          <t>Bluetooth Repair</t>
        </is>
      </c>
      <c r="H1584" s="104" t="inlineStr">
        <is>
          <t>Connectivity</t>
        </is>
      </c>
      <c r="I1584" s="104" t="n"/>
      <c r="J1584" s="104" t="n"/>
      <c r="K1584" s="104" t="n"/>
      <c r="L1584" s="104" t="n"/>
      <c r="M1584" s="104" t="n"/>
      <c r="N1584" s="104" t="n"/>
      <c r="O1584" s="104" t="n"/>
      <c r="P1584" s="104" t="n"/>
      <c r="Q1584" s="104" t="n"/>
      <c r="R1584" s="104" t="n"/>
      <c r="S1584" s="110" t="n"/>
      <c r="T1584" s="110" t="n"/>
      <c r="U1584" s="104" t="n"/>
    </row>
    <row r="1585">
      <c r="A1585" s="105" t="inlineStr">
        <is>
          <t>GUIDE001584</t>
        </is>
      </c>
      <c r="B1585" s="101" t="inlineStr">
        <is>
          <t>DEV000024</t>
        </is>
      </c>
      <c r="C1585" s="103" t="inlineStr">
        <is>
          <t>APL</t>
        </is>
      </c>
      <c r="D1585" s="103" t="inlineStr">
        <is>
          <t>PHN</t>
        </is>
      </c>
      <c r="E1585" s="60" t="inlineStr">
        <is>
          <t>iPhone 11 Pro Max</t>
        </is>
      </c>
      <c r="F1585" s="104" t="inlineStr">
        <is>
          <t>SVC000059</t>
        </is>
      </c>
      <c r="G1585" s="104" t="inlineStr">
        <is>
          <t>Bluetooth Repair</t>
        </is>
      </c>
      <c r="H1585" s="104" t="inlineStr">
        <is>
          <t>Connectivity</t>
        </is>
      </c>
      <c r="I1585" s="104" t="n"/>
      <c r="J1585" s="104" t="n"/>
      <c r="K1585" s="104" t="n"/>
      <c r="L1585" s="104" t="n"/>
      <c r="M1585" s="104" t="n"/>
      <c r="N1585" s="104" t="n"/>
      <c r="O1585" s="104" t="n"/>
      <c r="P1585" s="104" t="n"/>
      <c r="Q1585" s="104" t="n"/>
      <c r="R1585" s="104" t="n"/>
      <c r="S1585" s="110" t="n"/>
      <c r="T1585" s="110" t="n"/>
      <c r="U1585" s="104" t="n"/>
    </row>
    <row r="1586">
      <c r="A1586" s="104" t="inlineStr">
        <is>
          <t>GUIDE001585</t>
        </is>
      </c>
      <c r="B1586" s="101" t="inlineStr">
        <is>
          <t>DEV000025</t>
        </is>
      </c>
      <c r="C1586" s="103" t="inlineStr">
        <is>
          <t>APL</t>
        </is>
      </c>
      <c r="D1586" s="103" t="inlineStr">
        <is>
          <t>PHN</t>
        </is>
      </c>
      <c r="E1586" s="60" t="inlineStr">
        <is>
          <t>iPhone SE (2nd Generation)</t>
        </is>
      </c>
      <c r="F1586" s="104" t="inlineStr">
        <is>
          <t>SVC000059</t>
        </is>
      </c>
      <c r="G1586" s="104" t="inlineStr">
        <is>
          <t>Bluetooth Repair</t>
        </is>
      </c>
      <c r="H1586" s="104" t="inlineStr">
        <is>
          <t>Connectivity</t>
        </is>
      </c>
      <c r="I1586" s="104" t="n"/>
      <c r="J1586" s="104" t="n"/>
      <c r="K1586" s="104" t="n"/>
      <c r="L1586" s="104" t="n"/>
      <c r="M1586" s="104" t="n"/>
      <c r="N1586" s="104" t="n"/>
      <c r="O1586" s="104" t="n"/>
      <c r="P1586" s="104" t="n"/>
      <c r="Q1586" s="104" t="n"/>
      <c r="R1586" s="104" t="n"/>
      <c r="S1586" s="110" t="n"/>
      <c r="T1586" s="110" t="n"/>
      <c r="U1586" s="104" t="n"/>
    </row>
    <row r="1587">
      <c r="A1587" s="104" t="inlineStr">
        <is>
          <t>GUIDE001586</t>
        </is>
      </c>
      <c r="B1587" s="101" t="inlineStr">
        <is>
          <t>DEV000026</t>
        </is>
      </c>
      <c r="C1587" s="103" t="inlineStr">
        <is>
          <t>APL</t>
        </is>
      </c>
      <c r="D1587" s="103" t="inlineStr">
        <is>
          <t>PHN</t>
        </is>
      </c>
      <c r="E1587" s="60" t="inlineStr">
        <is>
          <t>iPhone 12 mini</t>
        </is>
      </c>
      <c r="F1587" s="104" t="inlineStr">
        <is>
          <t>SVC000059</t>
        </is>
      </c>
      <c r="G1587" s="104" t="inlineStr">
        <is>
          <t>Bluetooth Repair</t>
        </is>
      </c>
      <c r="H1587" s="104" t="inlineStr">
        <is>
          <t>Connectivity</t>
        </is>
      </c>
      <c r="I1587" s="104" t="n"/>
      <c r="J1587" s="104" t="n"/>
      <c r="K1587" s="104" t="n"/>
      <c r="L1587" s="104" t="n"/>
      <c r="M1587" s="104" t="n"/>
      <c r="N1587" s="104" t="n"/>
      <c r="O1587" s="104" t="n"/>
      <c r="P1587" s="104" t="n"/>
      <c r="Q1587" s="104" t="n"/>
      <c r="R1587" s="104" t="n"/>
      <c r="S1587" s="110" t="n"/>
      <c r="T1587" s="110" t="n"/>
      <c r="U1587" s="104" t="n"/>
    </row>
    <row r="1588">
      <c r="A1588" s="104" t="inlineStr">
        <is>
          <t>GUIDE001587</t>
        </is>
      </c>
      <c r="B1588" s="101" t="inlineStr">
        <is>
          <t>DEV000027</t>
        </is>
      </c>
      <c r="C1588" s="103" t="inlineStr">
        <is>
          <t>APL</t>
        </is>
      </c>
      <c r="D1588" s="103" t="inlineStr">
        <is>
          <t>PHN</t>
        </is>
      </c>
      <c r="E1588" s="60" t="inlineStr">
        <is>
          <t>iPhone 12</t>
        </is>
      </c>
      <c r="F1588" s="104" t="inlineStr">
        <is>
          <t>SVC000059</t>
        </is>
      </c>
      <c r="G1588" s="104" t="inlineStr">
        <is>
          <t>Bluetooth Repair</t>
        </is>
      </c>
      <c r="H1588" s="104" t="inlineStr">
        <is>
          <t>Connectivity</t>
        </is>
      </c>
      <c r="I1588" s="104" t="n"/>
      <c r="J1588" s="104" t="n"/>
      <c r="K1588" s="104" t="n"/>
      <c r="L1588" s="104" t="n"/>
      <c r="M1588" s="104" t="n"/>
      <c r="N1588" s="104" t="n"/>
      <c r="O1588" s="104" t="n"/>
      <c r="P1588" s="104" t="n"/>
      <c r="Q1588" s="104" t="n"/>
      <c r="R1588" s="104" t="n"/>
      <c r="S1588" s="110" t="n"/>
      <c r="T1588" s="110" t="n"/>
      <c r="U1588" s="104" t="n"/>
    </row>
    <row r="1589">
      <c r="A1589" s="104" t="inlineStr">
        <is>
          <t>GUIDE001588</t>
        </is>
      </c>
      <c r="B1589" s="101" t="inlineStr">
        <is>
          <t>DEV000028</t>
        </is>
      </c>
      <c r="C1589" s="103" t="inlineStr">
        <is>
          <t>APL</t>
        </is>
      </c>
      <c r="D1589" s="103" t="inlineStr">
        <is>
          <t>PHN</t>
        </is>
      </c>
      <c r="E1589" s="60" t="inlineStr">
        <is>
          <t>iPhone 12 Pro</t>
        </is>
      </c>
      <c r="F1589" s="104" t="inlineStr">
        <is>
          <t>SVC000059</t>
        </is>
      </c>
      <c r="G1589" s="104" t="inlineStr">
        <is>
          <t>Bluetooth Repair</t>
        </is>
      </c>
      <c r="H1589" s="104" t="inlineStr">
        <is>
          <t>Connectivity</t>
        </is>
      </c>
      <c r="I1589" s="104" t="n"/>
      <c r="J1589" s="104" t="n"/>
      <c r="K1589" s="104" t="n"/>
      <c r="L1589" s="104" t="n"/>
      <c r="M1589" s="104" t="n"/>
      <c r="N1589" s="104" t="n"/>
      <c r="O1589" s="104" t="n"/>
      <c r="P1589" s="104" t="n"/>
      <c r="Q1589" s="104" t="n"/>
      <c r="R1589" s="104" t="n"/>
      <c r="S1589" s="110" t="n"/>
      <c r="T1589" s="110" t="n"/>
      <c r="U1589" s="104" t="n"/>
    </row>
    <row r="1590">
      <c r="A1590" s="104" t="inlineStr">
        <is>
          <t>GUIDE001589</t>
        </is>
      </c>
      <c r="B1590" s="101" t="inlineStr">
        <is>
          <t>DEV000029</t>
        </is>
      </c>
      <c r="C1590" s="103" t="inlineStr">
        <is>
          <t>APL</t>
        </is>
      </c>
      <c r="D1590" s="103" t="inlineStr">
        <is>
          <t>PHN</t>
        </is>
      </c>
      <c r="E1590" s="60" t="inlineStr">
        <is>
          <t>iPhone 12 Pro Max</t>
        </is>
      </c>
      <c r="F1590" s="104" t="inlineStr">
        <is>
          <t>SVC000059</t>
        </is>
      </c>
      <c r="G1590" s="104" t="inlineStr">
        <is>
          <t>Bluetooth Repair</t>
        </is>
      </c>
      <c r="H1590" s="104" t="inlineStr">
        <is>
          <t>Connectivity</t>
        </is>
      </c>
      <c r="I1590" s="104" t="n"/>
      <c r="J1590" s="104" t="n"/>
      <c r="K1590" s="104" t="n"/>
      <c r="L1590" s="104" t="n"/>
      <c r="M1590" s="104" t="n"/>
      <c r="N1590" s="104" t="n"/>
      <c r="O1590" s="104" t="n"/>
      <c r="P1590" s="104" t="n"/>
      <c r="Q1590" s="104" t="n"/>
      <c r="R1590" s="104" t="n"/>
      <c r="S1590" s="110" t="n"/>
      <c r="T1590" s="110" t="n"/>
      <c r="U1590" s="104" t="n"/>
    </row>
    <row r="1591">
      <c r="A1591" s="105" t="inlineStr">
        <is>
          <t>GUIDE001590</t>
        </is>
      </c>
      <c r="B1591" s="101" t="inlineStr">
        <is>
          <t>DEV000030</t>
        </is>
      </c>
      <c r="C1591" s="103" t="inlineStr">
        <is>
          <t>APL</t>
        </is>
      </c>
      <c r="D1591" s="103" t="inlineStr">
        <is>
          <t>PHN</t>
        </is>
      </c>
      <c r="E1591" s="60" t="inlineStr">
        <is>
          <t>iPhone 13 mini</t>
        </is>
      </c>
      <c r="F1591" s="104" t="inlineStr">
        <is>
          <t>SVC000059</t>
        </is>
      </c>
      <c r="G1591" s="104" t="inlineStr">
        <is>
          <t>Bluetooth Repair</t>
        </is>
      </c>
      <c r="H1591" s="104" t="inlineStr">
        <is>
          <t>Connectivity</t>
        </is>
      </c>
      <c r="I1591" s="104" t="n"/>
      <c r="J1591" s="104" t="n"/>
      <c r="K1591" s="104" t="n"/>
      <c r="L1591" s="104" t="n"/>
      <c r="M1591" s="104" t="n"/>
      <c r="N1591" s="104" t="n"/>
      <c r="O1591" s="104" t="n"/>
      <c r="P1591" s="104" t="n"/>
      <c r="Q1591" s="104" t="n"/>
      <c r="R1591" s="104" t="n"/>
      <c r="S1591" s="110" t="n"/>
      <c r="T1591" s="110" t="n"/>
      <c r="U1591" s="104" t="n"/>
    </row>
    <row r="1592">
      <c r="A1592" s="104" t="inlineStr">
        <is>
          <t>GUIDE001591</t>
        </is>
      </c>
      <c r="B1592" s="101" t="inlineStr">
        <is>
          <t>DEV000031</t>
        </is>
      </c>
      <c r="C1592" s="103" t="inlineStr">
        <is>
          <t>APL</t>
        </is>
      </c>
      <c r="D1592" s="103" t="inlineStr">
        <is>
          <t>PHN</t>
        </is>
      </c>
      <c r="E1592" s="60" t="inlineStr">
        <is>
          <t>iPhone 13</t>
        </is>
      </c>
      <c r="F1592" s="104" t="inlineStr">
        <is>
          <t>SVC000059</t>
        </is>
      </c>
      <c r="G1592" s="104" t="inlineStr">
        <is>
          <t>Bluetooth Repair</t>
        </is>
      </c>
      <c r="H1592" s="104" t="inlineStr">
        <is>
          <t>Connectivity</t>
        </is>
      </c>
      <c r="I1592" s="104" t="n"/>
      <c r="J1592" s="104" t="n"/>
      <c r="K1592" s="104" t="n"/>
      <c r="L1592" s="104" t="n"/>
      <c r="M1592" s="104" t="n"/>
      <c r="N1592" s="104" t="n"/>
      <c r="O1592" s="104" t="n"/>
      <c r="P1592" s="104" t="n"/>
      <c r="Q1592" s="104" t="n"/>
      <c r="R1592" s="104" t="n"/>
      <c r="S1592" s="110" t="n"/>
      <c r="T1592" s="110" t="n"/>
      <c r="U1592" s="104" t="n"/>
    </row>
    <row r="1593">
      <c r="A1593" s="104" t="inlineStr">
        <is>
          <t>GUIDE001592</t>
        </is>
      </c>
      <c r="B1593" s="101" t="inlineStr">
        <is>
          <t>DEV000032</t>
        </is>
      </c>
      <c r="C1593" s="103" t="inlineStr">
        <is>
          <t>APL</t>
        </is>
      </c>
      <c r="D1593" s="103" t="inlineStr">
        <is>
          <t>PHN</t>
        </is>
      </c>
      <c r="E1593" s="60" t="inlineStr">
        <is>
          <t>iPhone 13 Pro</t>
        </is>
      </c>
      <c r="F1593" s="104" t="inlineStr">
        <is>
          <t>SVC000059</t>
        </is>
      </c>
      <c r="G1593" s="104" t="inlineStr">
        <is>
          <t>Bluetooth Repair</t>
        </is>
      </c>
      <c r="H1593" s="104" t="inlineStr">
        <is>
          <t>Connectivity</t>
        </is>
      </c>
      <c r="I1593" s="104" t="n"/>
      <c r="J1593" s="104" t="n"/>
      <c r="K1593" s="104" t="n"/>
      <c r="L1593" s="104" t="n"/>
      <c r="M1593" s="104" t="n"/>
      <c r="N1593" s="104" t="n"/>
      <c r="O1593" s="104" t="n"/>
      <c r="P1593" s="104" t="n"/>
      <c r="Q1593" s="104" t="n"/>
      <c r="R1593" s="104" t="n"/>
      <c r="S1593" s="110" t="n"/>
      <c r="T1593" s="110" t="n"/>
      <c r="U1593" s="104" t="n"/>
    </row>
    <row r="1594">
      <c r="A1594" s="104" t="inlineStr">
        <is>
          <t>GUIDE001593</t>
        </is>
      </c>
      <c r="B1594" s="101" t="inlineStr">
        <is>
          <t>DEV000033</t>
        </is>
      </c>
      <c r="C1594" s="103" t="inlineStr">
        <is>
          <t>APL</t>
        </is>
      </c>
      <c r="D1594" s="103" t="inlineStr">
        <is>
          <t>PHN</t>
        </is>
      </c>
      <c r="E1594" s="60" t="inlineStr">
        <is>
          <t>iPhone 13 Pro Max</t>
        </is>
      </c>
      <c r="F1594" s="104" t="inlineStr">
        <is>
          <t>SVC000059</t>
        </is>
      </c>
      <c r="G1594" s="104" t="inlineStr">
        <is>
          <t>Bluetooth Repair</t>
        </is>
      </c>
      <c r="H1594" s="104" t="inlineStr">
        <is>
          <t>Connectivity</t>
        </is>
      </c>
      <c r="I1594" s="104" t="n"/>
      <c r="J1594" s="104" t="n"/>
      <c r="K1594" s="104" t="n"/>
      <c r="L1594" s="104" t="n"/>
      <c r="M1594" s="104" t="n"/>
      <c r="N1594" s="104" t="n"/>
      <c r="O1594" s="104" t="n"/>
      <c r="P1594" s="104" t="n"/>
      <c r="Q1594" s="104" t="n"/>
      <c r="R1594" s="104" t="n"/>
      <c r="S1594" s="110" t="n"/>
      <c r="T1594" s="110" t="n"/>
      <c r="U1594" s="104" t="n"/>
    </row>
    <row r="1595">
      <c r="A1595" s="104" t="inlineStr">
        <is>
          <t>GUIDE001594</t>
        </is>
      </c>
      <c r="B1595" s="101" t="inlineStr">
        <is>
          <t>DEV000034</t>
        </is>
      </c>
      <c r="C1595" s="103" t="inlineStr">
        <is>
          <t>APL</t>
        </is>
      </c>
      <c r="D1595" s="103" t="inlineStr">
        <is>
          <t>PHN</t>
        </is>
      </c>
      <c r="E1595" s="60" t="inlineStr">
        <is>
          <t>iPhone SE (3rd Generation)</t>
        </is>
      </c>
      <c r="F1595" s="104" t="inlineStr">
        <is>
          <t>SVC000059</t>
        </is>
      </c>
      <c r="G1595" s="104" t="inlineStr">
        <is>
          <t>Bluetooth Repair</t>
        </is>
      </c>
      <c r="H1595" s="104" t="inlineStr">
        <is>
          <t>Connectivity</t>
        </is>
      </c>
      <c r="I1595" s="104" t="n"/>
      <c r="J1595" s="104" t="n"/>
      <c r="K1595" s="104" t="n"/>
      <c r="L1595" s="104" t="n"/>
      <c r="M1595" s="104" t="n"/>
      <c r="N1595" s="104" t="n"/>
      <c r="O1595" s="104" t="n"/>
      <c r="P1595" s="104" t="n"/>
      <c r="Q1595" s="104" t="n"/>
      <c r="R1595" s="104" t="n"/>
      <c r="S1595" s="110" t="n"/>
      <c r="T1595" s="110" t="n"/>
      <c r="U1595" s="104" t="n"/>
    </row>
    <row r="1596">
      <c r="A1596" s="104" t="inlineStr">
        <is>
          <t>GUIDE001595</t>
        </is>
      </c>
      <c r="B1596" s="101" t="inlineStr">
        <is>
          <t>DEV000035</t>
        </is>
      </c>
      <c r="C1596" s="103" t="inlineStr">
        <is>
          <t>APL</t>
        </is>
      </c>
      <c r="D1596" s="103" t="inlineStr">
        <is>
          <t>PHN</t>
        </is>
      </c>
      <c r="E1596" s="60" t="inlineStr">
        <is>
          <t>iPhone 14</t>
        </is>
      </c>
      <c r="F1596" s="104" t="inlineStr">
        <is>
          <t>SVC000059</t>
        </is>
      </c>
      <c r="G1596" s="104" t="inlineStr">
        <is>
          <t>Bluetooth Repair</t>
        </is>
      </c>
      <c r="H1596" s="104" t="inlineStr">
        <is>
          <t>Connectivity</t>
        </is>
      </c>
      <c r="I1596" s="104" t="n"/>
      <c r="J1596" s="104" t="n"/>
      <c r="K1596" s="104" t="n"/>
      <c r="L1596" s="104" t="n"/>
      <c r="M1596" s="104" t="n"/>
      <c r="N1596" s="104" t="n"/>
      <c r="O1596" s="104" t="n"/>
      <c r="P1596" s="104" t="n"/>
      <c r="Q1596" s="104" t="n"/>
      <c r="R1596" s="104" t="n"/>
      <c r="S1596" s="110" t="n"/>
      <c r="T1596" s="110" t="n"/>
      <c r="U1596" s="104" t="n"/>
    </row>
    <row r="1597">
      <c r="A1597" s="105" t="inlineStr">
        <is>
          <t>GUIDE001596</t>
        </is>
      </c>
      <c r="B1597" s="101" t="inlineStr">
        <is>
          <t>DEV000036</t>
        </is>
      </c>
      <c r="C1597" s="103" t="inlineStr">
        <is>
          <t>APL</t>
        </is>
      </c>
      <c r="D1597" s="103" t="inlineStr">
        <is>
          <t>PHN</t>
        </is>
      </c>
      <c r="E1597" s="60" t="inlineStr">
        <is>
          <t>iPhone 14 Plus</t>
        </is>
      </c>
      <c r="F1597" s="104" t="inlineStr">
        <is>
          <t>SVC000059</t>
        </is>
      </c>
      <c r="G1597" s="104" t="inlineStr">
        <is>
          <t>Bluetooth Repair</t>
        </is>
      </c>
      <c r="H1597" s="104" t="inlineStr">
        <is>
          <t>Connectivity</t>
        </is>
      </c>
      <c r="I1597" s="104" t="n"/>
      <c r="J1597" s="104" t="n"/>
      <c r="K1597" s="104" t="n"/>
      <c r="L1597" s="104" t="n"/>
      <c r="M1597" s="104" t="n"/>
      <c r="N1597" s="104" t="n"/>
      <c r="O1597" s="104" t="n"/>
      <c r="P1597" s="104" t="n"/>
      <c r="Q1597" s="104" t="n"/>
      <c r="R1597" s="104" t="n"/>
      <c r="S1597" s="110" t="n"/>
      <c r="T1597" s="110" t="n"/>
      <c r="U1597" s="104" t="n"/>
    </row>
    <row r="1598">
      <c r="A1598" s="104" t="inlineStr">
        <is>
          <t>GUIDE001597</t>
        </is>
      </c>
      <c r="B1598" s="101" t="inlineStr">
        <is>
          <t>DEV000037</t>
        </is>
      </c>
      <c r="C1598" s="103" t="inlineStr">
        <is>
          <t>APL</t>
        </is>
      </c>
      <c r="D1598" s="103" t="inlineStr">
        <is>
          <t>PHN</t>
        </is>
      </c>
      <c r="E1598" s="60" t="inlineStr">
        <is>
          <t>iPhone 14 Pro</t>
        </is>
      </c>
      <c r="F1598" s="104" t="inlineStr">
        <is>
          <t>SVC000059</t>
        </is>
      </c>
      <c r="G1598" s="104" t="inlineStr">
        <is>
          <t>Bluetooth Repair</t>
        </is>
      </c>
      <c r="H1598" s="104" t="inlineStr">
        <is>
          <t>Connectivity</t>
        </is>
      </c>
      <c r="I1598" s="104" t="n"/>
      <c r="J1598" s="104" t="n"/>
      <c r="K1598" s="104" t="n"/>
      <c r="L1598" s="104" t="n"/>
      <c r="M1598" s="104" t="n"/>
      <c r="N1598" s="104" t="n"/>
      <c r="O1598" s="104" t="n"/>
      <c r="P1598" s="104" t="n"/>
      <c r="Q1598" s="104" t="n"/>
      <c r="R1598" s="104" t="n"/>
      <c r="S1598" s="110" t="n"/>
      <c r="T1598" s="110" t="n"/>
      <c r="U1598" s="104" t="n"/>
    </row>
    <row r="1599">
      <c r="A1599" s="104" t="inlineStr">
        <is>
          <t>GUIDE001598</t>
        </is>
      </c>
      <c r="B1599" s="101" t="inlineStr">
        <is>
          <t>DEV000038</t>
        </is>
      </c>
      <c r="C1599" s="103" t="inlineStr">
        <is>
          <t>APL</t>
        </is>
      </c>
      <c r="D1599" s="103" t="inlineStr">
        <is>
          <t>PHN</t>
        </is>
      </c>
      <c r="E1599" s="60" t="inlineStr">
        <is>
          <t>iPhone 14 Pro Max</t>
        </is>
      </c>
      <c r="F1599" s="104" t="inlineStr">
        <is>
          <t>SVC000059</t>
        </is>
      </c>
      <c r="G1599" s="104" t="inlineStr">
        <is>
          <t>Bluetooth Repair</t>
        </is>
      </c>
      <c r="H1599" s="104" t="inlineStr">
        <is>
          <t>Connectivity</t>
        </is>
      </c>
      <c r="I1599" s="104" t="n"/>
      <c r="J1599" s="104" t="n"/>
      <c r="K1599" s="104" t="n"/>
      <c r="L1599" s="104" t="n"/>
      <c r="M1599" s="104" t="n"/>
      <c r="N1599" s="104" t="n"/>
      <c r="O1599" s="104" t="n"/>
      <c r="P1599" s="104" t="n"/>
      <c r="Q1599" s="104" t="n"/>
      <c r="R1599" s="104" t="n"/>
      <c r="S1599" s="110" t="n"/>
      <c r="T1599" s="110" t="n"/>
      <c r="U1599" s="104" t="n"/>
    </row>
    <row r="1600">
      <c r="A1600" s="104" t="inlineStr">
        <is>
          <t>GUIDE001599</t>
        </is>
      </c>
      <c r="B1600" s="101" t="inlineStr">
        <is>
          <t>DEV000039</t>
        </is>
      </c>
      <c r="C1600" s="103" t="inlineStr">
        <is>
          <t>APL</t>
        </is>
      </c>
      <c r="D1600" s="103" t="inlineStr">
        <is>
          <t>PHN</t>
        </is>
      </c>
      <c r="E1600" s="60" t="inlineStr">
        <is>
          <t>iPhone 15</t>
        </is>
      </c>
      <c r="F1600" s="104" t="inlineStr">
        <is>
          <t>SVC000059</t>
        </is>
      </c>
      <c r="G1600" s="104" t="inlineStr">
        <is>
          <t>Bluetooth Repair</t>
        </is>
      </c>
      <c r="H1600" s="104" t="inlineStr">
        <is>
          <t>Connectivity</t>
        </is>
      </c>
      <c r="I1600" s="104" t="n"/>
      <c r="J1600" s="104" t="n"/>
      <c r="K1600" s="104" t="n"/>
      <c r="L1600" s="104" t="n"/>
      <c r="M1600" s="104" t="n"/>
      <c r="N1600" s="104" t="n"/>
      <c r="O1600" s="104" t="n"/>
      <c r="P1600" s="104" t="n"/>
      <c r="Q1600" s="104" t="n"/>
      <c r="R1600" s="104" t="n"/>
      <c r="S1600" s="110" t="n"/>
      <c r="T1600" s="110" t="n"/>
      <c r="U1600" s="104" t="n"/>
    </row>
    <row r="1601">
      <c r="A1601" s="104" t="inlineStr">
        <is>
          <t>GUIDE001600</t>
        </is>
      </c>
      <c r="B1601" s="101" t="inlineStr">
        <is>
          <t>DEV000040</t>
        </is>
      </c>
      <c r="C1601" s="103" t="inlineStr">
        <is>
          <t>APL</t>
        </is>
      </c>
      <c r="D1601" s="103" t="inlineStr">
        <is>
          <t>PHN</t>
        </is>
      </c>
      <c r="E1601" s="60" t="inlineStr">
        <is>
          <t>iPhone 15 Plus</t>
        </is>
      </c>
      <c r="F1601" s="104" t="inlineStr">
        <is>
          <t>SVC000059</t>
        </is>
      </c>
      <c r="G1601" s="104" t="inlineStr">
        <is>
          <t>Bluetooth Repair</t>
        </is>
      </c>
      <c r="H1601" s="104" t="inlineStr">
        <is>
          <t>Connectivity</t>
        </is>
      </c>
      <c r="I1601" s="104" t="n"/>
      <c r="J1601" s="104" t="n"/>
      <c r="K1601" s="104" t="n"/>
      <c r="L1601" s="104" t="n"/>
      <c r="M1601" s="104" t="n"/>
      <c r="N1601" s="104" t="n"/>
      <c r="O1601" s="104" t="n"/>
      <c r="P1601" s="104" t="n"/>
      <c r="Q1601" s="104" t="n"/>
      <c r="R1601" s="104" t="n"/>
      <c r="S1601" s="110" t="n"/>
      <c r="T1601" s="110" t="n"/>
      <c r="U1601" s="104" t="n"/>
    </row>
    <row r="1602">
      <c r="A1602" s="104" t="inlineStr">
        <is>
          <t>GUIDE001601</t>
        </is>
      </c>
      <c r="B1602" s="101" t="inlineStr">
        <is>
          <t>DEV000041</t>
        </is>
      </c>
      <c r="C1602" s="103" t="inlineStr">
        <is>
          <t>APL</t>
        </is>
      </c>
      <c r="D1602" s="103" t="inlineStr">
        <is>
          <t>PHN</t>
        </is>
      </c>
      <c r="E1602" s="60" t="inlineStr">
        <is>
          <t>iPhone 15 Pro</t>
        </is>
      </c>
      <c r="F1602" s="104" t="inlineStr">
        <is>
          <t>SVC000059</t>
        </is>
      </c>
      <c r="G1602" s="104" t="inlineStr">
        <is>
          <t>Bluetooth Repair</t>
        </is>
      </c>
      <c r="H1602" s="104" t="inlineStr">
        <is>
          <t>Connectivity</t>
        </is>
      </c>
      <c r="I1602" s="104" t="n"/>
      <c r="J1602" s="104" t="n"/>
      <c r="K1602" s="104" t="n"/>
      <c r="L1602" s="104" t="n"/>
      <c r="M1602" s="104" t="n"/>
      <c r="N1602" s="104" t="n"/>
      <c r="O1602" s="104" t="n"/>
      <c r="P1602" s="104" t="n"/>
      <c r="Q1602" s="104" t="n"/>
      <c r="R1602" s="104" t="n"/>
      <c r="S1602" s="110" t="n"/>
      <c r="T1602" s="110" t="n"/>
      <c r="U1602" s="104" t="n"/>
    </row>
    <row r="1603">
      <c r="A1603" s="105" t="inlineStr">
        <is>
          <t>GUIDE001602</t>
        </is>
      </c>
      <c r="B1603" s="101" t="inlineStr">
        <is>
          <t>DEV000042</t>
        </is>
      </c>
      <c r="C1603" s="103" t="inlineStr">
        <is>
          <t>APL</t>
        </is>
      </c>
      <c r="D1603" s="103" t="inlineStr">
        <is>
          <t>PHN</t>
        </is>
      </c>
      <c r="E1603" s="60" t="inlineStr">
        <is>
          <t>iPhone 15 Pro Max</t>
        </is>
      </c>
      <c r="F1603" s="104" t="inlineStr">
        <is>
          <t>SVC000059</t>
        </is>
      </c>
      <c r="G1603" s="104" t="inlineStr">
        <is>
          <t>Bluetooth Repair</t>
        </is>
      </c>
      <c r="H1603" s="104" t="inlineStr">
        <is>
          <t>Connectivity</t>
        </is>
      </c>
      <c r="I1603" s="104" t="n"/>
      <c r="J1603" s="104" t="n"/>
      <c r="K1603" s="104" t="n"/>
      <c r="L1603" s="104" t="n"/>
      <c r="M1603" s="104" t="n"/>
      <c r="N1603" s="104" t="n"/>
      <c r="O1603" s="104" t="n"/>
      <c r="P1603" s="104" t="n"/>
      <c r="Q1603" s="104" t="n"/>
      <c r="R1603" s="104" t="n"/>
      <c r="S1603" s="110" t="n"/>
      <c r="T1603" s="110" t="n"/>
      <c r="U1603" s="104" t="n"/>
    </row>
    <row r="1604">
      <c r="A1604" s="104" t="inlineStr">
        <is>
          <t>GUIDE001603</t>
        </is>
      </c>
      <c r="B1604" s="101" t="inlineStr">
        <is>
          <t>DEV000043</t>
        </is>
      </c>
      <c r="C1604" s="103" t="inlineStr">
        <is>
          <t>APL</t>
        </is>
      </c>
      <c r="D1604" s="103" t="inlineStr">
        <is>
          <t>PHN</t>
        </is>
      </c>
      <c r="E1604" s="60" t="inlineStr">
        <is>
          <t>iPhone 16</t>
        </is>
      </c>
      <c r="F1604" s="104" t="inlineStr">
        <is>
          <t>SVC000059</t>
        </is>
      </c>
      <c r="G1604" s="104" t="inlineStr">
        <is>
          <t>Bluetooth Repair</t>
        </is>
      </c>
      <c r="H1604" s="104" t="inlineStr">
        <is>
          <t>Connectivity</t>
        </is>
      </c>
      <c r="I1604" s="104" t="n"/>
      <c r="J1604" s="104" t="n"/>
      <c r="K1604" s="104" t="n"/>
      <c r="L1604" s="104" t="n"/>
      <c r="M1604" s="104" t="n"/>
      <c r="N1604" s="104" t="n"/>
      <c r="O1604" s="104" t="n"/>
      <c r="P1604" s="104" t="n"/>
      <c r="Q1604" s="104" t="n"/>
      <c r="R1604" s="104" t="n"/>
      <c r="S1604" s="110" t="n"/>
      <c r="T1604" s="110" t="n"/>
      <c r="U1604" s="104" t="n"/>
    </row>
    <row r="1605">
      <c r="A1605" s="104" t="inlineStr">
        <is>
          <t>GUIDE001604</t>
        </is>
      </c>
      <c r="B1605" s="101" t="inlineStr">
        <is>
          <t>DEV000044</t>
        </is>
      </c>
      <c r="C1605" s="103" t="inlineStr">
        <is>
          <t>APL</t>
        </is>
      </c>
      <c r="D1605" s="103" t="inlineStr">
        <is>
          <t>PHN</t>
        </is>
      </c>
      <c r="E1605" s="60" t="inlineStr">
        <is>
          <t>iPhone 16 Plus</t>
        </is>
      </c>
      <c r="F1605" s="104" t="inlineStr">
        <is>
          <t>SVC000059</t>
        </is>
      </c>
      <c r="G1605" s="104" t="inlineStr">
        <is>
          <t>Bluetooth Repair</t>
        </is>
      </c>
      <c r="H1605" s="104" t="inlineStr">
        <is>
          <t>Connectivity</t>
        </is>
      </c>
      <c r="I1605" s="104" t="n"/>
      <c r="J1605" s="104" t="n"/>
      <c r="K1605" s="104" t="n"/>
      <c r="L1605" s="104" t="n"/>
      <c r="M1605" s="104" t="n"/>
      <c r="N1605" s="104" t="n"/>
      <c r="O1605" s="104" t="n"/>
      <c r="P1605" s="104" t="n"/>
      <c r="Q1605" s="104" t="n"/>
      <c r="R1605" s="104" t="n"/>
      <c r="S1605" s="110" t="n"/>
      <c r="T1605" s="110" t="n"/>
      <c r="U1605" s="104" t="n"/>
    </row>
    <row r="1606">
      <c r="A1606" s="104" t="inlineStr">
        <is>
          <t>GUIDE001605</t>
        </is>
      </c>
      <c r="B1606" s="101" t="inlineStr">
        <is>
          <t>DEV000045</t>
        </is>
      </c>
      <c r="C1606" s="103" t="inlineStr">
        <is>
          <t>APL</t>
        </is>
      </c>
      <c r="D1606" s="103" t="inlineStr">
        <is>
          <t>PHN</t>
        </is>
      </c>
      <c r="E1606" s="60" t="inlineStr">
        <is>
          <t>iPhone 16 Pro</t>
        </is>
      </c>
      <c r="F1606" s="104" t="inlineStr">
        <is>
          <t>SVC000059</t>
        </is>
      </c>
      <c r="G1606" s="104" t="inlineStr">
        <is>
          <t>Bluetooth Repair</t>
        </is>
      </c>
      <c r="H1606" s="104" t="inlineStr">
        <is>
          <t>Connectivity</t>
        </is>
      </c>
      <c r="I1606" s="104" t="n"/>
      <c r="J1606" s="104" t="n"/>
      <c r="K1606" s="104" t="n"/>
      <c r="L1606" s="104" t="n"/>
      <c r="M1606" s="104" t="n"/>
      <c r="N1606" s="104" t="n"/>
      <c r="O1606" s="104" t="n"/>
      <c r="P1606" s="104" t="n"/>
      <c r="Q1606" s="104" t="n"/>
      <c r="R1606" s="104" t="n"/>
      <c r="S1606" s="110" t="n"/>
      <c r="T1606" s="110" t="n"/>
      <c r="U1606" s="104" t="n"/>
    </row>
    <row r="1607">
      <c r="A1607" s="104" t="inlineStr">
        <is>
          <t>GUIDE001606</t>
        </is>
      </c>
      <c r="B1607" s="101" t="inlineStr">
        <is>
          <t>DEV000046</t>
        </is>
      </c>
      <c r="C1607" s="103" t="inlineStr">
        <is>
          <t>APL</t>
        </is>
      </c>
      <c r="D1607" s="103" t="inlineStr">
        <is>
          <t>PHN</t>
        </is>
      </c>
      <c r="E1607" s="60" t="inlineStr">
        <is>
          <t>iPhone 16 Pro Max</t>
        </is>
      </c>
      <c r="F1607" s="104" t="inlineStr">
        <is>
          <t>SVC000059</t>
        </is>
      </c>
      <c r="G1607" s="104" t="inlineStr">
        <is>
          <t>Bluetooth Repair</t>
        </is>
      </c>
      <c r="H1607" s="104" t="inlineStr">
        <is>
          <t>Connectivity</t>
        </is>
      </c>
      <c r="I1607" s="104" t="n"/>
      <c r="J1607" s="104" t="n"/>
      <c r="K1607" s="104" t="n"/>
      <c r="L1607" s="104" t="n"/>
      <c r="M1607" s="104" t="n"/>
      <c r="N1607" s="104" t="n"/>
      <c r="O1607" s="104" t="n"/>
      <c r="P1607" s="104" t="n"/>
      <c r="Q1607" s="104" t="n"/>
      <c r="R1607" s="104" t="n"/>
      <c r="S1607" s="110" t="n"/>
      <c r="T1607" s="110" t="n"/>
      <c r="U1607" s="104" t="n"/>
    </row>
    <row r="1608">
      <c r="A1608" s="104" t="inlineStr">
        <is>
          <t>GUIDE001607</t>
        </is>
      </c>
      <c r="B1608" s="101" t="inlineStr">
        <is>
          <t>DEV000047</t>
        </is>
      </c>
      <c r="C1608" s="103" t="inlineStr">
        <is>
          <t>APL</t>
        </is>
      </c>
      <c r="D1608" s="103" t="inlineStr">
        <is>
          <t>PHN</t>
        </is>
      </c>
      <c r="E1608" s="60" t="inlineStr">
        <is>
          <t>iPhone 16e</t>
        </is>
      </c>
      <c r="F1608" s="104" t="inlineStr">
        <is>
          <t>SVC000059</t>
        </is>
      </c>
      <c r="G1608" s="104" t="inlineStr">
        <is>
          <t>Bluetooth Repair</t>
        </is>
      </c>
      <c r="H1608" s="104" t="inlineStr">
        <is>
          <t>Connectivity</t>
        </is>
      </c>
      <c r="I1608" s="104" t="n"/>
      <c r="J1608" s="104" t="n"/>
      <c r="K1608" s="104" t="n"/>
      <c r="L1608" s="104" t="n"/>
      <c r="M1608" s="104" t="n"/>
      <c r="N1608" s="104" t="n"/>
      <c r="O1608" s="104" t="n"/>
      <c r="P1608" s="104" t="n"/>
      <c r="Q1608" s="104" t="n"/>
      <c r="R1608" s="104" t="n"/>
      <c r="S1608" s="110" t="n"/>
      <c r="T1608" s="110" t="n"/>
      <c r="U1608" s="104" t="n"/>
    </row>
    <row r="1609">
      <c r="A1609" s="105" t="inlineStr">
        <is>
          <t>GUIDE001608</t>
        </is>
      </c>
      <c r="B1609" s="101" t="inlineStr">
        <is>
          <t>DEV000048</t>
        </is>
      </c>
      <c r="C1609" s="103" t="inlineStr">
        <is>
          <t>APL</t>
        </is>
      </c>
      <c r="D1609" s="103" t="inlineStr">
        <is>
          <t>PHN</t>
        </is>
      </c>
      <c r="E1609" s="60" t="inlineStr">
        <is>
          <t>iPhone 17</t>
        </is>
      </c>
      <c r="F1609" s="104" t="inlineStr">
        <is>
          <t>SVC000059</t>
        </is>
      </c>
      <c r="G1609" s="104" t="inlineStr">
        <is>
          <t>Bluetooth Repair</t>
        </is>
      </c>
      <c r="H1609" s="104" t="inlineStr">
        <is>
          <t>Connectivity</t>
        </is>
      </c>
      <c r="I1609" s="104" t="n"/>
      <c r="J1609" s="104" t="n"/>
      <c r="K1609" s="104" t="n"/>
      <c r="L1609" s="104" t="n"/>
      <c r="M1609" s="104" t="n"/>
      <c r="N1609" s="104" t="n"/>
      <c r="O1609" s="104" t="n"/>
      <c r="P1609" s="104" t="n"/>
      <c r="Q1609" s="104" t="n"/>
      <c r="R1609" s="104" t="n"/>
      <c r="S1609" s="110" t="n"/>
      <c r="T1609" s="110" t="n"/>
      <c r="U1609" s="104" t="n"/>
    </row>
    <row r="1610">
      <c r="A1610" s="104" t="inlineStr">
        <is>
          <t>GUIDE001609</t>
        </is>
      </c>
      <c r="B1610" s="101" t="inlineStr">
        <is>
          <t>DEV000049</t>
        </is>
      </c>
      <c r="C1610" s="103" t="inlineStr">
        <is>
          <t>APL</t>
        </is>
      </c>
      <c r="D1610" s="103" t="inlineStr">
        <is>
          <t>PHN</t>
        </is>
      </c>
      <c r="E1610" s="60" t="inlineStr">
        <is>
          <t>iPhone 17 Pro</t>
        </is>
      </c>
      <c r="F1610" s="104" t="inlineStr">
        <is>
          <t>SVC000059</t>
        </is>
      </c>
      <c r="G1610" s="104" t="inlineStr">
        <is>
          <t>Bluetooth Repair</t>
        </is>
      </c>
      <c r="H1610" s="104" t="inlineStr">
        <is>
          <t>Connectivity</t>
        </is>
      </c>
      <c r="I1610" s="104" t="n"/>
      <c r="J1610" s="104" t="n"/>
      <c r="K1610" s="104" t="n"/>
      <c r="L1610" s="104" t="n"/>
      <c r="M1610" s="104" t="n"/>
      <c r="N1610" s="104" t="n"/>
      <c r="O1610" s="104" t="n"/>
      <c r="P1610" s="104" t="n"/>
      <c r="Q1610" s="104" t="n"/>
      <c r="R1610" s="104" t="n"/>
      <c r="S1610" s="110" t="n"/>
      <c r="T1610" s="110" t="n"/>
      <c r="U1610" s="104" t="n"/>
    </row>
    <row r="1611">
      <c r="A1611" s="104" t="inlineStr">
        <is>
          <t>GUIDE001610</t>
        </is>
      </c>
      <c r="B1611" s="101" t="inlineStr">
        <is>
          <t>DEV000050</t>
        </is>
      </c>
      <c r="C1611" s="103" t="inlineStr">
        <is>
          <t>APL</t>
        </is>
      </c>
      <c r="D1611" s="103" t="inlineStr">
        <is>
          <t>PHN</t>
        </is>
      </c>
      <c r="E1611" s="60" t="inlineStr">
        <is>
          <t>iPhone 17 Pro Max</t>
        </is>
      </c>
      <c r="F1611" s="104" t="inlineStr">
        <is>
          <t>SVC000059</t>
        </is>
      </c>
      <c r="G1611" s="104" t="inlineStr">
        <is>
          <t>Bluetooth Repair</t>
        </is>
      </c>
      <c r="H1611" s="104" t="inlineStr">
        <is>
          <t>Connectivity</t>
        </is>
      </c>
      <c r="I1611" s="104" t="n"/>
      <c r="J1611" s="104" t="n"/>
      <c r="K1611" s="104" t="n"/>
      <c r="L1611" s="104" t="n"/>
      <c r="M1611" s="104" t="n"/>
      <c r="N1611" s="104" t="n"/>
      <c r="O1611" s="104" t="n"/>
      <c r="P1611" s="104" t="n"/>
      <c r="Q1611" s="104" t="n"/>
      <c r="R1611" s="104" t="n"/>
      <c r="S1611" s="110" t="n"/>
      <c r="T1611" s="110" t="n"/>
      <c r="U1611" s="104" t="n"/>
    </row>
    <row r="1612">
      <c r="A1612" s="104" t="inlineStr">
        <is>
          <t>GUIDE001611</t>
        </is>
      </c>
      <c r="B1612" s="101" t="inlineStr">
        <is>
          <t>DEV000051</t>
        </is>
      </c>
      <c r="C1612" s="103" t="inlineStr">
        <is>
          <t>APL</t>
        </is>
      </c>
      <c r="D1612" s="103" t="inlineStr">
        <is>
          <t>PHN</t>
        </is>
      </c>
      <c r="E1612" s="60" t="inlineStr">
        <is>
          <t>iPhone Air</t>
        </is>
      </c>
      <c r="F1612" s="104" t="inlineStr">
        <is>
          <t>SVC000059</t>
        </is>
      </c>
      <c r="G1612" s="104" t="inlineStr">
        <is>
          <t>Bluetooth Repair</t>
        </is>
      </c>
      <c r="H1612" s="104" t="inlineStr">
        <is>
          <t>Connectivity</t>
        </is>
      </c>
      <c r="I1612" s="104" t="n"/>
      <c r="J1612" s="104" t="n"/>
      <c r="K1612" s="104" t="n"/>
      <c r="L1612" s="104" t="n"/>
      <c r="M1612" s="104" t="n"/>
      <c r="N1612" s="104" t="n"/>
      <c r="O1612" s="104" t="n"/>
      <c r="P1612" s="104" t="n"/>
      <c r="Q1612" s="104" t="n"/>
      <c r="R1612" s="104" t="n"/>
      <c r="S1612" s="110" t="n"/>
      <c r="T1612" s="110" t="n"/>
      <c r="U1612" s="104" t="n"/>
    </row>
    <row r="1613">
      <c r="A1613" s="104" t="inlineStr">
        <is>
          <t>GUIDE001612</t>
        </is>
      </c>
      <c r="B1613" s="101" t="inlineStr">
        <is>
          <t>DEV000052</t>
        </is>
      </c>
      <c r="C1613" s="103" t="inlineStr">
        <is>
          <t>APL</t>
        </is>
      </c>
      <c r="D1613" s="103" t="inlineStr">
        <is>
          <t>PHN</t>
        </is>
      </c>
      <c r="E1613" s="60" t="inlineStr">
        <is>
          <t>iPhone 17e</t>
        </is>
      </c>
      <c r="F1613" s="104" t="inlineStr">
        <is>
          <t>SVC000059</t>
        </is>
      </c>
      <c r="G1613" s="104" t="inlineStr">
        <is>
          <t>Bluetooth Repair</t>
        </is>
      </c>
      <c r="H1613" s="104" t="inlineStr">
        <is>
          <t>Connectivity</t>
        </is>
      </c>
      <c r="I1613" s="104" t="n"/>
      <c r="J1613" s="104" t="n"/>
      <c r="K1613" s="104" t="n"/>
      <c r="L1613" s="104" t="n"/>
      <c r="M1613" s="104" t="n"/>
      <c r="N1613" s="104" t="n"/>
      <c r="O1613" s="104" t="n"/>
      <c r="P1613" s="104" t="n"/>
      <c r="Q1613" s="104" t="n"/>
      <c r="R1613" s="104" t="n"/>
      <c r="S1613" s="110" t="n"/>
      <c r="T1613" s="110" t="n"/>
      <c r="U1613" s="104" t="n"/>
    </row>
    <row r="1614">
      <c r="A1614" s="104" t="inlineStr">
        <is>
          <t>GUIDE001613</t>
        </is>
      </c>
      <c r="B1614" s="101" t="inlineStr">
        <is>
          <t>DEV000001</t>
        </is>
      </c>
      <c r="C1614" s="103" t="inlineStr">
        <is>
          <t>APL</t>
        </is>
      </c>
      <c r="D1614" s="103" t="inlineStr">
        <is>
          <t>PHN</t>
        </is>
      </c>
      <c r="E1614" s="60" t="inlineStr">
        <is>
          <t>iPhone (2G)</t>
        </is>
      </c>
      <c r="F1614" s="104" t="inlineStr">
        <is>
          <t>SVC000060</t>
        </is>
      </c>
      <c r="G1614" s="104" t="inlineStr">
        <is>
          <t>Antenna Repair</t>
        </is>
      </c>
      <c r="H1614" s="104" t="inlineStr">
        <is>
          <t>Connectivity</t>
        </is>
      </c>
      <c r="I1614" s="104" t="n"/>
      <c r="J1614" s="104" t="n"/>
      <c r="K1614" s="104" t="n"/>
      <c r="L1614" s="104" t="n"/>
      <c r="M1614" s="104" t="n"/>
      <c r="N1614" s="104" t="n"/>
      <c r="O1614" s="104" t="n"/>
      <c r="P1614" s="104" t="n"/>
      <c r="Q1614" s="104" t="n"/>
      <c r="R1614" s="104" t="n"/>
      <c r="S1614" s="110" t="n"/>
      <c r="T1614" s="110" t="n"/>
      <c r="U1614" s="104" t="n"/>
    </row>
    <row r="1615">
      <c r="A1615" s="105" t="inlineStr">
        <is>
          <t>GUIDE001614</t>
        </is>
      </c>
      <c r="B1615" s="101" t="inlineStr">
        <is>
          <t>DEV000002</t>
        </is>
      </c>
      <c r="C1615" s="103" t="inlineStr">
        <is>
          <t>APL</t>
        </is>
      </c>
      <c r="D1615" s="103" t="inlineStr">
        <is>
          <t>PHN</t>
        </is>
      </c>
      <c r="E1615" s="60" t="inlineStr">
        <is>
          <t>iPhone 3G</t>
        </is>
      </c>
      <c r="F1615" s="104" t="inlineStr">
        <is>
          <t>SVC000060</t>
        </is>
      </c>
      <c r="G1615" s="104" t="inlineStr">
        <is>
          <t>Antenna Repair</t>
        </is>
      </c>
      <c r="H1615" s="104" t="inlineStr">
        <is>
          <t>Connectivity</t>
        </is>
      </c>
      <c r="I1615" s="104" t="n"/>
      <c r="J1615" s="104" t="n"/>
      <c r="K1615" s="104" t="n"/>
      <c r="L1615" s="104" t="n"/>
      <c r="M1615" s="104" t="n"/>
      <c r="N1615" s="104" t="n"/>
      <c r="O1615" s="104" t="n"/>
      <c r="P1615" s="104" t="n"/>
      <c r="Q1615" s="104" t="n"/>
      <c r="R1615" s="104" t="n"/>
      <c r="S1615" s="110" t="n"/>
      <c r="T1615" s="110" t="n"/>
      <c r="U1615" s="104" t="n"/>
    </row>
    <row r="1616">
      <c r="A1616" s="104" t="inlineStr">
        <is>
          <t>GUIDE001615</t>
        </is>
      </c>
      <c r="B1616" s="101" t="inlineStr">
        <is>
          <t>DEV000003</t>
        </is>
      </c>
      <c r="C1616" s="103" t="inlineStr">
        <is>
          <t>APL</t>
        </is>
      </c>
      <c r="D1616" s="103" t="inlineStr">
        <is>
          <t>PHN</t>
        </is>
      </c>
      <c r="E1616" s="60" t="inlineStr">
        <is>
          <t>iPhone 3GS</t>
        </is>
      </c>
      <c r="F1616" s="104" t="inlineStr">
        <is>
          <t>SVC000060</t>
        </is>
      </c>
      <c r="G1616" s="104" t="inlineStr">
        <is>
          <t>Antenna Repair</t>
        </is>
      </c>
      <c r="H1616" s="104" t="inlineStr">
        <is>
          <t>Connectivity</t>
        </is>
      </c>
      <c r="I1616" s="104" t="n"/>
      <c r="J1616" s="104" t="n"/>
      <c r="K1616" s="104" t="n"/>
      <c r="L1616" s="104" t="n"/>
      <c r="M1616" s="104" t="n"/>
      <c r="N1616" s="104" t="n"/>
      <c r="O1616" s="104" t="n"/>
      <c r="P1616" s="104" t="n"/>
      <c r="Q1616" s="104" t="n"/>
      <c r="R1616" s="104" t="n"/>
      <c r="S1616" s="110" t="n"/>
      <c r="T1616" s="110" t="n"/>
      <c r="U1616" s="104" t="n"/>
    </row>
    <row r="1617">
      <c r="A1617" s="104" t="inlineStr">
        <is>
          <t>GUIDE001616</t>
        </is>
      </c>
      <c r="B1617" s="101" t="inlineStr">
        <is>
          <t>DEV000004</t>
        </is>
      </c>
      <c r="C1617" s="103" t="inlineStr">
        <is>
          <t>APL</t>
        </is>
      </c>
      <c r="D1617" s="103" t="inlineStr">
        <is>
          <t>PHN</t>
        </is>
      </c>
      <c r="E1617" s="60" t="inlineStr">
        <is>
          <t>iPhone 4</t>
        </is>
      </c>
      <c r="F1617" s="104" t="inlineStr">
        <is>
          <t>SVC000060</t>
        </is>
      </c>
      <c r="G1617" s="104" t="inlineStr">
        <is>
          <t>Antenna Repair</t>
        </is>
      </c>
      <c r="H1617" s="104" t="inlineStr">
        <is>
          <t>Connectivity</t>
        </is>
      </c>
      <c r="I1617" s="104" t="n"/>
      <c r="J1617" s="104" t="n"/>
      <c r="K1617" s="104" t="n"/>
      <c r="L1617" s="104" t="n"/>
      <c r="M1617" s="104" t="n"/>
      <c r="N1617" s="104" t="n"/>
      <c r="O1617" s="104" t="n"/>
      <c r="P1617" s="104" t="n"/>
      <c r="Q1617" s="104" t="n"/>
      <c r="R1617" s="104" t="n"/>
      <c r="S1617" s="110" t="n"/>
      <c r="T1617" s="110" t="n"/>
      <c r="U1617" s="104" t="n"/>
    </row>
    <row r="1618">
      <c r="A1618" s="104" t="inlineStr">
        <is>
          <t>GUIDE001617</t>
        </is>
      </c>
      <c r="B1618" s="101" t="inlineStr">
        <is>
          <t>DEV000005</t>
        </is>
      </c>
      <c r="C1618" s="103" t="inlineStr">
        <is>
          <t>APL</t>
        </is>
      </c>
      <c r="D1618" s="103" t="inlineStr">
        <is>
          <t>PHN</t>
        </is>
      </c>
      <c r="E1618" s="60" t="inlineStr">
        <is>
          <t>iPhone 4s</t>
        </is>
      </c>
      <c r="F1618" s="104" t="inlineStr">
        <is>
          <t>SVC000060</t>
        </is>
      </c>
      <c r="G1618" s="104" t="inlineStr">
        <is>
          <t>Antenna Repair</t>
        </is>
      </c>
      <c r="H1618" s="104" t="inlineStr">
        <is>
          <t>Connectivity</t>
        </is>
      </c>
      <c r="I1618" s="104" t="n"/>
      <c r="J1618" s="104" t="n"/>
      <c r="K1618" s="104" t="n"/>
      <c r="L1618" s="104" t="n"/>
      <c r="M1618" s="104" t="n"/>
      <c r="N1618" s="104" t="n"/>
      <c r="O1618" s="104" t="n"/>
      <c r="P1618" s="104" t="n"/>
      <c r="Q1618" s="104" t="n"/>
      <c r="R1618" s="104" t="n"/>
      <c r="S1618" s="110" t="n"/>
      <c r="T1618" s="110" t="n"/>
      <c r="U1618" s="104" t="n"/>
    </row>
    <row r="1619">
      <c r="A1619" s="104" t="inlineStr">
        <is>
          <t>GUIDE001618</t>
        </is>
      </c>
      <c r="B1619" s="101" t="inlineStr">
        <is>
          <t>DEV000006</t>
        </is>
      </c>
      <c r="C1619" s="103" t="inlineStr">
        <is>
          <t>APL</t>
        </is>
      </c>
      <c r="D1619" s="103" t="inlineStr">
        <is>
          <t>PHN</t>
        </is>
      </c>
      <c r="E1619" s="60" t="inlineStr">
        <is>
          <t>iPhone 5</t>
        </is>
      </c>
      <c r="F1619" s="104" t="inlineStr">
        <is>
          <t>SVC000060</t>
        </is>
      </c>
      <c r="G1619" s="104" t="inlineStr">
        <is>
          <t>Antenna Repair</t>
        </is>
      </c>
      <c r="H1619" s="104" t="inlineStr">
        <is>
          <t>Connectivity</t>
        </is>
      </c>
      <c r="I1619" s="104" t="n"/>
      <c r="J1619" s="104" t="n"/>
      <c r="K1619" s="104" t="n"/>
      <c r="L1619" s="104" t="n"/>
      <c r="M1619" s="104" t="n"/>
      <c r="N1619" s="104" t="n"/>
      <c r="O1619" s="104" t="n"/>
      <c r="P1619" s="104" t="n"/>
      <c r="Q1619" s="104" t="n"/>
      <c r="R1619" s="104" t="n"/>
      <c r="S1619" s="110" t="n"/>
      <c r="T1619" s="110" t="n"/>
      <c r="U1619" s="104" t="n"/>
    </row>
    <row r="1620">
      <c r="A1620" s="104" t="inlineStr">
        <is>
          <t>GUIDE001619</t>
        </is>
      </c>
      <c r="B1620" s="101" t="inlineStr">
        <is>
          <t>DEV000007</t>
        </is>
      </c>
      <c r="C1620" s="103" t="inlineStr">
        <is>
          <t>APL</t>
        </is>
      </c>
      <c r="D1620" s="103" t="inlineStr">
        <is>
          <t>PHN</t>
        </is>
      </c>
      <c r="E1620" s="60" t="inlineStr">
        <is>
          <t>iPhone 5c</t>
        </is>
      </c>
      <c r="F1620" s="104" t="inlineStr">
        <is>
          <t>SVC000060</t>
        </is>
      </c>
      <c r="G1620" s="104" t="inlineStr">
        <is>
          <t>Antenna Repair</t>
        </is>
      </c>
      <c r="H1620" s="104" t="inlineStr">
        <is>
          <t>Connectivity</t>
        </is>
      </c>
      <c r="I1620" s="104" t="n"/>
      <c r="J1620" s="104" t="n"/>
      <c r="K1620" s="104" t="n"/>
      <c r="L1620" s="104" t="n"/>
      <c r="M1620" s="104" t="n"/>
      <c r="N1620" s="104" t="n"/>
      <c r="O1620" s="104" t="n"/>
      <c r="P1620" s="104" t="n"/>
      <c r="Q1620" s="104" t="n"/>
      <c r="R1620" s="104" t="n"/>
      <c r="S1620" s="110" t="n"/>
      <c r="T1620" s="110" t="n"/>
      <c r="U1620" s="104" t="n"/>
    </row>
    <row r="1621">
      <c r="A1621" s="105" t="inlineStr">
        <is>
          <t>GUIDE001620</t>
        </is>
      </c>
      <c r="B1621" s="101" t="inlineStr">
        <is>
          <t>DEV000008</t>
        </is>
      </c>
      <c r="C1621" s="103" t="inlineStr">
        <is>
          <t>APL</t>
        </is>
      </c>
      <c r="D1621" s="103" t="inlineStr">
        <is>
          <t>PHN</t>
        </is>
      </c>
      <c r="E1621" s="60" t="inlineStr">
        <is>
          <t>iPhone 5s</t>
        </is>
      </c>
      <c r="F1621" s="104" t="inlineStr">
        <is>
          <t>SVC000060</t>
        </is>
      </c>
      <c r="G1621" s="104" t="inlineStr">
        <is>
          <t>Antenna Repair</t>
        </is>
      </c>
      <c r="H1621" s="104" t="inlineStr">
        <is>
          <t>Connectivity</t>
        </is>
      </c>
      <c r="I1621" s="104" t="n"/>
      <c r="J1621" s="104" t="n"/>
      <c r="K1621" s="104" t="n"/>
      <c r="L1621" s="104" t="n"/>
      <c r="M1621" s="104" t="n"/>
      <c r="N1621" s="104" t="n"/>
      <c r="O1621" s="104" t="n"/>
      <c r="P1621" s="104" t="n"/>
      <c r="Q1621" s="104" t="n"/>
      <c r="R1621" s="104" t="n"/>
      <c r="S1621" s="110" t="n"/>
      <c r="T1621" s="110" t="n"/>
      <c r="U1621" s="104" t="n"/>
    </row>
    <row r="1622">
      <c r="A1622" s="104" t="inlineStr">
        <is>
          <t>GUIDE001621</t>
        </is>
      </c>
      <c r="B1622" s="101" t="inlineStr">
        <is>
          <t>DEV000009</t>
        </is>
      </c>
      <c r="C1622" s="103" t="inlineStr">
        <is>
          <t>APL</t>
        </is>
      </c>
      <c r="D1622" s="103" t="inlineStr">
        <is>
          <t>PHN</t>
        </is>
      </c>
      <c r="E1622" s="60" t="inlineStr">
        <is>
          <t>iPhone 6</t>
        </is>
      </c>
      <c r="F1622" s="104" t="inlineStr">
        <is>
          <t>SVC000060</t>
        </is>
      </c>
      <c r="G1622" s="104" t="inlineStr">
        <is>
          <t>Antenna Repair</t>
        </is>
      </c>
      <c r="H1622" s="104" t="inlineStr">
        <is>
          <t>Connectivity</t>
        </is>
      </c>
      <c r="I1622" s="104" t="n"/>
      <c r="J1622" s="104" t="n"/>
      <c r="K1622" s="104" t="n"/>
      <c r="L1622" s="104" t="n"/>
      <c r="M1622" s="104" t="n"/>
      <c r="N1622" s="104" t="n"/>
      <c r="O1622" s="104" t="n"/>
      <c r="P1622" s="104" t="n"/>
      <c r="Q1622" s="104" t="n"/>
      <c r="R1622" s="104" t="n"/>
      <c r="S1622" s="110" t="n"/>
      <c r="T1622" s="110" t="n"/>
      <c r="U1622" s="104" t="n"/>
    </row>
    <row r="1623">
      <c r="A1623" s="104" t="inlineStr">
        <is>
          <t>GUIDE001622</t>
        </is>
      </c>
      <c r="B1623" s="101" t="inlineStr">
        <is>
          <t>DEV000010</t>
        </is>
      </c>
      <c r="C1623" s="103" t="inlineStr">
        <is>
          <t>APL</t>
        </is>
      </c>
      <c r="D1623" s="103" t="inlineStr">
        <is>
          <t>PHN</t>
        </is>
      </c>
      <c r="E1623" s="60" t="inlineStr">
        <is>
          <t>iPhone 6 Plus</t>
        </is>
      </c>
      <c r="F1623" s="104" t="inlineStr">
        <is>
          <t>SVC000060</t>
        </is>
      </c>
      <c r="G1623" s="104" t="inlineStr">
        <is>
          <t>Antenna Repair</t>
        </is>
      </c>
      <c r="H1623" s="104" t="inlineStr">
        <is>
          <t>Connectivity</t>
        </is>
      </c>
      <c r="I1623" s="104" t="n"/>
      <c r="J1623" s="104" t="n"/>
      <c r="K1623" s="104" t="n"/>
      <c r="L1623" s="104" t="n"/>
      <c r="M1623" s="104" t="n"/>
      <c r="N1623" s="104" t="n"/>
      <c r="O1623" s="104" t="n"/>
      <c r="P1623" s="104" t="n"/>
      <c r="Q1623" s="104" t="n"/>
      <c r="R1623" s="104" t="n"/>
      <c r="S1623" s="110" t="n"/>
      <c r="T1623" s="110" t="n"/>
      <c r="U1623" s="104" t="n"/>
    </row>
    <row r="1624">
      <c r="A1624" s="104" t="inlineStr">
        <is>
          <t>GUIDE001623</t>
        </is>
      </c>
      <c r="B1624" s="101" t="inlineStr">
        <is>
          <t>DEV000011</t>
        </is>
      </c>
      <c r="C1624" s="103" t="inlineStr">
        <is>
          <t>APL</t>
        </is>
      </c>
      <c r="D1624" s="103" t="inlineStr">
        <is>
          <t>PHN</t>
        </is>
      </c>
      <c r="E1624" s="60" t="inlineStr">
        <is>
          <t>iPhone 6s</t>
        </is>
      </c>
      <c r="F1624" s="104" t="inlineStr">
        <is>
          <t>SVC000060</t>
        </is>
      </c>
      <c r="G1624" s="104" t="inlineStr">
        <is>
          <t>Antenna Repair</t>
        </is>
      </c>
      <c r="H1624" s="104" t="inlineStr">
        <is>
          <t>Connectivity</t>
        </is>
      </c>
      <c r="I1624" s="104" t="n"/>
      <c r="J1624" s="104" t="n"/>
      <c r="K1624" s="104" t="n"/>
      <c r="L1624" s="104" t="n"/>
      <c r="M1624" s="104" t="n"/>
      <c r="N1624" s="104" t="n"/>
      <c r="O1624" s="104" t="n"/>
      <c r="P1624" s="104" t="n"/>
      <c r="Q1624" s="104" t="n"/>
      <c r="R1624" s="104" t="n"/>
      <c r="S1624" s="110" t="n"/>
      <c r="T1624" s="110" t="n"/>
      <c r="U1624" s="104" t="n"/>
    </row>
    <row r="1625">
      <c r="A1625" s="104" t="inlineStr">
        <is>
          <t>GUIDE001624</t>
        </is>
      </c>
      <c r="B1625" s="101" t="inlineStr">
        <is>
          <t>DEV000012</t>
        </is>
      </c>
      <c r="C1625" s="103" t="inlineStr">
        <is>
          <t>APL</t>
        </is>
      </c>
      <c r="D1625" s="103" t="inlineStr">
        <is>
          <t>PHN</t>
        </is>
      </c>
      <c r="E1625" s="60" t="inlineStr">
        <is>
          <t>iPhone 6s Plus</t>
        </is>
      </c>
      <c r="F1625" s="104" t="inlineStr">
        <is>
          <t>SVC000060</t>
        </is>
      </c>
      <c r="G1625" s="104" t="inlineStr">
        <is>
          <t>Antenna Repair</t>
        </is>
      </c>
      <c r="H1625" s="104" t="inlineStr">
        <is>
          <t>Connectivity</t>
        </is>
      </c>
      <c r="I1625" s="104" t="n"/>
      <c r="J1625" s="104" t="n"/>
      <c r="K1625" s="104" t="n"/>
      <c r="L1625" s="104" t="n"/>
      <c r="M1625" s="104" t="n"/>
      <c r="N1625" s="104" t="n"/>
      <c r="O1625" s="104" t="n"/>
      <c r="P1625" s="104" t="n"/>
      <c r="Q1625" s="104" t="n"/>
      <c r="R1625" s="104" t="n"/>
      <c r="S1625" s="110" t="n"/>
      <c r="T1625" s="110" t="n"/>
      <c r="U1625" s="104" t="n"/>
    </row>
    <row r="1626">
      <c r="A1626" s="104" t="inlineStr">
        <is>
          <t>GUIDE001625</t>
        </is>
      </c>
      <c r="B1626" s="101" t="inlineStr">
        <is>
          <t>DEV000013</t>
        </is>
      </c>
      <c r="C1626" s="103" t="inlineStr">
        <is>
          <t>APL</t>
        </is>
      </c>
      <c r="D1626" s="103" t="inlineStr">
        <is>
          <t>PHN</t>
        </is>
      </c>
      <c r="E1626" s="60" t="inlineStr">
        <is>
          <t>iPhone SE (1st Gen)</t>
        </is>
      </c>
      <c r="F1626" s="104" t="inlineStr">
        <is>
          <t>SVC000060</t>
        </is>
      </c>
      <c r="G1626" s="104" t="inlineStr">
        <is>
          <t>Antenna Repair</t>
        </is>
      </c>
      <c r="H1626" s="104" t="inlineStr">
        <is>
          <t>Connectivity</t>
        </is>
      </c>
      <c r="I1626" s="104" t="n"/>
      <c r="J1626" s="104" t="n"/>
      <c r="K1626" s="104" t="n"/>
      <c r="L1626" s="104" t="n"/>
      <c r="M1626" s="104" t="n"/>
      <c r="N1626" s="104" t="n"/>
      <c r="O1626" s="104" t="n"/>
      <c r="P1626" s="104" t="n"/>
      <c r="Q1626" s="104" t="n"/>
      <c r="R1626" s="104" t="n"/>
      <c r="S1626" s="110" t="n"/>
      <c r="T1626" s="110" t="n"/>
      <c r="U1626" s="104" t="n"/>
    </row>
    <row r="1627">
      <c r="A1627" s="105" t="inlineStr">
        <is>
          <t>GUIDE001626</t>
        </is>
      </c>
      <c r="B1627" s="101" t="inlineStr">
        <is>
          <t>DEV000014</t>
        </is>
      </c>
      <c r="C1627" s="103" t="inlineStr">
        <is>
          <t>APL</t>
        </is>
      </c>
      <c r="D1627" s="103" t="inlineStr">
        <is>
          <t>PHN</t>
        </is>
      </c>
      <c r="E1627" s="60" t="inlineStr">
        <is>
          <t>iPhone 7</t>
        </is>
      </c>
      <c r="F1627" s="104" t="inlineStr">
        <is>
          <t>SVC000060</t>
        </is>
      </c>
      <c r="G1627" s="104" t="inlineStr">
        <is>
          <t>Antenna Repair</t>
        </is>
      </c>
      <c r="H1627" s="104" t="inlineStr">
        <is>
          <t>Connectivity</t>
        </is>
      </c>
      <c r="I1627" s="104" t="n"/>
      <c r="J1627" s="104" t="n"/>
      <c r="K1627" s="104" t="n"/>
      <c r="L1627" s="104" t="n"/>
      <c r="M1627" s="104" t="n"/>
      <c r="N1627" s="104" t="n"/>
      <c r="O1627" s="104" t="n"/>
      <c r="P1627" s="104" t="n"/>
      <c r="Q1627" s="104" t="n"/>
      <c r="R1627" s="104" t="n"/>
      <c r="S1627" s="110" t="n"/>
      <c r="T1627" s="110" t="n"/>
      <c r="U1627" s="104" t="n"/>
    </row>
    <row r="1628">
      <c r="A1628" s="104" t="inlineStr">
        <is>
          <t>GUIDE001627</t>
        </is>
      </c>
      <c r="B1628" s="101" t="inlineStr">
        <is>
          <t>DEV000015</t>
        </is>
      </c>
      <c r="C1628" s="103" t="inlineStr">
        <is>
          <t>APL</t>
        </is>
      </c>
      <c r="D1628" s="103" t="inlineStr">
        <is>
          <t>PHN</t>
        </is>
      </c>
      <c r="E1628" s="60" t="inlineStr">
        <is>
          <t>iPhone 7 Plus</t>
        </is>
      </c>
      <c r="F1628" s="104" t="inlineStr">
        <is>
          <t>SVC000060</t>
        </is>
      </c>
      <c r="G1628" s="104" t="inlineStr">
        <is>
          <t>Antenna Repair</t>
        </is>
      </c>
      <c r="H1628" s="104" t="inlineStr">
        <is>
          <t>Connectivity</t>
        </is>
      </c>
      <c r="I1628" s="104" t="n"/>
      <c r="J1628" s="104" t="n"/>
      <c r="K1628" s="104" t="n"/>
      <c r="L1628" s="104" t="n"/>
      <c r="M1628" s="104" t="n"/>
      <c r="N1628" s="104" t="n"/>
      <c r="O1628" s="104" t="n"/>
      <c r="P1628" s="104" t="n"/>
      <c r="Q1628" s="104" t="n"/>
      <c r="R1628" s="104" t="n"/>
      <c r="S1628" s="110" t="n"/>
      <c r="T1628" s="110" t="n"/>
      <c r="U1628" s="104" t="n"/>
    </row>
    <row r="1629">
      <c r="A1629" s="104" t="inlineStr">
        <is>
          <t>GUIDE001628</t>
        </is>
      </c>
      <c r="B1629" s="101" t="inlineStr">
        <is>
          <t>DEV000016</t>
        </is>
      </c>
      <c r="C1629" s="103" t="inlineStr">
        <is>
          <t>APL</t>
        </is>
      </c>
      <c r="D1629" s="103" t="inlineStr">
        <is>
          <t>PHN</t>
        </is>
      </c>
      <c r="E1629" s="60" t="inlineStr">
        <is>
          <t>iPhone 8</t>
        </is>
      </c>
      <c r="F1629" s="104" t="inlineStr">
        <is>
          <t>SVC000060</t>
        </is>
      </c>
      <c r="G1629" s="104" t="inlineStr">
        <is>
          <t>Antenna Repair</t>
        </is>
      </c>
      <c r="H1629" s="104" t="inlineStr">
        <is>
          <t>Connectivity</t>
        </is>
      </c>
      <c r="I1629" s="104" t="n"/>
      <c r="J1629" s="104" t="n"/>
      <c r="K1629" s="104" t="n"/>
      <c r="L1629" s="104" t="n"/>
      <c r="M1629" s="104" t="n"/>
      <c r="N1629" s="104" t="n"/>
      <c r="O1629" s="104" t="n"/>
      <c r="P1629" s="104" t="n"/>
      <c r="Q1629" s="104" t="n"/>
      <c r="R1629" s="104" t="n"/>
      <c r="S1629" s="110" t="n"/>
      <c r="T1629" s="110" t="n"/>
      <c r="U1629" s="104" t="n"/>
    </row>
    <row r="1630">
      <c r="A1630" s="104" t="inlineStr">
        <is>
          <t>GUIDE001629</t>
        </is>
      </c>
      <c r="B1630" s="101" t="inlineStr">
        <is>
          <t>DEV000017</t>
        </is>
      </c>
      <c r="C1630" s="103" t="inlineStr">
        <is>
          <t>APL</t>
        </is>
      </c>
      <c r="D1630" s="103" t="inlineStr">
        <is>
          <t>PHN</t>
        </is>
      </c>
      <c r="E1630" s="60" t="inlineStr">
        <is>
          <t>iPhone 8 Plus</t>
        </is>
      </c>
      <c r="F1630" s="104" t="inlineStr">
        <is>
          <t>SVC000060</t>
        </is>
      </c>
      <c r="G1630" s="104" t="inlineStr">
        <is>
          <t>Antenna Repair</t>
        </is>
      </c>
      <c r="H1630" s="104" t="inlineStr">
        <is>
          <t>Connectivity</t>
        </is>
      </c>
      <c r="I1630" s="104" t="n"/>
      <c r="J1630" s="104" t="n"/>
      <c r="K1630" s="104" t="n"/>
      <c r="L1630" s="104" t="n"/>
      <c r="M1630" s="104" t="n"/>
      <c r="N1630" s="104" t="n"/>
      <c r="O1630" s="104" t="n"/>
      <c r="P1630" s="104" t="n"/>
      <c r="Q1630" s="104" t="n"/>
      <c r="R1630" s="104" t="n"/>
      <c r="S1630" s="110" t="n"/>
      <c r="T1630" s="110" t="n"/>
      <c r="U1630" s="104" t="n"/>
    </row>
    <row r="1631">
      <c r="A1631" s="104" t="inlineStr">
        <is>
          <t>GUIDE001630</t>
        </is>
      </c>
      <c r="B1631" s="101" t="inlineStr">
        <is>
          <t>DEV000018</t>
        </is>
      </c>
      <c r="C1631" s="103" t="inlineStr">
        <is>
          <t>APL</t>
        </is>
      </c>
      <c r="D1631" s="103" t="inlineStr">
        <is>
          <t>PHN</t>
        </is>
      </c>
      <c r="E1631" s="60" t="inlineStr">
        <is>
          <t>iPhone X</t>
        </is>
      </c>
      <c r="F1631" s="104" t="inlineStr">
        <is>
          <t>SVC000060</t>
        </is>
      </c>
      <c r="G1631" s="104" t="inlineStr">
        <is>
          <t>Antenna Repair</t>
        </is>
      </c>
      <c r="H1631" s="104" t="inlineStr">
        <is>
          <t>Connectivity</t>
        </is>
      </c>
      <c r="I1631" s="104" t="n"/>
      <c r="J1631" s="104" t="n"/>
      <c r="K1631" s="104" t="n"/>
      <c r="L1631" s="104" t="n"/>
      <c r="M1631" s="104" t="n"/>
      <c r="N1631" s="104" t="n"/>
      <c r="O1631" s="104" t="n"/>
      <c r="P1631" s="104" t="n"/>
      <c r="Q1631" s="104" t="n"/>
      <c r="R1631" s="104" t="n"/>
      <c r="S1631" s="110" t="n"/>
      <c r="T1631" s="110" t="n"/>
      <c r="U1631" s="104" t="n"/>
    </row>
    <row r="1632">
      <c r="A1632" s="104" t="inlineStr">
        <is>
          <t>GUIDE001631</t>
        </is>
      </c>
      <c r="B1632" s="101" t="inlineStr">
        <is>
          <t>DEV000019</t>
        </is>
      </c>
      <c r="C1632" s="103" t="inlineStr">
        <is>
          <t>APL</t>
        </is>
      </c>
      <c r="D1632" s="103" t="inlineStr">
        <is>
          <t>PHN</t>
        </is>
      </c>
      <c r="E1632" s="60" t="inlineStr">
        <is>
          <t>iPhone XR</t>
        </is>
      </c>
      <c r="F1632" s="104" t="inlineStr">
        <is>
          <t>SVC000060</t>
        </is>
      </c>
      <c r="G1632" s="104" t="inlineStr">
        <is>
          <t>Antenna Repair</t>
        </is>
      </c>
      <c r="H1632" s="104" t="inlineStr">
        <is>
          <t>Connectivity</t>
        </is>
      </c>
      <c r="I1632" s="104" t="n"/>
      <c r="J1632" s="104" t="n"/>
      <c r="K1632" s="104" t="n"/>
      <c r="L1632" s="104" t="n"/>
      <c r="M1632" s="104" t="n"/>
      <c r="N1632" s="104" t="n"/>
      <c r="O1632" s="104" t="n"/>
      <c r="P1632" s="104" t="n"/>
      <c r="Q1632" s="104" t="n"/>
      <c r="R1632" s="104" t="n"/>
      <c r="S1632" s="110" t="n"/>
      <c r="T1632" s="110" t="n"/>
      <c r="U1632" s="104" t="n"/>
    </row>
    <row r="1633">
      <c r="A1633" s="105" t="inlineStr">
        <is>
          <t>GUIDE001632</t>
        </is>
      </c>
      <c r="B1633" s="101" t="inlineStr">
        <is>
          <t>DEV000020</t>
        </is>
      </c>
      <c r="C1633" s="103" t="inlineStr">
        <is>
          <t>APL</t>
        </is>
      </c>
      <c r="D1633" s="103" t="inlineStr">
        <is>
          <t>PHN</t>
        </is>
      </c>
      <c r="E1633" s="60" t="inlineStr">
        <is>
          <t>iPhone XS</t>
        </is>
      </c>
      <c r="F1633" s="104" t="inlineStr">
        <is>
          <t>SVC000060</t>
        </is>
      </c>
      <c r="G1633" s="104" t="inlineStr">
        <is>
          <t>Antenna Repair</t>
        </is>
      </c>
      <c r="H1633" s="104" t="inlineStr">
        <is>
          <t>Connectivity</t>
        </is>
      </c>
      <c r="I1633" s="104" t="n"/>
      <c r="J1633" s="104" t="n"/>
      <c r="K1633" s="104" t="n"/>
      <c r="L1633" s="104" t="n"/>
      <c r="M1633" s="104" t="n"/>
      <c r="N1633" s="104" t="n"/>
      <c r="O1633" s="104" t="n"/>
      <c r="P1633" s="104" t="n"/>
      <c r="Q1633" s="104" t="n"/>
      <c r="R1633" s="104" t="n"/>
      <c r="S1633" s="110" t="n"/>
      <c r="T1633" s="110" t="n"/>
      <c r="U1633" s="104" t="n"/>
    </row>
    <row r="1634">
      <c r="A1634" s="104" t="inlineStr">
        <is>
          <t>GUIDE001633</t>
        </is>
      </c>
      <c r="B1634" s="101" t="inlineStr">
        <is>
          <t>DEV000021</t>
        </is>
      </c>
      <c r="C1634" s="103" t="inlineStr">
        <is>
          <t>APL</t>
        </is>
      </c>
      <c r="D1634" s="103" t="inlineStr">
        <is>
          <t>PHN</t>
        </is>
      </c>
      <c r="E1634" s="60" t="inlineStr">
        <is>
          <t>iPhone XS Max</t>
        </is>
      </c>
      <c r="F1634" s="104" t="inlineStr">
        <is>
          <t>SVC000060</t>
        </is>
      </c>
      <c r="G1634" s="104" t="inlineStr">
        <is>
          <t>Antenna Repair</t>
        </is>
      </c>
      <c r="H1634" s="104" t="inlineStr">
        <is>
          <t>Connectivity</t>
        </is>
      </c>
      <c r="I1634" s="104" t="n"/>
      <c r="J1634" s="104" t="n"/>
      <c r="K1634" s="104" t="n"/>
      <c r="L1634" s="104" t="n"/>
      <c r="M1634" s="104" t="n"/>
      <c r="N1634" s="104" t="n"/>
      <c r="O1634" s="104" t="n"/>
      <c r="P1634" s="104" t="n"/>
      <c r="Q1634" s="104" t="n"/>
      <c r="R1634" s="104" t="n"/>
      <c r="S1634" s="110" t="n"/>
      <c r="T1634" s="110" t="n"/>
      <c r="U1634" s="104" t="n"/>
    </row>
    <row r="1635">
      <c r="A1635" s="104" t="inlineStr">
        <is>
          <t>GUIDE001634</t>
        </is>
      </c>
      <c r="B1635" s="101" t="inlineStr">
        <is>
          <t>DEV000022</t>
        </is>
      </c>
      <c r="C1635" s="103" t="inlineStr">
        <is>
          <t>APL</t>
        </is>
      </c>
      <c r="D1635" s="103" t="inlineStr">
        <is>
          <t>PHN</t>
        </is>
      </c>
      <c r="E1635" s="60" t="inlineStr">
        <is>
          <t>iPhone 11</t>
        </is>
      </c>
      <c r="F1635" s="104" t="inlineStr">
        <is>
          <t>SVC000060</t>
        </is>
      </c>
      <c r="G1635" s="104" t="inlineStr">
        <is>
          <t>Antenna Repair</t>
        </is>
      </c>
      <c r="H1635" s="104" t="inlineStr">
        <is>
          <t>Connectivity</t>
        </is>
      </c>
      <c r="I1635" s="104" t="n"/>
      <c r="J1635" s="104" t="n"/>
      <c r="K1635" s="104" t="n"/>
      <c r="L1635" s="104" t="n"/>
      <c r="M1635" s="104" t="n"/>
      <c r="N1635" s="104" t="n"/>
      <c r="O1635" s="104" t="n"/>
      <c r="P1635" s="104" t="n"/>
      <c r="Q1635" s="104" t="n"/>
      <c r="R1635" s="104" t="n"/>
      <c r="S1635" s="110" t="n"/>
      <c r="T1635" s="110" t="n"/>
      <c r="U1635" s="104" t="n"/>
    </row>
    <row r="1636">
      <c r="A1636" s="104" t="inlineStr">
        <is>
          <t>GUIDE001635</t>
        </is>
      </c>
      <c r="B1636" s="101" t="inlineStr">
        <is>
          <t>DEV000023</t>
        </is>
      </c>
      <c r="C1636" s="103" t="inlineStr">
        <is>
          <t>APL</t>
        </is>
      </c>
      <c r="D1636" s="103" t="inlineStr">
        <is>
          <t>PHN</t>
        </is>
      </c>
      <c r="E1636" s="60" t="inlineStr">
        <is>
          <t>iPhone 11 Pro</t>
        </is>
      </c>
      <c r="F1636" s="104" t="inlineStr">
        <is>
          <t>SVC000060</t>
        </is>
      </c>
      <c r="G1636" s="104" t="inlineStr">
        <is>
          <t>Antenna Repair</t>
        </is>
      </c>
      <c r="H1636" s="104" t="inlineStr">
        <is>
          <t>Connectivity</t>
        </is>
      </c>
      <c r="I1636" s="104" t="n"/>
      <c r="J1636" s="104" t="n"/>
      <c r="K1636" s="104" t="n"/>
      <c r="L1636" s="104" t="n"/>
      <c r="M1636" s="104" t="n"/>
      <c r="N1636" s="104" t="n"/>
      <c r="O1636" s="104" t="n"/>
      <c r="P1636" s="104" t="n"/>
      <c r="Q1636" s="104" t="n"/>
      <c r="R1636" s="104" t="n"/>
      <c r="S1636" s="110" t="n"/>
      <c r="T1636" s="110" t="n"/>
      <c r="U1636" s="104" t="n"/>
    </row>
    <row r="1637">
      <c r="A1637" s="104" t="inlineStr">
        <is>
          <t>GUIDE001636</t>
        </is>
      </c>
      <c r="B1637" s="101" t="inlineStr">
        <is>
          <t>DEV000024</t>
        </is>
      </c>
      <c r="C1637" s="103" t="inlineStr">
        <is>
          <t>APL</t>
        </is>
      </c>
      <c r="D1637" s="103" t="inlineStr">
        <is>
          <t>PHN</t>
        </is>
      </c>
      <c r="E1637" s="60" t="inlineStr">
        <is>
          <t>iPhone 11 Pro Max</t>
        </is>
      </c>
      <c r="F1637" s="104" t="inlineStr">
        <is>
          <t>SVC000060</t>
        </is>
      </c>
      <c r="G1637" s="104" t="inlineStr">
        <is>
          <t>Antenna Repair</t>
        </is>
      </c>
      <c r="H1637" s="104" t="inlineStr">
        <is>
          <t>Connectivity</t>
        </is>
      </c>
      <c r="I1637" s="104" t="n"/>
      <c r="J1637" s="104" t="n"/>
      <c r="K1637" s="104" t="n"/>
      <c r="L1637" s="104" t="n"/>
      <c r="M1637" s="104" t="n"/>
      <c r="N1637" s="104" t="n"/>
      <c r="O1637" s="104" t="n"/>
      <c r="P1637" s="104" t="n"/>
      <c r="Q1637" s="104" t="n"/>
      <c r="R1637" s="104" t="n"/>
      <c r="S1637" s="110" t="n"/>
      <c r="T1637" s="110" t="n"/>
      <c r="U1637" s="104" t="n"/>
    </row>
    <row r="1638">
      <c r="A1638" s="104" t="inlineStr">
        <is>
          <t>GUIDE001637</t>
        </is>
      </c>
      <c r="B1638" s="101" t="inlineStr">
        <is>
          <t>DEV000025</t>
        </is>
      </c>
      <c r="C1638" s="103" t="inlineStr">
        <is>
          <t>APL</t>
        </is>
      </c>
      <c r="D1638" s="103" t="inlineStr">
        <is>
          <t>PHN</t>
        </is>
      </c>
      <c r="E1638" s="60" t="inlineStr">
        <is>
          <t>iPhone SE (2nd Generation)</t>
        </is>
      </c>
      <c r="F1638" s="104" t="inlineStr">
        <is>
          <t>SVC000060</t>
        </is>
      </c>
      <c r="G1638" s="104" t="inlineStr">
        <is>
          <t>Antenna Repair</t>
        </is>
      </c>
      <c r="H1638" s="104" t="inlineStr">
        <is>
          <t>Connectivity</t>
        </is>
      </c>
      <c r="I1638" s="104" t="n"/>
      <c r="J1638" s="104" t="n"/>
      <c r="K1638" s="104" t="n"/>
      <c r="L1638" s="104" t="n"/>
      <c r="M1638" s="104" t="n"/>
      <c r="N1638" s="104" t="n"/>
      <c r="O1638" s="104" t="n"/>
      <c r="P1638" s="104" t="n"/>
      <c r="Q1638" s="104" t="n"/>
      <c r="R1638" s="104" t="n"/>
      <c r="S1638" s="110" t="n"/>
      <c r="T1638" s="110" t="n"/>
      <c r="U1638" s="104" t="n"/>
    </row>
    <row r="1639">
      <c r="A1639" s="105" t="inlineStr">
        <is>
          <t>GUIDE001638</t>
        </is>
      </c>
      <c r="B1639" s="101" t="inlineStr">
        <is>
          <t>DEV000026</t>
        </is>
      </c>
      <c r="C1639" s="103" t="inlineStr">
        <is>
          <t>APL</t>
        </is>
      </c>
      <c r="D1639" s="103" t="inlineStr">
        <is>
          <t>PHN</t>
        </is>
      </c>
      <c r="E1639" s="60" t="inlineStr">
        <is>
          <t>iPhone 12 mini</t>
        </is>
      </c>
      <c r="F1639" s="104" t="inlineStr">
        <is>
          <t>SVC000060</t>
        </is>
      </c>
      <c r="G1639" s="104" t="inlineStr">
        <is>
          <t>Antenna Repair</t>
        </is>
      </c>
      <c r="H1639" s="104" t="inlineStr">
        <is>
          <t>Connectivity</t>
        </is>
      </c>
      <c r="I1639" s="104" t="n"/>
      <c r="J1639" s="104" t="n"/>
      <c r="K1639" s="104" t="n"/>
      <c r="L1639" s="104" t="n"/>
      <c r="M1639" s="104" t="n"/>
      <c r="N1639" s="104" t="n"/>
      <c r="O1639" s="104" t="n"/>
      <c r="P1639" s="104" t="n"/>
      <c r="Q1639" s="104" t="n"/>
      <c r="R1639" s="104" t="n"/>
      <c r="S1639" s="110" t="n"/>
      <c r="T1639" s="110" t="n"/>
      <c r="U1639" s="104" t="n"/>
    </row>
    <row r="1640">
      <c r="A1640" s="104" t="inlineStr">
        <is>
          <t>GUIDE001639</t>
        </is>
      </c>
      <c r="B1640" s="101" t="inlineStr">
        <is>
          <t>DEV000027</t>
        </is>
      </c>
      <c r="C1640" s="103" t="inlineStr">
        <is>
          <t>APL</t>
        </is>
      </c>
      <c r="D1640" s="103" t="inlineStr">
        <is>
          <t>PHN</t>
        </is>
      </c>
      <c r="E1640" s="60" t="inlineStr">
        <is>
          <t>iPhone 12</t>
        </is>
      </c>
      <c r="F1640" s="104" t="inlineStr">
        <is>
          <t>SVC000060</t>
        </is>
      </c>
      <c r="G1640" s="104" t="inlineStr">
        <is>
          <t>Antenna Repair</t>
        </is>
      </c>
      <c r="H1640" s="104" t="inlineStr">
        <is>
          <t>Connectivity</t>
        </is>
      </c>
      <c r="I1640" s="104" t="n"/>
      <c r="J1640" s="104" t="n"/>
      <c r="K1640" s="104" t="n"/>
      <c r="L1640" s="104" t="n"/>
      <c r="M1640" s="104" t="n"/>
      <c r="N1640" s="104" t="n"/>
      <c r="O1640" s="104" t="n"/>
      <c r="P1640" s="104" t="n"/>
      <c r="Q1640" s="104" t="n"/>
      <c r="R1640" s="104" t="n"/>
      <c r="S1640" s="110" t="n"/>
      <c r="T1640" s="110" t="n"/>
      <c r="U1640" s="104" t="n"/>
    </row>
    <row r="1641">
      <c r="A1641" s="104" t="inlineStr">
        <is>
          <t>GUIDE001640</t>
        </is>
      </c>
      <c r="B1641" s="101" t="inlineStr">
        <is>
          <t>DEV000028</t>
        </is>
      </c>
      <c r="C1641" s="103" t="inlineStr">
        <is>
          <t>APL</t>
        </is>
      </c>
      <c r="D1641" s="103" t="inlineStr">
        <is>
          <t>PHN</t>
        </is>
      </c>
      <c r="E1641" s="60" t="inlineStr">
        <is>
          <t>iPhone 12 Pro</t>
        </is>
      </c>
      <c r="F1641" s="104" t="inlineStr">
        <is>
          <t>SVC000060</t>
        </is>
      </c>
      <c r="G1641" s="104" t="inlineStr">
        <is>
          <t>Antenna Repair</t>
        </is>
      </c>
      <c r="H1641" s="104" t="inlineStr">
        <is>
          <t>Connectivity</t>
        </is>
      </c>
      <c r="I1641" s="104" t="n"/>
      <c r="J1641" s="104" t="n"/>
      <c r="K1641" s="104" t="n"/>
      <c r="L1641" s="104" t="n"/>
      <c r="M1641" s="104" t="n"/>
      <c r="N1641" s="104" t="n"/>
      <c r="O1641" s="104" t="n"/>
      <c r="P1641" s="104" t="n"/>
      <c r="Q1641" s="104" t="n"/>
      <c r="R1641" s="104" t="n"/>
      <c r="S1641" s="110" t="n"/>
      <c r="T1641" s="110" t="n"/>
      <c r="U1641" s="104" t="n"/>
    </row>
    <row r="1642">
      <c r="A1642" s="104" t="inlineStr">
        <is>
          <t>GUIDE001641</t>
        </is>
      </c>
      <c r="B1642" s="101" t="inlineStr">
        <is>
          <t>DEV000029</t>
        </is>
      </c>
      <c r="C1642" s="103" t="inlineStr">
        <is>
          <t>APL</t>
        </is>
      </c>
      <c r="D1642" s="103" t="inlineStr">
        <is>
          <t>PHN</t>
        </is>
      </c>
      <c r="E1642" s="60" t="inlineStr">
        <is>
          <t>iPhone 12 Pro Max</t>
        </is>
      </c>
      <c r="F1642" s="104" t="inlineStr">
        <is>
          <t>SVC000060</t>
        </is>
      </c>
      <c r="G1642" s="104" t="inlineStr">
        <is>
          <t>Antenna Repair</t>
        </is>
      </c>
      <c r="H1642" s="104" t="inlineStr">
        <is>
          <t>Connectivity</t>
        </is>
      </c>
      <c r="I1642" s="104" t="n"/>
      <c r="J1642" s="104" t="n"/>
      <c r="K1642" s="104" t="n"/>
      <c r="L1642" s="104" t="n"/>
      <c r="M1642" s="104" t="n"/>
      <c r="N1642" s="104" t="n"/>
      <c r="O1642" s="104" t="n"/>
      <c r="P1642" s="104" t="n"/>
      <c r="Q1642" s="104" t="n"/>
      <c r="R1642" s="104" t="n"/>
      <c r="S1642" s="110" t="n"/>
      <c r="T1642" s="110" t="n"/>
      <c r="U1642" s="104" t="n"/>
    </row>
    <row r="1643">
      <c r="A1643" s="104" t="inlineStr">
        <is>
          <t>GUIDE001642</t>
        </is>
      </c>
      <c r="B1643" s="101" t="inlineStr">
        <is>
          <t>DEV000030</t>
        </is>
      </c>
      <c r="C1643" s="103" t="inlineStr">
        <is>
          <t>APL</t>
        </is>
      </c>
      <c r="D1643" s="103" t="inlineStr">
        <is>
          <t>PHN</t>
        </is>
      </c>
      <c r="E1643" s="60" t="inlineStr">
        <is>
          <t>iPhone 13 mini</t>
        </is>
      </c>
      <c r="F1643" s="104" t="inlineStr">
        <is>
          <t>SVC000060</t>
        </is>
      </c>
      <c r="G1643" s="104" t="inlineStr">
        <is>
          <t>Antenna Repair</t>
        </is>
      </c>
      <c r="H1643" s="104" t="inlineStr">
        <is>
          <t>Connectivity</t>
        </is>
      </c>
      <c r="I1643" s="104" t="n"/>
      <c r="J1643" s="104" t="n"/>
      <c r="K1643" s="104" t="n"/>
      <c r="L1643" s="104" t="n"/>
      <c r="M1643" s="104" t="n"/>
      <c r="N1643" s="104" t="n"/>
      <c r="O1643" s="104" t="n"/>
      <c r="P1643" s="104" t="n"/>
      <c r="Q1643" s="104" t="n"/>
      <c r="R1643" s="104" t="n"/>
      <c r="S1643" s="110" t="n"/>
      <c r="T1643" s="110" t="n"/>
      <c r="U1643" s="104" t="n"/>
    </row>
    <row r="1644">
      <c r="A1644" s="104" t="inlineStr">
        <is>
          <t>GUIDE001643</t>
        </is>
      </c>
      <c r="B1644" s="101" t="inlineStr">
        <is>
          <t>DEV000031</t>
        </is>
      </c>
      <c r="C1644" s="103" t="inlineStr">
        <is>
          <t>APL</t>
        </is>
      </c>
      <c r="D1644" s="103" t="inlineStr">
        <is>
          <t>PHN</t>
        </is>
      </c>
      <c r="E1644" s="60" t="inlineStr">
        <is>
          <t>iPhone 13</t>
        </is>
      </c>
      <c r="F1644" s="104" t="inlineStr">
        <is>
          <t>SVC000060</t>
        </is>
      </c>
      <c r="G1644" s="104" t="inlineStr">
        <is>
          <t>Antenna Repair</t>
        </is>
      </c>
      <c r="H1644" s="104" t="inlineStr">
        <is>
          <t>Connectivity</t>
        </is>
      </c>
      <c r="I1644" s="104" t="n"/>
      <c r="J1644" s="104" t="n"/>
      <c r="K1644" s="104" t="n"/>
      <c r="L1644" s="104" t="n"/>
      <c r="M1644" s="104" t="n"/>
      <c r="N1644" s="104" t="n"/>
      <c r="O1644" s="104" t="n"/>
      <c r="P1644" s="104" t="n"/>
      <c r="Q1644" s="104" t="n"/>
      <c r="R1644" s="104" t="n"/>
      <c r="S1644" s="110" t="n"/>
      <c r="T1644" s="110" t="n"/>
      <c r="U1644" s="104" t="n"/>
    </row>
    <row r="1645">
      <c r="A1645" s="105" t="inlineStr">
        <is>
          <t>GUIDE001644</t>
        </is>
      </c>
      <c r="B1645" s="101" t="inlineStr">
        <is>
          <t>DEV000032</t>
        </is>
      </c>
      <c r="C1645" s="103" t="inlineStr">
        <is>
          <t>APL</t>
        </is>
      </c>
      <c r="D1645" s="103" t="inlineStr">
        <is>
          <t>PHN</t>
        </is>
      </c>
      <c r="E1645" s="60" t="inlineStr">
        <is>
          <t>iPhone 13 Pro</t>
        </is>
      </c>
      <c r="F1645" s="104" t="inlineStr">
        <is>
          <t>SVC000060</t>
        </is>
      </c>
      <c r="G1645" s="104" t="inlineStr">
        <is>
          <t>Antenna Repair</t>
        </is>
      </c>
      <c r="H1645" s="104" t="inlineStr">
        <is>
          <t>Connectivity</t>
        </is>
      </c>
      <c r="I1645" s="104" t="n"/>
      <c r="J1645" s="104" t="n"/>
      <c r="K1645" s="104" t="n"/>
      <c r="L1645" s="104" t="n"/>
      <c r="M1645" s="104" t="n"/>
      <c r="N1645" s="104" t="n"/>
      <c r="O1645" s="104" t="n"/>
      <c r="P1645" s="104" t="n"/>
      <c r="Q1645" s="104" t="n"/>
      <c r="R1645" s="104" t="n"/>
      <c r="S1645" s="110" t="n"/>
      <c r="T1645" s="110" t="n"/>
      <c r="U1645" s="104" t="n"/>
    </row>
    <row r="1646">
      <c r="A1646" s="104" t="inlineStr">
        <is>
          <t>GUIDE001645</t>
        </is>
      </c>
      <c r="B1646" s="101" t="inlineStr">
        <is>
          <t>DEV000033</t>
        </is>
      </c>
      <c r="C1646" s="103" t="inlineStr">
        <is>
          <t>APL</t>
        </is>
      </c>
      <c r="D1646" s="103" t="inlineStr">
        <is>
          <t>PHN</t>
        </is>
      </c>
      <c r="E1646" s="60" t="inlineStr">
        <is>
          <t>iPhone 13 Pro Max</t>
        </is>
      </c>
      <c r="F1646" s="104" t="inlineStr">
        <is>
          <t>SVC000060</t>
        </is>
      </c>
      <c r="G1646" s="104" t="inlineStr">
        <is>
          <t>Antenna Repair</t>
        </is>
      </c>
      <c r="H1646" s="104" t="inlineStr">
        <is>
          <t>Connectivity</t>
        </is>
      </c>
      <c r="I1646" s="104" t="n"/>
      <c r="J1646" s="104" t="n"/>
      <c r="K1646" s="104" t="n"/>
      <c r="L1646" s="104" t="n"/>
      <c r="M1646" s="104" t="n"/>
      <c r="N1646" s="104" t="n"/>
      <c r="O1646" s="104" t="n"/>
      <c r="P1646" s="104" t="n"/>
      <c r="Q1646" s="104" t="n"/>
      <c r="R1646" s="104" t="n"/>
      <c r="S1646" s="110" t="n"/>
      <c r="T1646" s="110" t="n"/>
      <c r="U1646" s="104" t="n"/>
    </row>
    <row r="1647">
      <c r="A1647" s="104" t="inlineStr">
        <is>
          <t>GUIDE001646</t>
        </is>
      </c>
      <c r="B1647" s="101" t="inlineStr">
        <is>
          <t>DEV000034</t>
        </is>
      </c>
      <c r="C1647" s="103" t="inlineStr">
        <is>
          <t>APL</t>
        </is>
      </c>
      <c r="D1647" s="103" t="inlineStr">
        <is>
          <t>PHN</t>
        </is>
      </c>
      <c r="E1647" s="60" t="inlineStr">
        <is>
          <t>iPhone SE (3rd Generation)</t>
        </is>
      </c>
      <c r="F1647" s="104" t="inlineStr">
        <is>
          <t>SVC000060</t>
        </is>
      </c>
      <c r="G1647" s="104" t="inlineStr">
        <is>
          <t>Antenna Repair</t>
        </is>
      </c>
      <c r="H1647" s="104" t="inlineStr">
        <is>
          <t>Connectivity</t>
        </is>
      </c>
      <c r="I1647" s="104" t="n"/>
      <c r="J1647" s="104" t="n"/>
      <c r="K1647" s="104" t="n"/>
      <c r="L1647" s="104" t="n"/>
      <c r="M1647" s="104" t="n"/>
      <c r="N1647" s="104" t="n"/>
      <c r="O1647" s="104" t="n"/>
      <c r="P1647" s="104" t="n"/>
      <c r="Q1647" s="104" t="n"/>
      <c r="R1647" s="104" t="n"/>
      <c r="S1647" s="110" t="n"/>
      <c r="T1647" s="110" t="n"/>
      <c r="U1647" s="104" t="n"/>
    </row>
    <row r="1648">
      <c r="A1648" s="104" t="inlineStr">
        <is>
          <t>GUIDE001647</t>
        </is>
      </c>
      <c r="B1648" s="101" t="inlineStr">
        <is>
          <t>DEV000035</t>
        </is>
      </c>
      <c r="C1648" s="103" t="inlineStr">
        <is>
          <t>APL</t>
        </is>
      </c>
      <c r="D1648" s="103" t="inlineStr">
        <is>
          <t>PHN</t>
        </is>
      </c>
      <c r="E1648" s="60" t="inlineStr">
        <is>
          <t>iPhone 14</t>
        </is>
      </c>
      <c r="F1648" s="104" t="inlineStr">
        <is>
          <t>SVC000060</t>
        </is>
      </c>
      <c r="G1648" s="104" t="inlineStr">
        <is>
          <t>Antenna Repair</t>
        </is>
      </c>
      <c r="H1648" s="104" t="inlineStr">
        <is>
          <t>Connectivity</t>
        </is>
      </c>
      <c r="I1648" s="104" t="n"/>
      <c r="J1648" s="104" t="n"/>
      <c r="K1648" s="104" t="n"/>
      <c r="L1648" s="104" t="n"/>
      <c r="M1648" s="104" t="n"/>
      <c r="N1648" s="104" t="n"/>
      <c r="O1648" s="104" t="n"/>
      <c r="P1648" s="104" t="n"/>
      <c r="Q1648" s="104" t="n"/>
      <c r="R1648" s="104" t="n"/>
      <c r="S1648" s="110" t="n"/>
      <c r="T1648" s="110" t="n"/>
      <c r="U1648" s="104" t="n"/>
    </row>
    <row r="1649">
      <c r="A1649" s="104" t="inlineStr">
        <is>
          <t>GUIDE001648</t>
        </is>
      </c>
      <c r="B1649" s="101" t="inlineStr">
        <is>
          <t>DEV000036</t>
        </is>
      </c>
      <c r="C1649" s="103" t="inlineStr">
        <is>
          <t>APL</t>
        </is>
      </c>
      <c r="D1649" s="103" t="inlineStr">
        <is>
          <t>PHN</t>
        </is>
      </c>
      <c r="E1649" s="60" t="inlineStr">
        <is>
          <t>iPhone 14 Plus</t>
        </is>
      </c>
      <c r="F1649" s="104" t="inlineStr">
        <is>
          <t>SVC000060</t>
        </is>
      </c>
      <c r="G1649" s="104" t="inlineStr">
        <is>
          <t>Antenna Repair</t>
        </is>
      </c>
      <c r="H1649" s="104" t="inlineStr">
        <is>
          <t>Connectivity</t>
        </is>
      </c>
      <c r="I1649" s="104" t="n"/>
      <c r="J1649" s="104" t="n"/>
      <c r="K1649" s="104" t="n"/>
      <c r="L1649" s="104" t="n"/>
      <c r="M1649" s="104" t="n"/>
      <c r="N1649" s="104" t="n"/>
      <c r="O1649" s="104" t="n"/>
      <c r="P1649" s="104" t="n"/>
      <c r="Q1649" s="104" t="n"/>
      <c r="R1649" s="104" t="n"/>
      <c r="S1649" s="110" t="n"/>
      <c r="T1649" s="110" t="n"/>
      <c r="U1649" s="104" t="n"/>
    </row>
    <row r="1650">
      <c r="A1650" s="104" t="inlineStr">
        <is>
          <t>GUIDE001649</t>
        </is>
      </c>
      <c r="B1650" s="101" t="inlineStr">
        <is>
          <t>DEV000037</t>
        </is>
      </c>
      <c r="C1650" s="103" t="inlineStr">
        <is>
          <t>APL</t>
        </is>
      </c>
      <c r="D1650" s="103" t="inlineStr">
        <is>
          <t>PHN</t>
        </is>
      </c>
      <c r="E1650" s="60" t="inlineStr">
        <is>
          <t>iPhone 14 Pro</t>
        </is>
      </c>
      <c r="F1650" s="104" t="inlineStr">
        <is>
          <t>SVC000060</t>
        </is>
      </c>
      <c r="G1650" s="104" t="inlineStr">
        <is>
          <t>Antenna Repair</t>
        </is>
      </c>
      <c r="H1650" s="104" t="inlineStr">
        <is>
          <t>Connectivity</t>
        </is>
      </c>
      <c r="I1650" s="104" t="n"/>
      <c r="J1650" s="104" t="n"/>
      <c r="K1650" s="104" t="n"/>
      <c r="L1650" s="104" t="n"/>
      <c r="M1650" s="104" t="n"/>
      <c r="N1650" s="104" t="n"/>
      <c r="O1650" s="104" t="n"/>
      <c r="P1650" s="104" t="n"/>
      <c r="Q1650" s="104" t="n"/>
      <c r="R1650" s="104" t="n"/>
      <c r="S1650" s="110" t="n"/>
      <c r="T1650" s="110" t="n"/>
      <c r="U1650" s="104" t="n"/>
    </row>
    <row r="1651">
      <c r="A1651" s="105" t="inlineStr">
        <is>
          <t>GUIDE001650</t>
        </is>
      </c>
      <c r="B1651" s="101" t="inlineStr">
        <is>
          <t>DEV000038</t>
        </is>
      </c>
      <c r="C1651" s="103" t="inlineStr">
        <is>
          <t>APL</t>
        </is>
      </c>
      <c r="D1651" s="103" t="inlineStr">
        <is>
          <t>PHN</t>
        </is>
      </c>
      <c r="E1651" s="60" t="inlineStr">
        <is>
          <t>iPhone 14 Pro Max</t>
        </is>
      </c>
      <c r="F1651" s="104" t="inlineStr">
        <is>
          <t>SVC000060</t>
        </is>
      </c>
      <c r="G1651" s="104" t="inlineStr">
        <is>
          <t>Antenna Repair</t>
        </is>
      </c>
      <c r="H1651" s="104" t="inlineStr">
        <is>
          <t>Connectivity</t>
        </is>
      </c>
      <c r="I1651" s="104" t="n"/>
      <c r="J1651" s="104" t="n"/>
      <c r="K1651" s="104" t="n"/>
      <c r="L1651" s="104" t="n"/>
      <c r="M1651" s="104" t="n"/>
      <c r="N1651" s="104" t="n"/>
      <c r="O1651" s="104" t="n"/>
      <c r="P1651" s="104" t="n"/>
      <c r="Q1651" s="104" t="n"/>
      <c r="R1651" s="104" t="n"/>
      <c r="S1651" s="110" t="n"/>
      <c r="T1651" s="110" t="n"/>
      <c r="U1651" s="104" t="n"/>
    </row>
    <row r="1652">
      <c r="A1652" s="104" t="inlineStr">
        <is>
          <t>GUIDE001651</t>
        </is>
      </c>
      <c r="B1652" s="101" t="inlineStr">
        <is>
          <t>DEV000039</t>
        </is>
      </c>
      <c r="C1652" s="103" t="inlineStr">
        <is>
          <t>APL</t>
        </is>
      </c>
      <c r="D1652" s="103" t="inlineStr">
        <is>
          <t>PHN</t>
        </is>
      </c>
      <c r="E1652" s="60" t="inlineStr">
        <is>
          <t>iPhone 15</t>
        </is>
      </c>
      <c r="F1652" s="104" t="inlineStr">
        <is>
          <t>SVC000060</t>
        </is>
      </c>
      <c r="G1652" s="104" t="inlineStr">
        <is>
          <t>Antenna Repair</t>
        </is>
      </c>
      <c r="H1652" s="104" t="inlineStr">
        <is>
          <t>Connectivity</t>
        </is>
      </c>
      <c r="I1652" s="104" t="n"/>
      <c r="J1652" s="104" t="n"/>
      <c r="K1652" s="104" t="n"/>
      <c r="L1652" s="104" t="n"/>
      <c r="M1652" s="104" t="n"/>
      <c r="N1652" s="104" t="n"/>
      <c r="O1652" s="104" t="n"/>
      <c r="P1652" s="104" t="n"/>
      <c r="Q1652" s="104" t="n"/>
      <c r="R1652" s="104" t="n"/>
      <c r="S1652" s="110" t="n"/>
      <c r="T1652" s="110" t="n"/>
      <c r="U1652" s="104" t="n"/>
    </row>
    <row r="1653">
      <c r="A1653" s="104" t="inlineStr">
        <is>
          <t>GUIDE001652</t>
        </is>
      </c>
      <c r="B1653" s="101" t="inlineStr">
        <is>
          <t>DEV000040</t>
        </is>
      </c>
      <c r="C1653" s="103" t="inlineStr">
        <is>
          <t>APL</t>
        </is>
      </c>
      <c r="D1653" s="103" t="inlineStr">
        <is>
          <t>PHN</t>
        </is>
      </c>
      <c r="E1653" s="60" t="inlineStr">
        <is>
          <t>iPhone 15 Plus</t>
        </is>
      </c>
      <c r="F1653" s="104" t="inlineStr">
        <is>
          <t>SVC000060</t>
        </is>
      </c>
      <c r="G1653" s="104" t="inlineStr">
        <is>
          <t>Antenna Repair</t>
        </is>
      </c>
      <c r="H1653" s="104" t="inlineStr">
        <is>
          <t>Connectivity</t>
        </is>
      </c>
      <c r="I1653" s="104" t="n"/>
      <c r="J1653" s="104" t="n"/>
      <c r="K1653" s="104" t="n"/>
      <c r="L1653" s="104" t="n"/>
      <c r="M1653" s="104" t="n"/>
      <c r="N1653" s="104" t="n"/>
      <c r="O1653" s="104" t="n"/>
      <c r="P1653" s="104" t="n"/>
      <c r="Q1653" s="104" t="n"/>
      <c r="R1653" s="104" t="n"/>
      <c r="S1653" s="110" t="n"/>
      <c r="T1653" s="110" t="n"/>
      <c r="U1653" s="104" t="n"/>
    </row>
    <row r="1654">
      <c r="A1654" s="104" t="inlineStr">
        <is>
          <t>GUIDE001653</t>
        </is>
      </c>
      <c r="B1654" s="101" t="inlineStr">
        <is>
          <t>DEV000041</t>
        </is>
      </c>
      <c r="C1654" s="103" t="inlineStr">
        <is>
          <t>APL</t>
        </is>
      </c>
      <c r="D1654" s="103" t="inlineStr">
        <is>
          <t>PHN</t>
        </is>
      </c>
      <c r="E1654" s="60" t="inlineStr">
        <is>
          <t>iPhone 15 Pro</t>
        </is>
      </c>
      <c r="F1654" s="104" t="inlineStr">
        <is>
          <t>SVC000060</t>
        </is>
      </c>
      <c r="G1654" s="104" t="inlineStr">
        <is>
          <t>Antenna Repair</t>
        </is>
      </c>
      <c r="H1654" s="104" t="inlineStr">
        <is>
          <t>Connectivity</t>
        </is>
      </c>
      <c r="I1654" s="104" t="n"/>
      <c r="J1654" s="104" t="n"/>
      <c r="K1654" s="104" t="n"/>
      <c r="L1654" s="104" t="n"/>
      <c r="M1654" s="104" t="n"/>
      <c r="N1654" s="104" t="n"/>
      <c r="O1654" s="104" t="n"/>
      <c r="P1654" s="104" t="n"/>
      <c r="Q1654" s="104" t="n"/>
      <c r="R1654" s="104" t="n"/>
      <c r="S1654" s="110" t="n"/>
      <c r="T1654" s="110" t="n"/>
      <c r="U1654" s="104" t="n"/>
    </row>
    <row r="1655">
      <c r="A1655" s="104" t="inlineStr">
        <is>
          <t>GUIDE001654</t>
        </is>
      </c>
      <c r="B1655" s="101" t="inlineStr">
        <is>
          <t>DEV000042</t>
        </is>
      </c>
      <c r="C1655" s="103" t="inlineStr">
        <is>
          <t>APL</t>
        </is>
      </c>
      <c r="D1655" s="103" t="inlineStr">
        <is>
          <t>PHN</t>
        </is>
      </c>
      <c r="E1655" s="60" t="inlineStr">
        <is>
          <t>iPhone 15 Pro Max</t>
        </is>
      </c>
      <c r="F1655" s="104" t="inlineStr">
        <is>
          <t>SVC000060</t>
        </is>
      </c>
      <c r="G1655" s="104" t="inlineStr">
        <is>
          <t>Antenna Repair</t>
        </is>
      </c>
      <c r="H1655" s="104" t="inlineStr">
        <is>
          <t>Connectivity</t>
        </is>
      </c>
      <c r="I1655" s="104" t="n"/>
      <c r="J1655" s="104" t="n"/>
      <c r="K1655" s="104" t="n"/>
      <c r="L1655" s="104" t="n"/>
      <c r="M1655" s="104" t="n"/>
      <c r="N1655" s="104" t="n"/>
      <c r="O1655" s="104" t="n"/>
      <c r="P1655" s="104" t="n"/>
      <c r="Q1655" s="104" t="n"/>
      <c r="R1655" s="104" t="n"/>
      <c r="S1655" s="110" t="n"/>
      <c r="T1655" s="110" t="n"/>
      <c r="U1655" s="104" t="n"/>
    </row>
    <row r="1656">
      <c r="A1656" s="104" t="inlineStr">
        <is>
          <t>GUIDE001655</t>
        </is>
      </c>
      <c r="B1656" s="101" t="inlineStr">
        <is>
          <t>DEV000043</t>
        </is>
      </c>
      <c r="C1656" s="103" t="inlineStr">
        <is>
          <t>APL</t>
        </is>
      </c>
      <c r="D1656" s="103" t="inlineStr">
        <is>
          <t>PHN</t>
        </is>
      </c>
      <c r="E1656" s="60" t="inlineStr">
        <is>
          <t>iPhone 16</t>
        </is>
      </c>
      <c r="F1656" s="104" t="inlineStr">
        <is>
          <t>SVC000060</t>
        </is>
      </c>
      <c r="G1656" s="104" t="inlineStr">
        <is>
          <t>Antenna Repair</t>
        </is>
      </c>
      <c r="H1656" s="104" t="inlineStr">
        <is>
          <t>Connectivity</t>
        </is>
      </c>
      <c r="I1656" s="104" t="n"/>
      <c r="J1656" s="104" t="n"/>
      <c r="K1656" s="104" t="n"/>
      <c r="L1656" s="104" t="n"/>
      <c r="M1656" s="104" t="n"/>
      <c r="N1656" s="104" t="n"/>
      <c r="O1656" s="104" t="n"/>
      <c r="P1656" s="104" t="n"/>
      <c r="Q1656" s="104" t="n"/>
      <c r="R1656" s="104" t="n"/>
      <c r="S1656" s="110" t="n"/>
      <c r="T1656" s="110" t="n"/>
      <c r="U1656" s="104" t="n"/>
    </row>
    <row r="1657">
      <c r="A1657" s="105" t="inlineStr">
        <is>
          <t>GUIDE001656</t>
        </is>
      </c>
      <c r="B1657" s="101" t="inlineStr">
        <is>
          <t>DEV000044</t>
        </is>
      </c>
      <c r="C1657" s="103" t="inlineStr">
        <is>
          <t>APL</t>
        </is>
      </c>
      <c r="D1657" s="103" t="inlineStr">
        <is>
          <t>PHN</t>
        </is>
      </c>
      <c r="E1657" s="60" t="inlineStr">
        <is>
          <t>iPhone 16 Plus</t>
        </is>
      </c>
      <c r="F1657" s="104" t="inlineStr">
        <is>
          <t>SVC000060</t>
        </is>
      </c>
      <c r="G1657" s="104" t="inlineStr">
        <is>
          <t>Antenna Repair</t>
        </is>
      </c>
      <c r="H1657" s="104" t="inlineStr">
        <is>
          <t>Connectivity</t>
        </is>
      </c>
      <c r="I1657" s="104" t="n"/>
      <c r="J1657" s="104" t="n"/>
      <c r="K1657" s="104" t="n"/>
      <c r="L1657" s="104" t="n"/>
      <c r="M1657" s="104" t="n"/>
      <c r="N1657" s="104" t="n"/>
      <c r="O1657" s="104" t="n"/>
      <c r="P1657" s="104" t="n"/>
      <c r="Q1657" s="104" t="n"/>
      <c r="R1657" s="104" t="n"/>
      <c r="S1657" s="110" t="n"/>
      <c r="T1657" s="110" t="n"/>
      <c r="U1657" s="104" t="n"/>
    </row>
    <row r="1658">
      <c r="A1658" s="104" t="inlineStr">
        <is>
          <t>GUIDE001657</t>
        </is>
      </c>
      <c r="B1658" s="101" t="inlineStr">
        <is>
          <t>DEV000045</t>
        </is>
      </c>
      <c r="C1658" s="103" t="inlineStr">
        <is>
          <t>APL</t>
        </is>
      </c>
      <c r="D1658" s="103" t="inlineStr">
        <is>
          <t>PHN</t>
        </is>
      </c>
      <c r="E1658" s="60" t="inlineStr">
        <is>
          <t>iPhone 16 Pro</t>
        </is>
      </c>
      <c r="F1658" s="104" t="inlineStr">
        <is>
          <t>SVC000060</t>
        </is>
      </c>
      <c r="G1658" s="104" t="inlineStr">
        <is>
          <t>Antenna Repair</t>
        </is>
      </c>
      <c r="H1658" s="104" t="inlineStr">
        <is>
          <t>Connectivity</t>
        </is>
      </c>
      <c r="I1658" s="104" t="n"/>
      <c r="J1658" s="104" t="n"/>
      <c r="K1658" s="104" t="n"/>
      <c r="L1658" s="104" t="n"/>
      <c r="M1658" s="104" t="n"/>
      <c r="N1658" s="104" t="n"/>
      <c r="O1658" s="104" t="n"/>
      <c r="P1658" s="104" t="n"/>
      <c r="Q1658" s="104" t="n"/>
      <c r="R1658" s="104" t="n"/>
      <c r="S1658" s="110" t="n"/>
      <c r="T1658" s="110" t="n"/>
      <c r="U1658" s="104" t="n"/>
    </row>
    <row r="1659">
      <c r="A1659" s="104" t="inlineStr">
        <is>
          <t>GUIDE001658</t>
        </is>
      </c>
      <c r="B1659" s="101" t="inlineStr">
        <is>
          <t>DEV000046</t>
        </is>
      </c>
      <c r="C1659" s="103" t="inlineStr">
        <is>
          <t>APL</t>
        </is>
      </c>
      <c r="D1659" s="103" t="inlineStr">
        <is>
          <t>PHN</t>
        </is>
      </c>
      <c r="E1659" s="60" t="inlineStr">
        <is>
          <t>iPhone 16 Pro Max</t>
        </is>
      </c>
      <c r="F1659" s="104" t="inlineStr">
        <is>
          <t>SVC000060</t>
        </is>
      </c>
      <c r="G1659" s="104" t="inlineStr">
        <is>
          <t>Antenna Repair</t>
        </is>
      </c>
      <c r="H1659" s="104" t="inlineStr">
        <is>
          <t>Connectivity</t>
        </is>
      </c>
      <c r="I1659" s="104" t="n"/>
      <c r="J1659" s="104" t="n"/>
      <c r="K1659" s="104" t="n"/>
      <c r="L1659" s="104" t="n"/>
      <c r="M1659" s="104" t="n"/>
      <c r="N1659" s="104" t="n"/>
      <c r="O1659" s="104" t="n"/>
      <c r="P1659" s="104" t="n"/>
      <c r="Q1659" s="104" t="n"/>
      <c r="R1659" s="104" t="n"/>
      <c r="S1659" s="110" t="n"/>
      <c r="T1659" s="110" t="n"/>
      <c r="U1659" s="104" t="n"/>
    </row>
    <row r="1660">
      <c r="A1660" s="104" t="inlineStr">
        <is>
          <t>GUIDE001659</t>
        </is>
      </c>
      <c r="B1660" s="101" t="inlineStr">
        <is>
          <t>DEV000047</t>
        </is>
      </c>
      <c r="C1660" s="103" t="inlineStr">
        <is>
          <t>APL</t>
        </is>
      </c>
      <c r="D1660" s="103" t="inlineStr">
        <is>
          <t>PHN</t>
        </is>
      </c>
      <c r="E1660" s="60" t="inlineStr">
        <is>
          <t>iPhone 16e</t>
        </is>
      </c>
      <c r="F1660" s="104" t="inlineStr">
        <is>
          <t>SVC000060</t>
        </is>
      </c>
      <c r="G1660" s="104" t="inlineStr">
        <is>
          <t>Antenna Repair</t>
        </is>
      </c>
      <c r="H1660" s="104" t="inlineStr">
        <is>
          <t>Connectivity</t>
        </is>
      </c>
      <c r="I1660" s="104" t="n"/>
      <c r="J1660" s="104" t="n"/>
      <c r="K1660" s="104" t="n"/>
      <c r="L1660" s="104" t="n"/>
      <c r="M1660" s="104" t="n"/>
      <c r="N1660" s="104" t="n"/>
      <c r="O1660" s="104" t="n"/>
      <c r="P1660" s="104" t="n"/>
      <c r="Q1660" s="104" t="n"/>
      <c r="R1660" s="104" t="n"/>
      <c r="S1660" s="110" t="n"/>
      <c r="T1660" s="110" t="n"/>
      <c r="U1660" s="104" t="n"/>
    </row>
    <row r="1661">
      <c r="A1661" s="104" t="inlineStr">
        <is>
          <t>GUIDE001660</t>
        </is>
      </c>
      <c r="B1661" s="101" t="inlineStr">
        <is>
          <t>DEV000048</t>
        </is>
      </c>
      <c r="C1661" s="103" t="inlineStr">
        <is>
          <t>APL</t>
        </is>
      </c>
      <c r="D1661" s="103" t="inlineStr">
        <is>
          <t>PHN</t>
        </is>
      </c>
      <c r="E1661" s="60" t="inlineStr">
        <is>
          <t>iPhone 17</t>
        </is>
      </c>
      <c r="F1661" s="104" t="inlineStr">
        <is>
          <t>SVC000060</t>
        </is>
      </c>
      <c r="G1661" s="104" t="inlineStr">
        <is>
          <t>Antenna Repair</t>
        </is>
      </c>
      <c r="H1661" s="104" t="inlineStr">
        <is>
          <t>Connectivity</t>
        </is>
      </c>
      <c r="I1661" s="104" t="n"/>
      <c r="J1661" s="104" t="n"/>
      <c r="K1661" s="104" t="n"/>
      <c r="L1661" s="104" t="n"/>
      <c r="M1661" s="104" t="n"/>
      <c r="N1661" s="104" t="n"/>
      <c r="O1661" s="104" t="n"/>
      <c r="P1661" s="104" t="n"/>
      <c r="Q1661" s="104" t="n"/>
      <c r="R1661" s="104" t="n"/>
      <c r="S1661" s="110" t="n"/>
      <c r="T1661" s="110" t="n"/>
      <c r="U1661" s="104" t="n"/>
    </row>
    <row r="1662">
      <c r="A1662" s="104" t="inlineStr">
        <is>
          <t>GUIDE001661</t>
        </is>
      </c>
      <c r="B1662" s="101" t="inlineStr">
        <is>
          <t>DEV000049</t>
        </is>
      </c>
      <c r="C1662" s="103" t="inlineStr">
        <is>
          <t>APL</t>
        </is>
      </c>
      <c r="D1662" s="103" t="inlineStr">
        <is>
          <t>PHN</t>
        </is>
      </c>
      <c r="E1662" s="60" t="inlineStr">
        <is>
          <t>iPhone 17 Pro</t>
        </is>
      </c>
      <c r="F1662" s="104" t="inlineStr">
        <is>
          <t>SVC000060</t>
        </is>
      </c>
      <c r="G1662" s="104" t="inlineStr">
        <is>
          <t>Antenna Repair</t>
        </is>
      </c>
      <c r="H1662" s="104" t="inlineStr">
        <is>
          <t>Connectivity</t>
        </is>
      </c>
      <c r="I1662" s="104" t="n"/>
      <c r="J1662" s="104" t="n"/>
      <c r="K1662" s="104" t="n"/>
      <c r="L1662" s="104" t="n"/>
      <c r="M1662" s="104" t="n"/>
      <c r="N1662" s="104" t="n"/>
      <c r="O1662" s="104" t="n"/>
      <c r="P1662" s="104" t="n"/>
      <c r="Q1662" s="104" t="n"/>
      <c r="R1662" s="104" t="n"/>
      <c r="S1662" s="110" t="n"/>
      <c r="T1662" s="110" t="n"/>
      <c r="U1662" s="104" t="n"/>
    </row>
    <row r="1663">
      <c r="A1663" s="105" t="inlineStr">
        <is>
          <t>GUIDE001662</t>
        </is>
      </c>
      <c r="B1663" s="101" t="inlineStr">
        <is>
          <t>DEV000050</t>
        </is>
      </c>
      <c r="C1663" s="103" t="inlineStr">
        <is>
          <t>APL</t>
        </is>
      </c>
      <c r="D1663" s="103" t="inlineStr">
        <is>
          <t>PHN</t>
        </is>
      </c>
      <c r="E1663" s="60" t="inlineStr">
        <is>
          <t>iPhone 17 Pro Max</t>
        </is>
      </c>
      <c r="F1663" s="104" t="inlineStr">
        <is>
          <t>SVC000060</t>
        </is>
      </c>
      <c r="G1663" s="104" t="inlineStr">
        <is>
          <t>Antenna Repair</t>
        </is>
      </c>
      <c r="H1663" s="104" t="inlineStr">
        <is>
          <t>Connectivity</t>
        </is>
      </c>
      <c r="I1663" s="104" t="n"/>
      <c r="J1663" s="104" t="n"/>
      <c r="K1663" s="104" t="n"/>
      <c r="L1663" s="104" t="n"/>
      <c r="M1663" s="104" t="n"/>
      <c r="N1663" s="104" t="n"/>
      <c r="O1663" s="104" t="n"/>
      <c r="P1663" s="104" t="n"/>
      <c r="Q1663" s="104" t="n"/>
      <c r="R1663" s="104" t="n"/>
      <c r="S1663" s="110" t="n"/>
      <c r="T1663" s="110" t="n"/>
      <c r="U1663" s="104" t="n"/>
    </row>
    <row r="1664">
      <c r="A1664" s="104" t="inlineStr">
        <is>
          <t>GUIDE001663</t>
        </is>
      </c>
      <c r="B1664" s="101" t="inlineStr">
        <is>
          <t>DEV000051</t>
        </is>
      </c>
      <c r="C1664" s="103" t="inlineStr">
        <is>
          <t>APL</t>
        </is>
      </c>
      <c r="D1664" s="103" t="inlineStr">
        <is>
          <t>PHN</t>
        </is>
      </c>
      <c r="E1664" s="60" t="inlineStr">
        <is>
          <t>iPhone Air</t>
        </is>
      </c>
      <c r="F1664" s="104" t="inlineStr">
        <is>
          <t>SVC000060</t>
        </is>
      </c>
      <c r="G1664" s="104" t="inlineStr">
        <is>
          <t>Antenna Repair</t>
        </is>
      </c>
      <c r="H1664" s="104" t="inlineStr">
        <is>
          <t>Connectivity</t>
        </is>
      </c>
      <c r="I1664" s="104" t="n"/>
      <c r="J1664" s="104" t="n"/>
      <c r="K1664" s="104" t="n"/>
      <c r="L1664" s="104" t="n"/>
      <c r="M1664" s="104" t="n"/>
      <c r="N1664" s="104" t="n"/>
      <c r="O1664" s="104" t="n"/>
      <c r="P1664" s="104" t="n"/>
      <c r="Q1664" s="104" t="n"/>
      <c r="R1664" s="104" t="n"/>
      <c r="S1664" s="110" t="n"/>
      <c r="T1664" s="110" t="n"/>
      <c r="U1664" s="104" t="n"/>
    </row>
    <row r="1665">
      <c r="A1665" s="104" t="inlineStr">
        <is>
          <t>GUIDE001664</t>
        </is>
      </c>
      <c r="B1665" s="101" t="inlineStr">
        <is>
          <t>DEV000052</t>
        </is>
      </c>
      <c r="C1665" s="103" t="inlineStr">
        <is>
          <t>APL</t>
        </is>
      </c>
      <c r="D1665" s="103" t="inlineStr">
        <is>
          <t>PHN</t>
        </is>
      </c>
      <c r="E1665" s="60" t="inlineStr">
        <is>
          <t>iPhone 17e</t>
        </is>
      </c>
      <c r="F1665" s="104" t="inlineStr">
        <is>
          <t>SVC000060</t>
        </is>
      </c>
      <c r="G1665" s="104" t="inlineStr">
        <is>
          <t>Antenna Repair</t>
        </is>
      </c>
      <c r="H1665" s="104" t="inlineStr">
        <is>
          <t>Connectivity</t>
        </is>
      </c>
      <c r="I1665" s="104" t="n"/>
      <c r="J1665" s="104" t="n"/>
      <c r="K1665" s="104" t="n"/>
      <c r="L1665" s="104" t="n"/>
      <c r="M1665" s="104" t="n"/>
      <c r="N1665" s="104" t="n"/>
      <c r="O1665" s="104" t="n"/>
      <c r="P1665" s="104" t="n"/>
      <c r="Q1665" s="104" t="n"/>
      <c r="R1665" s="104" t="n"/>
      <c r="S1665" s="110" t="n"/>
      <c r="T1665" s="110" t="n"/>
      <c r="U1665" s="104" t="n"/>
    </row>
    <row r="1666">
      <c r="A1666" s="104" t="inlineStr">
        <is>
          <t>GUIDE001665</t>
        </is>
      </c>
      <c r="B1666" s="101" t="inlineStr">
        <is>
          <t>DEV000001</t>
        </is>
      </c>
      <c r="C1666" s="103" t="inlineStr">
        <is>
          <t>APL</t>
        </is>
      </c>
      <c r="D1666" s="103" t="inlineStr">
        <is>
          <t>PHN</t>
        </is>
      </c>
      <c r="E1666" s="60" t="inlineStr">
        <is>
          <t>iPhone (2G)</t>
        </is>
      </c>
      <c r="F1666" s="104" t="inlineStr">
        <is>
          <t>SVC000061</t>
        </is>
      </c>
      <c r="G1666" s="104" t="inlineStr">
        <is>
          <t>SIM Reader Repair</t>
        </is>
      </c>
      <c r="H1666" s="104" t="inlineStr">
        <is>
          <t>Connectivity</t>
        </is>
      </c>
      <c r="I1666" s="104" t="n"/>
      <c r="J1666" s="104" t="n"/>
      <c r="K1666" s="104" t="n"/>
      <c r="L1666" s="104" t="n"/>
      <c r="M1666" s="104" t="n"/>
      <c r="N1666" s="104" t="n"/>
      <c r="O1666" s="104" t="n"/>
      <c r="P1666" s="104" t="n"/>
      <c r="Q1666" s="104" t="n"/>
      <c r="R1666" s="104" t="n"/>
      <c r="S1666" s="110" t="n"/>
      <c r="T1666" s="110" t="n"/>
      <c r="U1666" s="104" t="n"/>
    </row>
    <row r="1667">
      <c r="A1667" s="104" t="inlineStr">
        <is>
          <t>GUIDE001666</t>
        </is>
      </c>
      <c r="B1667" s="101" t="inlineStr">
        <is>
          <t>DEV000002</t>
        </is>
      </c>
      <c r="C1667" s="103" t="inlineStr">
        <is>
          <t>APL</t>
        </is>
      </c>
      <c r="D1667" s="103" t="inlineStr">
        <is>
          <t>PHN</t>
        </is>
      </c>
      <c r="E1667" s="60" t="inlineStr">
        <is>
          <t>iPhone 3G</t>
        </is>
      </c>
      <c r="F1667" s="104" t="inlineStr">
        <is>
          <t>SVC000061</t>
        </is>
      </c>
      <c r="G1667" s="104" t="inlineStr">
        <is>
          <t>SIM Reader Repair</t>
        </is>
      </c>
      <c r="H1667" s="104" t="inlineStr">
        <is>
          <t>Connectivity</t>
        </is>
      </c>
      <c r="I1667" s="104" t="n"/>
      <c r="J1667" s="104" t="n"/>
      <c r="K1667" s="104" t="n"/>
      <c r="L1667" s="104" t="n"/>
      <c r="M1667" s="104" t="n"/>
      <c r="N1667" s="104" t="n"/>
      <c r="O1667" s="104" t="n"/>
      <c r="P1667" s="104" t="n"/>
      <c r="Q1667" s="104" t="n"/>
      <c r="R1667" s="104" t="n"/>
      <c r="S1667" s="110" t="n"/>
      <c r="T1667" s="110" t="n"/>
      <c r="U1667" s="104" t="n"/>
    </row>
    <row r="1668">
      <c r="A1668" s="104" t="inlineStr">
        <is>
          <t>GUIDE001667</t>
        </is>
      </c>
      <c r="B1668" s="101" t="inlineStr">
        <is>
          <t>DEV000003</t>
        </is>
      </c>
      <c r="C1668" s="103" t="inlineStr">
        <is>
          <t>APL</t>
        </is>
      </c>
      <c r="D1668" s="103" t="inlineStr">
        <is>
          <t>PHN</t>
        </is>
      </c>
      <c r="E1668" s="60" t="inlineStr">
        <is>
          <t>iPhone 3GS</t>
        </is>
      </c>
      <c r="F1668" s="104" t="inlineStr">
        <is>
          <t>SVC000061</t>
        </is>
      </c>
      <c r="G1668" s="104" t="inlineStr">
        <is>
          <t>SIM Reader Repair</t>
        </is>
      </c>
      <c r="H1668" s="104" t="inlineStr">
        <is>
          <t>Connectivity</t>
        </is>
      </c>
      <c r="I1668" s="104" t="n"/>
      <c r="J1668" s="104" t="n"/>
      <c r="K1668" s="104" t="n"/>
      <c r="L1668" s="104" t="n"/>
      <c r="M1668" s="104" t="n"/>
      <c r="N1668" s="104" t="n"/>
      <c r="O1668" s="104" t="n"/>
      <c r="P1668" s="104" t="n"/>
      <c r="Q1668" s="104" t="n"/>
      <c r="R1668" s="104" t="n"/>
      <c r="S1668" s="110" t="n"/>
      <c r="T1668" s="110" t="n"/>
      <c r="U1668" s="104" t="n"/>
    </row>
    <row r="1669">
      <c r="A1669" s="105" t="inlineStr">
        <is>
          <t>GUIDE001668</t>
        </is>
      </c>
      <c r="B1669" s="101" t="inlineStr">
        <is>
          <t>DEV000004</t>
        </is>
      </c>
      <c r="C1669" s="103" t="inlineStr">
        <is>
          <t>APL</t>
        </is>
      </c>
      <c r="D1669" s="103" t="inlineStr">
        <is>
          <t>PHN</t>
        </is>
      </c>
      <c r="E1669" s="60" t="inlineStr">
        <is>
          <t>iPhone 4</t>
        </is>
      </c>
      <c r="F1669" s="104" t="inlineStr">
        <is>
          <t>SVC000061</t>
        </is>
      </c>
      <c r="G1669" s="104" t="inlineStr">
        <is>
          <t>SIM Reader Repair</t>
        </is>
      </c>
      <c r="H1669" s="104" t="inlineStr">
        <is>
          <t>Connectivity</t>
        </is>
      </c>
      <c r="I1669" s="104" t="n"/>
      <c r="J1669" s="104" t="n"/>
      <c r="K1669" s="104" t="n"/>
      <c r="L1669" s="104" t="n"/>
      <c r="M1669" s="104" t="n"/>
      <c r="N1669" s="104" t="n"/>
      <c r="O1669" s="104" t="n"/>
      <c r="P1669" s="104" t="n"/>
      <c r="Q1669" s="104" t="n"/>
      <c r="R1669" s="104" t="n"/>
      <c r="S1669" s="110" t="n"/>
      <c r="T1669" s="110" t="n"/>
      <c r="U1669" s="104" t="n"/>
    </row>
    <row r="1670">
      <c r="A1670" s="104" t="inlineStr">
        <is>
          <t>GUIDE001669</t>
        </is>
      </c>
      <c r="B1670" s="101" t="inlineStr">
        <is>
          <t>DEV000005</t>
        </is>
      </c>
      <c r="C1670" s="103" t="inlineStr">
        <is>
          <t>APL</t>
        </is>
      </c>
      <c r="D1670" s="103" t="inlineStr">
        <is>
          <t>PHN</t>
        </is>
      </c>
      <c r="E1670" s="60" t="inlineStr">
        <is>
          <t>iPhone 4s</t>
        </is>
      </c>
      <c r="F1670" s="104" t="inlineStr">
        <is>
          <t>SVC000061</t>
        </is>
      </c>
      <c r="G1670" s="104" t="inlineStr">
        <is>
          <t>SIM Reader Repair</t>
        </is>
      </c>
      <c r="H1670" s="104" t="inlineStr">
        <is>
          <t>Connectivity</t>
        </is>
      </c>
      <c r="I1670" s="104" t="n"/>
      <c r="J1670" s="104" t="n"/>
      <c r="K1670" s="104" t="n"/>
      <c r="L1670" s="104" t="n"/>
      <c r="M1670" s="104" t="n"/>
      <c r="N1670" s="104" t="n"/>
      <c r="O1670" s="104" t="n"/>
      <c r="P1670" s="104" t="n"/>
      <c r="Q1670" s="104" t="n"/>
      <c r="R1670" s="104" t="n"/>
      <c r="S1670" s="110" t="n"/>
      <c r="T1670" s="110" t="n"/>
      <c r="U1670" s="104" t="n"/>
    </row>
    <row r="1671">
      <c r="A1671" s="104" t="inlineStr">
        <is>
          <t>GUIDE001670</t>
        </is>
      </c>
      <c r="B1671" s="101" t="inlineStr">
        <is>
          <t>DEV000006</t>
        </is>
      </c>
      <c r="C1671" s="103" t="inlineStr">
        <is>
          <t>APL</t>
        </is>
      </c>
      <c r="D1671" s="103" t="inlineStr">
        <is>
          <t>PHN</t>
        </is>
      </c>
      <c r="E1671" s="60" t="inlineStr">
        <is>
          <t>iPhone 5</t>
        </is>
      </c>
      <c r="F1671" s="104" t="inlineStr">
        <is>
          <t>SVC000061</t>
        </is>
      </c>
      <c r="G1671" s="104" t="inlineStr">
        <is>
          <t>SIM Reader Repair</t>
        </is>
      </c>
      <c r="H1671" s="104" t="inlineStr">
        <is>
          <t>Connectivity</t>
        </is>
      </c>
      <c r="I1671" s="104" t="n"/>
      <c r="J1671" s="104" t="n"/>
      <c r="K1671" s="104" t="n"/>
      <c r="L1671" s="104" t="n"/>
      <c r="M1671" s="104" t="n"/>
      <c r="N1671" s="104" t="n"/>
      <c r="O1671" s="104" t="n"/>
      <c r="P1671" s="104" t="n"/>
      <c r="Q1671" s="104" t="n"/>
      <c r="R1671" s="104" t="n"/>
      <c r="S1671" s="110" t="n"/>
      <c r="T1671" s="110" t="n"/>
      <c r="U1671" s="104" t="n"/>
    </row>
    <row r="1672">
      <c r="A1672" s="104" t="inlineStr">
        <is>
          <t>GUIDE001671</t>
        </is>
      </c>
      <c r="B1672" s="101" t="inlineStr">
        <is>
          <t>DEV000007</t>
        </is>
      </c>
      <c r="C1672" s="103" t="inlineStr">
        <is>
          <t>APL</t>
        </is>
      </c>
      <c r="D1672" s="103" t="inlineStr">
        <is>
          <t>PHN</t>
        </is>
      </c>
      <c r="E1672" s="60" t="inlineStr">
        <is>
          <t>iPhone 5c</t>
        </is>
      </c>
      <c r="F1672" s="104" t="inlineStr">
        <is>
          <t>SVC000061</t>
        </is>
      </c>
      <c r="G1672" s="104" t="inlineStr">
        <is>
          <t>SIM Reader Repair</t>
        </is>
      </c>
      <c r="H1672" s="104" t="inlineStr">
        <is>
          <t>Connectivity</t>
        </is>
      </c>
      <c r="I1672" s="104" t="n"/>
      <c r="J1672" s="104" t="n"/>
      <c r="K1672" s="104" t="n"/>
      <c r="L1672" s="104" t="n"/>
      <c r="M1672" s="104" t="n"/>
      <c r="N1672" s="104" t="n"/>
      <c r="O1672" s="104" t="n"/>
      <c r="P1672" s="104" t="n"/>
      <c r="Q1672" s="104" t="n"/>
      <c r="R1672" s="104" t="n"/>
      <c r="S1672" s="110" t="n"/>
      <c r="T1672" s="110" t="n"/>
      <c r="U1672" s="104" t="n"/>
    </row>
    <row r="1673">
      <c r="A1673" s="104" t="inlineStr">
        <is>
          <t>GUIDE001672</t>
        </is>
      </c>
      <c r="B1673" s="101" t="inlineStr">
        <is>
          <t>DEV000008</t>
        </is>
      </c>
      <c r="C1673" s="103" t="inlineStr">
        <is>
          <t>APL</t>
        </is>
      </c>
      <c r="D1673" s="103" t="inlineStr">
        <is>
          <t>PHN</t>
        </is>
      </c>
      <c r="E1673" s="60" t="inlineStr">
        <is>
          <t>iPhone 5s</t>
        </is>
      </c>
      <c r="F1673" s="104" t="inlineStr">
        <is>
          <t>SVC000061</t>
        </is>
      </c>
      <c r="G1673" s="104" t="inlineStr">
        <is>
          <t>SIM Reader Repair</t>
        </is>
      </c>
      <c r="H1673" s="104" t="inlineStr">
        <is>
          <t>Connectivity</t>
        </is>
      </c>
      <c r="I1673" s="104" t="n"/>
      <c r="J1673" s="104" t="n"/>
      <c r="K1673" s="104" t="n"/>
      <c r="L1673" s="104" t="n"/>
      <c r="M1673" s="104" t="n"/>
      <c r="N1673" s="104" t="n"/>
      <c r="O1673" s="104" t="n"/>
      <c r="P1673" s="104" t="n"/>
      <c r="Q1673" s="104" t="n"/>
      <c r="R1673" s="104" t="n"/>
      <c r="S1673" s="110" t="n"/>
      <c r="T1673" s="110" t="n"/>
      <c r="U1673" s="104" t="n"/>
    </row>
    <row r="1674">
      <c r="A1674" s="104" t="inlineStr">
        <is>
          <t>GUIDE001673</t>
        </is>
      </c>
      <c r="B1674" s="101" t="inlineStr">
        <is>
          <t>DEV000009</t>
        </is>
      </c>
      <c r="C1674" s="103" t="inlineStr">
        <is>
          <t>APL</t>
        </is>
      </c>
      <c r="D1674" s="103" t="inlineStr">
        <is>
          <t>PHN</t>
        </is>
      </c>
      <c r="E1674" s="60" t="inlineStr">
        <is>
          <t>iPhone 6</t>
        </is>
      </c>
      <c r="F1674" s="104" t="inlineStr">
        <is>
          <t>SVC000061</t>
        </is>
      </c>
      <c r="G1674" s="104" t="inlineStr">
        <is>
          <t>SIM Reader Repair</t>
        </is>
      </c>
      <c r="H1674" s="104" t="inlineStr">
        <is>
          <t>Connectivity</t>
        </is>
      </c>
      <c r="I1674" s="104" t="n"/>
      <c r="J1674" s="104" t="n"/>
      <c r="K1674" s="104" t="n"/>
      <c r="L1674" s="104" t="n"/>
      <c r="M1674" s="104" t="n"/>
      <c r="N1674" s="104" t="n"/>
      <c r="O1674" s="104" t="n"/>
      <c r="P1674" s="104" t="n"/>
      <c r="Q1674" s="104" t="n"/>
      <c r="R1674" s="104" t="n"/>
      <c r="S1674" s="110" t="n"/>
      <c r="T1674" s="110" t="n"/>
      <c r="U1674" s="104" t="n"/>
    </row>
    <row r="1675">
      <c r="A1675" s="105" t="inlineStr">
        <is>
          <t>GUIDE001674</t>
        </is>
      </c>
      <c r="B1675" s="101" t="inlineStr">
        <is>
          <t>DEV000010</t>
        </is>
      </c>
      <c r="C1675" s="103" t="inlineStr">
        <is>
          <t>APL</t>
        </is>
      </c>
      <c r="D1675" s="103" t="inlineStr">
        <is>
          <t>PHN</t>
        </is>
      </c>
      <c r="E1675" s="60" t="inlineStr">
        <is>
          <t>iPhone 6 Plus</t>
        </is>
      </c>
      <c r="F1675" s="104" t="inlineStr">
        <is>
          <t>SVC000061</t>
        </is>
      </c>
      <c r="G1675" s="104" t="inlineStr">
        <is>
          <t>SIM Reader Repair</t>
        </is>
      </c>
      <c r="H1675" s="104" t="inlineStr">
        <is>
          <t>Connectivity</t>
        </is>
      </c>
      <c r="I1675" s="104" t="n"/>
      <c r="J1675" s="104" t="n"/>
      <c r="K1675" s="104" t="n"/>
      <c r="L1675" s="104" t="n"/>
      <c r="M1675" s="104" t="n"/>
      <c r="N1675" s="104" t="n"/>
      <c r="O1675" s="104" t="n"/>
      <c r="P1675" s="104" t="n"/>
      <c r="Q1675" s="104" t="n"/>
      <c r="R1675" s="104" t="n"/>
      <c r="S1675" s="110" t="n"/>
      <c r="T1675" s="110" t="n"/>
      <c r="U1675" s="104" t="n"/>
    </row>
    <row r="1676">
      <c r="A1676" s="104" t="inlineStr">
        <is>
          <t>GUIDE001675</t>
        </is>
      </c>
      <c r="B1676" s="101" t="inlineStr">
        <is>
          <t>DEV000011</t>
        </is>
      </c>
      <c r="C1676" s="103" t="inlineStr">
        <is>
          <t>APL</t>
        </is>
      </c>
      <c r="D1676" s="103" t="inlineStr">
        <is>
          <t>PHN</t>
        </is>
      </c>
      <c r="E1676" s="60" t="inlineStr">
        <is>
          <t>iPhone 6s</t>
        </is>
      </c>
      <c r="F1676" s="104" t="inlineStr">
        <is>
          <t>SVC000061</t>
        </is>
      </c>
      <c r="G1676" s="104" t="inlineStr">
        <is>
          <t>SIM Reader Repair</t>
        </is>
      </c>
      <c r="H1676" s="104" t="inlineStr">
        <is>
          <t>Connectivity</t>
        </is>
      </c>
      <c r="I1676" s="104" t="n"/>
      <c r="J1676" s="104" t="n"/>
      <c r="K1676" s="104" t="n"/>
      <c r="L1676" s="104" t="n"/>
      <c r="M1676" s="104" t="n"/>
      <c r="N1676" s="104" t="n"/>
      <c r="O1676" s="104" t="n"/>
      <c r="P1676" s="104" t="n"/>
      <c r="Q1676" s="104" t="n"/>
      <c r="R1676" s="104" t="n"/>
      <c r="S1676" s="110" t="n"/>
      <c r="T1676" s="110" t="n"/>
      <c r="U1676" s="104" t="n"/>
    </row>
    <row r="1677">
      <c r="A1677" s="104" t="inlineStr">
        <is>
          <t>GUIDE001676</t>
        </is>
      </c>
      <c r="B1677" s="101" t="inlineStr">
        <is>
          <t>DEV000012</t>
        </is>
      </c>
      <c r="C1677" s="103" t="inlineStr">
        <is>
          <t>APL</t>
        </is>
      </c>
      <c r="D1677" s="103" t="inlineStr">
        <is>
          <t>PHN</t>
        </is>
      </c>
      <c r="E1677" s="60" t="inlineStr">
        <is>
          <t>iPhone 6s Plus</t>
        </is>
      </c>
      <c r="F1677" s="104" t="inlineStr">
        <is>
          <t>SVC000061</t>
        </is>
      </c>
      <c r="G1677" s="104" t="inlineStr">
        <is>
          <t>SIM Reader Repair</t>
        </is>
      </c>
      <c r="H1677" s="104" t="inlineStr">
        <is>
          <t>Connectivity</t>
        </is>
      </c>
      <c r="I1677" s="104" t="n"/>
      <c r="J1677" s="104" t="n"/>
      <c r="K1677" s="104" t="n"/>
      <c r="L1677" s="104" t="n"/>
      <c r="M1677" s="104" t="n"/>
      <c r="N1677" s="104" t="n"/>
      <c r="O1677" s="104" t="n"/>
      <c r="P1677" s="104" t="n"/>
      <c r="Q1677" s="104" t="n"/>
      <c r="R1677" s="104" t="n"/>
      <c r="S1677" s="110" t="n"/>
      <c r="T1677" s="110" t="n"/>
      <c r="U1677" s="104" t="n"/>
    </row>
    <row r="1678">
      <c r="A1678" s="104" t="inlineStr">
        <is>
          <t>GUIDE001677</t>
        </is>
      </c>
      <c r="B1678" s="101" t="inlineStr">
        <is>
          <t>DEV000013</t>
        </is>
      </c>
      <c r="C1678" s="103" t="inlineStr">
        <is>
          <t>APL</t>
        </is>
      </c>
      <c r="D1678" s="103" t="inlineStr">
        <is>
          <t>PHN</t>
        </is>
      </c>
      <c r="E1678" s="60" t="inlineStr">
        <is>
          <t>iPhone SE (1st Gen)</t>
        </is>
      </c>
      <c r="F1678" s="104" t="inlineStr">
        <is>
          <t>SVC000061</t>
        </is>
      </c>
      <c r="G1678" s="104" t="inlineStr">
        <is>
          <t>SIM Reader Repair</t>
        </is>
      </c>
      <c r="H1678" s="104" t="inlineStr">
        <is>
          <t>Connectivity</t>
        </is>
      </c>
      <c r="I1678" s="104" t="n"/>
      <c r="J1678" s="104" t="n"/>
      <c r="K1678" s="104" t="n"/>
      <c r="L1678" s="104" t="n"/>
      <c r="M1678" s="104" t="n"/>
      <c r="N1678" s="104" t="n"/>
      <c r="O1678" s="104" t="n"/>
      <c r="P1678" s="104" t="n"/>
      <c r="Q1678" s="104" t="n"/>
      <c r="R1678" s="104" t="n"/>
      <c r="S1678" s="110" t="n"/>
      <c r="T1678" s="110" t="n"/>
      <c r="U1678" s="104" t="n"/>
    </row>
    <row r="1679">
      <c r="A1679" s="104" t="inlineStr">
        <is>
          <t>GUIDE001678</t>
        </is>
      </c>
      <c r="B1679" s="101" t="inlineStr">
        <is>
          <t>DEV000014</t>
        </is>
      </c>
      <c r="C1679" s="103" t="inlineStr">
        <is>
          <t>APL</t>
        </is>
      </c>
      <c r="D1679" s="103" t="inlineStr">
        <is>
          <t>PHN</t>
        </is>
      </c>
      <c r="E1679" s="60" t="inlineStr">
        <is>
          <t>iPhone 7</t>
        </is>
      </c>
      <c r="F1679" s="104" t="inlineStr">
        <is>
          <t>SVC000061</t>
        </is>
      </c>
      <c r="G1679" s="104" t="inlineStr">
        <is>
          <t>SIM Reader Repair</t>
        </is>
      </c>
      <c r="H1679" s="104" t="inlineStr">
        <is>
          <t>Connectivity</t>
        </is>
      </c>
      <c r="I1679" s="104" t="n"/>
      <c r="J1679" s="104" t="n"/>
      <c r="K1679" s="104" t="n"/>
      <c r="L1679" s="104" t="n"/>
      <c r="M1679" s="104" t="n"/>
      <c r="N1679" s="104" t="n"/>
      <c r="O1679" s="104" t="n"/>
      <c r="P1679" s="104" t="n"/>
      <c r="Q1679" s="104" t="n"/>
      <c r="R1679" s="104" t="n"/>
      <c r="S1679" s="110" t="n"/>
      <c r="T1679" s="110" t="n"/>
      <c r="U1679" s="104" t="n"/>
    </row>
    <row r="1680">
      <c r="A1680" s="104" t="inlineStr">
        <is>
          <t>GUIDE001679</t>
        </is>
      </c>
      <c r="B1680" s="101" t="inlineStr">
        <is>
          <t>DEV000015</t>
        </is>
      </c>
      <c r="C1680" s="103" t="inlineStr">
        <is>
          <t>APL</t>
        </is>
      </c>
      <c r="D1680" s="103" t="inlineStr">
        <is>
          <t>PHN</t>
        </is>
      </c>
      <c r="E1680" s="60" t="inlineStr">
        <is>
          <t>iPhone 7 Plus</t>
        </is>
      </c>
      <c r="F1680" s="104" t="inlineStr">
        <is>
          <t>SVC000061</t>
        </is>
      </c>
      <c r="G1680" s="104" t="inlineStr">
        <is>
          <t>SIM Reader Repair</t>
        </is>
      </c>
      <c r="H1680" s="104" t="inlineStr">
        <is>
          <t>Connectivity</t>
        </is>
      </c>
      <c r="I1680" s="104" t="n"/>
      <c r="J1680" s="104" t="n"/>
      <c r="K1680" s="104" t="n"/>
      <c r="L1680" s="104" t="n"/>
      <c r="M1680" s="104" t="n"/>
      <c r="N1680" s="104" t="n"/>
      <c r="O1680" s="104" t="n"/>
      <c r="P1680" s="104" t="n"/>
      <c r="Q1680" s="104" t="n"/>
      <c r="R1680" s="104" t="n"/>
      <c r="S1680" s="110" t="n"/>
      <c r="T1680" s="110" t="n"/>
      <c r="U1680" s="104" t="n"/>
    </row>
    <row r="1681">
      <c r="A1681" s="105" t="inlineStr">
        <is>
          <t>GUIDE001680</t>
        </is>
      </c>
      <c r="B1681" s="101" t="inlineStr">
        <is>
          <t>DEV000016</t>
        </is>
      </c>
      <c r="C1681" s="103" t="inlineStr">
        <is>
          <t>APL</t>
        </is>
      </c>
      <c r="D1681" s="103" t="inlineStr">
        <is>
          <t>PHN</t>
        </is>
      </c>
      <c r="E1681" s="60" t="inlineStr">
        <is>
          <t>iPhone 8</t>
        </is>
      </c>
      <c r="F1681" s="104" t="inlineStr">
        <is>
          <t>SVC000061</t>
        </is>
      </c>
      <c r="G1681" s="104" t="inlineStr">
        <is>
          <t>SIM Reader Repair</t>
        </is>
      </c>
      <c r="H1681" s="104" t="inlineStr">
        <is>
          <t>Connectivity</t>
        </is>
      </c>
      <c r="I1681" s="104" t="n"/>
      <c r="J1681" s="104" t="n"/>
      <c r="K1681" s="104" t="n"/>
      <c r="L1681" s="104" t="n"/>
      <c r="M1681" s="104" t="n"/>
      <c r="N1681" s="104" t="n"/>
      <c r="O1681" s="104" t="n"/>
      <c r="P1681" s="104" t="n"/>
      <c r="Q1681" s="104" t="n"/>
      <c r="R1681" s="104" t="n"/>
      <c r="S1681" s="110" t="n"/>
      <c r="T1681" s="110" t="n"/>
      <c r="U1681" s="104" t="n"/>
    </row>
    <row r="1682">
      <c r="A1682" s="104" t="inlineStr">
        <is>
          <t>GUIDE001681</t>
        </is>
      </c>
      <c r="B1682" s="101" t="inlineStr">
        <is>
          <t>DEV000017</t>
        </is>
      </c>
      <c r="C1682" s="103" t="inlineStr">
        <is>
          <t>APL</t>
        </is>
      </c>
      <c r="D1682" s="103" t="inlineStr">
        <is>
          <t>PHN</t>
        </is>
      </c>
      <c r="E1682" s="60" t="inlineStr">
        <is>
          <t>iPhone 8 Plus</t>
        </is>
      </c>
      <c r="F1682" s="104" t="inlineStr">
        <is>
          <t>SVC000061</t>
        </is>
      </c>
      <c r="G1682" s="104" t="inlineStr">
        <is>
          <t>SIM Reader Repair</t>
        </is>
      </c>
      <c r="H1682" s="104" t="inlineStr">
        <is>
          <t>Connectivity</t>
        </is>
      </c>
      <c r="I1682" s="104" t="n"/>
      <c r="J1682" s="104" t="n"/>
      <c r="K1682" s="104" t="n"/>
      <c r="L1682" s="104" t="n"/>
      <c r="M1682" s="104" t="n"/>
      <c r="N1682" s="104" t="n"/>
      <c r="O1682" s="104" t="n"/>
      <c r="P1682" s="104" t="n"/>
      <c r="Q1682" s="104" t="n"/>
      <c r="R1682" s="104" t="n"/>
      <c r="S1682" s="110" t="n"/>
      <c r="T1682" s="110" t="n"/>
      <c r="U1682" s="104" t="n"/>
    </row>
    <row r="1683">
      <c r="A1683" s="104" t="inlineStr">
        <is>
          <t>GUIDE001682</t>
        </is>
      </c>
      <c r="B1683" s="101" t="inlineStr">
        <is>
          <t>DEV000018</t>
        </is>
      </c>
      <c r="C1683" s="103" t="inlineStr">
        <is>
          <t>APL</t>
        </is>
      </c>
      <c r="D1683" s="103" t="inlineStr">
        <is>
          <t>PHN</t>
        </is>
      </c>
      <c r="E1683" s="60" t="inlineStr">
        <is>
          <t>iPhone X</t>
        </is>
      </c>
      <c r="F1683" s="104" t="inlineStr">
        <is>
          <t>SVC000061</t>
        </is>
      </c>
      <c r="G1683" s="104" t="inlineStr">
        <is>
          <t>SIM Reader Repair</t>
        </is>
      </c>
      <c r="H1683" s="104" t="inlineStr">
        <is>
          <t>Connectivity</t>
        </is>
      </c>
      <c r="I1683" s="104" t="n"/>
      <c r="J1683" s="104" t="n"/>
      <c r="K1683" s="104" t="n"/>
      <c r="L1683" s="104" t="n"/>
      <c r="M1683" s="104" t="n"/>
      <c r="N1683" s="104" t="n"/>
      <c r="O1683" s="104" t="n"/>
      <c r="P1683" s="104" t="n"/>
      <c r="Q1683" s="104" t="n"/>
      <c r="R1683" s="104" t="n"/>
      <c r="S1683" s="110" t="n"/>
      <c r="T1683" s="110" t="n"/>
      <c r="U1683" s="104" t="n"/>
    </row>
    <row r="1684">
      <c r="A1684" s="104" t="inlineStr">
        <is>
          <t>GUIDE001683</t>
        </is>
      </c>
      <c r="B1684" s="101" t="inlineStr">
        <is>
          <t>DEV000019</t>
        </is>
      </c>
      <c r="C1684" s="103" t="inlineStr">
        <is>
          <t>APL</t>
        </is>
      </c>
      <c r="D1684" s="103" t="inlineStr">
        <is>
          <t>PHN</t>
        </is>
      </c>
      <c r="E1684" s="60" t="inlineStr">
        <is>
          <t>iPhone XR</t>
        </is>
      </c>
      <c r="F1684" s="104" t="inlineStr">
        <is>
          <t>SVC000061</t>
        </is>
      </c>
      <c r="G1684" s="104" t="inlineStr">
        <is>
          <t>SIM Reader Repair</t>
        </is>
      </c>
      <c r="H1684" s="104" t="inlineStr">
        <is>
          <t>Connectivity</t>
        </is>
      </c>
      <c r="I1684" s="104" t="n"/>
      <c r="J1684" s="104" t="n"/>
      <c r="K1684" s="104" t="n"/>
      <c r="L1684" s="104" t="n"/>
      <c r="M1684" s="104" t="n"/>
      <c r="N1684" s="104" t="n"/>
      <c r="O1684" s="104" t="n"/>
      <c r="P1684" s="104" t="n"/>
      <c r="Q1684" s="104" t="n"/>
      <c r="R1684" s="104" t="n"/>
      <c r="S1684" s="110" t="n"/>
      <c r="T1684" s="110" t="n"/>
      <c r="U1684" s="104" t="n"/>
    </row>
    <row r="1685">
      <c r="A1685" s="104" t="inlineStr">
        <is>
          <t>GUIDE001684</t>
        </is>
      </c>
      <c r="B1685" s="101" t="inlineStr">
        <is>
          <t>DEV000020</t>
        </is>
      </c>
      <c r="C1685" s="103" t="inlineStr">
        <is>
          <t>APL</t>
        </is>
      </c>
      <c r="D1685" s="103" t="inlineStr">
        <is>
          <t>PHN</t>
        </is>
      </c>
      <c r="E1685" s="60" t="inlineStr">
        <is>
          <t>iPhone XS</t>
        </is>
      </c>
      <c r="F1685" s="104" t="inlineStr">
        <is>
          <t>SVC000061</t>
        </is>
      </c>
      <c r="G1685" s="104" t="inlineStr">
        <is>
          <t>SIM Reader Repair</t>
        </is>
      </c>
      <c r="H1685" s="104" t="inlineStr">
        <is>
          <t>Connectivity</t>
        </is>
      </c>
      <c r="I1685" s="104" t="n"/>
      <c r="J1685" s="104" t="n"/>
      <c r="K1685" s="104" t="n"/>
      <c r="L1685" s="104" t="n"/>
      <c r="M1685" s="104" t="n"/>
      <c r="N1685" s="104" t="n"/>
      <c r="O1685" s="104" t="n"/>
      <c r="P1685" s="104" t="n"/>
      <c r="Q1685" s="104" t="n"/>
      <c r="R1685" s="104" t="n"/>
      <c r="S1685" s="110" t="n"/>
      <c r="T1685" s="110" t="n"/>
      <c r="U1685" s="104" t="n"/>
    </row>
    <row r="1686">
      <c r="A1686" s="104" t="inlineStr">
        <is>
          <t>GUIDE001685</t>
        </is>
      </c>
      <c r="B1686" s="101" t="inlineStr">
        <is>
          <t>DEV000021</t>
        </is>
      </c>
      <c r="C1686" s="103" t="inlineStr">
        <is>
          <t>APL</t>
        </is>
      </c>
      <c r="D1686" s="103" t="inlineStr">
        <is>
          <t>PHN</t>
        </is>
      </c>
      <c r="E1686" s="60" t="inlineStr">
        <is>
          <t>iPhone XS Max</t>
        </is>
      </c>
      <c r="F1686" s="104" t="inlineStr">
        <is>
          <t>SVC000061</t>
        </is>
      </c>
      <c r="G1686" s="104" t="inlineStr">
        <is>
          <t>SIM Reader Repair</t>
        </is>
      </c>
      <c r="H1686" s="104" t="inlineStr">
        <is>
          <t>Connectivity</t>
        </is>
      </c>
      <c r="I1686" s="104" t="n"/>
      <c r="J1686" s="104" t="n"/>
      <c r="K1686" s="104" t="n"/>
      <c r="L1686" s="104" t="n"/>
      <c r="M1686" s="104" t="n"/>
      <c r="N1686" s="104" t="n"/>
      <c r="O1686" s="104" t="n"/>
      <c r="P1686" s="104" t="n"/>
      <c r="Q1686" s="104" t="n"/>
      <c r="R1686" s="104" t="n"/>
      <c r="S1686" s="110" t="n"/>
      <c r="T1686" s="110" t="n"/>
      <c r="U1686" s="104" t="n"/>
    </row>
    <row r="1687">
      <c r="A1687" s="105" t="inlineStr">
        <is>
          <t>GUIDE001686</t>
        </is>
      </c>
      <c r="B1687" s="101" t="inlineStr">
        <is>
          <t>DEV000022</t>
        </is>
      </c>
      <c r="C1687" s="103" t="inlineStr">
        <is>
          <t>APL</t>
        </is>
      </c>
      <c r="D1687" s="103" t="inlineStr">
        <is>
          <t>PHN</t>
        </is>
      </c>
      <c r="E1687" s="60" t="inlineStr">
        <is>
          <t>iPhone 11</t>
        </is>
      </c>
      <c r="F1687" s="104" t="inlineStr">
        <is>
          <t>SVC000061</t>
        </is>
      </c>
      <c r="G1687" s="104" t="inlineStr">
        <is>
          <t>SIM Reader Repair</t>
        </is>
      </c>
      <c r="H1687" s="104" t="inlineStr">
        <is>
          <t>Connectivity</t>
        </is>
      </c>
      <c r="I1687" s="104" t="n"/>
      <c r="J1687" s="104" t="n"/>
      <c r="K1687" s="104" t="n"/>
      <c r="L1687" s="104" t="n"/>
      <c r="M1687" s="104" t="n"/>
      <c r="N1687" s="104" t="n"/>
      <c r="O1687" s="104" t="n"/>
      <c r="P1687" s="104" t="n"/>
      <c r="Q1687" s="104" t="n"/>
      <c r="R1687" s="104" t="n"/>
      <c r="S1687" s="110" t="n"/>
      <c r="T1687" s="110" t="n"/>
      <c r="U1687" s="104" t="n"/>
    </row>
    <row r="1688">
      <c r="A1688" s="104" t="inlineStr">
        <is>
          <t>GUIDE001687</t>
        </is>
      </c>
      <c r="B1688" s="101" t="inlineStr">
        <is>
          <t>DEV000023</t>
        </is>
      </c>
      <c r="C1688" s="103" t="inlineStr">
        <is>
          <t>APL</t>
        </is>
      </c>
      <c r="D1688" s="103" t="inlineStr">
        <is>
          <t>PHN</t>
        </is>
      </c>
      <c r="E1688" s="60" t="inlineStr">
        <is>
          <t>iPhone 11 Pro</t>
        </is>
      </c>
      <c r="F1688" s="104" t="inlineStr">
        <is>
          <t>SVC000061</t>
        </is>
      </c>
      <c r="G1688" s="104" t="inlineStr">
        <is>
          <t>SIM Reader Repair</t>
        </is>
      </c>
      <c r="H1688" s="104" t="inlineStr">
        <is>
          <t>Connectivity</t>
        </is>
      </c>
      <c r="I1688" s="104" t="n"/>
      <c r="J1688" s="104" t="n"/>
      <c r="K1688" s="104" t="n"/>
      <c r="L1688" s="104" t="n"/>
      <c r="M1688" s="104" t="n"/>
      <c r="N1688" s="104" t="n"/>
      <c r="O1688" s="104" t="n"/>
      <c r="P1688" s="104" t="n"/>
      <c r="Q1688" s="104" t="n"/>
      <c r="R1688" s="104" t="n"/>
      <c r="S1688" s="110" t="n"/>
      <c r="T1688" s="110" t="n"/>
      <c r="U1688" s="104" t="n"/>
    </row>
    <row r="1689">
      <c r="A1689" s="104" t="inlineStr">
        <is>
          <t>GUIDE001688</t>
        </is>
      </c>
      <c r="B1689" s="101" t="inlineStr">
        <is>
          <t>DEV000024</t>
        </is>
      </c>
      <c r="C1689" s="103" t="inlineStr">
        <is>
          <t>APL</t>
        </is>
      </c>
      <c r="D1689" s="103" t="inlineStr">
        <is>
          <t>PHN</t>
        </is>
      </c>
      <c r="E1689" s="60" t="inlineStr">
        <is>
          <t>iPhone 11 Pro Max</t>
        </is>
      </c>
      <c r="F1689" s="104" t="inlineStr">
        <is>
          <t>SVC000061</t>
        </is>
      </c>
      <c r="G1689" s="104" t="inlineStr">
        <is>
          <t>SIM Reader Repair</t>
        </is>
      </c>
      <c r="H1689" s="104" t="inlineStr">
        <is>
          <t>Connectivity</t>
        </is>
      </c>
      <c r="I1689" s="104" t="n"/>
      <c r="J1689" s="104" t="n"/>
      <c r="K1689" s="104" t="n"/>
      <c r="L1689" s="104" t="n"/>
      <c r="M1689" s="104" t="n"/>
      <c r="N1689" s="104" t="n"/>
      <c r="O1689" s="104" t="n"/>
      <c r="P1689" s="104" t="n"/>
      <c r="Q1689" s="104" t="n"/>
      <c r="R1689" s="104" t="n"/>
      <c r="S1689" s="110" t="n"/>
      <c r="T1689" s="110" t="n"/>
      <c r="U1689" s="104" t="n"/>
    </row>
    <row r="1690">
      <c r="A1690" s="104" t="inlineStr">
        <is>
          <t>GUIDE001689</t>
        </is>
      </c>
      <c r="B1690" s="101" t="inlineStr">
        <is>
          <t>DEV000025</t>
        </is>
      </c>
      <c r="C1690" s="103" t="inlineStr">
        <is>
          <t>APL</t>
        </is>
      </c>
      <c r="D1690" s="103" t="inlineStr">
        <is>
          <t>PHN</t>
        </is>
      </c>
      <c r="E1690" s="60" t="inlineStr">
        <is>
          <t>iPhone SE (2nd Generation)</t>
        </is>
      </c>
      <c r="F1690" s="104" t="inlineStr">
        <is>
          <t>SVC000061</t>
        </is>
      </c>
      <c r="G1690" s="104" t="inlineStr">
        <is>
          <t>SIM Reader Repair</t>
        </is>
      </c>
      <c r="H1690" s="104" t="inlineStr">
        <is>
          <t>Connectivity</t>
        </is>
      </c>
      <c r="I1690" s="104" t="n"/>
      <c r="J1690" s="104" t="n"/>
      <c r="K1690" s="104" t="n"/>
      <c r="L1690" s="104" t="n"/>
      <c r="M1690" s="104" t="n"/>
      <c r="N1690" s="104" t="n"/>
      <c r="O1690" s="104" t="n"/>
      <c r="P1690" s="104" t="n"/>
      <c r="Q1690" s="104" t="n"/>
      <c r="R1690" s="104" t="n"/>
      <c r="S1690" s="110" t="n"/>
      <c r="T1690" s="110" t="n"/>
      <c r="U1690" s="104" t="n"/>
    </row>
    <row r="1691">
      <c r="A1691" s="104" t="inlineStr">
        <is>
          <t>GUIDE001690</t>
        </is>
      </c>
      <c r="B1691" s="101" t="inlineStr">
        <is>
          <t>DEV000026</t>
        </is>
      </c>
      <c r="C1691" s="103" t="inlineStr">
        <is>
          <t>APL</t>
        </is>
      </c>
      <c r="D1691" s="103" t="inlineStr">
        <is>
          <t>PHN</t>
        </is>
      </c>
      <c r="E1691" s="60" t="inlineStr">
        <is>
          <t>iPhone 12 mini</t>
        </is>
      </c>
      <c r="F1691" s="104" t="inlineStr">
        <is>
          <t>SVC000061</t>
        </is>
      </c>
      <c r="G1691" s="104" t="inlineStr">
        <is>
          <t>SIM Reader Repair</t>
        </is>
      </c>
      <c r="H1691" s="104" t="inlineStr">
        <is>
          <t>Connectivity</t>
        </is>
      </c>
      <c r="I1691" s="104" t="n"/>
      <c r="J1691" s="104" t="n"/>
      <c r="K1691" s="104" t="n"/>
      <c r="L1691" s="104" t="n"/>
      <c r="M1691" s="104" t="n"/>
      <c r="N1691" s="104" t="n"/>
      <c r="O1691" s="104" t="n"/>
      <c r="P1691" s="104" t="n"/>
      <c r="Q1691" s="104" t="n"/>
      <c r="R1691" s="104" t="n"/>
      <c r="S1691" s="110" t="n"/>
      <c r="T1691" s="110" t="n"/>
      <c r="U1691" s="104" t="n"/>
    </row>
    <row r="1692">
      <c r="A1692" s="104" t="inlineStr">
        <is>
          <t>GUIDE001691</t>
        </is>
      </c>
      <c r="B1692" s="101" t="inlineStr">
        <is>
          <t>DEV000027</t>
        </is>
      </c>
      <c r="C1692" s="103" t="inlineStr">
        <is>
          <t>APL</t>
        </is>
      </c>
      <c r="D1692" s="103" t="inlineStr">
        <is>
          <t>PHN</t>
        </is>
      </c>
      <c r="E1692" s="60" t="inlineStr">
        <is>
          <t>iPhone 12</t>
        </is>
      </c>
      <c r="F1692" s="104" t="inlineStr">
        <is>
          <t>SVC000061</t>
        </is>
      </c>
      <c r="G1692" s="104" t="inlineStr">
        <is>
          <t>SIM Reader Repair</t>
        </is>
      </c>
      <c r="H1692" s="104" t="inlineStr">
        <is>
          <t>Connectivity</t>
        </is>
      </c>
      <c r="I1692" s="104" t="n"/>
      <c r="J1692" s="104" t="n"/>
      <c r="K1692" s="104" t="n"/>
      <c r="L1692" s="104" t="n"/>
      <c r="M1692" s="104" t="n"/>
      <c r="N1692" s="104" t="n"/>
      <c r="O1692" s="104" t="n"/>
      <c r="P1692" s="104" t="n"/>
      <c r="Q1692" s="104" t="n"/>
      <c r="R1692" s="104" t="n"/>
      <c r="S1692" s="110" t="n"/>
      <c r="T1692" s="110" t="n"/>
      <c r="U1692" s="104" t="n"/>
    </row>
    <row r="1693">
      <c r="A1693" s="105" t="inlineStr">
        <is>
          <t>GUIDE001692</t>
        </is>
      </c>
      <c r="B1693" s="101" t="inlineStr">
        <is>
          <t>DEV000028</t>
        </is>
      </c>
      <c r="C1693" s="103" t="inlineStr">
        <is>
          <t>APL</t>
        </is>
      </c>
      <c r="D1693" s="103" t="inlineStr">
        <is>
          <t>PHN</t>
        </is>
      </c>
      <c r="E1693" s="60" t="inlineStr">
        <is>
          <t>iPhone 12 Pro</t>
        </is>
      </c>
      <c r="F1693" s="104" t="inlineStr">
        <is>
          <t>SVC000061</t>
        </is>
      </c>
      <c r="G1693" s="104" t="inlineStr">
        <is>
          <t>SIM Reader Repair</t>
        </is>
      </c>
      <c r="H1693" s="104" t="inlineStr">
        <is>
          <t>Connectivity</t>
        </is>
      </c>
      <c r="I1693" s="104" t="n"/>
      <c r="J1693" s="104" t="n"/>
      <c r="K1693" s="104" t="n"/>
      <c r="L1693" s="104" t="n"/>
      <c r="M1693" s="104" t="n"/>
      <c r="N1693" s="104" t="n"/>
      <c r="O1693" s="104" t="n"/>
      <c r="P1693" s="104" t="n"/>
      <c r="Q1693" s="104" t="n"/>
      <c r="R1693" s="104" t="n"/>
      <c r="S1693" s="110" t="n"/>
      <c r="T1693" s="110" t="n"/>
      <c r="U1693" s="104" t="n"/>
    </row>
    <row r="1694">
      <c r="A1694" s="104" t="inlineStr">
        <is>
          <t>GUIDE001693</t>
        </is>
      </c>
      <c r="B1694" s="101" t="inlineStr">
        <is>
          <t>DEV000029</t>
        </is>
      </c>
      <c r="C1694" s="103" t="inlineStr">
        <is>
          <t>APL</t>
        </is>
      </c>
      <c r="D1694" s="103" t="inlineStr">
        <is>
          <t>PHN</t>
        </is>
      </c>
      <c r="E1694" s="60" t="inlineStr">
        <is>
          <t>iPhone 12 Pro Max</t>
        </is>
      </c>
      <c r="F1694" s="104" t="inlineStr">
        <is>
          <t>SVC000061</t>
        </is>
      </c>
      <c r="G1694" s="104" t="inlineStr">
        <is>
          <t>SIM Reader Repair</t>
        </is>
      </c>
      <c r="H1694" s="104" t="inlineStr">
        <is>
          <t>Connectivity</t>
        </is>
      </c>
      <c r="I1694" s="104" t="n"/>
      <c r="J1694" s="104" t="n"/>
      <c r="K1694" s="104" t="n"/>
      <c r="L1694" s="104" t="n"/>
      <c r="M1694" s="104" t="n"/>
      <c r="N1694" s="104" t="n"/>
      <c r="O1694" s="104" t="n"/>
      <c r="P1694" s="104" t="n"/>
      <c r="Q1694" s="104" t="n"/>
      <c r="R1694" s="104" t="n"/>
      <c r="S1694" s="110" t="n"/>
      <c r="T1694" s="110" t="n"/>
      <c r="U1694" s="104" t="n"/>
    </row>
    <row r="1695">
      <c r="A1695" s="104" t="inlineStr">
        <is>
          <t>GUIDE001694</t>
        </is>
      </c>
      <c r="B1695" s="101" t="inlineStr">
        <is>
          <t>DEV000030</t>
        </is>
      </c>
      <c r="C1695" s="103" t="inlineStr">
        <is>
          <t>APL</t>
        </is>
      </c>
      <c r="D1695" s="103" t="inlineStr">
        <is>
          <t>PHN</t>
        </is>
      </c>
      <c r="E1695" s="60" t="inlineStr">
        <is>
          <t>iPhone 13 mini</t>
        </is>
      </c>
      <c r="F1695" s="104" t="inlineStr">
        <is>
          <t>SVC000061</t>
        </is>
      </c>
      <c r="G1695" s="104" t="inlineStr">
        <is>
          <t>SIM Reader Repair</t>
        </is>
      </c>
      <c r="H1695" s="104" t="inlineStr">
        <is>
          <t>Connectivity</t>
        </is>
      </c>
      <c r="I1695" s="104" t="n"/>
      <c r="J1695" s="104" t="n"/>
      <c r="K1695" s="104" t="n"/>
      <c r="L1695" s="104" t="n"/>
      <c r="M1695" s="104" t="n"/>
      <c r="N1695" s="104" t="n"/>
      <c r="O1695" s="104" t="n"/>
      <c r="P1695" s="104" t="n"/>
      <c r="Q1695" s="104" t="n"/>
      <c r="R1695" s="104" t="n"/>
      <c r="S1695" s="110" t="n"/>
      <c r="T1695" s="110" t="n"/>
      <c r="U1695" s="104" t="n"/>
    </row>
    <row r="1696">
      <c r="A1696" s="104" t="inlineStr">
        <is>
          <t>GUIDE001695</t>
        </is>
      </c>
      <c r="B1696" s="101" t="inlineStr">
        <is>
          <t>DEV000031</t>
        </is>
      </c>
      <c r="C1696" s="103" t="inlineStr">
        <is>
          <t>APL</t>
        </is>
      </c>
      <c r="D1696" s="103" t="inlineStr">
        <is>
          <t>PHN</t>
        </is>
      </c>
      <c r="E1696" s="60" t="inlineStr">
        <is>
          <t>iPhone 13</t>
        </is>
      </c>
      <c r="F1696" s="104" t="inlineStr">
        <is>
          <t>SVC000061</t>
        </is>
      </c>
      <c r="G1696" s="104" t="inlineStr">
        <is>
          <t>SIM Reader Repair</t>
        </is>
      </c>
      <c r="H1696" s="104" t="inlineStr">
        <is>
          <t>Connectivity</t>
        </is>
      </c>
      <c r="I1696" s="104" t="n"/>
      <c r="J1696" s="104" t="n"/>
      <c r="K1696" s="104" t="n"/>
      <c r="L1696" s="104" t="n"/>
      <c r="M1696" s="104" t="n"/>
      <c r="N1696" s="104" t="n"/>
      <c r="O1696" s="104" t="n"/>
      <c r="P1696" s="104" t="n"/>
      <c r="Q1696" s="104" t="n"/>
      <c r="R1696" s="104" t="n"/>
      <c r="S1696" s="110" t="n"/>
      <c r="T1696" s="110" t="n"/>
      <c r="U1696" s="104" t="n"/>
    </row>
    <row r="1697">
      <c r="A1697" s="104" t="inlineStr">
        <is>
          <t>GUIDE001696</t>
        </is>
      </c>
      <c r="B1697" s="101" t="inlineStr">
        <is>
          <t>DEV000032</t>
        </is>
      </c>
      <c r="C1697" s="103" t="inlineStr">
        <is>
          <t>APL</t>
        </is>
      </c>
      <c r="D1697" s="103" t="inlineStr">
        <is>
          <t>PHN</t>
        </is>
      </c>
      <c r="E1697" s="60" t="inlineStr">
        <is>
          <t>iPhone 13 Pro</t>
        </is>
      </c>
      <c r="F1697" s="104" t="inlineStr">
        <is>
          <t>SVC000061</t>
        </is>
      </c>
      <c r="G1697" s="104" t="inlineStr">
        <is>
          <t>SIM Reader Repair</t>
        </is>
      </c>
      <c r="H1697" s="104" t="inlineStr">
        <is>
          <t>Connectivity</t>
        </is>
      </c>
      <c r="I1697" s="104" t="n"/>
      <c r="J1697" s="104" t="n"/>
      <c r="K1697" s="104" t="n"/>
      <c r="L1697" s="104" t="n"/>
      <c r="M1697" s="104" t="n"/>
      <c r="N1697" s="104" t="n"/>
      <c r="O1697" s="104" t="n"/>
      <c r="P1697" s="104" t="n"/>
      <c r="Q1697" s="104" t="n"/>
      <c r="R1697" s="104" t="n"/>
      <c r="S1697" s="110" t="n"/>
      <c r="T1697" s="110" t="n"/>
      <c r="U1697" s="104" t="n"/>
    </row>
    <row r="1698">
      <c r="A1698" s="104" t="inlineStr">
        <is>
          <t>GUIDE001697</t>
        </is>
      </c>
      <c r="B1698" s="101" t="inlineStr">
        <is>
          <t>DEV000033</t>
        </is>
      </c>
      <c r="C1698" s="103" t="inlineStr">
        <is>
          <t>APL</t>
        </is>
      </c>
      <c r="D1698" s="103" t="inlineStr">
        <is>
          <t>PHN</t>
        </is>
      </c>
      <c r="E1698" s="60" t="inlineStr">
        <is>
          <t>iPhone 13 Pro Max</t>
        </is>
      </c>
      <c r="F1698" s="104" t="inlineStr">
        <is>
          <t>SVC000061</t>
        </is>
      </c>
      <c r="G1698" s="104" t="inlineStr">
        <is>
          <t>SIM Reader Repair</t>
        </is>
      </c>
      <c r="H1698" s="104" t="inlineStr">
        <is>
          <t>Connectivity</t>
        </is>
      </c>
      <c r="I1698" s="104" t="n"/>
      <c r="J1698" s="104" t="n"/>
      <c r="K1698" s="104" t="n"/>
      <c r="L1698" s="104" t="n"/>
      <c r="M1698" s="104" t="n"/>
      <c r="N1698" s="104" t="n"/>
      <c r="O1698" s="104" t="n"/>
      <c r="P1698" s="104" t="n"/>
      <c r="Q1698" s="104" t="n"/>
      <c r="R1698" s="104" t="n"/>
      <c r="S1698" s="110" t="n"/>
      <c r="T1698" s="110" t="n"/>
      <c r="U1698" s="104" t="n"/>
    </row>
    <row r="1699">
      <c r="A1699" s="105" t="inlineStr">
        <is>
          <t>GUIDE001698</t>
        </is>
      </c>
      <c r="B1699" s="101" t="inlineStr">
        <is>
          <t>DEV000034</t>
        </is>
      </c>
      <c r="C1699" s="103" t="inlineStr">
        <is>
          <t>APL</t>
        </is>
      </c>
      <c r="D1699" s="103" t="inlineStr">
        <is>
          <t>PHN</t>
        </is>
      </c>
      <c r="E1699" s="60" t="inlineStr">
        <is>
          <t>iPhone SE (3rd Generation)</t>
        </is>
      </c>
      <c r="F1699" s="104" t="inlineStr">
        <is>
          <t>SVC000061</t>
        </is>
      </c>
      <c r="G1699" s="104" t="inlineStr">
        <is>
          <t>SIM Reader Repair</t>
        </is>
      </c>
      <c r="H1699" s="104" t="inlineStr">
        <is>
          <t>Connectivity</t>
        </is>
      </c>
      <c r="I1699" s="104" t="n"/>
      <c r="J1699" s="104" t="n"/>
      <c r="K1699" s="104" t="n"/>
      <c r="L1699" s="104" t="n"/>
      <c r="M1699" s="104" t="n"/>
      <c r="N1699" s="104" t="n"/>
      <c r="O1699" s="104" t="n"/>
      <c r="P1699" s="104" t="n"/>
      <c r="Q1699" s="104" t="n"/>
      <c r="R1699" s="104" t="n"/>
      <c r="S1699" s="110" t="n"/>
      <c r="T1699" s="110" t="n"/>
      <c r="U1699" s="104" t="n"/>
    </row>
    <row r="1700">
      <c r="A1700" s="104" t="inlineStr">
        <is>
          <t>GUIDE001699</t>
        </is>
      </c>
      <c r="B1700" s="101" t="inlineStr">
        <is>
          <t>DEV000035</t>
        </is>
      </c>
      <c r="C1700" s="103" t="inlineStr">
        <is>
          <t>APL</t>
        </is>
      </c>
      <c r="D1700" s="103" t="inlineStr">
        <is>
          <t>PHN</t>
        </is>
      </c>
      <c r="E1700" s="60" t="inlineStr">
        <is>
          <t>iPhone 14</t>
        </is>
      </c>
      <c r="F1700" s="104" t="inlineStr">
        <is>
          <t>SVC000061</t>
        </is>
      </c>
      <c r="G1700" s="104" t="inlineStr">
        <is>
          <t>SIM Reader Repair</t>
        </is>
      </c>
      <c r="H1700" s="104" t="inlineStr">
        <is>
          <t>Connectivity</t>
        </is>
      </c>
      <c r="I1700" s="104" t="n"/>
      <c r="J1700" s="104" t="n"/>
      <c r="K1700" s="104" t="n"/>
      <c r="L1700" s="104" t="n"/>
      <c r="M1700" s="104" t="n"/>
      <c r="N1700" s="104" t="n"/>
      <c r="O1700" s="104" t="n"/>
      <c r="P1700" s="104" t="n"/>
      <c r="Q1700" s="104" t="n"/>
      <c r="R1700" s="104" t="n"/>
      <c r="S1700" s="110" t="n"/>
      <c r="T1700" s="110" t="n"/>
      <c r="U1700" s="104" t="n"/>
    </row>
    <row r="1701">
      <c r="A1701" s="104" t="inlineStr">
        <is>
          <t>GUIDE001700</t>
        </is>
      </c>
      <c r="B1701" s="101" t="inlineStr">
        <is>
          <t>DEV000036</t>
        </is>
      </c>
      <c r="C1701" s="103" t="inlineStr">
        <is>
          <t>APL</t>
        </is>
      </c>
      <c r="D1701" s="103" t="inlineStr">
        <is>
          <t>PHN</t>
        </is>
      </c>
      <c r="E1701" s="60" t="inlineStr">
        <is>
          <t>iPhone 14 Plus</t>
        </is>
      </c>
      <c r="F1701" s="104" t="inlineStr">
        <is>
          <t>SVC000061</t>
        </is>
      </c>
      <c r="G1701" s="104" t="inlineStr">
        <is>
          <t>SIM Reader Repair</t>
        </is>
      </c>
      <c r="H1701" s="104" t="inlineStr">
        <is>
          <t>Connectivity</t>
        </is>
      </c>
      <c r="I1701" s="104" t="n"/>
      <c r="J1701" s="104" t="n"/>
      <c r="K1701" s="104" t="n"/>
      <c r="L1701" s="104" t="n"/>
      <c r="M1701" s="104" t="n"/>
      <c r="N1701" s="104" t="n"/>
      <c r="O1701" s="104" t="n"/>
      <c r="P1701" s="104" t="n"/>
      <c r="Q1701" s="104" t="n"/>
      <c r="R1701" s="104" t="n"/>
      <c r="S1701" s="110" t="n"/>
      <c r="T1701" s="110" t="n"/>
      <c r="U1701" s="104" t="n"/>
    </row>
    <row r="1702">
      <c r="A1702" s="104" t="inlineStr">
        <is>
          <t>GUIDE001701</t>
        </is>
      </c>
      <c r="B1702" s="101" t="inlineStr">
        <is>
          <t>DEV000037</t>
        </is>
      </c>
      <c r="C1702" s="103" t="inlineStr">
        <is>
          <t>APL</t>
        </is>
      </c>
      <c r="D1702" s="103" t="inlineStr">
        <is>
          <t>PHN</t>
        </is>
      </c>
      <c r="E1702" s="60" t="inlineStr">
        <is>
          <t>iPhone 14 Pro</t>
        </is>
      </c>
      <c r="F1702" s="104" t="inlineStr">
        <is>
          <t>SVC000061</t>
        </is>
      </c>
      <c r="G1702" s="104" t="inlineStr">
        <is>
          <t>SIM Reader Repair</t>
        </is>
      </c>
      <c r="H1702" s="104" t="inlineStr">
        <is>
          <t>Connectivity</t>
        </is>
      </c>
      <c r="I1702" s="104" t="n"/>
      <c r="J1702" s="104" t="n"/>
      <c r="K1702" s="104" t="n"/>
      <c r="L1702" s="104" t="n"/>
      <c r="M1702" s="104" t="n"/>
      <c r="N1702" s="104" t="n"/>
      <c r="O1702" s="104" t="n"/>
      <c r="P1702" s="104" t="n"/>
      <c r="Q1702" s="104" t="n"/>
      <c r="R1702" s="104" t="n"/>
      <c r="S1702" s="110" t="n"/>
      <c r="T1702" s="110" t="n"/>
      <c r="U1702" s="104" t="n"/>
    </row>
    <row r="1703">
      <c r="A1703" s="104" t="inlineStr">
        <is>
          <t>GUIDE001702</t>
        </is>
      </c>
      <c r="B1703" s="101" t="inlineStr">
        <is>
          <t>DEV000038</t>
        </is>
      </c>
      <c r="C1703" s="103" t="inlineStr">
        <is>
          <t>APL</t>
        </is>
      </c>
      <c r="D1703" s="103" t="inlineStr">
        <is>
          <t>PHN</t>
        </is>
      </c>
      <c r="E1703" s="60" t="inlineStr">
        <is>
          <t>iPhone 14 Pro Max</t>
        </is>
      </c>
      <c r="F1703" s="104" t="inlineStr">
        <is>
          <t>SVC000061</t>
        </is>
      </c>
      <c r="G1703" s="104" t="inlineStr">
        <is>
          <t>SIM Reader Repair</t>
        </is>
      </c>
      <c r="H1703" s="104" t="inlineStr">
        <is>
          <t>Connectivity</t>
        </is>
      </c>
      <c r="I1703" s="104" t="n"/>
      <c r="J1703" s="104" t="n"/>
      <c r="K1703" s="104" t="n"/>
      <c r="L1703" s="104" t="n"/>
      <c r="M1703" s="104" t="n"/>
      <c r="N1703" s="104" t="n"/>
      <c r="O1703" s="104" t="n"/>
      <c r="P1703" s="104" t="n"/>
      <c r="Q1703" s="104" t="n"/>
      <c r="R1703" s="104" t="n"/>
      <c r="S1703" s="110" t="n"/>
      <c r="T1703" s="110" t="n"/>
      <c r="U1703" s="104" t="n"/>
    </row>
    <row r="1704">
      <c r="A1704" s="104" t="inlineStr">
        <is>
          <t>GUIDE001703</t>
        </is>
      </c>
      <c r="B1704" s="101" t="inlineStr">
        <is>
          <t>DEV000039</t>
        </is>
      </c>
      <c r="C1704" s="103" t="inlineStr">
        <is>
          <t>APL</t>
        </is>
      </c>
      <c r="D1704" s="103" t="inlineStr">
        <is>
          <t>PHN</t>
        </is>
      </c>
      <c r="E1704" s="60" t="inlineStr">
        <is>
          <t>iPhone 15</t>
        </is>
      </c>
      <c r="F1704" s="104" t="inlineStr">
        <is>
          <t>SVC000061</t>
        </is>
      </c>
      <c r="G1704" s="104" t="inlineStr">
        <is>
          <t>SIM Reader Repair</t>
        </is>
      </c>
      <c r="H1704" s="104" t="inlineStr">
        <is>
          <t>Connectivity</t>
        </is>
      </c>
      <c r="I1704" s="104" t="n"/>
      <c r="J1704" s="104" t="n"/>
      <c r="K1704" s="104" t="n"/>
      <c r="L1704" s="104" t="n"/>
      <c r="M1704" s="104" t="n"/>
      <c r="N1704" s="104" t="n"/>
      <c r="O1704" s="104" t="n"/>
      <c r="P1704" s="104" t="n"/>
      <c r="Q1704" s="104" t="n"/>
      <c r="R1704" s="104" t="n"/>
      <c r="S1704" s="110" t="n"/>
      <c r="T1704" s="110" t="n"/>
      <c r="U1704" s="104" t="n"/>
    </row>
    <row r="1705">
      <c r="A1705" s="105" t="inlineStr">
        <is>
          <t>GUIDE001704</t>
        </is>
      </c>
      <c r="B1705" s="101" t="inlineStr">
        <is>
          <t>DEV000040</t>
        </is>
      </c>
      <c r="C1705" s="103" t="inlineStr">
        <is>
          <t>APL</t>
        </is>
      </c>
      <c r="D1705" s="103" t="inlineStr">
        <is>
          <t>PHN</t>
        </is>
      </c>
      <c r="E1705" s="60" t="inlineStr">
        <is>
          <t>iPhone 15 Plus</t>
        </is>
      </c>
      <c r="F1705" s="104" t="inlineStr">
        <is>
          <t>SVC000061</t>
        </is>
      </c>
      <c r="G1705" s="104" t="inlineStr">
        <is>
          <t>SIM Reader Repair</t>
        </is>
      </c>
      <c r="H1705" s="104" t="inlineStr">
        <is>
          <t>Connectivity</t>
        </is>
      </c>
      <c r="I1705" s="104" t="n"/>
      <c r="J1705" s="104" t="n"/>
      <c r="K1705" s="104" t="n"/>
      <c r="L1705" s="104" t="n"/>
      <c r="M1705" s="104" t="n"/>
      <c r="N1705" s="104" t="n"/>
      <c r="O1705" s="104" t="n"/>
      <c r="P1705" s="104" t="n"/>
      <c r="Q1705" s="104" t="n"/>
      <c r="R1705" s="104" t="n"/>
      <c r="S1705" s="110" t="n"/>
      <c r="T1705" s="110" t="n"/>
      <c r="U1705" s="104" t="n"/>
    </row>
    <row r="1706">
      <c r="A1706" s="104" t="inlineStr">
        <is>
          <t>GUIDE001705</t>
        </is>
      </c>
      <c r="B1706" s="101" t="inlineStr">
        <is>
          <t>DEV000041</t>
        </is>
      </c>
      <c r="C1706" s="103" t="inlineStr">
        <is>
          <t>APL</t>
        </is>
      </c>
      <c r="D1706" s="103" t="inlineStr">
        <is>
          <t>PHN</t>
        </is>
      </c>
      <c r="E1706" s="60" t="inlineStr">
        <is>
          <t>iPhone 15 Pro</t>
        </is>
      </c>
      <c r="F1706" s="104" t="inlineStr">
        <is>
          <t>SVC000061</t>
        </is>
      </c>
      <c r="G1706" s="104" t="inlineStr">
        <is>
          <t>SIM Reader Repair</t>
        </is>
      </c>
      <c r="H1706" s="104" t="inlineStr">
        <is>
          <t>Connectivity</t>
        </is>
      </c>
      <c r="I1706" s="104" t="n"/>
      <c r="J1706" s="104" t="n"/>
      <c r="K1706" s="104" t="n"/>
      <c r="L1706" s="104" t="n"/>
      <c r="M1706" s="104" t="n"/>
      <c r="N1706" s="104" t="n"/>
      <c r="O1706" s="104" t="n"/>
      <c r="P1706" s="104" t="n"/>
      <c r="Q1706" s="104" t="n"/>
      <c r="R1706" s="104" t="n"/>
      <c r="S1706" s="110" t="n"/>
      <c r="T1706" s="110" t="n"/>
      <c r="U1706" s="104" t="n"/>
    </row>
    <row r="1707">
      <c r="A1707" s="104" t="inlineStr">
        <is>
          <t>GUIDE001706</t>
        </is>
      </c>
      <c r="B1707" s="101" t="inlineStr">
        <is>
          <t>DEV000042</t>
        </is>
      </c>
      <c r="C1707" s="103" t="inlineStr">
        <is>
          <t>APL</t>
        </is>
      </c>
      <c r="D1707" s="103" t="inlineStr">
        <is>
          <t>PHN</t>
        </is>
      </c>
      <c r="E1707" s="60" t="inlineStr">
        <is>
          <t>iPhone 15 Pro Max</t>
        </is>
      </c>
      <c r="F1707" s="104" t="inlineStr">
        <is>
          <t>SVC000061</t>
        </is>
      </c>
      <c r="G1707" s="104" t="inlineStr">
        <is>
          <t>SIM Reader Repair</t>
        </is>
      </c>
      <c r="H1707" s="104" t="inlineStr">
        <is>
          <t>Connectivity</t>
        </is>
      </c>
      <c r="I1707" s="104" t="n"/>
      <c r="J1707" s="104" t="n"/>
      <c r="K1707" s="104" t="n"/>
      <c r="L1707" s="104" t="n"/>
      <c r="M1707" s="104" t="n"/>
      <c r="N1707" s="104" t="n"/>
      <c r="O1707" s="104" t="n"/>
      <c r="P1707" s="104" t="n"/>
      <c r="Q1707" s="104" t="n"/>
      <c r="R1707" s="104" t="n"/>
      <c r="S1707" s="110" t="n"/>
      <c r="T1707" s="110" t="n"/>
      <c r="U1707" s="104" t="n"/>
    </row>
    <row r="1708">
      <c r="A1708" s="104" t="inlineStr">
        <is>
          <t>GUIDE001707</t>
        </is>
      </c>
      <c r="B1708" s="101" t="inlineStr">
        <is>
          <t>DEV000043</t>
        </is>
      </c>
      <c r="C1708" s="103" t="inlineStr">
        <is>
          <t>APL</t>
        </is>
      </c>
      <c r="D1708" s="103" t="inlineStr">
        <is>
          <t>PHN</t>
        </is>
      </c>
      <c r="E1708" s="60" t="inlineStr">
        <is>
          <t>iPhone 16</t>
        </is>
      </c>
      <c r="F1708" s="104" t="inlineStr">
        <is>
          <t>SVC000061</t>
        </is>
      </c>
      <c r="G1708" s="104" t="inlineStr">
        <is>
          <t>SIM Reader Repair</t>
        </is>
      </c>
      <c r="H1708" s="104" t="inlineStr">
        <is>
          <t>Connectivity</t>
        </is>
      </c>
      <c r="I1708" s="104" t="n"/>
      <c r="J1708" s="104" t="n"/>
      <c r="K1708" s="104" t="n"/>
      <c r="L1708" s="104" t="n"/>
      <c r="M1708" s="104" t="n"/>
      <c r="N1708" s="104" t="n"/>
      <c r="O1708" s="104" t="n"/>
      <c r="P1708" s="104" t="n"/>
      <c r="Q1708" s="104" t="n"/>
      <c r="R1708" s="104" t="n"/>
      <c r="S1708" s="110" t="n"/>
      <c r="T1708" s="110" t="n"/>
      <c r="U1708" s="104" t="n"/>
    </row>
    <row r="1709">
      <c r="A1709" s="104" t="inlineStr">
        <is>
          <t>GUIDE001708</t>
        </is>
      </c>
      <c r="B1709" s="101" t="inlineStr">
        <is>
          <t>DEV000044</t>
        </is>
      </c>
      <c r="C1709" s="103" t="inlineStr">
        <is>
          <t>APL</t>
        </is>
      </c>
      <c r="D1709" s="103" t="inlineStr">
        <is>
          <t>PHN</t>
        </is>
      </c>
      <c r="E1709" s="60" t="inlineStr">
        <is>
          <t>iPhone 16 Plus</t>
        </is>
      </c>
      <c r="F1709" s="104" t="inlineStr">
        <is>
          <t>SVC000061</t>
        </is>
      </c>
      <c r="G1709" s="104" t="inlineStr">
        <is>
          <t>SIM Reader Repair</t>
        </is>
      </c>
      <c r="H1709" s="104" t="inlineStr">
        <is>
          <t>Connectivity</t>
        </is>
      </c>
      <c r="I1709" s="104" t="n"/>
      <c r="J1709" s="104" t="n"/>
      <c r="K1709" s="104" t="n"/>
      <c r="L1709" s="104" t="n"/>
      <c r="M1709" s="104" t="n"/>
      <c r="N1709" s="104" t="n"/>
      <c r="O1709" s="104" t="n"/>
      <c r="P1709" s="104" t="n"/>
      <c r="Q1709" s="104" t="n"/>
      <c r="R1709" s="104" t="n"/>
      <c r="S1709" s="110" t="n"/>
      <c r="T1709" s="110" t="n"/>
      <c r="U1709" s="104" t="n"/>
    </row>
    <row r="1710">
      <c r="A1710" s="104" t="inlineStr">
        <is>
          <t>GUIDE001709</t>
        </is>
      </c>
      <c r="B1710" s="101" t="inlineStr">
        <is>
          <t>DEV000045</t>
        </is>
      </c>
      <c r="C1710" s="103" t="inlineStr">
        <is>
          <t>APL</t>
        </is>
      </c>
      <c r="D1710" s="103" t="inlineStr">
        <is>
          <t>PHN</t>
        </is>
      </c>
      <c r="E1710" s="60" t="inlineStr">
        <is>
          <t>iPhone 16 Pro</t>
        </is>
      </c>
      <c r="F1710" s="104" t="inlineStr">
        <is>
          <t>SVC000061</t>
        </is>
      </c>
      <c r="G1710" s="104" t="inlineStr">
        <is>
          <t>SIM Reader Repair</t>
        </is>
      </c>
      <c r="H1710" s="104" t="inlineStr">
        <is>
          <t>Connectivity</t>
        </is>
      </c>
      <c r="I1710" s="104" t="n"/>
      <c r="J1710" s="104" t="n"/>
      <c r="K1710" s="104" t="n"/>
      <c r="L1710" s="104" t="n"/>
      <c r="M1710" s="104" t="n"/>
      <c r="N1710" s="104" t="n"/>
      <c r="O1710" s="104" t="n"/>
      <c r="P1710" s="104" t="n"/>
      <c r="Q1710" s="104" t="n"/>
      <c r="R1710" s="104" t="n"/>
      <c r="S1710" s="110" t="n"/>
      <c r="T1710" s="110" t="n"/>
      <c r="U1710" s="104" t="n"/>
    </row>
    <row r="1711">
      <c r="A1711" s="105" t="inlineStr">
        <is>
          <t>GUIDE001710</t>
        </is>
      </c>
      <c r="B1711" s="101" t="inlineStr">
        <is>
          <t>DEV000046</t>
        </is>
      </c>
      <c r="C1711" s="103" t="inlineStr">
        <is>
          <t>APL</t>
        </is>
      </c>
      <c r="D1711" s="103" t="inlineStr">
        <is>
          <t>PHN</t>
        </is>
      </c>
      <c r="E1711" s="60" t="inlineStr">
        <is>
          <t>iPhone 16 Pro Max</t>
        </is>
      </c>
      <c r="F1711" s="104" t="inlineStr">
        <is>
          <t>SVC000061</t>
        </is>
      </c>
      <c r="G1711" s="104" t="inlineStr">
        <is>
          <t>SIM Reader Repair</t>
        </is>
      </c>
      <c r="H1711" s="104" t="inlineStr">
        <is>
          <t>Connectivity</t>
        </is>
      </c>
      <c r="I1711" s="104" t="n"/>
      <c r="J1711" s="104" t="n"/>
      <c r="K1711" s="104" t="n"/>
      <c r="L1711" s="104" t="n"/>
      <c r="M1711" s="104" t="n"/>
      <c r="N1711" s="104" t="n"/>
      <c r="O1711" s="104" t="n"/>
      <c r="P1711" s="104" t="n"/>
      <c r="Q1711" s="104" t="n"/>
      <c r="R1711" s="104" t="n"/>
      <c r="S1711" s="110" t="n"/>
      <c r="T1711" s="110" t="n"/>
      <c r="U1711" s="104" t="n"/>
    </row>
    <row r="1712">
      <c r="A1712" s="104" t="inlineStr">
        <is>
          <t>GUIDE001711</t>
        </is>
      </c>
      <c r="B1712" s="101" t="inlineStr">
        <is>
          <t>DEV000047</t>
        </is>
      </c>
      <c r="C1712" s="103" t="inlineStr">
        <is>
          <t>APL</t>
        </is>
      </c>
      <c r="D1712" s="103" t="inlineStr">
        <is>
          <t>PHN</t>
        </is>
      </c>
      <c r="E1712" s="60" t="inlineStr">
        <is>
          <t>iPhone 16e</t>
        </is>
      </c>
      <c r="F1712" s="104" t="inlineStr">
        <is>
          <t>SVC000061</t>
        </is>
      </c>
      <c r="G1712" s="104" t="inlineStr">
        <is>
          <t>SIM Reader Repair</t>
        </is>
      </c>
      <c r="H1712" s="104" t="inlineStr">
        <is>
          <t>Connectivity</t>
        </is>
      </c>
      <c r="I1712" s="104" t="n"/>
      <c r="J1712" s="104" t="n"/>
      <c r="K1712" s="104" t="n"/>
      <c r="L1712" s="104" t="n"/>
      <c r="M1712" s="104" t="n"/>
      <c r="N1712" s="104" t="n"/>
      <c r="O1712" s="104" t="n"/>
      <c r="P1712" s="104" t="n"/>
      <c r="Q1712" s="104" t="n"/>
      <c r="R1712" s="104" t="n"/>
      <c r="S1712" s="110" t="n"/>
      <c r="T1712" s="110" t="n"/>
      <c r="U1712" s="104" t="n"/>
    </row>
    <row r="1713">
      <c r="A1713" s="104" t="inlineStr">
        <is>
          <t>GUIDE001712</t>
        </is>
      </c>
      <c r="B1713" s="101" t="inlineStr">
        <is>
          <t>DEV000048</t>
        </is>
      </c>
      <c r="C1713" s="103" t="inlineStr">
        <is>
          <t>APL</t>
        </is>
      </c>
      <c r="D1713" s="103" t="inlineStr">
        <is>
          <t>PHN</t>
        </is>
      </c>
      <c r="E1713" s="60" t="inlineStr">
        <is>
          <t>iPhone 17</t>
        </is>
      </c>
      <c r="F1713" s="104" t="inlineStr">
        <is>
          <t>SVC000061</t>
        </is>
      </c>
      <c r="G1713" s="104" t="inlineStr">
        <is>
          <t>SIM Reader Repair</t>
        </is>
      </c>
      <c r="H1713" s="104" t="inlineStr">
        <is>
          <t>Connectivity</t>
        </is>
      </c>
      <c r="I1713" s="104" t="n"/>
      <c r="J1713" s="104" t="n"/>
      <c r="K1713" s="104" t="n"/>
      <c r="L1713" s="104" t="n"/>
      <c r="M1713" s="104" t="n"/>
      <c r="N1713" s="104" t="n"/>
      <c r="O1713" s="104" t="n"/>
      <c r="P1713" s="104" t="n"/>
      <c r="Q1713" s="104" t="n"/>
      <c r="R1713" s="104" t="n"/>
      <c r="S1713" s="110" t="n"/>
      <c r="T1713" s="110" t="n"/>
      <c r="U1713" s="104" t="n"/>
    </row>
    <row r="1714">
      <c r="A1714" s="104" t="inlineStr">
        <is>
          <t>GUIDE001713</t>
        </is>
      </c>
      <c r="B1714" s="101" t="inlineStr">
        <is>
          <t>DEV000049</t>
        </is>
      </c>
      <c r="C1714" s="103" t="inlineStr">
        <is>
          <t>APL</t>
        </is>
      </c>
      <c r="D1714" s="103" t="inlineStr">
        <is>
          <t>PHN</t>
        </is>
      </c>
      <c r="E1714" s="60" t="inlineStr">
        <is>
          <t>iPhone 17 Pro</t>
        </is>
      </c>
      <c r="F1714" s="104" t="inlineStr">
        <is>
          <t>SVC000061</t>
        </is>
      </c>
      <c r="G1714" s="104" t="inlineStr">
        <is>
          <t>SIM Reader Repair</t>
        </is>
      </c>
      <c r="H1714" s="104" t="inlineStr">
        <is>
          <t>Connectivity</t>
        </is>
      </c>
      <c r="I1714" s="104" t="n"/>
      <c r="J1714" s="104" t="n"/>
      <c r="K1714" s="104" t="n"/>
      <c r="L1714" s="104" t="n"/>
      <c r="M1714" s="104" t="n"/>
      <c r="N1714" s="104" t="n"/>
      <c r="O1714" s="104" t="n"/>
      <c r="P1714" s="104" t="n"/>
      <c r="Q1714" s="104" t="n"/>
      <c r="R1714" s="104" t="n"/>
      <c r="S1714" s="110" t="n"/>
      <c r="T1714" s="110" t="n"/>
      <c r="U1714" s="104" t="n"/>
    </row>
    <row r="1715">
      <c r="A1715" s="104" t="inlineStr">
        <is>
          <t>GUIDE001714</t>
        </is>
      </c>
      <c r="B1715" s="101" t="inlineStr">
        <is>
          <t>DEV000050</t>
        </is>
      </c>
      <c r="C1715" s="103" t="inlineStr">
        <is>
          <t>APL</t>
        </is>
      </c>
      <c r="D1715" s="103" t="inlineStr">
        <is>
          <t>PHN</t>
        </is>
      </c>
      <c r="E1715" s="60" t="inlineStr">
        <is>
          <t>iPhone 17 Pro Max</t>
        </is>
      </c>
      <c r="F1715" s="104" t="inlineStr">
        <is>
          <t>SVC000061</t>
        </is>
      </c>
      <c r="G1715" s="104" t="inlineStr">
        <is>
          <t>SIM Reader Repair</t>
        </is>
      </c>
      <c r="H1715" s="104" t="inlineStr">
        <is>
          <t>Connectivity</t>
        </is>
      </c>
      <c r="I1715" s="104" t="n"/>
      <c r="J1715" s="104" t="n"/>
      <c r="K1715" s="104" t="n"/>
      <c r="L1715" s="104" t="n"/>
      <c r="M1715" s="104" t="n"/>
      <c r="N1715" s="104" t="n"/>
      <c r="O1715" s="104" t="n"/>
      <c r="P1715" s="104" t="n"/>
      <c r="Q1715" s="104" t="n"/>
      <c r="R1715" s="104" t="n"/>
      <c r="S1715" s="110" t="n"/>
      <c r="T1715" s="110" t="n"/>
      <c r="U1715" s="104" t="n"/>
    </row>
    <row r="1716">
      <c r="A1716" s="104" t="inlineStr">
        <is>
          <t>GUIDE001715</t>
        </is>
      </c>
      <c r="B1716" s="101" t="inlineStr">
        <is>
          <t>DEV000051</t>
        </is>
      </c>
      <c r="C1716" s="103" t="inlineStr">
        <is>
          <t>APL</t>
        </is>
      </c>
      <c r="D1716" s="103" t="inlineStr">
        <is>
          <t>PHN</t>
        </is>
      </c>
      <c r="E1716" s="60" t="inlineStr">
        <is>
          <t>iPhone Air</t>
        </is>
      </c>
      <c r="F1716" s="104" t="inlineStr">
        <is>
          <t>SVC000061</t>
        </is>
      </c>
      <c r="G1716" s="104" t="inlineStr">
        <is>
          <t>SIM Reader Repair</t>
        </is>
      </c>
      <c r="H1716" s="104" t="inlineStr">
        <is>
          <t>Connectivity</t>
        </is>
      </c>
      <c r="I1716" s="104" t="n"/>
      <c r="J1716" s="104" t="n"/>
      <c r="K1716" s="104" t="n"/>
      <c r="L1716" s="104" t="n"/>
      <c r="M1716" s="104" t="n"/>
      <c r="N1716" s="104" t="n"/>
      <c r="O1716" s="104" t="n"/>
      <c r="P1716" s="104" t="n"/>
      <c r="Q1716" s="104" t="n"/>
      <c r="R1716" s="104" t="n"/>
      <c r="S1716" s="110" t="n"/>
      <c r="T1716" s="110" t="n"/>
      <c r="U1716" s="104" t="n"/>
    </row>
    <row r="1717">
      <c r="A1717" s="105" t="inlineStr">
        <is>
          <t>GUIDE001716</t>
        </is>
      </c>
      <c r="B1717" s="101" t="inlineStr">
        <is>
          <t>DEV000052</t>
        </is>
      </c>
      <c r="C1717" s="103" t="inlineStr">
        <is>
          <t>APL</t>
        </is>
      </c>
      <c r="D1717" s="103" t="inlineStr">
        <is>
          <t>PHN</t>
        </is>
      </c>
      <c r="E1717" s="60" t="inlineStr">
        <is>
          <t>iPhone 17e</t>
        </is>
      </c>
      <c r="F1717" s="104" t="inlineStr">
        <is>
          <t>SVC000061</t>
        </is>
      </c>
      <c r="G1717" s="104" t="inlineStr">
        <is>
          <t>SIM Reader Repair</t>
        </is>
      </c>
      <c r="H1717" s="104" t="inlineStr">
        <is>
          <t>Connectivity</t>
        </is>
      </c>
      <c r="I1717" s="104" t="n"/>
      <c r="J1717" s="104" t="n"/>
      <c r="K1717" s="104" t="n"/>
      <c r="L1717" s="104" t="n"/>
      <c r="M1717" s="104" t="n"/>
      <c r="N1717" s="104" t="n"/>
      <c r="O1717" s="104" t="n"/>
      <c r="P1717" s="104" t="n"/>
      <c r="Q1717" s="104" t="n"/>
      <c r="R1717" s="104" t="n"/>
      <c r="S1717" s="110" t="n"/>
      <c r="T1717" s="110" t="n"/>
      <c r="U1717" s="104" t="n"/>
    </row>
    <row r="1718">
      <c r="A1718" s="104" t="inlineStr">
        <is>
          <t>GUIDE001717</t>
        </is>
      </c>
      <c r="B1718" s="101" t="inlineStr">
        <is>
          <t>DEV000001</t>
        </is>
      </c>
      <c r="C1718" s="103" t="inlineStr">
        <is>
          <t>APL</t>
        </is>
      </c>
      <c r="D1718" s="103" t="inlineStr">
        <is>
          <t>PHN</t>
        </is>
      </c>
      <c r="E1718" s="60" t="inlineStr">
        <is>
          <t>iPhone (2G)</t>
        </is>
      </c>
      <c r="F1718" s="104" t="inlineStr">
        <is>
          <t>SVC000062</t>
        </is>
      </c>
      <c r="G1718" s="104" t="inlineStr">
        <is>
          <t>SD Card Reader Repair</t>
        </is>
      </c>
      <c r="H1718" s="104" t="inlineStr">
        <is>
          <t>Connectivity</t>
        </is>
      </c>
      <c r="I1718" s="104" t="n"/>
      <c r="J1718" s="104" t="n"/>
      <c r="K1718" s="104" t="n"/>
      <c r="L1718" s="104" t="n"/>
      <c r="M1718" s="104" t="n"/>
      <c r="N1718" s="104" t="n"/>
      <c r="O1718" s="104" t="n"/>
      <c r="P1718" s="104" t="n"/>
      <c r="Q1718" s="104" t="n"/>
      <c r="R1718" s="104" t="n"/>
      <c r="S1718" s="110" t="n"/>
      <c r="T1718" s="110" t="n"/>
      <c r="U1718" s="104" t="n"/>
    </row>
    <row r="1719">
      <c r="A1719" s="104" t="inlineStr">
        <is>
          <t>GUIDE001718</t>
        </is>
      </c>
      <c r="B1719" s="101" t="inlineStr">
        <is>
          <t>DEV000002</t>
        </is>
      </c>
      <c r="C1719" s="103" t="inlineStr">
        <is>
          <t>APL</t>
        </is>
      </c>
      <c r="D1719" s="103" t="inlineStr">
        <is>
          <t>PHN</t>
        </is>
      </c>
      <c r="E1719" s="60" t="inlineStr">
        <is>
          <t>iPhone 3G</t>
        </is>
      </c>
      <c r="F1719" s="104" t="inlineStr">
        <is>
          <t>SVC000062</t>
        </is>
      </c>
      <c r="G1719" s="104" t="inlineStr">
        <is>
          <t>SD Card Reader Repair</t>
        </is>
      </c>
      <c r="H1719" s="104" t="inlineStr">
        <is>
          <t>Connectivity</t>
        </is>
      </c>
      <c r="I1719" s="104" t="n"/>
      <c r="J1719" s="104" t="n"/>
      <c r="K1719" s="104" t="n"/>
      <c r="L1719" s="104" t="n"/>
      <c r="M1719" s="104" t="n"/>
      <c r="N1719" s="104" t="n"/>
      <c r="O1719" s="104" t="n"/>
      <c r="P1719" s="104" t="n"/>
      <c r="Q1719" s="104" t="n"/>
      <c r="R1719" s="104" t="n"/>
      <c r="S1719" s="110" t="n"/>
      <c r="T1719" s="110" t="n"/>
      <c r="U1719" s="104" t="n"/>
    </row>
    <row r="1720">
      <c r="A1720" s="104" t="inlineStr">
        <is>
          <t>GUIDE001719</t>
        </is>
      </c>
      <c r="B1720" s="101" t="inlineStr">
        <is>
          <t>DEV000003</t>
        </is>
      </c>
      <c r="C1720" s="103" t="inlineStr">
        <is>
          <t>APL</t>
        </is>
      </c>
      <c r="D1720" s="103" t="inlineStr">
        <is>
          <t>PHN</t>
        </is>
      </c>
      <c r="E1720" s="60" t="inlineStr">
        <is>
          <t>iPhone 3GS</t>
        </is>
      </c>
      <c r="F1720" s="104" t="inlineStr">
        <is>
          <t>SVC000062</t>
        </is>
      </c>
      <c r="G1720" s="104" t="inlineStr">
        <is>
          <t>SD Card Reader Repair</t>
        </is>
      </c>
      <c r="H1720" s="104" t="inlineStr">
        <is>
          <t>Connectivity</t>
        </is>
      </c>
      <c r="I1720" s="104" t="n"/>
      <c r="J1720" s="104" t="n"/>
      <c r="K1720" s="104" t="n"/>
      <c r="L1720" s="104" t="n"/>
      <c r="M1720" s="104" t="n"/>
      <c r="N1720" s="104" t="n"/>
      <c r="O1720" s="104" t="n"/>
      <c r="P1720" s="104" t="n"/>
      <c r="Q1720" s="104" t="n"/>
      <c r="R1720" s="104" t="n"/>
      <c r="S1720" s="110" t="n"/>
      <c r="T1720" s="110" t="n"/>
      <c r="U1720" s="104" t="n"/>
    </row>
    <row r="1721">
      <c r="A1721" s="104" t="inlineStr">
        <is>
          <t>GUIDE001720</t>
        </is>
      </c>
      <c r="B1721" s="101" t="inlineStr">
        <is>
          <t>DEV000004</t>
        </is>
      </c>
      <c r="C1721" s="103" t="inlineStr">
        <is>
          <t>APL</t>
        </is>
      </c>
      <c r="D1721" s="103" t="inlineStr">
        <is>
          <t>PHN</t>
        </is>
      </c>
      <c r="E1721" s="60" t="inlineStr">
        <is>
          <t>iPhone 4</t>
        </is>
      </c>
      <c r="F1721" s="104" t="inlineStr">
        <is>
          <t>SVC000062</t>
        </is>
      </c>
      <c r="G1721" s="104" t="inlineStr">
        <is>
          <t>SD Card Reader Repair</t>
        </is>
      </c>
      <c r="H1721" s="104" t="inlineStr">
        <is>
          <t>Connectivity</t>
        </is>
      </c>
      <c r="I1721" s="104" t="n"/>
      <c r="J1721" s="104" t="n"/>
      <c r="K1721" s="104" t="n"/>
      <c r="L1721" s="104" t="n"/>
      <c r="M1721" s="104" t="n"/>
      <c r="N1721" s="104" t="n"/>
      <c r="O1721" s="104" t="n"/>
      <c r="P1721" s="104" t="n"/>
      <c r="Q1721" s="104" t="n"/>
      <c r="R1721" s="104" t="n"/>
      <c r="S1721" s="110" t="n"/>
      <c r="T1721" s="110" t="n"/>
      <c r="U1721" s="104" t="n"/>
    </row>
    <row r="1722">
      <c r="A1722" s="104" t="inlineStr">
        <is>
          <t>GUIDE001721</t>
        </is>
      </c>
      <c r="B1722" s="101" t="inlineStr">
        <is>
          <t>DEV000005</t>
        </is>
      </c>
      <c r="C1722" s="103" t="inlineStr">
        <is>
          <t>APL</t>
        </is>
      </c>
      <c r="D1722" s="103" t="inlineStr">
        <is>
          <t>PHN</t>
        </is>
      </c>
      <c r="E1722" s="60" t="inlineStr">
        <is>
          <t>iPhone 4s</t>
        </is>
      </c>
      <c r="F1722" s="104" t="inlineStr">
        <is>
          <t>SVC000062</t>
        </is>
      </c>
      <c r="G1722" s="104" t="inlineStr">
        <is>
          <t>SD Card Reader Repair</t>
        </is>
      </c>
      <c r="H1722" s="104" t="inlineStr">
        <is>
          <t>Connectivity</t>
        </is>
      </c>
      <c r="I1722" s="104" t="n"/>
      <c r="J1722" s="104" t="n"/>
      <c r="K1722" s="104" t="n"/>
      <c r="L1722" s="104" t="n"/>
      <c r="M1722" s="104" t="n"/>
      <c r="N1722" s="104" t="n"/>
      <c r="O1722" s="104" t="n"/>
      <c r="P1722" s="104" t="n"/>
      <c r="Q1722" s="104" t="n"/>
      <c r="R1722" s="104" t="n"/>
      <c r="S1722" s="110" t="n"/>
      <c r="T1722" s="110" t="n"/>
      <c r="U1722" s="104" t="n"/>
    </row>
    <row r="1723">
      <c r="A1723" s="105" t="inlineStr">
        <is>
          <t>GUIDE001722</t>
        </is>
      </c>
      <c r="B1723" s="101" t="inlineStr">
        <is>
          <t>DEV000006</t>
        </is>
      </c>
      <c r="C1723" s="103" t="inlineStr">
        <is>
          <t>APL</t>
        </is>
      </c>
      <c r="D1723" s="103" t="inlineStr">
        <is>
          <t>PHN</t>
        </is>
      </c>
      <c r="E1723" s="60" t="inlineStr">
        <is>
          <t>iPhone 5</t>
        </is>
      </c>
      <c r="F1723" s="104" t="inlineStr">
        <is>
          <t>SVC000062</t>
        </is>
      </c>
      <c r="G1723" s="104" t="inlineStr">
        <is>
          <t>SD Card Reader Repair</t>
        </is>
      </c>
      <c r="H1723" s="104" t="inlineStr">
        <is>
          <t>Connectivity</t>
        </is>
      </c>
      <c r="I1723" s="104" t="n"/>
      <c r="J1723" s="104" t="n"/>
      <c r="K1723" s="104" t="n"/>
      <c r="L1723" s="104" t="n"/>
      <c r="M1723" s="104" t="n"/>
      <c r="N1723" s="104" t="n"/>
      <c r="O1723" s="104" t="n"/>
      <c r="P1723" s="104" t="n"/>
      <c r="Q1723" s="104" t="n"/>
      <c r="R1723" s="104" t="n"/>
      <c r="S1723" s="110" t="n"/>
      <c r="T1723" s="110" t="n"/>
      <c r="U1723" s="104" t="n"/>
    </row>
    <row r="1724">
      <c r="A1724" s="104" t="inlineStr">
        <is>
          <t>GUIDE001723</t>
        </is>
      </c>
      <c r="B1724" s="101" t="inlineStr">
        <is>
          <t>DEV000007</t>
        </is>
      </c>
      <c r="C1724" s="103" t="inlineStr">
        <is>
          <t>APL</t>
        </is>
      </c>
      <c r="D1724" s="103" t="inlineStr">
        <is>
          <t>PHN</t>
        </is>
      </c>
      <c r="E1724" s="60" t="inlineStr">
        <is>
          <t>iPhone 5c</t>
        </is>
      </c>
      <c r="F1724" s="104" t="inlineStr">
        <is>
          <t>SVC000062</t>
        </is>
      </c>
      <c r="G1724" s="104" t="inlineStr">
        <is>
          <t>SD Card Reader Repair</t>
        </is>
      </c>
      <c r="H1724" s="104" t="inlineStr">
        <is>
          <t>Connectivity</t>
        </is>
      </c>
      <c r="I1724" s="104" t="n"/>
      <c r="J1724" s="104" t="n"/>
      <c r="K1724" s="104" t="n"/>
      <c r="L1724" s="104" t="n"/>
      <c r="M1724" s="104" t="n"/>
      <c r="N1724" s="104" t="n"/>
      <c r="O1724" s="104" t="n"/>
      <c r="P1724" s="104" t="n"/>
      <c r="Q1724" s="104" t="n"/>
      <c r="R1724" s="104" t="n"/>
      <c r="S1724" s="110" t="n"/>
      <c r="T1724" s="110" t="n"/>
      <c r="U1724" s="104" t="n"/>
    </row>
    <row r="1725">
      <c r="A1725" s="104" t="inlineStr">
        <is>
          <t>GUIDE001724</t>
        </is>
      </c>
      <c r="B1725" s="101" t="inlineStr">
        <is>
          <t>DEV000008</t>
        </is>
      </c>
      <c r="C1725" s="103" t="inlineStr">
        <is>
          <t>APL</t>
        </is>
      </c>
      <c r="D1725" s="103" t="inlineStr">
        <is>
          <t>PHN</t>
        </is>
      </c>
      <c r="E1725" s="60" t="inlineStr">
        <is>
          <t>iPhone 5s</t>
        </is>
      </c>
      <c r="F1725" s="104" t="inlineStr">
        <is>
          <t>SVC000062</t>
        </is>
      </c>
      <c r="G1725" s="104" t="inlineStr">
        <is>
          <t>SD Card Reader Repair</t>
        </is>
      </c>
      <c r="H1725" s="104" t="inlineStr">
        <is>
          <t>Connectivity</t>
        </is>
      </c>
      <c r="I1725" s="104" t="n"/>
      <c r="J1725" s="104" t="n"/>
      <c r="K1725" s="104" t="n"/>
      <c r="L1725" s="104" t="n"/>
      <c r="M1725" s="104" t="n"/>
      <c r="N1725" s="104" t="n"/>
      <c r="O1725" s="104" t="n"/>
      <c r="P1725" s="104" t="n"/>
      <c r="Q1725" s="104" t="n"/>
      <c r="R1725" s="104" t="n"/>
      <c r="S1725" s="110" t="n"/>
      <c r="T1725" s="110" t="n"/>
      <c r="U1725" s="104" t="n"/>
    </row>
    <row r="1726">
      <c r="A1726" s="104" t="inlineStr">
        <is>
          <t>GUIDE001725</t>
        </is>
      </c>
      <c r="B1726" s="101" t="inlineStr">
        <is>
          <t>DEV000009</t>
        </is>
      </c>
      <c r="C1726" s="103" t="inlineStr">
        <is>
          <t>APL</t>
        </is>
      </c>
      <c r="D1726" s="103" t="inlineStr">
        <is>
          <t>PHN</t>
        </is>
      </c>
      <c r="E1726" s="60" t="inlineStr">
        <is>
          <t>iPhone 6</t>
        </is>
      </c>
      <c r="F1726" s="104" t="inlineStr">
        <is>
          <t>SVC000062</t>
        </is>
      </c>
      <c r="G1726" s="104" t="inlineStr">
        <is>
          <t>SD Card Reader Repair</t>
        </is>
      </c>
      <c r="H1726" s="104" t="inlineStr">
        <is>
          <t>Connectivity</t>
        </is>
      </c>
      <c r="I1726" s="104" t="n"/>
      <c r="J1726" s="104" t="n"/>
      <c r="K1726" s="104" t="n"/>
      <c r="L1726" s="104" t="n"/>
      <c r="M1726" s="104" t="n"/>
      <c r="N1726" s="104" t="n"/>
      <c r="O1726" s="104" t="n"/>
      <c r="P1726" s="104" t="n"/>
      <c r="Q1726" s="104" t="n"/>
      <c r="R1726" s="104" t="n"/>
      <c r="S1726" s="110" t="n"/>
      <c r="T1726" s="110" t="n"/>
      <c r="U1726" s="104" t="n"/>
    </row>
    <row r="1727">
      <c r="A1727" s="104" t="inlineStr">
        <is>
          <t>GUIDE001726</t>
        </is>
      </c>
      <c r="B1727" s="101" t="inlineStr">
        <is>
          <t>DEV000010</t>
        </is>
      </c>
      <c r="C1727" s="103" t="inlineStr">
        <is>
          <t>APL</t>
        </is>
      </c>
      <c r="D1727" s="103" t="inlineStr">
        <is>
          <t>PHN</t>
        </is>
      </c>
      <c r="E1727" s="60" t="inlineStr">
        <is>
          <t>iPhone 6 Plus</t>
        </is>
      </c>
      <c r="F1727" s="104" t="inlineStr">
        <is>
          <t>SVC000062</t>
        </is>
      </c>
      <c r="G1727" s="104" t="inlineStr">
        <is>
          <t>SD Card Reader Repair</t>
        </is>
      </c>
      <c r="H1727" s="104" t="inlineStr">
        <is>
          <t>Connectivity</t>
        </is>
      </c>
      <c r="I1727" s="104" t="n"/>
      <c r="J1727" s="104" t="n"/>
      <c r="K1727" s="104" t="n"/>
      <c r="L1727" s="104" t="n"/>
      <c r="M1727" s="104" t="n"/>
      <c r="N1727" s="104" t="n"/>
      <c r="O1727" s="104" t="n"/>
      <c r="P1727" s="104" t="n"/>
      <c r="Q1727" s="104" t="n"/>
      <c r="R1727" s="104" t="n"/>
      <c r="S1727" s="110" t="n"/>
      <c r="T1727" s="110" t="n"/>
      <c r="U1727" s="104" t="n"/>
    </row>
    <row r="1728">
      <c r="A1728" s="104" t="inlineStr">
        <is>
          <t>GUIDE001727</t>
        </is>
      </c>
      <c r="B1728" s="101" t="inlineStr">
        <is>
          <t>DEV000011</t>
        </is>
      </c>
      <c r="C1728" s="103" t="inlineStr">
        <is>
          <t>APL</t>
        </is>
      </c>
      <c r="D1728" s="103" t="inlineStr">
        <is>
          <t>PHN</t>
        </is>
      </c>
      <c r="E1728" s="60" t="inlineStr">
        <is>
          <t>iPhone 6s</t>
        </is>
      </c>
      <c r="F1728" s="104" t="inlineStr">
        <is>
          <t>SVC000062</t>
        </is>
      </c>
      <c r="G1728" s="104" t="inlineStr">
        <is>
          <t>SD Card Reader Repair</t>
        </is>
      </c>
      <c r="H1728" s="104" t="inlineStr">
        <is>
          <t>Connectivity</t>
        </is>
      </c>
      <c r="I1728" s="104" t="n"/>
      <c r="J1728" s="104" t="n"/>
      <c r="K1728" s="104" t="n"/>
      <c r="L1728" s="104" t="n"/>
      <c r="M1728" s="104" t="n"/>
      <c r="N1728" s="104" t="n"/>
      <c r="O1728" s="104" t="n"/>
      <c r="P1728" s="104" t="n"/>
      <c r="Q1728" s="104" t="n"/>
      <c r="R1728" s="104" t="n"/>
      <c r="S1728" s="110" t="n"/>
      <c r="T1728" s="110" t="n"/>
      <c r="U1728" s="104" t="n"/>
    </row>
    <row r="1729">
      <c r="A1729" s="105" t="inlineStr">
        <is>
          <t>GUIDE001728</t>
        </is>
      </c>
      <c r="B1729" s="101" t="inlineStr">
        <is>
          <t>DEV000012</t>
        </is>
      </c>
      <c r="C1729" s="103" t="inlineStr">
        <is>
          <t>APL</t>
        </is>
      </c>
      <c r="D1729" s="103" t="inlineStr">
        <is>
          <t>PHN</t>
        </is>
      </c>
      <c r="E1729" s="60" t="inlineStr">
        <is>
          <t>iPhone 6s Plus</t>
        </is>
      </c>
      <c r="F1729" s="104" t="inlineStr">
        <is>
          <t>SVC000062</t>
        </is>
      </c>
      <c r="G1729" s="104" t="inlineStr">
        <is>
          <t>SD Card Reader Repair</t>
        </is>
      </c>
      <c r="H1729" s="104" t="inlineStr">
        <is>
          <t>Connectivity</t>
        </is>
      </c>
      <c r="I1729" s="104" t="n"/>
      <c r="J1729" s="104" t="n"/>
      <c r="K1729" s="104" t="n"/>
      <c r="L1729" s="104" t="n"/>
      <c r="M1729" s="104" t="n"/>
      <c r="N1729" s="104" t="n"/>
      <c r="O1729" s="104" t="n"/>
      <c r="P1729" s="104" t="n"/>
      <c r="Q1729" s="104" t="n"/>
      <c r="R1729" s="104" t="n"/>
      <c r="S1729" s="110" t="n"/>
      <c r="T1729" s="110" t="n"/>
      <c r="U1729" s="104" t="n"/>
    </row>
    <row r="1730">
      <c r="A1730" s="104" t="inlineStr">
        <is>
          <t>GUIDE001729</t>
        </is>
      </c>
      <c r="B1730" s="101" t="inlineStr">
        <is>
          <t>DEV000013</t>
        </is>
      </c>
      <c r="C1730" s="103" t="inlineStr">
        <is>
          <t>APL</t>
        </is>
      </c>
      <c r="D1730" s="103" t="inlineStr">
        <is>
          <t>PHN</t>
        </is>
      </c>
      <c r="E1730" s="60" t="inlineStr">
        <is>
          <t>iPhone SE (1st Gen)</t>
        </is>
      </c>
      <c r="F1730" s="104" t="inlineStr">
        <is>
          <t>SVC000062</t>
        </is>
      </c>
      <c r="G1730" s="104" t="inlineStr">
        <is>
          <t>SD Card Reader Repair</t>
        </is>
      </c>
      <c r="H1730" s="104" t="inlineStr">
        <is>
          <t>Connectivity</t>
        </is>
      </c>
      <c r="I1730" s="104" t="n"/>
      <c r="J1730" s="104" t="n"/>
      <c r="K1730" s="104" t="n"/>
      <c r="L1730" s="104" t="n"/>
      <c r="M1730" s="104" t="n"/>
      <c r="N1730" s="104" t="n"/>
      <c r="O1730" s="104" t="n"/>
      <c r="P1730" s="104" t="n"/>
      <c r="Q1730" s="104" t="n"/>
      <c r="R1730" s="104" t="n"/>
      <c r="S1730" s="110" t="n"/>
      <c r="T1730" s="110" t="n"/>
      <c r="U1730" s="104" t="n"/>
    </row>
    <row r="1731">
      <c r="A1731" s="104" t="inlineStr">
        <is>
          <t>GUIDE001730</t>
        </is>
      </c>
      <c r="B1731" s="101" t="inlineStr">
        <is>
          <t>DEV000014</t>
        </is>
      </c>
      <c r="C1731" s="103" t="inlineStr">
        <is>
          <t>APL</t>
        </is>
      </c>
      <c r="D1731" s="103" t="inlineStr">
        <is>
          <t>PHN</t>
        </is>
      </c>
      <c r="E1731" s="60" t="inlineStr">
        <is>
          <t>iPhone 7</t>
        </is>
      </c>
      <c r="F1731" s="104" t="inlineStr">
        <is>
          <t>SVC000062</t>
        </is>
      </c>
      <c r="G1731" s="104" t="inlineStr">
        <is>
          <t>SD Card Reader Repair</t>
        </is>
      </c>
      <c r="H1731" s="104" t="inlineStr">
        <is>
          <t>Connectivity</t>
        </is>
      </c>
      <c r="I1731" s="104" t="n"/>
      <c r="J1731" s="104" t="n"/>
      <c r="K1731" s="104" t="n"/>
      <c r="L1731" s="104" t="n"/>
      <c r="M1731" s="104" t="n"/>
      <c r="N1731" s="104" t="n"/>
      <c r="O1731" s="104" t="n"/>
      <c r="P1731" s="104" t="n"/>
      <c r="Q1731" s="104" t="n"/>
      <c r="R1731" s="104" t="n"/>
      <c r="S1731" s="110" t="n"/>
      <c r="T1731" s="110" t="n"/>
      <c r="U1731" s="104" t="n"/>
    </row>
    <row r="1732">
      <c r="A1732" s="104" t="inlineStr">
        <is>
          <t>GUIDE001731</t>
        </is>
      </c>
      <c r="B1732" s="101" t="inlineStr">
        <is>
          <t>DEV000015</t>
        </is>
      </c>
      <c r="C1732" s="103" t="inlineStr">
        <is>
          <t>APL</t>
        </is>
      </c>
      <c r="D1732" s="103" t="inlineStr">
        <is>
          <t>PHN</t>
        </is>
      </c>
      <c r="E1732" s="60" t="inlineStr">
        <is>
          <t>iPhone 7 Plus</t>
        </is>
      </c>
      <c r="F1732" s="104" t="inlineStr">
        <is>
          <t>SVC000062</t>
        </is>
      </c>
      <c r="G1732" s="104" t="inlineStr">
        <is>
          <t>SD Card Reader Repair</t>
        </is>
      </c>
      <c r="H1732" s="104" t="inlineStr">
        <is>
          <t>Connectivity</t>
        </is>
      </c>
      <c r="I1732" s="104" t="n"/>
      <c r="J1732" s="104" t="n"/>
      <c r="K1732" s="104" t="n"/>
      <c r="L1732" s="104" t="n"/>
      <c r="M1732" s="104" t="n"/>
      <c r="N1732" s="104" t="n"/>
      <c r="O1732" s="104" t="n"/>
      <c r="P1732" s="104" t="n"/>
      <c r="Q1732" s="104" t="n"/>
      <c r="R1732" s="104" t="n"/>
      <c r="S1732" s="110" t="n"/>
      <c r="T1732" s="110" t="n"/>
      <c r="U1732" s="104" t="n"/>
    </row>
    <row r="1733">
      <c r="A1733" s="104" t="inlineStr">
        <is>
          <t>GUIDE001732</t>
        </is>
      </c>
      <c r="B1733" s="101" t="inlineStr">
        <is>
          <t>DEV000016</t>
        </is>
      </c>
      <c r="C1733" s="103" t="inlineStr">
        <is>
          <t>APL</t>
        </is>
      </c>
      <c r="D1733" s="103" t="inlineStr">
        <is>
          <t>PHN</t>
        </is>
      </c>
      <c r="E1733" s="60" t="inlineStr">
        <is>
          <t>iPhone 8</t>
        </is>
      </c>
      <c r="F1733" s="104" t="inlineStr">
        <is>
          <t>SVC000062</t>
        </is>
      </c>
      <c r="G1733" s="104" t="inlineStr">
        <is>
          <t>SD Card Reader Repair</t>
        </is>
      </c>
      <c r="H1733" s="104" t="inlineStr">
        <is>
          <t>Connectivity</t>
        </is>
      </c>
      <c r="I1733" s="104" t="n"/>
      <c r="J1733" s="104" t="n"/>
      <c r="K1733" s="104" t="n"/>
      <c r="L1733" s="104" t="n"/>
      <c r="M1733" s="104" t="n"/>
      <c r="N1733" s="104" t="n"/>
      <c r="O1733" s="104" t="n"/>
      <c r="P1733" s="104" t="n"/>
      <c r="Q1733" s="104" t="n"/>
      <c r="R1733" s="104" t="n"/>
      <c r="S1733" s="110" t="n"/>
      <c r="T1733" s="110" t="n"/>
      <c r="U1733" s="104" t="n"/>
    </row>
    <row r="1734">
      <c r="A1734" s="104" t="inlineStr">
        <is>
          <t>GUIDE001733</t>
        </is>
      </c>
      <c r="B1734" s="101" t="inlineStr">
        <is>
          <t>DEV000017</t>
        </is>
      </c>
      <c r="C1734" s="103" t="inlineStr">
        <is>
          <t>APL</t>
        </is>
      </c>
      <c r="D1734" s="103" t="inlineStr">
        <is>
          <t>PHN</t>
        </is>
      </c>
      <c r="E1734" s="60" t="inlineStr">
        <is>
          <t>iPhone 8 Plus</t>
        </is>
      </c>
      <c r="F1734" s="104" t="inlineStr">
        <is>
          <t>SVC000062</t>
        </is>
      </c>
      <c r="G1734" s="104" t="inlineStr">
        <is>
          <t>SD Card Reader Repair</t>
        </is>
      </c>
      <c r="H1734" s="104" t="inlineStr">
        <is>
          <t>Connectivity</t>
        </is>
      </c>
      <c r="I1734" s="104" t="n"/>
      <c r="J1734" s="104" t="n"/>
      <c r="K1734" s="104" t="n"/>
      <c r="L1734" s="104" t="n"/>
      <c r="M1734" s="104" t="n"/>
      <c r="N1734" s="104" t="n"/>
      <c r="O1734" s="104" t="n"/>
      <c r="P1734" s="104" t="n"/>
      <c r="Q1734" s="104" t="n"/>
      <c r="R1734" s="104" t="n"/>
      <c r="S1734" s="110" t="n"/>
      <c r="T1734" s="110" t="n"/>
      <c r="U1734" s="104" t="n"/>
    </row>
    <row r="1735">
      <c r="A1735" s="105" t="inlineStr">
        <is>
          <t>GUIDE001734</t>
        </is>
      </c>
      <c r="B1735" s="101" t="inlineStr">
        <is>
          <t>DEV000018</t>
        </is>
      </c>
      <c r="C1735" s="103" t="inlineStr">
        <is>
          <t>APL</t>
        </is>
      </c>
      <c r="D1735" s="103" t="inlineStr">
        <is>
          <t>PHN</t>
        </is>
      </c>
      <c r="E1735" s="60" t="inlineStr">
        <is>
          <t>iPhone X</t>
        </is>
      </c>
      <c r="F1735" s="104" t="inlineStr">
        <is>
          <t>SVC000062</t>
        </is>
      </c>
      <c r="G1735" s="104" t="inlineStr">
        <is>
          <t>SD Card Reader Repair</t>
        </is>
      </c>
      <c r="H1735" s="104" t="inlineStr">
        <is>
          <t>Connectivity</t>
        </is>
      </c>
      <c r="I1735" s="104" t="n"/>
      <c r="J1735" s="104" t="n"/>
      <c r="K1735" s="104" t="n"/>
      <c r="L1735" s="104" t="n"/>
      <c r="M1735" s="104" t="n"/>
      <c r="N1735" s="104" t="n"/>
      <c r="O1735" s="104" t="n"/>
      <c r="P1735" s="104" t="n"/>
      <c r="Q1735" s="104" t="n"/>
      <c r="R1735" s="104" t="n"/>
      <c r="S1735" s="110" t="n"/>
      <c r="T1735" s="110" t="n"/>
      <c r="U1735" s="104" t="n"/>
    </row>
    <row r="1736">
      <c r="A1736" s="104" t="inlineStr">
        <is>
          <t>GUIDE001735</t>
        </is>
      </c>
      <c r="B1736" s="101" t="inlineStr">
        <is>
          <t>DEV000019</t>
        </is>
      </c>
      <c r="C1736" s="103" t="inlineStr">
        <is>
          <t>APL</t>
        </is>
      </c>
      <c r="D1736" s="103" t="inlineStr">
        <is>
          <t>PHN</t>
        </is>
      </c>
      <c r="E1736" s="60" t="inlineStr">
        <is>
          <t>iPhone XR</t>
        </is>
      </c>
      <c r="F1736" s="104" t="inlineStr">
        <is>
          <t>SVC000062</t>
        </is>
      </c>
      <c r="G1736" s="104" t="inlineStr">
        <is>
          <t>SD Card Reader Repair</t>
        </is>
      </c>
      <c r="H1736" s="104" t="inlineStr">
        <is>
          <t>Connectivity</t>
        </is>
      </c>
      <c r="I1736" s="104" t="n"/>
      <c r="J1736" s="104" t="n"/>
      <c r="K1736" s="104" t="n"/>
      <c r="L1736" s="104" t="n"/>
      <c r="M1736" s="104" t="n"/>
      <c r="N1736" s="104" t="n"/>
      <c r="O1736" s="104" t="n"/>
      <c r="P1736" s="104" t="n"/>
      <c r="Q1736" s="104" t="n"/>
      <c r="R1736" s="104" t="n"/>
      <c r="S1736" s="110" t="n"/>
      <c r="T1736" s="110" t="n"/>
      <c r="U1736" s="104" t="n"/>
    </row>
    <row r="1737">
      <c r="A1737" s="104" t="inlineStr">
        <is>
          <t>GUIDE001736</t>
        </is>
      </c>
      <c r="B1737" s="101" t="inlineStr">
        <is>
          <t>DEV000020</t>
        </is>
      </c>
      <c r="C1737" s="103" t="inlineStr">
        <is>
          <t>APL</t>
        </is>
      </c>
      <c r="D1737" s="103" t="inlineStr">
        <is>
          <t>PHN</t>
        </is>
      </c>
      <c r="E1737" s="60" t="inlineStr">
        <is>
          <t>iPhone XS</t>
        </is>
      </c>
      <c r="F1737" s="104" t="inlineStr">
        <is>
          <t>SVC000062</t>
        </is>
      </c>
      <c r="G1737" s="104" t="inlineStr">
        <is>
          <t>SD Card Reader Repair</t>
        </is>
      </c>
      <c r="H1737" s="104" t="inlineStr">
        <is>
          <t>Connectivity</t>
        </is>
      </c>
      <c r="I1737" s="104" t="n"/>
      <c r="J1737" s="104" t="n"/>
      <c r="K1737" s="104" t="n"/>
      <c r="L1737" s="104" t="n"/>
      <c r="M1737" s="104" t="n"/>
      <c r="N1737" s="104" t="n"/>
      <c r="O1737" s="104" t="n"/>
      <c r="P1737" s="104" t="n"/>
      <c r="Q1737" s="104" t="n"/>
      <c r="R1737" s="104" t="n"/>
      <c r="S1737" s="110" t="n"/>
      <c r="T1737" s="110" t="n"/>
      <c r="U1737" s="104" t="n"/>
    </row>
    <row r="1738">
      <c r="A1738" s="104" t="inlineStr">
        <is>
          <t>GUIDE001737</t>
        </is>
      </c>
      <c r="B1738" s="101" t="inlineStr">
        <is>
          <t>DEV000021</t>
        </is>
      </c>
      <c r="C1738" s="103" t="inlineStr">
        <is>
          <t>APL</t>
        </is>
      </c>
      <c r="D1738" s="103" t="inlineStr">
        <is>
          <t>PHN</t>
        </is>
      </c>
      <c r="E1738" s="60" t="inlineStr">
        <is>
          <t>iPhone XS Max</t>
        </is>
      </c>
      <c r="F1738" s="104" t="inlineStr">
        <is>
          <t>SVC000062</t>
        </is>
      </c>
      <c r="G1738" s="104" t="inlineStr">
        <is>
          <t>SD Card Reader Repair</t>
        </is>
      </c>
      <c r="H1738" s="104" t="inlineStr">
        <is>
          <t>Connectivity</t>
        </is>
      </c>
      <c r="I1738" s="104" t="n"/>
      <c r="J1738" s="104" t="n"/>
      <c r="K1738" s="104" t="n"/>
      <c r="L1738" s="104" t="n"/>
      <c r="M1738" s="104" t="n"/>
      <c r="N1738" s="104" t="n"/>
      <c r="O1738" s="104" t="n"/>
      <c r="P1738" s="104" t="n"/>
      <c r="Q1738" s="104" t="n"/>
      <c r="R1738" s="104" t="n"/>
      <c r="S1738" s="110" t="n"/>
      <c r="T1738" s="110" t="n"/>
      <c r="U1738" s="104" t="n"/>
    </row>
    <row r="1739">
      <c r="A1739" s="104" t="inlineStr">
        <is>
          <t>GUIDE001738</t>
        </is>
      </c>
      <c r="B1739" s="101" t="inlineStr">
        <is>
          <t>DEV000022</t>
        </is>
      </c>
      <c r="C1739" s="103" t="inlineStr">
        <is>
          <t>APL</t>
        </is>
      </c>
      <c r="D1739" s="103" t="inlineStr">
        <is>
          <t>PHN</t>
        </is>
      </c>
      <c r="E1739" s="60" t="inlineStr">
        <is>
          <t>iPhone 11</t>
        </is>
      </c>
      <c r="F1739" s="104" t="inlineStr">
        <is>
          <t>SVC000062</t>
        </is>
      </c>
      <c r="G1739" s="104" t="inlineStr">
        <is>
          <t>SD Card Reader Repair</t>
        </is>
      </c>
      <c r="H1739" s="104" t="inlineStr">
        <is>
          <t>Connectivity</t>
        </is>
      </c>
      <c r="I1739" s="104" t="n"/>
      <c r="J1739" s="104" t="n"/>
      <c r="K1739" s="104" t="n"/>
      <c r="L1739" s="104" t="n"/>
      <c r="M1739" s="104" t="n"/>
      <c r="N1739" s="104" t="n"/>
      <c r="O1739" s="104" t="n"/>
      <c r="P1739" s="104" t="n"/>
      <c r="Q1739" s="104" t="n"/>
      <c r="R1739" s="104" t="n"/>
      <c r="S1739" s="110" t="n"/>
      <c r="T1739" s="110" t="n"/>
      <c r="U1739" s="104" t="n"/>
    </row>
    <row r="1740">
      <c r="A1740" s="104" t="inlineStr">
        <is>
          <t>GUIDE001739</t>
        </is>
      </c>
      <c r="B1740" s="101" t="inlineStr">
        <is>
          <t>DEV000023</t>
        </is>
      </c>
      <c r="C1740" s="103" t="inlineStr">
        <is>
          <t>APL</t>
        </is>
      </c>
      <c r="D1740" s="103" t="inlineStr">
        <is>
          <t>PHN</t>
        </is>
      </c>
      <c r="E1740" s="60" t="inlineStr">
        <is>
          <t>iPhone 11 Pro</t>
        </is>
      </c>
      <c r="F1740" s="104" t="inlineStr">
        <is>
          <t>SVC000062</t>
        </is>
      </c>
      <c r="G1740" s="104" t="inlineStr">
        <is>
          <t>SD Card Reader Repair</t>
        </is>
      </c>
      <c r="H1740" s="104" t="inlineStr">
        <is>
          <t>Connectivity</t>
        </is>
      </c>
      <c r="I1740" s="104" t="n"/>
      <c r="J1740" s="104" t="n"/>
      <c r="K1740" s="104" t="n"/>
      <c r="L1740" s="104" t="n"/>
      <c r="M1740" s="104" t="n"/>
      <c r="N1740" s="104" t="n"/>
      <c r="O1740" s="104" t="n"/>
      <c r="P1740" s="104" t="n"/>
      <c r="Q1740" s="104" t="n"/>
      <c r="R1740" s="104" t="n"/>
      <c r="S1740" s="110" t="n"/>
      <c r="T1740" s="110" t="n"/>
      <c r="U1740" s="104" t="n"/>
    </row>
    <row r="1741">
      <c r="A1741" s="105" t="inlineStr">
        <is>
          <t>GUIDE001740</t>
        </is>
      </c>
      <c r="B1741" s="101" t="inlineStr">
        <is>
          <t>DEV000024</t>
        </is>
      </c>
      <c r="C1741" s="103" t="inlineStr">
        <is>
          <t>APL</t>
        </is>
      </c>
      <c r="D1741" s="103" t="inlineStr">
        <is>
          <t>PHN</t>
        </is>
      </c>
      <c r="E1741" s="60" t="inlineStr">
        <is>
          <t>iPhone 11 Pro Max</t>
        </is>
      </c>
      <c r="F1741" s="104" t="inlineStr">
        <is>
          <t>SVC000062</t>
        </is>
      </c>
      <c r="G1741" s="104" t="inlineStr">
        <is>
          <t>SD Card Reader Repair</t>
        </is>
      </c>
      <c r="H1741" s="104" t="inlineStr">
        <is>
          <t>Connectivity</t>
        </is>
      </c>
      <c r="I1741" s="104" t="n"/>
      <c r="J1741" s="104" t="n"/>
      <c r="K1741" s="104" t="n"/>
      <c r="L1741" s="104" t="n"/>
      <c r="M1741" s="104" t="n"/>
      <c r="N1741" s="104" t="n"/>
      <c r="O1741" s="104" t="n"/>
      <c r="P1741" s="104" t="n"/>
      <c r="Q1741" s="104" t="n"/>
      <c r="R1741" s="104" t="n"/>
      <c r="S1741" s="110" t="n"/>
      <c r="T1741" s="110" t="n"/>
      <c r="U1741" s="104" t="n"/>
    </row>
    <row r="1742">
      <c r="A1742" s="104" t="inlineStr">
        <is>
          <t>GUIDE001741</t>
        </is>
      </c>
      <c r="B1742" s="101" t="inlineStr">
        <is>
          <t>DEV000025</t>
        </is>
      </c>
      <c r="C1742" s="103" t="inlineStr">
        <is>
          <t>APL</t>
        </is>
      </c>
      <c r="D1742" s="103" t="inlineStr">
        <is>
          <t>PHN</t>
        </is>
      </c>
      <c r="E1742" s="60" t="inlineStr">
        <is>
          <t>iPhone SE (2nd Generation)</t>
        </is>
      </c>
      <c r="F1742" s="104" t="inlineStr">
        <is>
          <t>SVC000062</t>
        </is>
      </c>
      <c r="G1742" s="104" t="inlineStr">
        <is>
          <t>SD Card Reader Repair</t>
        </is>
      </c>
      <c r="H1742" s="104" t="inlineStr">
        <is>
          <t>Connectivity</t>
        </is>
      </c>
      <c r="I1742" s="104" t="n"/>
      <c r="J1742" s="104" t="n"/>
      <c r="K1742" s="104" t="n"/>
      <c r="L1742" s="104" t="n"/>
      <c r="M1742" s="104" t="n"/>
      <c r="N1742" s="104" t="n"/>
      <c r="O1742" s="104" t="n"/>
      <c r="P1742" s="104" t="n"/>
      <c r="Q1742" s="104" t="n"/>
      <c r="R1742" s="104" t="n"/>
      <c r="S1742" s="110" t="n"/>
      <c r="T1742" s="110" t="n"/>
      <c r="U1742" s="104" t="n"/>
    </row>
    <row r="1743">
      <c r="A1743" s="104" t="inlineStr">
        <is>
          <t>GUIDE001742</t>
        </is>
      </c>
      <c r="B1743" s="101" t="inlineStr">
        <is>
          <t>DEV000026</t>
        </is>
      </c>
      <c r="C1743" s="103" t="inlineStr">
        <is>
          <t>APL</t>
        </is>
      </c>
      <c r="D1743" s="103" t="inlineStr">
        <is>
          <t>PHN</t>
        </is>
      </c>
      <c r="E1743" s="60" t="inlineStr">
        <is>
          <t>iPhone 12 mini</t>
        </is>
      </c>
      <c r="F1743" s="104" t="inlineStr">
        <is>
          <t>SVC000062</t>
        </is>
      </c>
      <c r="G1743" s="104" t="inlineStr">
        <is>
          <t>SD Card Reader Repair</t>
        </is>
      </c>
      <c r="H1743" s="104" t="inlineStr">
        <is>
          <t>Connectivity</t>
        </is>
      </c>
      <c r="I1743" s="104" t="n"/>
      <c r="J1743" s="104" t="n"/>
      <c r="K1743" s="104" t="n"/>
      <c r="L1743" s="104" t="n"/>
      <c r="M1743" s="104" t="n"/>
      <c r="N1743" s="104" t="n"/>
      <c r="O1743" s="104" t="n"/>
      <c r="P1743" s="104" t="n"/>
      <c r="Q1743" s="104" t="n"/>
      <c r="R1743" s="104" t="n"/>
      <c r="S1743" s="110" t="n"/>
      <c r="T1743" s="110" t="n"/>
      <c r="U1743" s="104" t="n"/>
    </row>
    <row r="1744">
      <c r="A1744" s="104" t="inlineStr">
        <is>
          <t>GUIDE001743</t>
        </is>
      </c>
      <c r="B1744" s="101" t="inlineStr">
        <is>
          <t>DEV000027</t>
        </is>
      </c>
      <c r="C1744" s="103" t="inlineStr">
        <is>
          <t>APL</t>
        </is>
      </c>
      <c r="D1744" s="103" t="inlineStr">
        <is>
          <t>PHN</t>
        </is>
      </c>
      <c r="E1744" s="60" t="inlineStr">
        <is>
          <t>iPhone 12</t>
        </is>
      </c>
      <c r="F1744" s="104" t="inlineStr">
        <is>
          <t>SVC000062</t>
        </is>
      </c>
      <c r="G1744" s="104" t="inlineStr">
        <is>
          <t>SD Card Reader Repair</t>
        </is>
      </c>
      <c r="H1744" s="104" t="inlineStr">
        <is>
          <t>Connectivity</t>
        </is>
      </c>
      <c r="I1744" s="104" t="n"/>
      <c r="J1744" s="104" t="n"/>
      <c r="K1744" s="104" t="n"/>
      <c r="L1744" s="104" t="n"/>
      <c r="M1744" s="104" t="n"/>
      <c r="N1744" s="104" t="n"/>
      <c r="O1744" s="104" t="n"/>
      <c r="P1744" s="104" t="n"/>
      <c r="Q1744" s="104" t="n"/>
      <c r="R1744" s="104" t="n"/>
      <c r="S1744" s="110" t="n"/>
      <c r="T1744" s="110" t="n"/>
      <c r="U1744" s="104" t="n"/>
    </row>
    <row r="1745">
      <c r="A1745" s="104" t="inlineStr">
        <is>
          <t>GUIDE001744</t>
        </is>
      </c>
      <c r="B1745" s="101" t="inlineStr">
        <is>
          <t>DEV000028</t>
        </is>
      </c>
      <c r="C1745" s="103" t="inlineStr">
        <is>
          <t>APL</t>
        </is>
      </c>
      <c r="D1745" s="103" t="inlineStr">
        <is>
          <t>PHN</t>
        </is>
      </c>
      <c r="E1745" s="60" t="inlineStr">
        <is>
          <t>iPhone 12 Pro</t>
        </is>
      </c>
      <c r="F1745" s="104" t="inlineStr">
        <is>
          <t>SVC000062</t>
        </is>
      </c>
      <c r="G1745" s="104" t="inlineStr">
        <is>
          <t>SD Card Reader Repair</t>
        </is>
      </c>
      <c r="H1745" s="104" t="inlineStr">
        <is>
          <t>Connectivity</t>
        </is>
      </c>
      <c r="I1745" s="104" t="n"/>
      <c r="J1745" s="104" t="n"/>
      <c r="K1745" s="104" t="n"/>
      <c r="L1745" s="104" t="n"/>
      <c r="M1745" s="104" t="n"/>
      <c r="N1745" s="104" t="n"/>
      <c r="O1745" s="104" t="n"/>
      <c r="P1745" s="104" t="n"/>
      <c r="Q1745" s="104" t="n"/>
      <c r="R1745" s="104" t="n"/>
      <c r="S1745" s="110" t="n"/>
      <c r="T1745" s="110" t="n"/>
      <c r="U1745" s="104" t="n"/>
    </row>
    <row r="1746">
      <c r="A1746" s="104" t="inlineStr">
        <is>
          <t>GUIDE001745</t>
        </is>
      </c>
      <c r="B1746" s="101" t="inlineStr">
        <is>
          <t>DEV000029</t>
        </is>
      </c>
      <c r="C1746" s="103" t="inlineStr">
        <is>
          <t>APL</t>
        </is>
      </c>
      <c r="D1746" s="103" t="inlineStr">
        <is>
          <t>PHN</t>
        </is>
      </c>
      <c r="E1746" s="60" t="inlineStr">
        <is>
          <t>iPhone 12 Pro Max</t>
        </is>
      </c>
      <c r="F1746" s="104" t="inlineStr">
        <is>
          <t>SVC000062</t>
        </is>
      </c>
      <c r="G1746" s="104" t="inlineStr">
        <is>
          <t>SD Card Reader Repair</t>
        </is>
      </c>
      <c r="H1746" s="104" t="inlineStr">
        <is>
          <t>Connectivity</t>
        </is>
      </c>
      <c r="I1746" s="104" t="n"/>
      <c r="J1746" s="104" t="n"/>
      <c r="K1746" s="104" t="n"/>
      <c r="L1746" s="104" t="n"/>
      <c r="M1746" s="104" t="n"/>
      <c r="N1746" s="104" t="n"/>
      <c r="O1746" s="104" t="n"/>
      <c r="P1746" s="104" t="n"/>
      <c r="Q1746" s="104" t="n"/>
      <c r="R1746" s="104" t="n"/>
      <c r="S1746" s="110" t="n"/>
      <c r="T1746" s="110" t="n"/>
      <c r="U1746" s="104" t="n"/>
    </row>
    <row r="1747">
      <c r="A1747" s="105" t="inlineStr">
        <is>
          <t>GUIDE001746</t>
        </is>
      </c>
      <c r="B1747" s="101" t="inlineStr">
        <is>
          <t>DEV000030</t>
        </is>
      </c>
      <c r="C1747" s="103" t="inlineStr">
        <is>
          <t>APL</t>
        </is>
      </c>
      <c r="D1747" s="103" t="inlineStr">
        <is>
          <t>PHN</t>
        </is>
      </c>
      <c r="E1747" s="60" t="inlineStr">
        <is>
          <t>iPhone 13 mini</t>
        </is>
      </c>
      <c r="F1747" s="104" t="inlineStr">
        <is>
          <t>SVC000062</t>
        </is>
      </c>
      <c r="G1747" s="104" t="inlineStr">
        <is>
          <t>SD Card Reader Repair</t>
        </is>
      </c>
      <c r="H1747" s="104" t="inlineStr">
        <is>
          <t>Connectivity</t>
        </is>
      </c>
      <c r="I1747" s="104" t="n"/>
      <c r="J1747" s="104" t="n"/>
      <c r="K1747" s="104" t="n"/>
      <c r="L1747" s="104" t="n"/>
      <c r="M1747" s="104" t="n"/>
      <c r="N1747" s="104" t="n"/>
      <c r="O1747" s="104" t="n"/>
      <c r="P1747" s="104" t="n"/>
      <c r="Q1747" s="104" t="n"/>
      <c r="R1747" s="104" t="n"/>
      <c r="S1747" s="110" t="n"/>
      <c r="T1747" s="110" t="n"/>
      <c r="U1747" s="104" t="n"/>
    </row>
    <row r="1748">
      <c r="A1748" s="104" t="inlineStr">
        <is>
          <t>GUIDE001747</t>
        </is>
      </c>
      <c r="B1748" s="101" t="inlineStr">
        <is>
          <t>DEV000031</t>
        </is>
      </c>
      <c r="C1748" s="103" t="inlineStr">
        <is>
          <t>APL</t>
        </is>
      </c>
      <c r="D1748" s="103" t="inlineStr">
        <is>
          <t>PHN</t>
        </is>
      </c>
      <c r="E1748" s="60" t="inlineStr">
        <is>
          <t>iPhone 13</t>
        </is>
      </c>
      <c r="F1748" s="104" t="inlineStr">
        <is>
          <t>SVC000062</t>
        </is>
      </c>
      <c r="G1748" s="104" t="inlineStr">
        <is>
          <t>SD Card Reader Repair</t>
        </is>
      </c>
      <c r="H1748" s="104" t="inlineStr">
        <is>
          <t>Connectivity</t>
        </is>
      </c>
      <c r="I1748" s="104" t="n"/>
      <c r="J1748" s="104" t="n"/>
      <c r="K1748" s="104" t="n"/>
      <c r="L1748" s="104" t="n"/>
      <c r="M1748" s="104" t="n"/>
      <c r="N1748" s="104" t="n"/>
      <c r="O1748" s="104" t="n"/>
      <c r="P1748" s="104" t="n"/>
      <c r="Q1748" s="104" t="n"/>
      <c r="R1748" s="104" t="n"/>
      <c r="S1748" s="110" t="n"/>
      <c r="T1748" s="110" t="n"/>
      <c r="U1748" s="104" t="n"/>
    </row>
    <row r="1749">
      <c r="A1749" s="104" t="inlineStr">
        <is>
          <t>GUIDE001748</t>
        </is>
      </c>
      <c r="B1749" s="101" t="inlineStr">
        <is>
          <t>DEV000032</t>
        </is>
      </c>
      <c r="C1749" s="103" t="inlineStr">
        <is>
          <t>APL</t>
        </is>
      </c>
      <c r="D1749" s="103" t="inlineStr">
        <is>
          <t>PHN</t>
        </is>
      </c>
      <c r="E1749" s="60" t="inlineStr">
        <is>
          <t>iPhone 13 Pro</t>
        </is>
      </c>
      <c r="F1749" s="104" t="inlineStr">
        <is>
          <t>SVC000062</t>
        </is>
      </c>
      <c r="G1749" s="104" t="inlineStr">
        <is>
          <t>SD Card Reader Repair</t>
        </is>
      </c>
      <c r="H1749" s="104" t="inlineStr">
        <is>
          <t>Connectivity</t>
        </is>
      </c>
      <c r="I1749" s="104" t="n"/>
      <c r="J1749" s="104" t="n"/>
      <c r="K1749" s="104" t="n"/>
      <c r="L1749" s="104" t="n"/>
      <c r="M1749" s="104" t="n"/>
      <c r="N1749" s="104" t="n"/>
      <c r="O1749" s="104" t="n"/>
      <c r="P1749" s="104" t="n"/>
      <c r="Q1749" s="104" t="n"/>
      <c r="R1749" s="104" t="n"/>
      <c r="S1749" s="110" t="n"/>
      <c r="T1749" s="110" t="n"/>
      <c r="U1749" s="104" t="n"/>
    </row>
    <row r="1750">
      <c r="A1750" s="104" t="inlineStr">
        <is>
          <t>GUIDE001749</t>
        </is>
      </c>
      <c r="B1750" s="101" t="inlineStr">
        <is>
          <t>DEV000033</t>
        </is>
      </c>
      <c r="C1750" s="103" t="inlineStr">
        <is>
          <t>APL</t>
        </is>
      </c>
      <c r="D1750" s="103" t="inlineStr">
        <is>
          <t>PHN</t>
        </is>
      </c>
      <c r="E1750" s="60" t="inlineStr">
        <is>
          <t>iPhone 13 Pro Max</t>
        </is>
      </c>
      <c r="F1750" s="104" t="inlineStr">
        <is>
          <t>SVC000062</t>
        </is>
      </c>
      <c r="G1750" s="104" t="inlineStr">
        <is>
          <t>SD Card Reader Repair</t>
        </is>
      </c>
      <c r="H1750" s="104" t="inlineStr">
        <is>
          <t>Connectivity</t>
        </is>
      </c>
      <c r="I1750" s="104" t="n"/>
      <c r="J1750" s="104" t="n"/>
      <c r="K1750" s="104" t="n"/>
      <c r="L1750" s="104" t="n"/>
      <c r="M1750" s="104" t="n"/>
      <c r="N1750" s="104" t="n"/>
      <c r="O1750" s="104" t="n"/>
      <c r="P1750" s="104" t="n"/>
      <c r="Q1750" s="104" t="n"/>
      <c r="R1750" s="104" t="n"/>
      <c r="S1750" s="110" t="n"/>
      <c r="T1750" s="110" t="n"/>
      <c r="U1750" s="104" t="n"/>
    </row>
    <row r="1751">
      <c r="A1751" s="104" t="inlineStr">
        <is>
          <t>GUIDE001750</t>
        </is>
      </c>
      <c r="B1751" s="101" t="inlineStr">
        <is>
          <t>DEV000034</t>
        </is>
      </c>
      <c r="C1751" s="103" t="inlineStr">
        <is>
          <t>APL</t>
        </is>
      </c>
      <c r="D1751" s="103" t="inlineStr">
        <is>
          <t>PHN</t>
        </is>
      </c>
      <c r="E1751" s="60" t="inlineStr">
        <is>
          <t>iPhone SE (3rd Generation)</t>
        </is>
      </c>
      <c r="F1751" s="104" t="inlineStr">
        <is>
          <t>SVC000062</t>
        </is>
      </c>
      <c r="G1751" s="104" t="inlineStr">
        <is>
          <t>SD Card Reader Repair</t>
        </is>
      </c>
      <c r="H1751" s="104" t="inlineStr">
        <is>
          <t>Connectivity</t>
        </is>
      </c>
      <c r="I1751" s="104" t="n"/>
      <c r="J1751" s="104" t="n"/>
      <c r="K1751" s="104" t="n"/>
      <c r="L1751" s="104" t="n"/>
      <c r="M1751" s="104" t="n"/>
      <c r="N1751" s="104" t="n"/>
      <c r="O1751" s="104" t="n"/>
      <c r="P1751" s="104" t="n"/>
      <c r="Q1751" s="104" t="n"/>
      <c r="R1751" s="104" t="n"/>
      <c r="S1751" s="110" t="n"/>
      <c r="T1751" s="110" t="n"/>
      <c r="U1751" s="104" t="n"/>
    </row>
    <row r="1752">
      <c r="A1752" s="104" t="inlineStr">
        <is>
          <t>GUIDE001751</t>
        </is>
      </c>
      <c r="B1752" s="101" t="inlineStr">
        <is>
          <t>DEV000035</t>
        </is>
      </c>
      <c r="C1752" s="103" t="inlineStr">
        <is>
          <t>APL</t>
        </is>
      </c>
      <c r="D1752" s="103" t="inlineStr">
        <is>
          <t>PHN</t>
        </is>
      </c>
      <c r="E1752" s="60" t="inlineStr">
        <is>
          <t>iPhone 14</t>
        </is>
      </c>
      <c r="F1752" s="104" t="inlineStr">
        <is>
          <t>SVC000062</t>
        </is>
      </c>
      <c r="G1752" s="104" t="inlineStr">
        <is>
          <t>SD Card Reader Repair</t>
        </is>
      </c>
      <c r="H1752" s="104" t="inlineStr">
        <is>
          <t>Connectivity</t>
        </is>
      </c>
      <c r="I1752" s="104" t="n"/>
      <c r="J1752" s="104" t="n"/>
      <c r="K1752" s="104" t="n"/>
      <c r="L1752" s="104" t="n"/>
      <c r="M1752" s="104" t="n"/>
      <c r="N1752" s="104" t="n"/>
      <c r="O1752" s="104" t="n"/>
      <c r="P1752" s="104" t="n"/>
      <c r="Q1752" s="104" t="n"/>
      <c r="R1752" s="104" t="n"/>
      <c r="S1752" s="110" t="n"/>
      <c r="T1752" s="110" t="n"/>
      <c r="U1752" s="104" t="n"/>
    </row>
    <row r="1753">
      <c r="A1753" s="105" t="inlineStr">
        <is>
          <t>GUIDE001752</t>
        </is>
      </c>
      <c r="B1753" s="101" t="inlineStr">
        <is>
          <t>DEV000036</t>
        </is>
      </c>
      <c r="C1753" s="103" t="inlineStr">
        <is>
          <t>APL</t>
        </is>
      </c>
      <c r="D1753" s="103" t="inlineStr">
        <is>
          <t>PHN</t>
        </is>
      </c>
      <c r="E1753" s="60" t="inlineStr">
        <is>
          <t>iPhone 14 Plus</t>
        </is>
      </c>
      <c r="F1753" s="104" t="inlineStr">
        <is>
          <t>SVC000062</t>
        </is>
      </c>
      <c r="G1753" s="104" t="inlineStr">
        <is>
          <t>SD Card Reader Repair</t>
        </is>
      </c>
      <c r="H1753" s="104" t="inlineStr">
        <is>
          <t>Connectivity</t>
        </is>
      </c>
      <c r="I1753" s="104" t="n"/>
      <c r="J1753" s="104" t="n"/>
      <c r="K1753" s="104" t="n"/>
      <c r="L1753" s="104" t="n"/>
      <c r="M1753" s="104" t="n"/>
      <c r="N1753" s="104" t="n"/>
      <c r="O1753" s="104" t="n"/>
      <c r="P1753" s="104" t="n"/>
      <c r="Q1753" s="104" t="n"/>
      <c r="R1753" s="104" t="n"/>
      <c r="S1753" s="110" t="n"/>
      <c r="T1753" s="110" t="n"/>
      <c r="U1753" s="104" t="n"/>
    </row>
    <row r="1754">
      <c r="A1754" s="104" t="inlineStr">
        <is>
          <t>GUIDE001753</t>
        </is>
      </c>
      <c r="B1754" s="101" t="inlineStr">
        <is>
          <t>DEV000037</t>
        </is>
      </c>
      <c r="C1754" s="103" t="inlineStr">
        <is>
          <t>APL</t>
        </is>
      </c>
      <c r="D1754" s="103" t="inlineStr">
        <is>
          <t>PHN</t>
        </is>
      </c>
      <c r="E1754" s="60" t="inlineStr">
        <is>
          <t>iPhone 14 Pro</t>
        </is>
      </c>
      <c r="F1754" s="104" t="inlineStr">
        <is>
          <t>SVC000062</t>
        </is>
      </c>
      <c r="G1754" s="104" t="inlineStr">
        <is>
          <t>SD Card Reader Repair</t>
        </is>
      </c>
      <c r="H1754" s="104" t="inlineStr">
        <is>
          <t>Connectivity</t>
        </is>
      </c>
      <c r="I1754" s="104" t="n"/>
      <c r="J1754" s="104" t="n"/>
      <c r="K1754" s="104" t="n"/>
      <c r="L1754" s="104" t="n"/>
      <c r="M1754" s="104" t="n"/>
      <c r="N1754" s="104" t="n"/>
      <c r="O1754" s="104" t="n"/>
      <c r="P1754" s="104" t="n"/>
      <c r="Q1754" s="104" t="n"/>
      <c r="R1754" s="104" t="n"/>
      <c r="S1754" s="110" t="n"/>
      <c r="T1754" s="110" t="n"/>
      <c r="U1754" s="104" t="n"/>
    </row>
    <row r="1755">
      <c r="A1755" s="104" t="inlineStr">
        <is>
          <t>GUIDE001754</t>
        </is>
      </c>
      <c r="B1755" s="101" t="inlineStr">
        <is>
          <t>DEV000038</t>
        </is>
      </c>
      <c r="C1755" s="103" t="inlineStr">
        <is>
          <t>APL</t>
        </is>
      </c>
      <c r="D1755" s="103" t="inlineStr">
        <is>
          <t>PHN</t>
        </is>
      </c>
      <c r="E1755" s="60" t="inlineStr">
        <is>
          <t>iPhone 14 Pro Max</t>
        </is>
      </c>
      <c r="F1755" s="104" t="inlineStr">
        <is>
          <t>SVC000062</t>
        </is>
      </c>
      <c r="G1755" s="104" t="inlineStr">
        <is>
          <t>SD Card Reader Repair</t>
        </is>
      </c>
      <c r="H1755" s="104" t="inlineStr">
        <is>
          <t>Connectivity</t>
        </is>
      </c>
      <c r="I1755" s="104" t="n"/>
      <c r="J1755" s="104" t="n"/>
      <c r="K1755" s="104" t="n"/>
      <c r="L1755" s="104" t="n"/>
      <c r="M1755" s="104" t="n"/>
      <c r="N1755" s="104" t="n"/>
      <c r="O1755" s="104" t="n"/>
      <c r="P1755" s="104" t="n"/>
      <c r="Q1755" s="104" t="n"/>
      <c r="R1755" s="104" t="n"/>
      <c r="S1755" s="110" t="n"/>
      <c r="T1755" s="110" t="n"/>
      <c r="U1755" s="104" t="n"/>
    </row>
    <row r="1756">
      <c r="A1756" s="104" t="inlineStr">
        <is>
          <t>GUIDE001755</t>
        </is>
      </c>
      <c r="B1756" s="101" t="inlineStr">
        <is>
          <t>DEV000039</t>
        </is>
      </c>
      <c r="C1756" s="103" t="inlineStr">
        <is>
          <t>APL</t>
        </is>
      </c>
      <c r="D1756" s="103" t="inlineStr">
        <is>
          <t>PHN</t>
        </is>
      </c>
      <c r="E1756" s="60" t="inlineStr">
        <is>
          <t>iPhone 15</t>
        </is>
      </c>
      <c r="F1756" s="104" t="inlineStr">
        <is>
          <t>SVC000062</t>
        </is>
      </c>
      <c r="G1756" s="104" t="inlineStr">
        <is>
          <t>SD Card Reader Repair</t>
        </is>
      </c>
      <c r="H1756" s="104" t="inlineStr">
        <is>
          <t>Connectivity</t>
        </is>
      </c>
      <c r="I1756" s="104" t="n"/>
      <c r="J1756" s="104" t="n"/>
      <c r="K1756" s="104" t="n"/>
      <c r="L1756" s="104" t="n"/>
      <c r="M1756" s="104" t="n"/>
      <c r="N1756" s="104" t="n"/>
      <c r="O1756" s="104" t="n"/>
      <c r="P1756" s="104" t="n"/>
      <c r="Q1756" s="104" t="n"/>
      <c r="R1756" s="104" t="n"/>
      <c r="S1756" s="110" t="n"/>
      <c r="T1756" s="110" t="n"/>
      <c r="U1756" s="104" t="n"/>
    </row>
    <row r="1757">
      <c r="A1757" s="104" t="inlineStr">
        <is>
          <t>GUIDE001756</t>
        </is>
      </c>
      <c r="B1757" s="101" t="inlineStr">
        <is>
          <t>DEV000040</t>
        </is>
      </c>
      <c r="C1757" s="103" t="inlineStr">
        <is>
          <t>APL</t>
        </is>
      </c>
      <c r="D1757" s="103" t="inlineStr">
        <is>
          <t>PHN</t>
        </is>
      </c>
      <c r="E1757" s="60" t="inlineStr">
        <is>
          <t>iPhone 15 Plus</t>
        </is>
      </c>
      <c r="F1757" s="104" t="inlineStr">
        <is>
          <t>SVC000062</t>
        </is>
      </c>
      <c r="G1757" s="104" t="inlineStr">
        <is>
          <t>SD Card Reader Repair</t>
        </is>
      </c>
      <c r="H1757" s="104" t="inlineStr">
        <is>
          <t>Connectivity</t>
        </is>
      </c>
      <c r="I1757" s="104" t="n"/>
      <c r="J1757" s="104" t="n"/>
      <c r="K1757" s="104" t="n"/>
      <c r="L1757" s="104" t="n"/>
      <c r="M1757" s="104" t="n"/>
      <c r="N1757" s="104" t="n"/>
      <c r="O1757" s="104" t="n"/>
      <c r="P1757" s="104" t="n"/>
      <c r="Q1757" s="104" t="n"/>
      <c r="R1757" s="104" t="n"/>
      <c r="S1757" s="110" t="n"/>
      <c r="T1757" s="110" t="n"/>
      <c r="U1757" s="104" t="n"/>
    </row>
    <row r="1758">
      <c r="A1758" s="104" t="inlineStr">
        <is>
          <t>GUIDE001757</t>
        </is>
      </c>
      <c r="B1758" s="101" t="inlineStr">
        <is>
          <t>DEV000041</t>
        </is>
      </c>
      <c r="C1758" s="103" t="inlineStr">
        <is>
          <t>APL</t>
        </is>
      </c>
      <c r="D1758" s="103" t="inlineStr">
        <is>
          <t>PHN</t>
        </is>
      </c>
      <c r="E1758" s="60" t="inlineStr">
        <is>
          <t>iPhone 15 Pro</t>
        </is>
      </c>
      <c r="F1758" s="104" t="inlineStr">
        <is>
          <t>SVC000062</t>
        </is>
      </c>
      <c r="G1758" s="104" t="inlineStr">
        <is>
          <t>SD Card Reader Repair</t>
        </is>
      </c>
      <c r="H1758" s="104" t="inlineStr">
        <is>
          <t>Connectivity</t>
        </is>
      </c>
      <c r="I1758" s="104" t="n"/>
      <c r="J1758" s="104" t="n"/>
      <c r="K1758" s="104" t="n"/>
      <c r="L1758" s="104" t="n"/>
      <c r="M1758" s="104" t="n"/>
      <c r="N1758" s="104" t="n"/>
      <c r="O1758" s="104" t="n"/>
      <c r="P1758" s="104" t="n"/>
      <c r="Q1758" s="104" t="n"/>
      <c r="R1758" s="104" t="n"/>
      <c r="S1758" s="110" t="n"/>
      <c r="T1758" s="110" t="n"/>
      <c r="U1758" s="104" t="n"/>
    </row>
    <row r="1759">
      <c r="A1759" s="105" t="inlineStr">
        <is>
          <t>GUIDE001758</t>
        </is>
      </c>
      <c r="B1759" s="101" t="inlineStr">
        <is>
          <t>DEV000042</t>
        </is>
      </c>
      <c r="C1759" s="103" t="inlineStr">
        <is>
          <t>APL</t>
        </is>
      </c>
      <c r="D1759" s="103" t="inlineStr">
        <is>
          <t>PHN</t>
        </is>
      </c>
      <c r="E1759" s="60" t="inlineStr">
        <is>
          <t>iPhone 15 Pro Max</t>
        </is>
      </c>
      <c r="F1759" s="104" t="inlineStr">
        <is>
          <t>SVC000062</t>
        </is>
      </c>
      <c r="G1759" s="104" t="inlineStr">
        <is>
          <t>SD Card Reader Repair</t>
        </is>
      </c>
      <c r="H1759" s="104" t="inlineStr">
        <is>
          <t>Connectivity</t>
        </is>
      </c>
      <c r="I1759" s="104" t="n"/>
      <c r="J1759" s="104" t="n"/>
      <c r="K1759" s="104" t="n"/>
      <c r="L1759" s="104" t="n"/>
      <c r="M1759" s="104" t="n"/>
      <c r="N1759" s="104" t="n"/>
      <c r="O1759" s="104" t="n"/>
      <c r="P1759" s="104" t="n"/>
      <c r="Q1759" s="104" t="n"/>
      <c r="R1759" s="104" t="n"/>
      <c r="S1759" s="110" t="n"/>
      <c r="T1759" s="110" t="n"/>
      <c r="U1759" s="104" t="n"/>
    </row>
    <row r="1760">
      <c r="A1760" s="104" t="inlineStr">
        <is>
          <t>GUIDE001759</t>
        </is>
      </c>
      <c r="B1760" s="101" t="inlineStr">
        <is>
          <t>DEV000043</t>
        </is>
      </c>
      <c r="C1760" s="103" t="inlineStr">
        <is>
          <t>APL</t>
        </is>
      </c>
      <c r="D1760" s="103" t="inlineStr">
        <is>
          <t>PHN</t>
        </is>
      </c>
      <c r="E1760" s="60" t="inlineStr">
        <is>
          <t>iPhone 16</t>
        </is>
      </c>
      <c r="F1760" s="104" t="inlineStr">
        <is>
          <t>SVC000062</t>
        </is>
      </c>
      <c r="G1760" s="104" t="inlineStr">
        <is>
          <t>SD Card Reader Repair</t>
        </is>
      </c>
      <c r="H1760" s="104" t="inlineStr">
        <is>
          <t>Connectivity</t>
        </is>
      </c>
      <c r="I1760" s="104" t="n"/>
      <c r="J1760" s="104" t="n"/>
      <c r="K1760" s="104" t="n"/>
      <c r="L1760" s="104" t="n"/>
      <c r="M1760" s="104" t="n"/>
      <c r="N1760" s="104" t="n"/>
      <c r="O1760" s="104" t="n"/>
      <c r="P1760" s="104" t="n"/>
      <c r="Q1760" s="104" t="n"/>
      <c r="R1760" s="104" t="n"/>
      <c r="S1760" s="110" t="n"/>
      <c r="T1760" s="110" t="n"/>
      <c r="U1760" s="104" t="n"/>
    </row>
    <row r="1761">
      <c r="A1761" s="104" t="inlineStr">
        <is>
          <t>GUIDE001760</t>
        </is>
      </c>
      <c r="B1761" s="101" t="inlineStr">
        <is>
          <t>DEV000044</t>
        </is>
      </c>
      <c r="C1761" s="103" t="inlineStr">
        <is>
          <t>APL</t>
        </is>
      </c>
      <c r="D1761" s="103" t="inlineStr">
        <is>
          <t>PHN</t>
        </is>
      </c>
      <c r="E1761" s="60" t="inlineStr">
        <is>
          <t>iPhone 16 Plus</t>
        </is>
      </c>
      <c r="F1761" s="104" t="inlineStr">
        <is>
          <t>SVC000062</t>
        </is>
      </c>
      <c r="G1761" s="104" t="inlineStr">
        <is>
          <t>SD Card Reader Repair</t>
        </is>
      </c>
      <c r="H1761" s="104" t="inlineStr">
        <is>
          <t>Connectivity</t>
        </is>
      </c>
      <c r="I1761" s="104" t="n"/>
      <c r="J1761" s="104" t="n"/>
      <c r="K1761" s="104" t="n"/>
      <c r="L1761" s="104" t="n"/>
      <c r="M1761" s="104" t="n"/>
      <c r="N1761" s="104" t="n"/>
      <c r="O1761" s="104" t="n"/>
      <c r="P1761" s="104" t="n"/>
      <c r="Q1761" s="104" t="n"/>
      <c r="R1761" s="104" t="n"/>
      <c r="S1761" s="110" t="n"/>
      <c r="T1761" s="110" t="n"/>
      <c r="U1761" s="104" t="n"/>
    </row>
    <row r="1762">
      <c r="A1762" s="104" t="inlineStr">
        <is>
          <t>GUIDE001761</t>
        </is>
      </c>
      <c r="B1762" s="101" t="inlineStr">
        <is>
          <t>DEV000045</t>
        </is>
      </c>
      <c r="C1762" s="103" t="inlineStr">
        <is>
          <t>APL</t>
        </is>
      </c>
      <c r="D1762" s="103" t="inlineStr">
        <is>
          <t>PHN</t>
        </is>
      </c>
      <c r="E1762" s="60" t="inlineStr">
        <is>
          <t>iPhone 16 Pro</t>
        </is>
      </c>
      <c r="F1762" s="104" t="inlineStr">
        <is>
          <t>SVC000062</t>
        </is>
      </c>
      <c r="G1762" s="104" t="inlineStr">
        <is>
          <t>SD Card Reader Repair</t>
        </is>
      </c>
      <c r="H1762" s="104" t="inlineStr">
        <is>
          <t>Connectivity</t>
        </is>
      </c>
      <c r="I1762" s="104" t="n"/>
      <c r="J1762" s="104" t="n"/>
      <c r="K1762" s="104" t="n"/>
      <c r="L1762" s="104" t="n"/>
      <c r="M1762" s="104" t="n"/>
      <c r="N1762" s="104" t="n"/>
      <c r="O1762" s="104" t="n"/>
      <c r="P1762" s="104" t="n"/>
      <c r="Q1762" s="104" t="n"/>
      <c r="R1762" s="104" t="n"/>
      <c r="S1762" s="110" t="n"/>
      <c r="T1762" s="110" t="n"/>
      <c r="U1762" s="104" t="n"/>
    </row>
    <row r="1763">
      <c r="A1763" s="104" t="inlineStr">
        <is>
          <t>GUIDE001762</t>
        </is>
      </c>
      <c r="B1763" s="101" t="inlineStr">
        <is>
          <t>DEV000046</t>
        </is>
      </c>
      <c r="C1763" s="103" t="inlineStr">
        <is>
          <t>APL</t>
        </is>
      </c>
      <c r="D1763" s="103" t="inlineStr">
        <is>
          <t>PHN</t>
        </is>
      </c>
      <c r="E1763" s="60" t="inlineStr">
        <is>
          <t>iPhone 16 Pro Max</t>
        </is>
      </c>
      <c r="F1763" s="104" t="inlineStr">
        <is>
          <t>SVC000062</t>
        </is>
      </c>
      <c r="G1763" s="104" t="inlineStr">
        <is>
          <t>SD Card Reader Repair</t>
        </is>
      </c>
      <c r="H1763" s="104" t="inlineStr">
        <is>
          <t>Connectivity</t>
        </is>
      </c>
      <c r="I1763" s="104" t="n"/>
      <c r="J1763" s="104" t="n"/>
      <c r="K1763" s="104" t="n"/>
      <c r="L1763" s="104" t="n"/>
      <c r="M1763" s="104" t="n"/>
      <c r="N1763" s="104" t="n"/>
      <c r="O1763" s="104" t="n"/>
      <c r="P1763" s="104" t="n"/>
      <c r="Q1763" s="104" t="n"/>
      <c r="R1763" s="104" t="n"/>
      <c r="S1763" s="110" t="n"/>
      <c r="T1763" s="110" t="n"/>
      <c r="U1763" s="104" t="n"/>
    </row>
    <row r="1764">
      <c r="A1764" s="104" t="inlineStr">
        <is>
          <t>GUIDE001763</t>
        </is>
      </c>
      <c r="B1764" s="101" t="inlineStr">
        <is>
          <t>DEV000047</t>
        </is>
      </c>
      <c r="C1764" s="103" t="inlineStr">
        <is>
          <t>APL</t>
        </is>
      </c>
      <c r="D1764" s="103" t="inlineStr">
        <is>
          <t>PHN</t>
        </is>
      </c>
      <c r="E1764" s="60" t="inlineStr">
        <is>
          <t>iPhone 16e</t>
        </is>
      </c>
      <c r="F1764" s="104" t="inlineStr">
        <is>
          <t>SVC000062</t>
        </is>
      </c>
      <c r="G1764" s="104" t="inlineStr">
        <is>
          <t>SD Card Reader Repair</t>
        </is>
      </c>
      <c r="H1764" s="104" t="inlineStr">
        <is>
          <t>Connectivity</t>
        </is>
      </c>
      <c r="I1764" s="104" t="n"/>
      <c r="J1764" s="104" t="n"/>
      <c r="K1764" s="104" t="n"/>
      <c r="L1764" s="104" t="n"/>
      <c r="M1764" s="104" t="n"/>
      <c r="N1764" s="104" t="n"/>
      <c r="O1764" s="104" t="n"/>
      <c r="P1764" s="104" t="n"/>
      <c r="Q1764" s="104" t="n"/>
      <c r="R1764" s="104" t="n"/>
      <c r="S1764" s="110" t="n"/>
      <c r="T1764" s="110" t="n"/>
      <c r="U1764" s="104" t="n"/>
    </row>
    <row r="1765">
      <c r="A1765" s="105" t="inlineStr">
        <is>
          <t>GUIDE001764</t>
        </is>
      </c>
      <c r="B1765" s="101" t="inlineStr">
        <is>
          <t>DEV000048</t>
        </is>
      </c>
      <c r="C1765" s="103" t="inlineStr">
        <is>
          <t>APL</t>
        </is>
      </c>
      <c r="D1765" s="103" t="inlineStr">
        <is>
          <t>PHN</t>
        </is>
      </c>
      <c r="E1765" s="60" t="inlineStr">
        <is>
          <t>iPhone 17</t>
        </is>
      </c>
      <c r="F1765" s="104" t="inlineStr">
        <is>
          <t>SVC000062</t>
        </is>
      </c>
      <c r="G1765" s="104" t="inlineStr">
        <is>
          <t>SD Card Reader Repair</t>
        </is>
      </c>
      <c r="H1765" s="104" t="inlineStr">
        <is>
          <t>Connectivity</t>
        </is>
      </c>
      <c r="I1765" s="104" t="n"/>
      <c r="J1765" s="104" t="n"/>
      <c r="K1765" s="104" t="n"/>
      <c r="L1765" s="104" t="n"/>
      <c r="M1765" s="104" t="n"/>
      <c r="N1765" s="104" t="n"/>
      <c r="O1765" s="104" t="n"/>
      <c r="P1765" s="104" t="n"/>
      <c r="Q1765" s="104" t="n"/>
      <c r="R1765" s="104" t="n"/>
      <c r="S1765" s="110" t="n"/>
      <c r="T1765" s="110" t="n"/>
      <c r="U1765" s="104" t="n"/>
    </row>
    <row r="1766">
      <c r="A1766" s="104" t="inlineStr">
        <is>
          <t>GUIDE001765</t>
        </is>
      </c>
      <c r="B1766" s="101" t="inlineStr">
        <is>
          <t>DEV000049</t>
        </is>
      </c>
      <c r="C1766" s="103" t="inlineStr">
        <is>
          <t>APL</t>
        </is>
      </c>
      <c r="D1766" s="103" t="inlineStr">
        <is>
          <t>PHN</t>
        </is>
      </c>
      <c r="E1766" s="60" t="inlineStr">
        <is>
          <t>iPhone 17 Pro</t>
        </is>
      </c>
      <c r="F1766" s="104" t="inlineStr">
        <is>
          <t>SVC000062</t>
        </is>
      </c>
      <c r="G1766" s="104" t="inlineStr">
        <is>
          <t>SD Card Reader Repair</t>
        </is>
      </c>
      <c r="H1766" s="104" t="inlineStr">
        <is>
          <t>Connectivity</t>
        </is>
      </c>
      <c r="I1766" s="104" t="n"/>
      <c r="J1766" s="104" t="n"/>
      <c r="K1766" s="104" t="n"/>
      <c r="L1766" s="104" t="n"/>
      <c r="M1766" s="104" t="n"/>
      <c r="N1766" s="104" t="n"/>
      <c r="O1766" s="104" t="n"/>
      <c r="P1766" s="104" t="n"/>
      <c r="Q1766" s="104" t="n"/>
      <c r="R1766" s="104" t="n"/>
      <c r="S1766" s="110" t="n"/>
      <c r="T1766" s="110" t="n"/>
      <c r="U1766" s="104" t="n"/>
    </row>
    <row r="1767">
      <c r="A1767" s="104" t="inlineStr">
        <is>
          <t>GUIDE001766</t>
        </is>
      </c>
      <c r="B1767" s="101" t="inlineStr">
        <is>
          <t>DEV000050</t>
        </is>
      </c>
      <c r="C1767" s="103" t="inlineStr">
        <is>
          <t>APL</t>
        </is>
      </c>
      <c r="D1767" s="103" t="inlineStr">
        <is>
          <t>PHN</t>
        </is>
      </c>
      <c r="E1767" s="60" t="inlineStr">
        <is>
          <t>iPhone 17 Pro Max</t>
        </is>
      </c>
      <c r="F1767" s="104" t="inlineStr">
        <is>
          <t>SVC000062</t>
        </is>
      </c>
      <c r="G1767" s="104" t="inlineStr">
        <is>
          <t>SD Card Reader Repair</t>
        </is>
      </c>
      <c r="H1767" s="104" t="inlineStr">
        <is>
          <t>Connectivity</t>
        </is>
      </c>
      <c r="I1767" s="104" t="n"/>
      <c r="J1767" s="104" t="n"/>
      <c r="K1767" s="104" t="n"/>
      <c r="L1767" s="104" t="n"/>
      <c r="M1767" s="104" t="n"/>
      <c r="N1767" s="104" t="n"/>
      <c r="O1767" s="104" t="n"/>
      <c r="P1767" s="104" t="n"/>
      <c r="Q1767" s="104" t="n"/>
      <c r="R1767" s="104" t="n"/>
      <c r="S1767" s="110" t="n"/>
      <c r="T1767" s="110" t="n"/>
      <c r="U1767" s="104" t="n"/>
    </row>
    <row r="1768">
      <c r="A1768" s="104" t="inlineStr">
        <is>
          <t>GUIDE001767</t>
        </is>
      </c>
      <c r="B1768" s="101" t="inlineStr">
        <is>
          <t>DEV000051</t>
        </is>
      </c>
      <c r="C1768" s="103" t="inlineStr">
        <is>
          <t>APL</t>
        </is>
      </c>
      <c r="D1768" s="103" t="inlineStr">
        <is>
          <t>PHN</t>
        </is>
      </c>
      <c r="E1768" s="60" t="inlineStr">
        <is>
          <t>iPhone Air</t>
        </is>
      </c>
      <c r="F1768" s="104" t="inlineStr">
        <is>
          <t>SVC000062</t>
        </is>
      </c>
      <c r="G1768" s="104" t="inlineStr">
        <is>
          <t>SD Card Reader Repair</t>
        </is>
      </c>
      <c r="H1768" s="104" t="inlineStr">
        <is>
          <t>Connectivity</t>
        </is>
      </c>
      <c r="I1768" s="104" t="n"/>
      <c r="J1768" s="104" t="n"/>
      <c r="K1768" s="104" t="n"/>
      <c r="L1768" s="104" t="n"/>
      <c r="M1768" s="104" t="n"/>
      <c r="N1768" s="104" t="n"/>
      <c r="O1768" s="104" t="n"/>
      <c r="P1768" s="104" t="n"/>
      <c r="Q1768" s="104" t="n"/>
      <c r="R1768" s="104" t="n"/>
      <c r="S1768" s="110" t="n"/>
      <c r="T1768" s="110" t="n"/>
      <c r="U1768" s="104" t="n"/>
    </row>
    <row r="1769">
      <c r="A1769" s="104" t="inlineStr">
        <is>
          <t>GUIDE001768</t>
        </is>
      </c>
      <c r="B1769" s="101" t="inlineStr">
        <is>
          <t>DEV000052</t>
        </is>
      </c>
      <c r="C1769" s="103" t="inlineStr">
        <is>
          <t>APL</t>
        </is>
      </c>
      <c r="D1769" s="103" t="inlineStr">
        <is>
          <t>PHN</t>
        </is>
      </c>
      <c r="E1769" s="60" t="inlineStr">
        <is>
          <t>iPhone 17e</t>
        </is>
      </c>
      <c r="F1769" s="104" t="inlineStr">
        <is>
          <t>SVC000062</t>
        </is>
      </c>
      <c r="G1769" s="104" t="inlineStr">
        <is>
          <t>SD Card Reader Repair</t>
        </is>
      </c>
      <c r="H1769" s="104" t="inlineStr">
        <is>
          <t>Connectivity</t>
        </is>
      </c>
      <c r="I1769" s="104" t="n"/>
      <c r="J1769" s="104" t="n"/>
      <c r="K1769" s="104" t="n"/>
      <c r="L1769" s="104" t="n"/>
      <c r="M1769" s="104" t="n"/>
      <c r="N1769" s="104" t="n"/>
      <c r="O1769" s="104" t="n"/>
      <c r="P1769" s="104" t="n"/>
      <c r="Q1769" s="104" t="n"/>
      <c r="R1769" s="104" t="n"/>
      <c r="S1769" s="110" t="n"/>
      <c r="T1769" s="110" t="n"/>
      <c r="U1769" s="104" t="n"/>
    </row>
    <row r="1770">
      <c r="A1770" s="104" t="inlineStr">
        <is>
          <t>GUIDE001769</t>
        </is>
      </c>
      <c r="B1770" s="101" t="inlineStr">
        <is>
          <t>DEV000001</t>
        </is>
      </c>
      <c r="C1770" s="103" t="inlineStr">
        <is>
          <t>APL</t>
        </is>
      </c>
      <c r="D1770" s="103" t="inlineStr">
        <is>
          <t>PHN</t>
        </is>
      </c>
      <c r="E1770" s="60" t="inlineStr">
        <is>
          <t>iPhone (2G)</t>
        </is>
      </c>
      <c r="F1770" s="104" t="inlineStr">
        <is>
          <t>SVC000065</t>
        </is>
      </c>
      <c r="G1770" s="104" t="inlineStr">
        <is>
          <t>USB-C Port Repair</t>
        </is>
      </c>
      <c r="H1770" s="104" t="inlineStr">
        <is>
          <t>Ports</t>
        </is>
      </c>
      <c r="I1770" s="104" t="n"/>
      <c r="J1770" s="104" t="n"/>
      <c r="K1770" s="104" t="n"/>
      <c r="L1770" s="104" t="n"/>
      <c r="M1770" s="104" t="n"/>
      <c r="N1770" s="104" t="n"/>
      <c r="O1770" s="104" t="n"/>
      <c r="P1770" s="104" t="n"/>
      <c r="Q1770" s="104" t="n"/>
      <c r="R1770" s="104" t="n"/>
      <c r="S1770" s="110" t="n"/>
      <c r="T1770" s="110" t="n"/>
      <c r="U1770" s="104" t="n"/>
    </row>
    <row r="1771">
      <c r="A1771" s="105" t="inlineStr">
        <is>
          <t>GUIDE001770</t>
        </is>
      </c>
      <c r="B1771" s="101" t="inlineStr">
        <is>
          <t>DEV000002</t>
        </is>
      </c>
      <c r="C1771" s="103" t="inlineStr">
        <is>
          <t>APL</t>
        </is>
      </c>
      <c r="D1771" s="103" t="inlineStr">
        <is>
          <t>PHN</t>
        </is>
      </c>
      <c r="E1771" s="60" t="inlineStr">
        <is>
          <t>iPhone 3G</t>
        </is>
      </c>
      <c r="F1771" s="104" t="inlineStr">
        <is>
          <t>SVC000065</t>
        </is>
      </c>
      <c r="G1771" s="104" t="inlineStr">
        <is>
          <t>USB-C Port Repair</t>
        </is>
      </c>
      <c r="H1771" s="104" t="inlineStr">
        <is>
          <t>Ports</t>
        </is>
      </c>
      <c r="I1771" s="104" t="n"/>
      <c r="J1771" s="104" t="n"/>
      <c r="K1771" s="104" t="n"/>
      <c r="L1771" s="104" t="n"/>
      <c r="M1771" s="104" t="n"/>
      <c r="N1771" s="104" t="n"/>
      <c r="O1771" s="104" t="n"/>
      <c r="P1771" s="104" t="n"/>
      <c r="Q1771" s="104" t="n"/>
      <c r="R1771" s="104" t="n"/>
      <c r="S1771" s="110" t="n"/>
      <c r="T1771" s="110" t="n"/>
      <c r="U1771" s="104" t="n"/>
    </row>
    <row r="1772">
      <c r="A1772" s="104" t="inlineStr">
        <is>
          <t>GUIDE001771</t>
        </is>
      </c>
      <c r="B1772" s="101" t="inlineStr">
        <is>
          <t>DEV000003</t>
        </is>
      </c>
      <c r="C1772" s="103" t="inlineStr">
        <is>
          <t>APL</t>
        </is>
      </c>
      <c r="D1772" s="103" t="inlineStr">
        <is>
          <t>PHN</t>
        </is>
      </c>
      <c r="E1772" s="60" t="inlineStr">
        <is>
          <t>iPhone 3GS</t>
        </is>
      </c>
      <c r="F1772" s="104" t="inlineStr">
        <is>
          <t>SVC000065</t>
        </is>
      </c>
      <c r="G1772" s="104" t="inlineStr">
        <is>
          <t>USB-C Port Repair</t>
        </is>
      </c>
      <c r="H1772" s="104" t="inlineStr">
        <is>
          <t>Ports</t>
        </is>
      </c>
      <c r="I1772" s="104" t="n"/>
      <c r="J1772" s="104" t="n"/>
      <c r="K1772" s="104" t="n"/>
      <c r="L1772" s="104" t="n"/>
      <c r="M1772" s="104" t="n"/>
      <c r="N1772" s="104" t="n"/>
      <c r="O1772" s="104" t="n"/>
      <c r="P1772" s="104" t="n"/>
      <c r="Q1772" s="104" t="n"/>
      <c r="R1772" s="104" t="n"/>
      <c r="S1772" s="110" t="n"/>
      <c r="T1772" s="110" t="n"/>
      <c r="U1772" s="104" t="n"/>
    </row>
    <row r="1773">
      <c r="A1773" s="104" t="inlineStr">
        <is>
          <t>GUIDE001772</t>
        </is>
      </c>
      <c r="B1773" s="101" t="inlineStr">
        <is>
          <t>DEV000004</t>
        </is>
      </c>
      <c r="C1773" s="103" t="inlineStr">
        <is>
          <t>APL</t>
        </is>
      </c>
      <c r="D1773" s="103" t="inlineStr">
        <is>
          <t>PHN</t>
        </is>
      </c>
      <c r="E1773" s="60" t="inlineStr">
        <is>
          <t>iPhone 4</t>
        </is>
      </c>
      <c r="F1773" s="104" t="inlineStr">
        <is>
          <t>SVC000065</t>
        </is>
      </c>
      <c r="G1773" s="104" t="inlineStr">
        <is>
          <t>USB-C Port Repair</t>
        </is>
      </c>
      <c r="H1773" s="104" t="inlineStr">
        <is>
          <t>Ports</t>
        </is>
      </c>
      <c r="I1773" s="104" t="n"/>
      <c r="J1773" s="104" t="n"/>
      <c r="K1773" s="104" t="n"/>
      <c r="L1773" s="104" t="n"/>
      <c r="M1773" s="104" t="n"/>
      <c r="N1773" s="104" t="n"/>
      <c r="O1773" s="104" t="n"/>
      <c r="P1773" s="104" t="n"/>
      <c r="Q1773" s="104" t="n"/>
      <c r="R1773" s="104" t="n"/>
      <c r="S1773" s="110" t="n"/>
      <c r="T1773" s="110" t="n"/>
      <c r="U1773" s="104" t="n"/>
    </row>
    <row r="1774">
      <c r="A1774" s="104" t="inlineStr">
        <is>
          <t>GUIDE001773</t>
        </is>
      </c>
      <c r="B1774" s="101" t="inlineStr">
        <is>
          <t>DEV000005</t>
        </is>
      </c>
      <c r="C1774" s="103" t="inlineStr">
        <is>
          <t>APL</t>
        </is>
      </c>
      <c r="D1774" s="103" t="inlineStr">
        <is>
          <t>PHN</t>
        </is>
      </c>
      <c r="E1774" s="60" t="inlineStr">
        <is>
          <t>iPhone 4s</t>
        </is>
      </c>
      <c r="F1774" s="104" t="inlineStr">
        <is>
          <t>SVC000065</t>
        </is>
      </c>
      <c r="G1774" s="104" t="inlineStr">
        <is>
          <t>USB-C Port Repair</t>
        </is>
      </c>
      <c r="H1774" s="104" t="inlineStr">
        <is>
          <t>Ports</t>
        </is>
      </c>
      <c r="I1774" s="104" t="n"/>
      <c r="J1774" s="104" t="n"/>
      <c r="K1774" s="104" t="n"/>
      <c r="L1774" s="104" t="n"/>
      <c r="M1774" s="104" t="n"/>
      <c r="N1774" s="104" t="n"/>
      <c r="O1774" s="104" t="n"/>
      <c r="P1774" s="104" t="n"/>
      <c r="Q1774" s="104" t="n"/>
      <c r="R1774" s="104" t="n"/>
      <c r="S1774" s="110" t="n"/>
      <c r="T1774" s="110" t="n"/>
      <c r="U1774" s="104" t="n"/>
    </row>
    <row r="1775">
      <c r="A1775" s="104" t="inlineStr">
        <is>
          <t>GUIDE001774</t>
        </is>
      </c>
      <c r="B1775" s="101" t="inlineStr">
        <is>
          <t>DEV000006</t>
        </is>
      </c>
      <c r="C1775" s="103" t="inlineStr">
        <is>
          <t>APL</t>
        </is>
      </c>
      <c r="D1775" s="103" t="inlineStr">
        <is>
          <t>PHN</t>
        </is>
      </c>
      <c r="E1775" s="60" t="inlineStr">
        <is>
          <t>iPhone 5</t>
        </is>
      </c>
      <c r="F1775" s="104" t="inlineStr">
        <is>
          <t>SVC000065</t>
        </is>
      </c>
      <c r="G1775" s="104" t="inlineStr">
        <is>
          <t>USB-C Port Repair</t>
        </is>
      </c>
      <c r="H1775" s="104" t="inlineStr">
        <is>
          <t>Ports</t>
        </is>
      </c>
      <c r="I1775" s="104" t="n"/>
      <c r="J1775" s="104" t="n"/>
      <c r="K1775" s="104" t="n"/>
      <c r="L1775" s="104" t="n"/>
      <c r="M1775" s="104" t="n"/>
      <c r="N1775" s="104" t="n"/>
      <c r="O1775" s="104" t="n"/>
      <c r="P1775" s="104" t="n"/>
      <c r="Q1775" s="104" t="n"/>
      <c r="R1775" s="104" t="n"/>
      <c r="S1775" s="110" t="n"/>
      <c r="T1775" s="110" t="n"/>
      <c r="U1775" s="104" t="n"/>
    </row>
    <row r="1776">
      <c r="A1776" s="104" t="inlineStr">
        <is>
          <t>GUIDE001775</t>
        </is>
      </c>
      <c r="B1776" s="101" t="inlineStr">
        <is>
          <t>DEV000007</t>
        </is>
      </c>
      <c r="C1776" s="103" t="inlineStr">
        <is>
          <t>APL</t>
        </is>
      </c>
      <c r="D1776" s="103" t="inlineStr">
        <is>
          <t>PHN</t>
        </is>
      </c>
      <c r="E1776" s="60" t="inlineStr">
        <is>
          <t>iPhone 5c</t>
        </is>
      </c>
      <c r="F1776" s="104" t="inlineStr">
        <is>
          <t>SVC000065</t>
        </is>
      </c>
      <c r="G1776" s="104" t="inlineStr">
        <is>
          <t>USB-C Port Repair</t>
        </is>
      </c>
      <c r="H1776" s="104" t="inlineStr">
        <is>
          <t>Ports</t>
        </is>
      </c>
      <c r="I1776" s="104" t="n"/>
      <c r="J1776" s="104" t="n"/>
      <c r="K1776" s="104" t="n"/>
      <c r="L1776" s="104" t="n"/>
      <c r="M1776" s="104" t="n"/>
      <c r="N1776" s="104" t="n"/>
      <c r="O1776" s="104" t="n"/>
      <c r="P1776" s="104" t="n"/>
      <c r="Q1776" s="104" t="n"/>
      <c r="R1776" s="104" t="n"/>
      <c r="S1776" s="110" t="n"/>
      <c r="T1776" s="110" t="n"/>
      <c r="U1776" s="104" t="n"/>
    </row>
    <row r="1777">
      <c r="A1777" s="105" t="inlineStr">
        <is>
          <t>GUIDE001776</t>
        </is>
      </c>
      <c r="B1777" s="101" t="inlineStr">
        <is>
          <t>DEV000008</t>
        </is>
      </c>
      <c r="C1777" s="103" t="inlineStr">
        <is>
          <t>APL</t>
        </is>
      </c>
      <c r="D1777" s="103" t="inlineStr">
        <is>
          <t>PHN</t>
        </is>
      </c>
      <c r="E1777" s="60" t="inlineStr">
        <is>
          <t>iPhone 5s</t>
        </is>
      </c>
      <c r="F1777" s="104" t="inlineStr">
        <is>
          <t>SVC000065</t>
        </is>
      </c>
      <c r="G1777" s="104" t="inlineStr">
        <is>
          <t>USB-C Port Repair</t>
        </is>
      </c>
      <c r="H1777" s="104" t="inlineStr">
        <is>
          <t>Ports</t>
        </is>
      </c>
      <c r="I1777" s="104" t="n"/>
      <c r="J1777" s="104" t="n"/>
      <c r="K1777" s="104" t="n"/>
      <c r="L1777" s="104" t="n"/>
      <c r="M1777" s="104" t="n"/>
      <c r="N1777" s="104" t="n"/>
      <c r="O1777" s="104" t="n"/>
      <c r="P1777" s="104" t="n"/>
      <c r="Q1777" s="104" t="n"/>
      <c r="R1777" s="104" t="n"/>
      <c r="S1777" s="110" t="n"/>
      <c r="T1777" s="110" t="n"/>
      <c r="U1777" s="104" t="n"/>
    </row>
    <row r="1778">
      <c r="A1778" s="104" t="inlineStr">
        <is>
          <t>GUIDE001777</t>
        </is>
      </c>
      <c r="B1778" s="101" t="inlineStr">
        <is>
          <t>DEV000009</t>
        </is>
      </c>
      <c r="C1778" s="103" t="inlineStr">
        <is>
          <t>APL</t>
        </is>
      </c>
      <c r="D1778" s="103" t="inlineStr">
        <is>
          <t>PHN</t>
        </is>
      </c>
      <c r="E1778" s="60" t="inlineStr">
        <is>
          <t>iPhone 6</t>
        </is>
      </c>
      <c r="F1778" s="104" t="inlineStr">
        <is>
          <t>SVC000065</t>
        </is>
      </c>
      <c r="G1778" s="104" t="inlineStr">
        <is>
          <t>USB-C Port Repair</t>
        </is>
      </c>
      <c r="H1778" s="104" t="inlineStr">
        <is>
          <t>Ports</t>
        </is>
      </c>
      <c r="I1778" s="104" t="n"/>
      <c r="J1778" s="104" t="n"/>
      <c r="K1778" s="104" t="n"/>
      <c r="L1778" s="104" t="n"/>
      <c r="M1778" s="104" t="n"/>
      <c r="N1778" s="104" t="n"/>
      <c r="O1778" s="104" t="n"/>
      <c r="P1778" s="104" t="n"/>
      <c r="Q1778" s="104" t="n"/>
      <c r="R1778" s="104" t="n"/>
      <c r="S1778" s="110" t="n"/>
      <c r="T1778" s="110" t="n"/>
      <c r="U1778" s="104" t="n"/>
    </row>
    <row r="1779">
      <c r="A1779" s="104" t="inlineStr">
        <is>
          <t>GUIDE001778</t>
        </is>
      </c>
      <c r="B1779" s="101" t="inlineStr">
        <is>
          <t>DEV000010</t>
        </is>
      </c>
      <c r="C1779" s="103" t="inlineStr">
        <is>
          <t>APL</t>
        </is>
      </c>
      <c r="D1779" s="103" t="inlineStr">
        <is>
          <t>PHN</t>
        </is>
      </c>
      <c r="E1779" s="60" t="inlineStr">
        <is>
          <t>iPhone 6 Plus</t>
        </is>
      </c>
      <c r="F1779" s="104" t="inlineStr">
        <is>
          <t>SVC000065</t>
        </is>
      </c>
      <c r="G1779" s="104" t="inlineStr">
        <is>
          <t>USB-C Port Repair</t>
        </is>
      </c>
      <c r="H1779" s="104" t="inlineStr">
        <is>
          <t>Ports</t>
        </is>
      </c>
      <c r="I1779" s="104" t="n"/>
      <c r="J1779" s="104" t="n"/>
      <c r="K1779" s="104" t="n"/>
      <c r="L1779" s="104" t="n"/>
      <c r="M1779" s="104" t="n"/>
      <c r="N1779" s="104" t="n"/>
      <c r="O1779" s="104" t="n"/>
      <c r="P1779" s="104" t="n"/>
      <c r="Q1779" s="104" t="n"/>
      <c r="R1779" s="104" t="n"/>
      <c r="S1779" s="110" t="n"/>
      <c r="T1779" s="110" t="n"/>
      <c r="U1779" s="104" t="n"/>
    </row>
    <row r="1780">
      <c r="A1780" s="104" t="inlineStr">
        <is>
          <t>GUIDE001779</t>
        </is>
      </c>
      <c r="B1780" s="101" t="inlineStr">
        <is>
          <t>DEV000011</t>
        </is>
      </c>
      <c r="C1780" s="103" t="inlineStr">
        <is>
          <t>APL</t>
        </is>
      </c>
      <c r="D1780" s="103" t="inlineStr">
        <is>
          <t>PHN</t>
        </is>
      </c>
      <c r="E1780" s="60" t="inlineStr">
        <is>
          <t>iPhone 6s</t>
        </is>
      </c>
      <c r="F1780" s="104" t="inlineStr">
        <is>
          <t>SVC000065</t>
        </is>
      </c>
      <c r="G1780" s="104" t="inlineStr">
        <is>
          <t>USB-C Port Repair</t>
        </is>
      </c>
      <c r="H1780" s="104" t="inlineStr">
        <is>
          <t>Ports</t>
        </is>
      </c>
      <c r="I1780" s="104" t="n"/>
      <c r="J1780" s="104" t="n"/>
      <c r="K1780" s="104" t="n"/>
      <c r="L1780" s="104" t="n"/>
      <c r="M1780" s="104" t="n"/>
      <c r="N1780" s="104" t="n"/>
      <c r="O1780" s="104" t="n"/>
      <c r="P1780" s="104" t="n"/>
      <c r="Q1780" s="104" t="n"/>
      <c r="R1780" s="104" t="n"/>
      <c r="S1780" s="110" t="n"/>
      <c r="T1780" s="110" t="n"/>
      <c r="U1780" s="104" t="n"/>
    </row>
    <row r="1781">
      <c r="A1781" s="104" t="inlineStr">
        <is>
          <t>GUIDE001780</t>
        </is>
      </c>
      <c r="B1781" s="101" t="inlineStr">
        <is>
          <t>DEV000012</t>
        </is>
      </c>
      <c r="C1781" s="103" t="inlineStr">
        <is>
          <t>APL</t>
        </is>
      </c>
      <c r="D1781" s="103" t="inlineStr">
        <is>
          <t>PHN</t>
        </is>
      </c>
      <c r="E1781" s="60" t="inlineStr">
        <is>
          <t>iPhone 6s Plus</t>
        </is>
      </c>
      <c r="F1781" s="104" t="inlineStr">
        <is>
          <t>SVC000065</t>
        </is>
      </c>
      <c r="G1781" s="104" t="inlineStr">
        <is>
          <t>USB-C Port Repair</t>
        </is>
      </c>
      <c r="H1781" s="104" t="inlineStr">
        <is>
          <t>Ports</t>
        </is>
      </c>
      <c r="I1781" s="104" t="n"/>
      <c r="J1781" s="104" t="n"/>
      <c r="K1781" s="104" t="n"/>
      <c r="L1781" s="104" t="n"/>
      <c r="M1781" s="104" t="n"/>
      <c r="N1781" s="104" t="n"/>
      <c r="O1781" s="104" t="n"/>
      <c r="P1781" s="104" t="n"/>
      <c r="Q1781" s="104" t="n"/>
      <c r="R1781" s="104" t="n"/>
      <c r="S1781" s="110" t="n"/>
      <c r="T1781" s="110" t="n"/>
      <c r="U1781" s="104" t="n"/>
    </row>
    <row r="1782">
      <c r="A1782" s="104" t="inlineStr">
        <is>
          <t>GUIDE001781</t>
        </is>
      </c>
      <c r="B1782" s="101" t="inlineStr">
        <is>
          <t>DEV000013</t>
        </is>
      </c>
      <c r="C1782" s="103" t="inlineStr">
        <is>
          <t>APL</t>
        </is>
      </c>
      <c r="D1782" s="103" t="inlineStr">
        <is>
          <t>PHN</t>
        </is>
      </c>
      <c r="E1782" s="60" t="inlineStr">
        <is>
          <t>iPhone SE (1st Gen)</t>
        </is>
      </c>
      <c r="F1782" s="104" t="inlineStr">
        <is>
          <t>SVC000065</t>
        </is>
      </c>
      <c r="G1782" s="104" t="inlineStr">
        <is>
          <t>USB-C Port Repair</t>
        </is>
      </c>
      <c r="H1782" s="104" t="inlineStr">
        <is>
          <t>Ports</t>
        </is>
      </c>
      <c r="I1782" s="104" t="n"/>
      <c r="J1782" s="104" t="n"/>
      <c r="K1782" s="104" t="n"/>
      <c r="L1782" s="104" t="n"/>
      <c r="M1782" s="104" t="n"/>
      <c r="N1782" s="104" t="n"/>
      <c r="O1782" s="104" t="n"/>
      <c r="P1782" s="104" t="n"/>
      <c r="Q1782" s="104" t="n"/>
      <c r="R1782" s="104" t="n"/>
      <c r="S1782" s="110" t="n"/>
      <c r="T1782" s="110" t="n"/>
      <c r="U1782" s="104" t="n"/>
    </row>
    <row r="1783">
      <c r="A1783" s="105" t="inlineStr">
        <is>
          <t>GUIDE001782</t>
        </is>
      </c>
      <c r="B1783" s="101" t="inlineStr">
        <is>
          <t>DEV000014</t>
        </is>
      </c>
      <c r="C1783" s="103" t="inlineStr">
        <is>
          <t>APL</t>
        </is>
      </c>
      <c r="D1783" s="103" t="inlineStr">
        <is>
          <t>PHN</t>
        </is>
      </c>
      <c r="E1783" s="60" t="inlineStr">
        <is>
          <t>iPhone 7</t>
        </is>
      </c>
      <c r="F1783" s="104" t="inlineStr">
        <is>
          <t>SVC000065</t>
        </is>
      </c>
      <c r="G1783" s="104" t="inlineStr">
        <is>
          <t>USB-C Port Repair</t>
        </is>
      </c>
      <c r="H1783" s="104" t="inlineStr">
        <is>
          <t>Ports</t>
        </is>
      </c>
      <c r="I1783" s="104" t="n"/>
      <c r="J1783" s="104" t="n"/>
      <c r="K1783" s="104" t="n"/>
      <c r="L1783" s="104" t="n"/>
      <c r="M1783" s="104" t="n"/>
      <c r="N1783" s="104" t="n"/>
      <c r="O1783" s="104" t="n"/>
      <c r="P1783" s="104" t="n"/>
      <c r="Q1783" s="104" t="n"/>
      <c r="R1783" s="104" t="n"/>
      <c r="S1783" s="110" t="n"/>
      <c r="T1783" s="110" t="n"/>
      <c r="U1783" s="104" t="n"/>
    </row>
    <row r="1784">
      <c r="A1784" s="104" t="inlineStr">
        <is>
          <t>GUIDE001783</t>
        </is>
      </c>
      <c r="B1784" s="101" t="inlineStr">
        <is>
          <t>DEV000015</t>
        </is>
      </c>
      <c r="C1784" s="103" t="inlineStr">
        <is>
          <t>APL</t>
        </is>
      </c>
      <c r="D1784" s="103" t="inlineStr">
        <is>
          <t>PHN</t>
        </is>
      </c>
      <c r="E1784" s="60" t="inlineStr">
        <is>
          <t>iPhone 7 Plus</t>
        </is>
      </c>
      <c r="F1784" s="104" t="inlineStr">
        <is>
          <t>SVC000065</t>
        </is>
      </c>
      <c r="G1784" s="104" t="inlineStr">
        <is>
          <t>USB-C Port Repair</t>
        </is>
      </c>
      <c r="H1784" s="104" t="inlineStr">
        <is>
          <t>Ports</t>
        </is>
      </c>
      <c r="I1784" s="104" t="n"/>
      <c r="J1784" s="104" t="n"/>
      <c r="K1784" s="104" t="n"/>
      <c r="L1784" s="104" t="n"/>
      <c r="M1784" s="104" t="n"/>
      <c r="N1784" s="104" t="n"/>
      <c r="O1784" s="104" t="n"/>
      <c r="P1784" s="104" t="n"/>
      <c r="Q1784" s="104" t="n"/>
      <c r="R1784" s="104" t="n"/>
      <c r="S1784" s="110" t="n"/>
      <c r="T1784" s="110" t="n"/>
      <c r="U1784" s="104" t="n"/>
    </row>
    <row r="1785">
      <c r="A1785" s="104" t="inlineStr">
        <is>
          <t>GUIDE001784</t>
        </is>
      </c>
      <c r="B1785" s="101" t="inlineStr">
        <is>
          <t>DEV000016</t>
        </is>
      </c>
      <c r="C1785" s="103" t="inlineStr">
        <is>
          <t>APL</t>
        </is>
      </c>
      <c r="D1785" s="103" t="inlineStr">
        <is>
          <t>PHN</t>
        </is>
      </c>
      <c r="E1785" s="60" t="inlineStr">
        <is>
          <t>iPhone 8</t>
        </is>
      </c>
      <c r="F1785" s="104" t="inlineStr">
        <is>
          <t>SVC000065</t>
        </is>
      </c>
      <c r="G1785" s="104" t="inlineStr">
        <is>
          <t>USB-C Port Repair</t>
        </is>
      </c>
      <c r="H1785" s="104" t="inlineStr">
        <is>
          <t>Ports</t>
        </is>
      </c>
      <c r="I1785" s="104" t="n"/>
      <c r="J1785" s="104" t="n"/>
      <c r="K1785" s="104" t="n"/>
      <c r="L1785" s="104" t="n"/>
      <c r="M1785" s="104" t="n"/>
      <c r="N1785" s="104" t="n"/>
      <c r="O1785" s="104" t="n"/>
      <c r="P1785" s="104" t="n"/>
      <c r="Q1785" s="104" t="n"/>
      <c r="R1785" s="104" t="n"/>
      <c r="S1785" s="110" t="n"/>
      <c r="T1785" s="110" t="n"/>
      <c r="U1785" s="104" t="n"/>
    </row>
    <row r="1786">
      <c r="A1786" s="104" t="inlineStr">
        <is>
          <t>GUIDE001785</t>
        </is>
      </c>
      <c r="B1786" s="101" t="inlineStr">
        <is>
          <t>DEV000017</t>
        </is>
      </c>
      <c r="C1786" s="103" t="inlineStr">
        <is>
          <t>APL</t>
        </is>
      </c>
      <c r="D1786" s="103" t="inlineStr">
        <is>
          <t>PHN</t>
        </is>
      </c>
      <c r="E1786" s="60" t="inlineStr">
        <is>
          <t>iPhone 8 Plus</t>
        </is>
      </c>
      <c r="F1786" s="104" t="inlineStr">
        <is>
          <t>SVC000065</t>
        </is>
      </c>
      <c r="G1786" s="104" t="inlineStr">
        <is>
          <t>USB-C Port Repair</t>
        </is>
      </c>
      <c r="H1786" s="104" t="inlineStr">
        <is>
          <t>Ports</t>
        </is>
      </c>
      <c r="I1786" s="104" t="n"/>
      <c r="J1786" s="104" t="n"/>
      <c r="K1786" s="104" t="n"/>
      <c r="L1786" s="104" t="n"/>
      <c r="M1786" s="104" t="n"/>
      <c r="N1786" s="104" t="n"/>
      <c r="O1786" s="104" t="n"/>
      <c r="P1786" s="104" t="n"/>
      <c r="Q1786" s="104" t="n"/>
      <c r="R1786" s="104" t="n"/>
      <c r="S1786" s="110" t="n"/>
      <c r="T1786" s="110" t="n"/>
      <c r="U1786" s="104" t="n"/>
    </row>
    <row r="1787">
      <c r="A1787" s="104" t="inlineStr">
        <is>
          <t>GUIDE001786</t>
        </is>
      </c>
      <c r="B1787" s="101" t="inlineStr">
        <is>
          <t>DEV000018</t>
        </is>
      </c>
      <c r="C1787" s="103" t="inlineStr">
        <is>
          <t>APL</t>
        </is>
      </c>
      <c r="D1787" s="103" t="inlineStr">
        <is>
          <t>PHN</t>
        </is>
      </c>
      <c r="E1787" s="60" t="inlineStr">
        <is>
          <t>iPhone X</t>
        </is>
      </c>
      <c r="F1787" s="104" t="inlineStr">
        <is>
          <t>SVC000065</t>
        </is>
      </c>
      <c r="G1787" s="104" t="inlineStr">
        <is>
          <t>USB-C Port Repair</t>
        </is>
      </c>
      <c r="H1787" s="104" t="inlineStr">
        <is>
          <t>Ports</t>
        </is>
      </c>
      <c r="I1787" s="104" t="n"/>
      <c r="J1787" s="104" t="n"/>
      <c r="K1787" s="104" t="n"/>
      <c r="L1787" s="104" t="n"/>
      <c r="M1787" s="104" t="n"/>
      <c r="N1787" s="104" t="n"/>
      <c r="O1787" s="104" t="n"/>
      <c r="P1787" s="104" t="n"/>
      <c r="Q1787" s="104" t="n"/>
      <c r="R1787" s="104" t="n"/>
      <c r="S1787" s="110" t="n"/>
      <c r="T1787" s="110" t="n"/>
      <c r="U1787" s="104" t="n"/>
    </row>
    <row r="1788">
      <c r="A1788" s="104" t="inlineStr">
        <is>
          <t>GUIDE001787</t>
        </is>
      </c>
      <c r="B1788" s="101" t="inlineStr">
        <is>
          <t>DEV000019</t>
        </is>
      </c>
      <c r="C1788" s="103" t="inlineStr">
        <is>
          <t>APL</t>
        </is>
      </c>
      <c r="D1788" s="103" t="inlineStr">
        <is>
          <t>PHN</t>
        </is>
      </c>
      <c r="E1788" s="60" t="inlineStr">
        <is>
          <t>iPhone XR</t>
        </is>
      </c>
      <c r="F1788" s="104" t="inlineStr">
        <is>
          <t>SVC000065</t>
        </is>
      </c>
      <c r="G1788" s="104" t="inlineStr">
        <is>
          <t>USB-C Port Repair</t>
        </is>
      </c>
      <c r="H1788" s="104" t="inlineStr">
        <is>
          <t>Ports</t>
        </is>
      </c>
      <c r="I1788" s="104" t="n"/>
      <c r="J1788" s="104" t="n"/>
      <c r="K1788" s="104" t="n"/>
      <c r="L1788" s="104" t="n"/>
      <c r="M1788" s="104" t="n"/>
      <c r="N1788" s="104" t="n"/>
      <c r="O1788" s="104" t="n"/>
      <c r="P1788" s="104" t="n"/>
      <c r="Q1788" s="104" t="n"/>
      <c r="R1788" s="104" t="n"/>
      <c r="S1788" s="110" t="n"/>
      <c r="T1788" s="110" t="n"/>
      <c r="U1788" s="104" t="n"/>
    </row>
    <row r="1789">
      <c r="A1789" s="105" t="inlineStr">
        <is>
          <t>GUIDE001788</t>
        </is>
      </c>
      <c r="B1789" s="101" t="inlineStr">
        <is>
          <t>DEV000020</t>
        </is>
      </c>
      <c r="C1789" s="103" t="inlineStr">
        <is>
          <t>APL</t>
        </is>
      </c>
      <c r="D1789" s="103" t="inlineStr">
        <is>
          <t>PHN</t>
        </is>
      </c>
      <c r="E1789" s="60" t="inlineStr">
        <is>
          <t>iPhone XS</t>
        </is>
      </c>
      <c r="F1789" s="104" t="inlineStr">
        <is>
          <t>SVC000065</t>
        </is>
      </c>
      <c r="G1789" s="104" t="inlineStr">
        <is>
          <t>USB-C Port Repair</t>
        </is>
      </c>
      <c r="H1789" s="104" t="inlineStr">
        <is>
          <t>Ports</t>
        </is>
      </c>
      <c r="I1789" s="104" t="n"/>
      <c r="J1789" s="104" t="n"/>
      <c r="K1789" s="104" t="n"/>
      <c r="L1789" s="104" t="n"/>
      <c r="M1789" s="104" t="n"/>
      <c r="N1789" s="104" t="n"/>
      <c r="O1789" s="104" t="n"/>
      <c r="P1789" s="104" t="n"/>
      <c r="Q1789" s="104" t="n"/>
      <c r="R1789" s="104" t="n"/>
      <c r="S1789" s="110" t="n"/>
      <c r="T1789" s="110" t="n"/>
      <c r="U1789" s="104" t="n"/>
    </row>
    <row r="1790">
      <c r="A1790" s="104" t="inlineStr">
        <is>
          <t>GUIDE001789</t>
        </is>
      </c>
      <c r="B1790" s="101" t="inlineStr">
        <is>
          <t>DEV000021</t>
        </is>
      </c>
      <c r="C1790" s="103" t="inlineStr">
        <is>
          <t>APL</t>
        </is>
      </c>
      <c r="D1790" s="103" t="inlineStr">
        <is>
          <t>PHN</t>
        </is>
      </c>
      <c r="E1790" s="60" t="inlineStr">
        <is>
          <t>iPhone XS Max</t>
        </is>
      </c>
      <c r="F1790" s="104" t="inlineStr">
        <is>
          <t>SVC000065</t>
        </is>
      </c>
      <c r="G1790" s="104" t="inlineStr">
        <is>
          <t>USB-C Port Repair</t>
        </is>
      </c>
      <c r="H1790" s="104" t="inlineStr">
        <is>
          <t>Ports</t>
        </is>
      </c>
      <c r="I1790" s="104" t="n"/>
      <c r="J1790" s="104" t="n"/>
      <c r="K1790" s="104" t="n"/>
      <c r="L1790" s="104" t="n"/>
      <c r="M1790" s="104" t="n"/>
      <c r="N1790" s="104" t="n"/>
      <c r="O1790" s="104" t="n"/>
      <c r="P1790" s="104" t="n"/>
      <c r="Q1790" s="104" t="n"/>
      <c r="R1790" s="104" t="n"/>
      <c r="S1790" s="110" t="n"/>
      <c r="T1790" s="110" t="n"/>
      <c r="U1790" s="104" t="n"/>
    </row>
    <row r="1791">
      <c r="A1791" s="104" t="inlineStr">
        <is>
          <t>GUIDE001790</t>
        </is>
      </c>
      <c r="B1791" s="101" t="inlineStr">
        <is>
          <t>DEV000022</t>
        </is>
      </c>
      <c r="C1791" s="103" t="inlineStr">
        <is>
          <t>APL</t>
        </is>
      </c>
      <c r="D1791" s="103" t="inlineStr">
        <is>
          <t>PHN</t>
        </is>
      </c>
      <c r="E1791" s="60" t="inlineStr">
        <is>
          <t>iPhone 11</t>
        </is>
      </c>
      <c r="F1791" s="104" t="inlineStr">
        <is>
          <t>SVC000065</t>
        </is>
      </c>
      <c r="G1791" s="104" t="inlineStr">
        <is>
          <t>USB-C Port Repair</t>
        </is>
      </c>
      <c r="H1791" s="104" t="inlineStr">
        <is>
          <t>Ports</t>
        </is>
      </c>
      <c r="I1791" s="104" t="n"/>
      <c r="J1791" s="104" t="n"/>
      <c r="K1791" s="104" t="n"/>
      <c r="L1791" s="104" t="n"/>
      <c r="M1791" s="104" t="n"/>
      <c r="N1791" s="104" t="n"/>
      <c r="O1791" s="104" t="n"/>
      <c r="P1791" s="104" t="n"/>
      <c r="Q1791" s="104" t="n"/>
      <c r="R1791" s="104" t="n"/>
      <c r="S1791" s="110" t="n"/>
      <c r="T1791" s="110" t="n"/>
      <c r="U1791" s="104" t="n"/>
    </row>
    <row r="1792">
      <c r="A1792" s="104" t="inlineStr">
        <is>
          <t>GUIDE001791</t>
        </is>
      </c>
      <c r="B1792" s="101" t="inlineStr">
        <is>
          <t>DEV000023</t>
        </is>
      </c>
      <c r="C1792" s="103" t="inlineStr">
        <is>
          <t>APL</t>
        </is>
      </c>
      <c r="D1792" s="103" t="inlineStr">
        <is>
          <t>PHN</t>
        </is>
      </c>
      <c r="E1792" s="60" t="inlineStr">
        <is>
          <t>iPhone 11 Pro</t>
        </is>
      </c>
      <c r="F1792" s="104" t="inlineStr">
        <is>
          <t>SVC000065</t>
        </is>
      </c>
      <c r="G1792" s="104" t="inlineStr">
        <is>
          <t>USB-C Port Repair</t>
        </is>
      </c>
      <c r="H1792" s="104" t="inlineStr">
        <is>
          <t>Ports</t>
        </is>
      </c>
      <c r="I1792" s="104" t="n"/>
      <c r="J1792" s="104" t="n"/>
      <c r="K1792" s="104" t="n"/>
      <c r="L1792" s="104" t="n"/>
      <c r="M1792" s="104" t="n"/>
      <c r="N1792" s="104" t="n"/>
      <c r="O1792" s="104" t="n"/>
      <c r="P1792" s="104" t="n"/>
      <c r="Q1792" s="104" t="n"/>
      <c r="R1792" s="104" t="n"/>
      <c r="S1792" s="110" t="n"/>
      <c r="T1792" s="110" t="n"/>
      <c r="U1792" s="104" t="n"/>
    </row>
    <row r="1793">
      <c r="A1793" s="104" t="inlineStr">
        <is>
          <t>GUIDE001792</t>
        </is>
      </c>
      <c r="B1793" s="101" t="inlineStr">
        <is>
          <t>DEV000024</t>
        </is>
      </c>
      <c r="C1793" s="103" t="inlineStr">
        <is>
          <t>APL</t>
        </is>
      </c>
      <c r="D1793" s="103" t="inlineStr">
        <is>
          <t>PHN</t>
        </is>
      </c>
      <c r="E1793" s="60" t="inlineStr">
        <is>
          <t>iPhone 11 Pro Max</t>
        </is>
      </c>
      <c r="F1793" s="104" t="inlineStr">
        <is>
          <t>SVC000065</t>
        </is>
      </c>
      <c r="G1793" s="104" t="inlineStr">
        <is>
          <t>USB-C Port Repair</t>
        </is>
      </c>
      <c r="H1793" s="104" t="inlineStr">
        <is>
          <t>Ports</t>
        </is>
      </c>
      <c r="I1793" s="104" t="n"/>
      <c r="J1793" s="104" t="n"/>
      <c r="K1793" s="104" t="n"/>
      <c r="L1793" s="104" t="n"/>
      <c r="M1793" s="104" t="n"/>
      <c r="N1793" s="104" t="n"/>
      <c r="O1793" s="104" t="n"/>
      <c r="P1793" s="104" t="n"/>
      <c r="Q1793" s="104" t="n"/>
      <c r="R1793" s="104" t="n"/>
      <c r="S1793" s="110" t="n"/>
      <c r="T1793" s="110" t="n"/>
      <c r="U1793" s="104" t="n"/>
    </row>
    <row r="1794">
      <c r="A1794" s="104" t="inlineStr">
        <is>
          <t>GUIDE001793</t>
        </is>
      </c>
      <c r="B1794" s="101" t="inlineStr">
        <is>
          <t>DEV000025</t>
        </is>
      </c>
      <c r="C1794" s="103" t="inlineStr">
        <is>
          <t>APL</t>
        </is>
      </c>
      <c r="D1794" s="103" t="inlineStr">
        <is>
          <t>PHN</t>
        </is>
      </c>
      <c r="E1794" s="60" t="inlineStr">
        <is>
          <t>iPhone SE (2nd Generation)</t>
        </is>
      </c>
      <c r="F1794" s="104" t="inlineStr">
        <is>
          <t>SVC000065</t>
        </is>
      </c>
      <c r="G1794" s="104" t="inlineStr">
        <is>
          <t>USB-C Port Repair</t>
        </is>
      </c>
      <c r="H1794" s="104" t="inlineStr">
        <is>
          <t>Ports</t>
        </is>
      </c>
      <c r="I1794" s="104" t="n"/>
      <c r="J1794" s="104" t="n"/>
      <c r="K1794" s="104" t="n"/>
      <c r="L1794" s="104" t="n"/>
      <c r="M1794" s="104" t="n"/>
      <c r="N1794" s="104" t="n"/>
      <c r="O1794" s="104" t="n"/>
      <c r="P1794" s="104" t="n"/>
      <c r="Q1794" s="104" t="n"/>
      <c r="R1794" s="104" t="n"/>
      <c r="S1794" s="110" t="n"/>
      <c r="T1794" s="110" t="n"/>
      <c r="U1794" s="104" t="n"/>
    </row>
    <row r="1795">
      <c r="A1795" s="105" t="inlineStr">
        <is>
          <t>GUIDE001794</t>
        </is>
      </c>
      <c r="B1795" s="101" t="inlineStr">
        <is>
          <t>DEV000026</t>
        </is>
      </c>
      <c r="C1795" s="103" t="inlineStr">
        <is>
          <t>APL</t>
        </is>
      </c>
      <c r="D1795" s="103" t="inlineStr">
        <is>
          <t>PHN</t>
        </is>
      </c>
      <c r="E1795" s="60" t="inlineStr">
        <is>
          <t>iPhone 12 mini</t>
        </is>
      </c>
      <c r="F1795" s="104" t="inlineStr">
        <is>
          <t>SVC000065</t>
        </is>
      </c>
      <c r="G1795" s="104" t="inlineStr">
        <is>
          <t>USB-C Port Repair</t>
        </is>
      </c>
      <c r="H1795" s="104" t="inlineStr">
        <is>
          <t>Ports</t>
        </is>
      </c>
      <c r="I1795" s="104" t="n"/>
      <c r="J1795" s="104" t="n"/>
      <c r="K1795" s="104" t="n"/>
      <c r="L1795" s="104" t="n"/>
      <c r="M1795" s="104" t="n"/>
      <c r="N1795" s="104" t="n"/>
      <c r="O1795" s="104" t="n"/>
      <c r="P1795" s="104" t="n"/>
      <c r="Q1795" s="104" t="n"/>
      <c r="R1795" s="104" t="n"/>
      <c r="S1795" s="110" t="n"/>
      <c r="T1795" s="110" t="n"/>
      <c r="U1795" s="104" t="n"/>
    </row>
    <row r="1796">
      <c r="A1796" s="104" t="inlineStr">
        <is>
          <t>GUIDE001795</t>
        </is>
      </c>
      <c r="B1796" s="101" t="inlineStr">
        <is>
          <t>DEV000027</t>
        </is>
      </c>
      <c r="C1796" s="103" t="inlineStr">
        <is>
          <t>APL</t>
        </is>
      </c>
      <c r="D1796" s="103" t="inlineStr">
        <is>
          <t>PHN</t>
        </is>
      </c>
      <c r="E1796" s="60" t="inlineStr">
        <is>
          <t>iPhone 12</t>
        </is>
      </c>
      <c r="F1796" s="104" t="inlineStr">
        <is>
          <t>SVC000065</t>
        </is>
      </c>
      <c r="G1796" s="104" t="inlineStr">
        <is>
          <t>USB-C Port Repair</t>
        </is>
      </c>
      <c r="H1796" s="104" t="inlineStr">
        <is>
          <t>Ports</t>
        </is>
      </c>
      <c r="I1796" s="104" t="n"/>
      <c r="J1796" s="104" t="n"/>
      <c r="K1796" s="104" t="n"/>
      <c r="L1796" s="104" t="n"/>
      <c r="M1796" s="104" t="n"/>
      <c r="N1796" s="104" t="n"/>
      <c r="O1796" s="104" t="n"/>
      <c r="P1796" s="104" t="n"/>
      <c r="Q1796" s="104" t="n"/>
      <c r="R1796" s="104" t="n"/>
      <c r="S1796" s="110" t="n"/>
      <c r="T1796" s="110" t="n"/>
      <c r="U1796" s="104" t="n"/>
    </row>
    <row r="1797">
      <c r="A1797" s="104" t="inlineStr">
        <is>
          <t>GUIDE001796</t>
        </is>
      </c>
      <c r="B1797" s="101" t="inlineStr">
        <is>
          <t>DEV000028</t>
        </is>
      </c>
      <c r="C1797" s="103" t="inlineStr">
        <is>
          <t>APL</t>
        </is>
      </c>
      <c r="D1797" s="103" t="inlineStr">
        <is>
          <t>PHN</t>
        </is>
      </c>
      <c r="E1797" s="60" t="inlineStr">
        <is>
          <t>iPhone 12 Pro</t>
        </is>
      </c>
      <c r="F1797" s="104" t="inlineStr">
        <is>
          <t>SVC000065</t>
        </is>
      </c>
      <c r="G1797" s="104" t="inlineStr">
        <is>
          <t>USB-C Port Repair</t>
        </is>
      </c>
      <c r="H1797" s="104" t="inlineStr">
        <is>
          <t>Ports</t>
        </is>
      </c>
      <c r="I1797" s="104" t="n"/>
      <c r="J1797" s="104" t="n"/>
      <c r="K1797" s="104" t="n"/>
      <c r="L1797" s="104" t="n"/>
      <c r="M1797" s="104" t="n"/>
      <c r="N1797" s="104" t="n"/>
      <c r="O1797" s="104" t="n"/>
      <c r="P1797" s="104" t="n"/>
      <c r="Q1797" s="104" t="n"/>
      <c r="R1797" s="104" t="n"/>
      <c r="S1797" s="110" t="n"/>
      <c r="T1797" s="110" t="n"/>
      <c r="U1797" s="104" t="n"/>
    </row>
    <row r="1798">
      <c r="A1798" s="104" t="inlineStr">
        <is>
          <t>GUIDE001797</t>
        </is>
      </c>
      <c r="B1798" s="101" t="inlineStr">
        <is>
          <t>DEV000029</t>
        </is>
      </c>
      <c r="C1798" s="103" t="inlineStr">
        <is>
          <t>APL</t>
        </is>
      </c>
      <c r="D1798" s="103" t="inlineStr">
        <is>
          <t>PHN</t>
        </is>
      </c>
      <c r="E1798" s="60" t="inlineStr">
        <is>
          <t>iPhone 12 Pro Max</t>
        </is>
      </c>
      <c r="F1798" s="104" t="inlineStr">
        <is>
          <t>SVC000065</t>
        </is>
      </c>
      <c r="G1798" s="104" t="inlineStr">
        <is>
          <t>USB-C Port Repair</t>
        </is>
      </c>
      <c r="H1798" s="104" t="inlineStr">
        <is>
          <t>Ports</t>
        </is>
      </c>
      <c r="I1798" s="104" t="n"/>
      <c r="J1798" s="104" t="n"/>
      <c r="K1798" s="104" t="n"/>
      <c r="L1798" s="104" t="n"/>
      <c r="M1798" s="104" t="n"/>
      <c r="N1798" s="104" t="n"/>
      <c r="O1798" s="104" t="n"/>
      <c r="P1798" s="104" t="n"/>
      <c r="Q1798" s="104" t="n"/>
      <c r="R1798" s="104" t="n"/>
      <c r="S1798" s="110" t="n"/>
      <c r="T1798" s="110" t="n"/>
      <c r="U1798" s="104" t="n"/>
    </row>
    <row r="1799">
      <c r="A1799" s="104" t="inlineStr">
        <is>
          <t>GUIDE001798</t>
        </is>
      </c>
      <c r="B1799" s="101" t="inlineStr">
        <is>
          <t>DEV000030</t>
        </is>
      </c>
      <c r="C1799" s="103" t="inlineStr">
        <is>
          <t>APL</t>
        </is>
      </c>
      <c r="D1799" s="103" t="inlineStr">
        <is>
          <t>PHN</t>
        </is>
      </c>
      <c r="E1799" s="60" t="inlineStr">
        <is>
          <t>iPhone 13 mini</t>
        </is>
      </c>
      <c r="F1799" s="104" t="inlineStr">
        <is>
          <t>SVC000065</t>
        </is>
      </c>
      <c r="G1799" s="104" t="inlineStr">
        <is>
          <t>USB-C Port Repair</t>
        </is>
      </c>
      <c r="H1799" s="104" t="inlineStr">
        <is>
          <t>Ports</t>
        </is>
      </c>
      <c r="I1799" s="104" t="n"/>
      <c r="J1799" s="104" t="n"/>
      <c r="K1799" s="104" t="n"/>
      <c r="L1799" s="104" t="n"/>
      <c r="M1799" s="104" t="n"/>
      <c r="N1799" s="104" t="n"/>
      <c r="O1799" s="104" t="n"/>
      <c r="P1799" s="104" t="n"/>
      <c r="Q1799" s="104" t="n"/>
      <c r="R1799" s="104" t="n"/>
      <c r="S1799" s="110" t="n"/>
      <c r="T1799" s="110" t="n"/>
      <c r="U1799" s="104" t="n"/>
    </row>
    <row r="1800">
      <c r="A1800" s="104" t="inlineStr">
        <is>
          <t>GUIDE001799</t>
        </is>
      </c>
      <c r="B1800" s="101" t="inlineStr">
        <is>
          <t>DEV000031</t>
        </is>
      </c>
      <c r="C1800" s="103" t="inlineStr">
        <is>
          <t>APL</t>
        </is>
      </c>
      <c r="D1800" s="103" t="inlineStr">
        <is>
          <t>PHN</t>
        </is>
      </c>
      <c r="E1800" s="60" t="inlineStr">
        <is>
          <t>iPhone 13</t>
        </is>
      </c>
      <c r="F1800" s="104" t="inlineStr">
        <is>
          <t>SVC000065</t>
        </is>
      </c>
      <c r="G1800" s="104" t="inlineStr">
        <is>
          <t>USB-C Port Repair</t>
        </is>
      </c>
      <c r="H1800" s="104" t="inlineStr">
        <is>
          <t>Ports</t>
        </is>
      </c>
      <c r="I1800" s="104" t="n"/>
      <c r="J1800" s="104" t="n"/>
      <c r="K1800" s="104" t="n"/>
      <c r="L1800" s="104" t="n"/>
      <c r="M1800" s="104" t="n"/>
      <c r="N1800" s="104" t="n"/>
      <c r="O1800" s="104" t="n"/>
      <c r="P1800" s="104" t="n"/>
      <c r="Q1800" s="104" t="n"/>
      <c r="R1800" s="104" t="n"/>
      <c r="S1800" s="110" t="n"/>
      <c r="T1800" s="110" t="n"/>
      <c r="U1800" s="104" t="n"/>
    </row>
    <row r="1801">
      <c r="A1801" s="105" t="inlineStr">
        <is>
          <t>GUIDE001800</t>
        </is>
      </c>
      <c r="B1801" s="101" t="inlineStr">
        <is>
          <t>DEV000032</t>
        </is>
      </c>
      <c r="C1801" s="103" t="inlineStr">
        <is>
          <t>APL</t>
        </is>
      </c>
      <c r="D1801" s="103" t="inlineStr">
        <is>
          <t>PHN</t>
        </is>
      </c>
      <c r="E1801" s="60" t="inlineStr">
        <is>
          <t>iPhone 13 Pro</t>
        </is>
      </c>
      <c r="F1801" s="104" t="inlineStr">
        <is>
          <t>SVC000065</t>
        </is>
      </c>
      <c r="G1801" s="104" t="inlineStr">
        <is>
          <t>USB-C Port Repair</t>
        </is>
      </c>
      <c r="H1801" s="104" t="inlineStr">
        <is>
          <t>Ports</t>
        </is>
      </c>
      <c r="I1801" s="104" t="n"/>
      <c r="J1801" s="104" t="n"/>
      <c r="K1801" s="104" t="n"/>
      <c r="L1801" s="104" t="n"/>
      <c r="M1801" s="104" t="n"/>
      <c r="N1801" s="104" t="n"/>
      <c r="O1801" s="104" t="n"/>
      <c r="P1801" s="104" t="n"/>
      <c r="Q1801" s="104" t="n"/>
      <c r="R1801" s="104" t="n"/>
      <c r="S1801" s="110" t="n"/>
      <c r="T1801" s="110" t="n"/>
      <c r="U1801" s="104" t="n"/>
    </row>
    <row r="1802">
      <c r="A1802" s="104" t="inlineStr">
        <is>
          <t>GUIDE001801</t>
        </is>
      </c>
      <c r="B1802" s="101" t="inlineStr">
        <is>
          <t>DEV000033</t>
        </is>
      </c>
      <c r="C1802" s="103" t="inlineStr">
        <is>
          <t>APL</t>
        </is>
      </c>
      <c r="D1802" s="103" t="inlineStr">
        <is>
          <t>PHN</t>
        </is>
      </c>
      <c r="E1802" s="60" t="inlineStr">
        <is>
          <t>iPhone 13 Pro Max</t>
        </is>
      </c>
      <c r="F1802" s="104" t="inlineStr">
        <is>
          <t>SVC000065</t>
        </is>
      </c>
      <c r="G1802" s="104" t="inlineStr">
        <is>
          <t>USB-C Port Repair</t>
        </is>
      </c>
      <c r="H1802" s="104" t="inlineStr">
        <is>
          <t>Ports</t>
        </is>
      </c>
      <c r="I1802" s="104" t="n"/>
      <c r="J1802" s="104" t="n"/>
      <c r="K1802" s="104" t="n"/>
      <c r="L1802" s="104" t="n"/>
      <c r="M1802" s="104" t="n"/>
      <c r="N1802" s="104" t="n"/>
      <c r="O1802" s="104" t="n"/>
      <c r="P1802" s="104" t="n"/>
      <c r="Q1802" s="104" t="n"/>
      <c r="R1802" s="104" t="n"/>
      <c r="S1802" s="110" t="n"/>
      <c r="T1802" s="110" t="n"/>
      <c r="U1802" s="104" t="n"/>
    </row>
    <row r="1803">
      <c r="A1803" s="104" t="inlineStr">
        <is>
          <t>GUIDE001802</t>
        </is>
      </c>
      <c r="B1803" s="101" t="inlineStr">
        <is>
          <t>DEV000034</t>
        </is>
      </c>
      <c r="C1803" s="103" t="inlineStr">
        <is>
          <t>APL</t>
        </is>
      </c>
      <c r="D1803" s="103" t="inlineStr">
        <is>
          <t>PHN</t>
        </is>
      </c>
      <c r="E1803" s="60" t="inlineStr">
        <is>
          <t>iPhone SE (3rd Generation)</t>
        </is>
      </c>
      <c r="F1803" s="104" t="inlineStr">
        <is>
          <t>SVC000065</t>
        </is>
      </c>
      <c r="G1803" s="104" t="inlineStr">
        <is>
          <t>USB-C Port Repair</t>
        </is>
      </c>
      <c r="H1803" s="104" t="inlineStr">
        <is>
          <t>Ports</t>
        </is>
      </c>
      <c r="I1803" s="104" t="n"/>
      <c r="J1803" s="104" t="n"/>
      <c r="K1803" s="104" t="n"/>
      <c r="L1803" s="104" t="n"/>
      <c r="M1803" s="104" t="n"/>
      <c r="N1803" s="104" t="n"/>
      <c r="O1803" s="104" t="n"/>
      <c r="P1803" s="104" t="n"/>
      <c r="Q1803" s="104" t="n"/>
      <c r="R1803" s="104" t="n"/>
      <c r="S1803" s="110" t="n"/>
      <c r="T1803" s="110" t="n"/>
      <c r="U1803" s="104" t="n"/>
    </row>
    <row r="1804">
      <c r="A1804" s="104" t="inlineStr">
        <is>
          <t>GUIDE001803</t>
        </is>
      </c>
      <c r="B1804" s="101" t="inlineStr">
        <is>
          <t>DEV000035</t>
        </is>
      </c>
      <c r="C1804" s="103" t="inlineStr">
        <is>
          <t>APL</t>
        </is>
      </c>
      <c r="D1804" s="103" t="inlineStr">
        <is>
          <t>PHN</t>
        </is>
      </c>
      <c r="E1804" s="60" t="inlineStr">
        <is>
          <t>iPhone 14</t>
        </is>
      </c>
      <c r="F1804" s="104" t="inlineStr">
        <is>
          <t>SVC000065</t>
        </is>
      </c>
      <c r="G1804" s="104" t="inlineStr">
        <is>
          <t>USB-C Port Repair</t>
        </is>
      </c>
      <c r="H1804" s="104" t="inlineStr">
        <is>
          <t>Ports</t>
        </is>
      </c>
      <c r="I1804" s="104" t="n"/>
      <c r="J1804" s="104" t="n"/>
      <c r="K1804" s="104" t="n"/>
      <c r="L1804" s="104" t="n"/>
      <c r="M1804" s="104" t="n"/>
      <c r="N1804" s="104" t="n"/>
      <c r="O1804" s="104" t="n"/>
      <c r="P1804" s="104" t="n"/>
      <c r="Q1804" s="104" t="n"/>
      <c r="R1804" s="104" t="n"/>
      <c r="S1804" s="110" t="n"/>
      <c r="T1804" s="110" t="n"/>
      <c r="U1804" s="104" t="n"/>
    </row>
    <row r="1805">
      <c r="A1805" s="104" t="inlineStr">
        <is>
          <t>GUIDE001804</t>
        </is>
      </c>
      <c r="B1805" s="101" t="inlineStr">
        <is>
          <t>DEV000036</t>
        </is>
      </c>
      <c r="C1805" s="103" t="inlineStr">
        <is>
          <t>APL</t>
        </is>
      </c>
      <c r="D1805" s="103" t="inlineStr">
        <is>
          <t>PHN</t>
        </is>
      </c>
      <c r="E1805" s="60" t="inlineStr">
        <is>
          <t>iPhone 14 Plus</t>
        </is>
      </c>
      <c r="F1805" s="104" t="inlineStr">
        <is>
          <t>SVC000065</t>
        </is>
      </c>
      <c r="G1805" s="104" t="inlineStr">
        <is>
          <t>USB-C Port Repair</t>
        </is>
      </c>
      <c r="H1805" s="104" t="inlineStr">
        <is>
          <t>Ports</t>
        </is>
      </c>
      <c r="I1805" s="104" t="n"/>
      <c r="J1805" s="104" t="n"/>
      <c r="K1805" s="104" t="n"/>
      <c r="L1805" s="104" t="n"/>
      <c r="M1805" s="104" t="n"/>
      <c r="N1805" s="104" t="n"/>
      <c r="O1805" s="104" t="n"/>
      <c r="P1805" s="104" t="n"/>
      <c r="Q1805" s="104" t="n"/>
      <c r="R1805" s="104" t="n"/>
      <c r="S1805" s="110" t="n"/>
      <c r="T1805" s="110" t="n"/>
      <c r="U1805" s="104" t="n"/>
    </row>
    <row r="1806">
      <c r="A1806" s="104" t="inlineStr">
        <is>
          <t>GUIDE001805</t>
        </is>
      </c>
      <c r="B1806" s="101" t="inlineStr">
        <is>
          <t>DEV000037</t>
        </is>
      </c>
      <c r="C1806" s="103" t="inlineStr">
        <is>
          <t>APL</t>
        </is>
      </c>
      <c r="D1806" s="103" t="inlineStr">
        <is>
          <t>PHN</t>
        </is>
      </c>
      <c r="E1806" s="60" t="inlineStr">
        <is>
          <t>iPhone 14 Pro</t>
        </is>
      </c>
      <c r="F1806" s="104" t="inlineStr">
        <is>
          <t>SVC000065</t>
        </is>
      </c>
      <c r="G1806" s="104" t="inlineStr">
        <is>
          <t>USB-C Port Repair</t>
        </is>
      </c>
      <c r="H1806" s="104" t="inlineStr">
        <is>
          <t>Ports</t>
        </is>
      </c>
      <c r="I1806" s="104" t="n"/>
      <c r="J1806" s="104" t="n"/>
      <c r="K1806" s="104" t="n"/>
      <c r="L1806" s="104" t="n"/>
      <c r="M1806" s="104" t="n"/>
      <c r="N1806" s="104" t="n"/>
      <c r="O1806" s="104" t="n"/>
      <c r="P1806" s="104" t="n"/>
      <c r="Q1806" s="104" t="n"/>
      <c r="R1806" s="104" t="n"/>
      <c r="S1806" s="110" t="n"/>
      <c r="T1806" s="110" t="n"/>
      <c r="U1806" s="104" t="n"/>
    </row>
    <row r="1807">
      <c r="A1807" s="105" t="inlineStr">
        <is>
          <t>GUIDE001806</t>
        </is>
      </c>
      <c r="B1807" s="101" t="inlineStr">
        <is>
          <t>DEV000038</t>
        </is>
      </c>
      <c r="C1807" s="103" t="inlineStr">
        <is>
          <t>APL</t>
        </is>
      </c>
      <c r="D1807" s="103" t="inlineStr">
        <is>
          <t>PHN</t>
        </is>
      </c>
      <c r="E1807" s="60" t="inlineStr">
        <is>
          <t>iPhone 14 Pro Max</t>
        </is>
      </c>
      <c r="F1807" s="104" t="inlineStr">
        <is>
          <t>SVC000065</t>
        </is>
      </c>
      <c r="G1807" s="104" t="inlineStr">
        <is>
          <t>USB-C Port Repair</t>
        </is>
      </c>
      <c r="H1807" s="104" t="inlineStr">
        <is>
          <t>Ports</t>
        </is>
      </c>
      <c r="I1807" s="104" t="n"/>
      <c r="J1807" s="104" t="n"/>
      <c r="K1807" s="104" t="n"/>
      <c r="L1807" s="104" t="n"/>
      <c r="M1807" s="104" t="n"/>
      <c r="N1807" s="104" t="n"/>
      <c r="O1807" s="104" t="n"/>
      <c r="P1807" s="104" t="n"/>
      <c r="Q1807" s="104" t="n"/>
      <c r="R1807" s="104" t="n"/>
      <c r="S1807" s="110" t="n"/>
      <c r="T1807" s="110" t="n"/>
      <c r="U1807" s="104" t="n"/>
    </row>
    <row r="1808">
      <c r="A1808" s="104" t="inlineStr">
        <is>
          <t>GUIDE001807</t>
        </is>
      </c>
      <c r="B1808" s="101" t="inlineStr">
        <is>
          <t>DEV000039</t>
        </is>
      </c>
      <c r="C1808" s="103" t="inlineStr">
        <is>
          <t>APL</t>
        </is>
      </c>
      <c r="D1808" s="103" t="inlineStr">
        <is>
          <t>PHN</t>
        </is>
      </c>
      <c r="E1808" s="60" t="inlineStr">
        <is>
          <t>iPhone 15</t>
        </is>
      </c>
      <c r="F1808" s="104" t="inlineStr">
        <is>
          <t>SVC000065</t>
        </is>
      </c>
      <c r="G1808" s="104" t="inlineStr">
        <is>
          <t>USB-C Port Repair</t>
        </is>
      </c>
      <c r="H1808" s="104" t="inlineStr">
        <is>
          <t>Ports</t>
        </is>
      </c>
      <c r="I1808" s="104" t="n"/>
      <c r="J1808" s="104" t="n"/>
      <c r="K1808" s="104" t="n"/>
      <c r="L1808" s="104" t="n"/>
      <c r="M1808" s="104" t="n"/>
      <c r="N1808" s="104" t="n"/>
      <c r="O1808" s="104" t="n"/>
      <c r="P1808" s="104" t="n"/>
      <c r="Q1808" s="104" t="n"/>
      <c r="R1808" s="104" t="n"/>
      <c r="S1808" s="110" t="n"/>
      <c r="T1808" s="110" t="n"/>
      <c r="U1808" s="104" t="n"/>
    </row>
    <row r="1809">
      <c r="A1809" s="104" t="inlineStr">
        <is>
          <t>GUIDE001808</t>
        </is>
      </c>
      <c r="B1809" s="101" t="inlineStr">
        <is>
          <t>DEV000040</t>
        </is>
      </c>
      <c r="C1809" s="103" t="inlineStr">
        <is>
          <t>APL</t>
        </is>
      </c>
      <c r="D1809" s="103" t="inlineStr">
        <is>
          <t>PHN</t>
        </is>
      </c>
      <c r="E1809" s="60" t="inlineStr">
        <is>
          <t>iPhone 15 Plus</t>
        </is>
      </c>
      <c r="F1809" s="104" t="inlineStr">
        <is>
          <t>SVC000065</t>
        </is>
      </c>
      <c r="G1809" s="104" t="inlineStr">
        <is>
          <t>USB-C Port Repair</t>
        </is>
      </c>
      <c r="H1809" s="104" t="inlineStr">
        <is>
          <t>Ports</t>
        </is>
      </c>
      <c r="I1809" s="104" t="n"/>
      <c r="J1809" s="104" t="n"/>
      <c r="K1809" s="104" t="n"/>
      <c r="L1809" s="104" t="n"/>
      <c r="M1809" s="104" t="n"/>
      <c r="N1809" s="104" t="n"/>
      <c r="O1809" s="104" t="n"/>
      <c r="P1809" s="104" t="n"/>
      <c r="Q1809" s="104" t="n"/>
      <c r="R1809" s="104" t="n"/>
      <c r="S1809" s="110" t="n"/>
      <c r="T1809" s="110" t="n"/>
      <c r="U1809" s="104" t="n"/>
    </row>
    <row r="1810">
      <c r="A1810" s="104" t="inlineStr">
        <is>
          <t>GUIDE001809</t>
        </is>
      </c>
      <c r="B1810" s="101" t="inlineStr">
        <is>
          <t>DEV000041</t>
        </is>
      </c>
      <c r="C1810" s="103" t="inlineStr">
        <is>
          <t>APL</t>
        </is>
      </c>
      <c r="D1810" s="103" t="inlineStr">
        <is>
          <t>PHN</t>
        </is>
      </c>
      <c r="E1810" s="60" t="inlineStr">
        <is>
          <t>iPhone 15 Pro</t>
        </is>
      </c>
      <c r="F1810" s="104" t="inlineStr">
        <is>
          <t>SVC000065</t>
        </is>
      </c>
      <c r="G1810" s="104" t="inlineStr">
        <is>
          <t>USB-C Port Repair</t>
        </is>
      </c>
      <c r="H1810" s="104" t="inlineStr">
        <is>
          <t>Ports</t>
        </is>
      </c>
      <c r="I1810" s="104" t="n"/>
      <c r="J1810" s="104" t="n"/>
      <c r="K1810" s="104" t="n"/>
      <c r="L1810" s="104" t="n"/>
      <c r="M1810" s="104" t="n"/>
      <c r="N1810" s="104" t="n"/>
      <c r="O1810" s="104" t="n"/>
      <c r="P1810" s="104" t="n"/>
      <c r="Q1810" s="104" t="n"/>
      <c r="R1810" s="104" t="n"/>
      <c r="S1810" s="110" t="n"/>
      <c r="T1810" s="110" t="n"/>
      <c r="U1810" s="104" t="n"/>
    </row>
    <row r="1811">
      <c r="A1811" s="104" t="inlineStr">
        <is>
          <t>GUIDE001810</t>
        </is>
      </c>
      <c r="B1811" s="101" t="inlineStr">
        <is>
          <t>DEV000042</t>
        </is>
      </c>
      <c r="C1811" s="103" t="inlineStr">
        <is>
          <t>APL</t>
        </is>
      </c>
      <c r="D1811" s="103" t="inlineStr">
        <is>
          <t>PHN</t>
        </is>
      </c>
      <c r="E1811" s="60" t="inlineStr">
        <is>
          <t>iPhone 15 Pro Max</t>
        </is>
      </c>
      <c r="F1811" s="104" t="inlineStr">
        <is>
          <t>SVC000065</t>
        </is>
      </c>
      <c r="G1811" s="104" t="inlineStr">
        <is>
          <t>USB-C Port Repair</t>
        </is>
      </c>
      <c r="H1811" s="104" t="inlineStr">
        <is>
          <t>Ports</t>
        </is>
      </c>
      <c r="I1811" s="104" t="n"/>
      <c r="J1811" s="104" t="n"/>
      <c r="K1811" s="104" t="n"/>
      <c r="L1811" s="104" t="n"/>
      <c r="M1811" s="104" t="n"/>
      <c r="N1811" s="104" t="n"/>
      <c r="O1811" s="104" t="n"/>
      <c r="P1811" s="104" t="n"/>
      <c r="Q1811" s="104" t="n"/>
      <c r="R1811" s="104" t="n"/>
      <c r="S1811" s="110" t="n"/>
      <c r="T1811" s="110" t="n"/>
      <c r="U1811" s="104" t="n"/>
    </row>
    <row r="1812">
      <c r="A1812" s="104" t="inlineStr">
        <is>
          <t>GUIDE001811</t>
        </is>
      </c>
      <c r="B1812" s="101" t="inlineStr">
        <is>
          <t>DEV000043</t>
        </is>
      </c>
      <c r="C1812" s="103" t="inlineStr">
        <is>
          <t>APL</t>
        </is>
      </c>
      <c r="D1812" s="103" t="inlineStr">
        <is>
          <t>PHN</t>
        </is>
      </c>
      <c r="E1812" s="60" t="inlineStr">
        <is>
          <t>iPhone 16</t>
        </is>
      </c>
      <c r="F1812" s="104" t="inlineStr">
        <is>
          <t>SVC000065</t>
        </is>
      </c>
      <c r="G1812" s="104" t="inlineStr">
        <is>
          <t>USB-C Port Repair</t>
        </is>
      </c>
      <c r="H1812" s="104" t="inlineStr">
        <is>
          <t>Ports</t>
        </is>
      </c>
      <c r="I1812" s="104" t="n"/>
      <c r="J1812" s="104" t="n"/>
      <c r="K1812" s="104" t="n"/>
      <c r="L1812" s="104" t="n"/>
      <c r="M1812" s="104" t="n"/>
      <c r="N1812" s="104" t="n"/>
      <c r="O1812" s="104" t="n"/>
      <c r="P1812" s="104" t="n"/>
      <c r="Q1812" s="104" t="n"/>
      <c r="R1812" s="104" t="n"/>
      <c r="S1812" s="110" t="n"/>
      <c r="T1812" s="110" t="n"/>
      <c r="U1812" s="104" t="n"/>
    </row>
    <row r="1813">
      <c r="A1813" s="105" t="inlineStr">
        <is>
          <t>GUIDE001812</t>
        </is>
      </c>
      <c r="B1813" s="101" t="inlineStr">
        <is>
          <t>DEV000044</t>
        </is>
      </c>
      <c r="C1813" s="103" t="inlineStr">
        <is>
          <t>APL</t>
        </is>
      </c>
      <c r="D1813" s="103" t="inlineStr">
        <is>
          <t>PHN</t>
        </is>
      </c>
      <c r="E1813" s="60" t="inlineStr">
        <is>
          <t>iPhone 16 Plus</t>
        </is>
      </c>
      <c r="F1813" s="104" t="inlineStr">
        <is>
          <t>SVC000065</t>
        </is>
      </c>
      <c r="G1813" s="104" t="inlineStr">
        <is>
          <t>USB-C Port Repair</t>
        </is>
      </c>
      <c r="H1813" s="104" t="inlineStr">
        <is>
          <t>Ports</t>
        </is>
      </c>
      <c r="I1813" s="104" t="n"/>
      <c r="J1813" s="104" t="n"/>
      <c r="K1813" s="104" t="n"/>
      <c r="L1813" s="104" t="n"/>
      <c r="M1813" s="104" t="n"/>
      <c r="N1813" s="104" t="n"/>
      <c r="O1813" s="104" t="n"/>
      <c r="P1813" s="104" t="n"/>
      <c r="Q1813" s="104" t="n"/>
      <c r="R1813" s="104" t="n"/>
      <c r="S1813" s="110" t="n"/>
      <c r="T1813" s="110" t="n"/>
      <c r="U1813" s="104" t="n"/>
    </row>
    <row r="1814">
      <c r="A1814" s="104" t="inlineStr">
        <is>
          <t>GUIDE001813</t>
        </is>
      </c>
      <c r="B1814" s="101" t="inlineStr">
        <is>
          <t>DEV000045</t>
        </is>
      </c>
      <c r="C1814" s="103" t="inlineStr">
        <is>
          <t>APL</t>
        </is>
      </c>
      <c r="D1814" s="103" t="inlineStr">
        <is>
          <t>PHN</t>
        </is>
      </c>
      <c r="E1814" s="60" t="inlineStr">
        <is>
          <t>iPhone 16 Pro</t>
        </is>
      </c>
      <c r="F1814" s="104" t="inlineStr">
        <is>
          <t>SVC000065</t>
        </is>
      </c>
      <c r="G1814" s="104" t="inlineStr">
        <is>
          <t>USB-C Port Repair</t>
        </is>
      </c>
      <c r="H1814" s="104" t="inlineStr">
        <is>
          <t>Ports</t>
        </is>
      </c>
      <c r="I1814" s="104" t="n"/>
      <c r="J1814" s="104" t="n"/>
      <c r="K1814" s="104" t="n"/>
      <c r="L1814" s="104" t="n"/>
      <c r="M1814" s="104" t="n"/>
      <c r="N1814" s="104" t="n"/>
      <c r="O1814" s="104" t="n"/>
      <c r="P1814" s="104" t="n"/>
      <c r="Q1814" s="104" t="n"/>
      <c r="R1814" s="104" t="n"/>
      <c r="S1814" s="110" t="n"/>
      <c r="T1814" s="110" t="n"/>
      <c r="U1814" s="104" t="n"/>
    </row>
    <row r="1815">
      <c r="A1815" s="104" t="inlineStr">
        <is>
          <t>GUIDE001814</t>
        </is>
      </c>
      <c r="B1815" s="101" t="inlineStr">
        <is>
          <t>DEV000046</t>
        </is>
      </c>
      <c r="C1815" s="103" t="inlineStr">
        <is>
          <t>APL</t>
        </is>
      </c>
      <c r="D1815" s="103" t="inlineStr">
        <is>
          <t>PHN</t>
        </is>
      </c>
      <c r="E1815" s="60" t="inlineStr">
        <is>
          <t>iPhone 16 Pro Max</t>
        </is>
      </c>
      <c r="F1815" s="104" t="inlineStr">
        <is>
          <t>SVC000065</t>
        </is>
      </c>
      <c r="G1815" s="104" t="inlineStr">
        <is>
          <t>USB-C Port Repair</t>
        </is>
      </c>
      <c r="H1815" s="104" t="inlineStr">
        <is>
          <t>Ports</t>
        </is>
      </c>
      <c r="I1815" s="104" t="n"/>
      <c r="J1815" s="104" t="n"/>
      <c r="K1815" s="104" t="n"/>
      <c r="L1815" s="104" t="n"/>
      <c r="M1815" s="104" t="n"/>
      <c r="N1815" s="104" t="n"/>
      <c r="O1815" s="104" t="n"/>
      <c r="P1815" s="104" t="n"/>
      <c r="Q1815" s="104" t="n"/>
      <c r="R1815" s="104" t="n"/>
      <c r="S1815" s="110" t="n"/>
      <c r="T1815" s="110" t="n"/>
      <c r="U1815" s="104" t="n"/>
    </row>
    <row r="1816">
      <c r="A1816" s="104" t="inlineStr">
        <is>
          <t>GUIDE001815</t>
        </is>
      </c>
      <c r="B1816" s="101" t="inlineStr">
        <is>
          <t>DEV000047</t>
        </is>
      </c>
      <c r="C1816" s="103" t="inlineStr">
        <is>
          <t>APL</t>
        </is>
      </c>
      <c r="D1816" s="103" t="inlineStr">
        <is>
          <t>PHN</t>
        </is>
      </c>
      <c r="E1816" s="60" t="inlineStr">
        <is>
          <t>iPhone 16e</t>
        </is>
      </c>
      <c r="F1816" s="104" t="inlineStr">
        <is>
          <t>SVC000065</t>
        </is>
      </c>
      <c r="G1816" s="104" t="inlineStr">
        <is>
          <t>USB-C Port Repair</t>
        </is>
      </c>
      <c r="H1816" s="104" t="inlineStr">
        <is>
          <t>Ports</t>
        </is>
      </c>
      <c r="I1816" s="104" t="n"/>
      <c r="J1816" s="104" t="n"/>
      <c r="K1816" s="104" t="n"/>
      <c r="L1816" s="104" t="n"/>
      <c r="M1816" s="104" t="n"/>
      <c r="N1816" s="104" t="n"/>
      <c r="O1816" s="104" t="n"/>
      <c r="P1816" s="104" t="n"/>
      <c r="Q1816" s="104" t="n"/>
      <c r="R1816" s="104" t="n"/>
      <c r="S1816" s="110" t="n"/>
      <c r="T1816" s="110" t="n"/>
      <c r="U1816" s="104" t="n"/>
    </row>
    <row r="1817">
      <c r="A1817" s="104" t="inlineStr">
        <is>
          <t>GUIDE001816</t>
        </is>
      </c>
      <c r="B1817" s="101" t="inlineStr">
        <is>
          <t>DEV000048</t>
        </is>
      </c>
      <c r="C1817" s="103" t="inlineStr">
        <is>
          <t>APL</t>
        </is>
      </c>
      <c r="D1817" s="103" t="inlineStr">
        <is>
          <t>PHN</t>
        </is>
      </c>
      <c r="E1817" s="60" t="inlineStr">
        <is>
          <t>iPhone 17</t>
        </is>
      </c>
      <c r="F1817" s="104" t="inlineStr">
        <is>
          <t>SVC000065</t>
        </is>
      </c>
      <c r="G1817" s="104" t="inlineStr">
        <is>
          <t>USB-C Port Repair</t>
        </is>
      </c>
      <c r="H1817" s="104" t="inlineStr">
        <is>
          <t>Ports</t>
        </is>
      </c>
      <c r="I1817" s="104" t="n"/>
      <c r="J1817" s="104" t="n"/>
      <c r="K1817" s="104" t="n"/>
      <c r="L1817" s="104" t="n"/>
      <c r="M1817" s="104" t="n"/>
      <c r="N1817" s="104" t="n"/>
      <c r="O1817" s="104" t="n"/>
      <c r="P1817" s="104" t="n"/>
      <c r="Q1817" s="104" t="n"/>
      <c r="R1817" s="104" t="n"/>
      <c r="S1817" s="110" t="n"/>
      <c r="T1817" s="110" t="n"/>
      <c r="U1817" s="104" t="n"/>
    </row>
    <row r="1818">
      <c r="A1818" s="104" t="inlineStr">
        <is>
          <t>GUIDE001817</t>
        </is>
      </c>
      <c r="B1818" s="101" t="inlineStr">
        <is>
          <t>DEV000049</t>
        </is>
      </c>
      <c r="C1818" s="103" t="inlineStr">
        <is>
          <t>APL</t>
        </is>
      </c>
      <c r="D1818" s="103" t="inlineStr">
        <is>
          <t>PHN</t>
        </is>
      </c>
      <c r="E1818" s="60" t="inlineStr">
        <is>
          <t>iPhone 17 Pro</t>
        </is>
      </c>
      <c r="F1818" s="104" t="inlineStr">
        <is>
          <t>SVC000065</t>
        </is>
      </c>
      <c r="G1818" s="104" t="inlineStr">
        <is>
          <t>USB-C Port Repair</t>
        </is>
      </c>
      <c r="H1818" s="104" t="inlineStr">
        <is>
          <t>Ports</t>
        </is>
      </c>
      <c r="I1818" s="104" t="n"/>
      <c r="J1818" s="104" t="n"/>
      <c r="K1818" s="104" t="n"/>
      <c r="L1818" s="104" t="n"/>
      <c r="M1818" s="104" t="n"/>
      <c r="N1818" s="104" t="n"/>
      <c r="O1818" s="104" t="n"/>
      <c r="P1818" s="104" t="n"/>
      <c r="Q1818" s="104" t="n"/>
      <c r="R1818" s="104" t="n"/>
      <c r="S1818" s="110" t="n"/>
      <c r="T1818" s="110" t="n"/>
      <c r="U1818" s="104" t="n"/>
    </row>
    <row r="1819">
      <c r="A1819" s="105" t="inlineStr">
        <is>
          <t>GUIDE001818</t>
        </is>
      </c>
      <c r="B1819" s="101" t="inlineStr">
        <is>
          <t>DEV000050</t>
        </is>
      </c>
      <c r="C1819" s="103" t="inlineStr">
        <is>
          <t>APL</t>
        </is>
      </c>
      <c r="D1819" s="103" t="inlineStr">
        <is>
          <t>PHN</t>
        </is>
      </c>
      <c r="E1819" s="60" t="inlineStr">
        <is>
          <t>iPhone 17 Pro Max</t>
        </is>
      </c>
      <c r="F1819" s="104" t="inlineStr">
        <is>
          <t>SVC000065</t>
        </is>
      </c>
      <c r="G1819" s="104" t="inlineStr">
        <is>
          <t>USB-C Port Repair</t>
        </is>
      </c>
      <c r="H1819" s="104" t="inlineStr">
        <is>
          <t>Ports</t>
        </is>
      </c>
      <c r="I1819" s="104" t="n"/>
      <c r="J1819" s="104" t="n"/>
      <c r="K1819" s="104" t="n"/>
      <c r="L1819" s="104" t="n"/>
      <c r="M1819" s="104" t="n"/>
      <c r="N1819" s="104" t="n"/>
      <c r="O1819" s="104" t="n"/>
      <c r="P1819" s="104" t="n"/>
      <c r="Q1819" s="104" t="n"/>
      <c r="R1819" s="104" t="n"/>
      <c r="S1819" s="110" t="n"/>
      <c r="T1819" s="110" t="n"/>
      <c r="U1819" s="104" t="n"/>
    </row>
    <row r="1820">
      <c r="A1820" s="104" t="inlineStr">
        <is>
          <t>GUIDE001819</t>
        </is>
      </c>
      <c r="B1820" s="101" t="inlineStr">
        <is>
          <t>DEV000051</t>
        </is>
      </c>
      <c r="C1820" s="103" t="inlineStr">
        <is>
          <t>APL</t>
        </is>
      </c>
      <c r="D1820" s="103" t="inlineStr">
        <is>
          <t>PHN</t>
        </is>
      </c>
      <c r="E1820" s="60" t="inlineStr">
        <is>
          <t>iPhone Air</t>
        </is>
      </c>
      <c r="F1820" s="104" t="inlineStr">
        <is>
          <t>SVC000065</t>
        </is>
      </c>
      <c r="G1820" s="104" t="inlineStr">
        <is>
          <t>USB-C Port Repair</t>
        </is>
      </c>
      <c r="H1820" s="104" t="inlineStr">
        <is>
          <t>Ports</t>
        </is>
      </c>
      <c r="I1820" s="104" t="n"/>
      <c r="J1820" s="104" t="n"/>
      <c r="K1820" s="104" t="n"/>
      <c r="L1820" s="104" t="n"/>
      <c r="M1820" s="104" t="n"/>
      <c r="N1820" s="104" t="n"/>
      <c r="O1820" s="104" t="n"/>
      <c r="P1820" s="104" t="n"/>
      <c r="Q1820" s="104" t="n"/>
      <c r="R1820" s="104" t="n"/>
      <c r="S1820" s="110" t="n"/>
      <c r="T1820" s="110" t="n"/>
      <c r="U1820" s="104" t="n"/>
    </row>
    <row r="1821">
      <c r="A1821" s="104" t="inlineStr">
        <is>
          <t>GUIDE001820</t>
        </is>
      </c>
      <c r="B1821" s="101" t="inlineStr">
        <is>
          <t>DEV000052</t>
        </is>
      </c>
      <c r="C1821" s="103" t="inlineStr">
        <is>
          <t>APL</t>
        </is>
      </c>
      <c r="D1821" s="103" t="inlineStr">
        <is>
          <t>PHN</t>
        </is>
      </c>
      <c r="E1821" s="60" t="inlineStr">
        <is>
          <t>iPhone 17e</t>
        </is>
      </c>
      <c r="F1821" s="104" t="inlineStr">
        <is>
          <t>SVC000065</t>
        </is>
      </c>
      <c r="G1821" s="104" t="inlineStr">
        <is>
          <t>USB-C Port Repair</t>
        </is>
      </c>
      <c r="H1821" s="104" t="inlineStr">
        <is>
          <t>Ports</t>
        </is>
      </c>
      <c r="I1821" s="104" t="n"/>
      <c r="J1821" s="104" t="n"/>
      <c r="K1821" s="104" t="n"/>
      <c r="L1821" s="104" t="n"/>
      <c r="M1821" s="104" t="n"/>
      <c r="N1821" s="104" t="n"/>
      <c r="O1821" s="104" t="n"/>
      <c r="P1821" s="104" t="n"/>
      <c r="Q1821" s="104" t="n"/>
      <c r="R1821" s="104" t="n"/>
      <c r="S1821" s="110" t="n"/>
      <c r="T1821" s="110" t="n"/>
      <c r="U1821" s="104" t="n"/>
    </row>
    <row r="1822">
      <c r="A1822" s="104" t="inlineStr">
        <is>
          <t>GUIDE001821</t>
        </is>
      </c>
      <c r="B1822" s="101" t="inlineStr">
        <is>
          <t>DEV000001</t>
        </is>
      </c>
      <c r="C1822" s="103" t="inlineStr">
        <is>
          <t>APL</t>
        </is>
      </c>
      <c r="D1822" s="103" t="inlineStr">
        <is>
          <t>PHN</t>
        </is>
      </c>
      <c r="E1822" s="60" t="inlineStr">
        <is>
          <t>iPhone (2G)</t>
        </is>
      </c>
      <c r="F1822" s="104" t="inlineStr">
        <is>
          <t>SVC000073</t>
        </is>
      </c>
      <c r="G1822" s="104" t="inlineStr">
        <is>
          <t>Screen Protector Installation</t>
        </is>
      </c>
      <c r="H1822" s="104" t="inlineStr">
        <is>
          <t>Accessories</t>
        </is>
      </c>
      <c r="I1822" s="104" t="n"/>
      <c r="J1822" s="104" t="n"/>
      <c r="K1822" s="104" t="n"/>
      <c r="L1822" s="104" t="n"/>
      <c r="M1822" s="104" t="n"/>
      <c r="N1822" s="104" t="n"/>
      <c r="O1822" s="104" t="n"/>
      <c r="P1822" s="104" t="n"/>
      <c r="Q1822" s="104" t="n"/>
      <c r="R1822" s="104" t="n"/>
      <c r="S1822" s="110" t="n"/>
      <c r="T1822" s="110" t="n"/>
      <c r="U1822" s="104" t="n"/>
    </row>
    <row r="1823">
      <c r="A1823" s="104" t="inlineStr">
        <is>
          <t>GUIDE001822</t>
        </is>
      </c>
      <c r="B1823" s="101" t="inlineStr">
        <is>
          <t>DEV000002</t>
        </is>
      </c>
      <c r="C1823" s="103" t="inlineStr">
        <is>
          <t>APL</t>
        </is>
      </c>
      <c r="D1823" s="103" t="inlineStr">
        <is>
          <t>PHN</t>
        </is>
      </c>
      <c r="E1823" s="60" t="inlineStr">
        <is>
          <t>iPhone 3G</t>
        </is>
      </c>
      <c r="F1823" s="104" t="inlineStr">
        <is>
          <t>SVC000073</t>
        </is>
      </c>
      <c r="G1823" s="104" t="inlineStr">
        <is>
          <t>Screen Protector Installation</t>
        </is>
      </c>
      <c r="H1823" s="104" t="inlineStr">
        <is>
          <t>Accessories</t>
        </is>
      </c>
      <c r="I1823" s="104" t="n"/>
      <c r="J1823" s="104" t="n"/>
      <c r="K1823" s="104" t="n"/>
      <c r="L1823" s="104" t="n"/>
      <c r="M1823" s="104" t="n"/>
      <c r="N1823" s="104" t="n"/>
      <c r="O1823" s="104" t="n"/>
      <c r="P1823" s="104" t="n"/>
      <c r="Q1823" s="104" t="n"/>
      <c r="R1823" s="104" t="n"/>
      <c r="S1823" s="110" t="n"/>
      <c r="T1823" s="110" t="n"/>
      <c r="U1823" s="104" t="n"/>
    </row>
    <row r="1824">
      <c r="A1824" s="104" t="inlineStr">
        <is>
          <t>GUIDE001823</t>
        </is>
      </c>
      <c r="B1824" s="101" t="inlineStr">
        <is>
          <t>DEV000003</t>
        </is>
      </c>
      <c r="C1824" s="103" t="inlineStr">
        <is>
          <t>APL</t>
        </is>
      </c>
      <c r="D1824" s="103" t="inlineStr">
        <is>
          <t>PHN</t>
        </is>
      </c>
      <c r="E1824" s="60" t="inlineStr">
        <is>
          <t>iPhone 3GS</t>
        </is>
      </c>
      <c r="F1824" s="104" t="inlineStr">
        <is>
          <t>SVC000073</t>
        </is>
      </c>
      <c r="G1824" s="104" t="inlineStr">
        <is>
          <t>Screen Protector Installation</t>
        </is>
      </c>
      <c r="H1824" s="104" t="inlineStr">
        <is>
          <t>Accessories</t>
        </is>
      </c>
      <c r="I1824" s="104" t="n"/>
      <c r="J1824" s="104" t="n"/>
      <c r="K1824" s="104" t="n"/>
      <c r="L1824" s="104" t="n"/>
      <c r="M1824" s="104" t="n"/>
      <c r="N1824" s="104" t="n"/>
      <c r="O1824" s="104" t="n"/>
      <c r="P1824" s="104" t="n"/>
      <c r="Q1824" s="104" t="n"/>
      <c r="R1824" s="104" t="n"/>
      <c r="S1824" s="110" t="n"/>
      <c r="T1824" s="110" t="n"/>
      <c r="U1824" s="104" t="n"/>
    </row>
    <row r="1825">
      <c r="A1825" s="105" t="inlineStr">
        <is>
          <t>GUIDE001824</t>
        </is>
      </c>
      <c r="B1825" s="101" t="inlineStr">
        <is>
          <t>DEV000004</t>
        </is>
      </c>
      <c r="C1825" s="103" t="inlineStr">
        <is>
          <t>APL</t>
        </is>
      </c>
      <c r="D1825" s="103" t="inlineStr">
        <is>
          <t>PHN</t>
        </is>
      </c>
      <c r="E1825" s="60" t="inlineStr">
        <is>
          <t>iPhone 4</t>
        </is>
      </c>
      <c r="F1825" s="104" t="inlineStr">
        <is>
          <t>SVC000073</t>
        </is>
      </c>
      <c r="G1825" s="104" t="inlineStr">
        <is>
          <t>Screen Protector Installation</t>
        </is>
      </c>
      <c r="H1825" s="104" t="inlineStr">
        <is>
          <t>Accessories</t>
        </is>
      </c>
      <c r="I1825" s="104" t="n"/>
      <c r="J1825" s="104" t="n"/>
      <c r="K1825" s="104" t="n"/>
      <c r="L1825" s="104" t="n"/>
      <c r="M1825" s="104" t="n"/>
      <c r="N1825" s="104" t="n"/>
      <c r="O1825" s="104" t="n"/>
      <c r="P1825" s="104" t="n"/>
      <c r="Q1825" s="104" t="n"/>
      <c r="R1825" s="104" t="n"/>
      <c r="S1825" s="110" t="n"/>
      <c r="T1825" s="110" t="n"/>
      <c r="U1825" s="104" t="n"/>
    </row>
    <row r="1826">
      <c r="A1826" s="104" t="inlineStr">
        <is>
          <t>GUIDE001825</t>
        </is>
      </c>
      <c r="B1826" s="101" t="inlineStr">
        <is>
          <t>DEV000005</t>
        </is>
      </c>
      <c r="C1826" s="103" t="inlineStr">
        <is>
          <t>APL</t>
        </is>
      </c>
      <c r="D1826" s="103" t="inlineStr">
        <is>
          <t>PHN</t>
        </is>
      </c>
      <c r="E1826" s="60" t="inlineStr">
        <is>
          <t>iPhone 4s</t>
        </is>
      </c>
      <c r="F1826" s="104" t="inlineStr">
        <is>
          <t>SVC000073</t>
        </is>
      </c>
      <c r="G1826" s="104" t="inlineStr">
        <is>
          <t>Screen Protector Installation</t>
        </is>
      </c>
      <c r="H1826" s="104" t="inlineStr">
        <is>
          <t>Accessories</t>
        </is>
      </c>
      <c r="I1826" s="104" t="n"/>
      <c r="J1826" s="104" t="n"/>
      <c r="K1826" s="104" t="n"/>
      <c r="L1826" s="104" t="n"/>
      <c r="M1826" s="104" t="n"/>
      <c r="N1826" s="104" t="n"/>
      <c r="O1826" s="104" t="n"/>
      <c r="P1826" s="104" t="n"/>
      <c r="Q1826" s="104" t="n"/>
      <c r="R1826" s="104" t="n"/>
      <c r="S1826" s="110" t="n"/>
      <c r="T1826" s="110" t="n"/>
      <c r="U1826" s="104" t="n"/>
    </row>
    <row r="1827">
      <c r="A1827" s="104" t="inlineStr">
        <is>
          <t>GUIDE001826</t>
        </is>
      </c>
      <c r="B1827" s="101" t="inlineStr">
        <is>
          <t>DEV000006</t>
        </is>
      </c>
      <c r="C1827" s="103" t="inlineStr">
        <is>
          <t>APL</t>
        </is>
      </c>
      <c r="D1827" s="103" t="inlineStr">
        <is>
          <t>PHN</t>
        </is>
      </c>
      <c r="E1827" s="60" t="inlineStr">
        <is>
          <t>iPhone 5</t>
        </is>
      </c>
      <c r="F1827" s="104" t="inlineStr">
        <is>
          <t>SVC000073</t>
        </is>
      </c>
      <c r="G1827" s="104" t="inlineStr">
        <is>
          <t>Screen Protector Installation</t>
        </is>
      </c>
      <c r="H1827" s="104" t="inlineStr">
        <is>
          <t>Accessories</t>
        </is>
      </c>
      <c r="I1827" s="104" t="n"/>
      <c r="J1827" s="104" t="n"/>
      <c r="K1827" s="104" t="n"/>
      <c r="L1827" s="104" t="n"/>
      <c r="M1827" s="104" t="n"/>
      <c r="N1827" s="104" t="n"/>
      <c r="O1827" s="104" t="n"/>
      <c r="P1827" s="104" t="n"/>
      <c r="Q1827" s="104" t="n"/>
      <c r="R1827" s="104" t="n"/>
      <c r="S1827" s="110" t="n"/>
      <c r="T1827" s="110" t="n"/>
      <c r="U1827" s="104" t="n"/>
    </row>
    <row r="1828">
      <c r="A1828" s="104" t="inlineStr">
        <is>
          <t>GUIDE001827</t>
        </is>
      </c>
      <c r="B1828" s="101" t="inlineStr">
        <is>
          <t>DEV000007</t>
        </is>
      </c>
      <c r="C1828" s="103" t="inlineStr">
        <is>
          <t>APL</t>
        </is>
      </c>
      <c r="D1828" s="103" t="inlineStr">
        <is>
          <t>PHN</t>
        </is>
      </c>
      <c r="E1828" s="60" t="inlineStr">
        <is>
          <t>iPhone 5c</t>
        </is>
      </c>
      <c r="F1828" s="104" t="inlineStr">
        <is>
          <t>SVC000073</t>
        </is>
      </c>
      <c r="G1828" s="104" t="inlineStr">
        <is>
          <t>Screen Protector Installation</t>
        </is>
      </c>
      <c r="H1828" s="104" t="inlineStr">
        <is>
          <t>Accessories</t>
        </is>
      </c>
      <c r="I1828" s="104" t="n"/>
      <c r="J1828" s="104" t="n"/>
      <c r="K1828" s="104" t="n"/>
      <c r="L1828" s="104" t="n"/>
      <c r="M1828" s="104" t="n"/>
      <c r="N1828" s="104" t="n"/>
      <c r="O1828" s="104" t="n"/>
      <c r="P1828" s="104" t="n"/>
      <c r="Q1828" s="104" t="n"/>
      <c r="R1828" s="104" t="n"/>
      <c r="S1828" s="110" t="n"/>
      <c r="T1828" s="110" t="n"/>
      <c r="U1828" s="104" t="n"/>
    </row>
    <row r="1829">
      <c r="A1829" s="104" t="inlineStr">
        <is>
          <t>GUIDE001828</t>
        </is>
      </c>
      <c r="B1829" s="101" t="inlineStr">
        <is>
          <t>DEV000008</t>
        </is>
      </c>
      <c r="C1829" s="103" t="inlineStr">
        <is>
          <t>APL</t>
        </is>
      </c>
      <c r="D1829" s="103" t="inlineStr">
        <is>
          <t>PHN</t>
        </is>
      </c>
      <c r="E1829" s="60" t="inlineStr">
        <is>
          <t>iPhone 5s</t>
        </is>
      </c>
      <c r="F1829" s="104" t="inlineStr">
        <is>
          <t>SVC000073</t>
        </is>
      </c>
      <c r="G1829" s="104" t="inlineStr">
        <is>
          <t>Screen Protector Installation</t>
        </is>
      </c>
      <c r="H1829" s="104" t="inlineStr">
        <is>
          <t>Accessories</t>
        </is>
      </c>
      <c r="I1829" s="104" t="n"/>
      <c r="J1829" s="104" t="n"/>
      <c r="K1829" s="104" t="n"/>
      <c r="L1829" s="104" t="n"/>
      <c r="M1829" s="104" t="n"/>
      <c r="N1829" s="104" t="n"/>
      <c r="O1829" s="104" t="n"/>
      <c r="P1829" s="104" t="n"/>
      <c r="Q1829" s="104" t="n"/>
      <c r="R1829" s="104" t="n"/>
      <c r="S1829" s="110" t="n"/>
      <c r="T1829" s="110" t="n"/>
      <c r="U1829" s="104" t="n"/>
    </row>
    <row r="1830">
      <c r="A1830" s="104" t="inlineStr">
        <is>
          <t>GUIDE001829</t>
        </is>
      </c>
      <c r="B1830" s="101" t="inlineStr">
        <is>
          <t>DEV000009</t>
        </is>
      </c>
      <c r="C1830" s="103" t="inlineStr">
        <is>
          <t>APL</t>
        </is>
      </c>
      <c r="D1830" s="103" t="inlineStr">
        <is>
          <t>PHN</t>
        </is>
      </c>
      <c r="E1830" s="60" t="inlineStr">
        <is>
          <t>iPhone 6</t>
        </is>
      </c>
      <c r="F1830" s="104" t="inlineStr">
        <is>
          <t>SVC000073</t>
        </is>
      </c>
      <c r="G1830" s="104" t="inlineStr">
        <is>
          <t>Screen Protector Installation</t>
        </is>
      </c>
      <c r="H1830" s="104" t="inlineStr">
        <is>
          <t>Accessories</t>
        </is>
      </c>
      <c r="I1830" s="104" t="n"/>
      <c r="J1830" s="104" t="n"/>
      <c r="K1830" s="104" t="n"/>
      <c r="L1830" s="104" t="n"/>
      <c r="M1830" s="104" t="n"/>
      <c r="N1830" s="104" t="n"/>
      <c r="O1830" s="104" t="n"/>
      <c r="P1830" s="104" t="n"/>
      <c r="Q1830" s="104" t="n"/>
      <c r="R1830" s="104" t="n"/>
      <c r="S1830" s="110" t="n"/>
      <c r="T1830" s="110" t="n"/>
      <c r="U1830" s="104" t="n"/>
    </row>
    <row r="1831">
      <c r="A1831" s="105" t="inlineStr">
        <is>
          <t>GUIDE001830</t>
        </is>
      </c>
      <c r="B1831" s="101" t="inlineStr">
        <is>
          <t>DEV000010</t>
        </is>
      </c>
      <c r="C1831" s="103" t="inlineStr">
        <is>
          <t>APL</t>
        </is>
      </c>
      <c r="D1831" s="103" t="inlineStr">
        <is>
          <t>PHN</t>
        </is>
      </c>
      <c r="E1831" s="60" t="inlineStr">
        <is>
          <t>iPhone 6 Plus</t>
        </is>
      </c>
      <c r="F1831" s="104" t="inlineStr">
        <is>
          <t>SVC000073</t>
        </is>
      </c>
      <c r="G1831" s="104" t="inlineStr">
        <is>
          <t>Screen Protector Installation</t>
        </is>
      </c>
      <c r="H1831" s="104" t="inlineStr">
        <is>
          <t>Accessories</t>
        </is>
      </c>
      <c r="I1831" s="104" t="n"/>
      <c r="J1831" s="104" t="n"/>
      <c r="K1831" s="104" t="n"/>
      <c r="L1831" s="104" t="n"/>
      <c r="M1831" s="104" t="n"/>
      <c r="N1831" s="104" t="n"/>
      <c r="O1831" s="104" t="n"/>
      <c r="P1831" s="104" t="n"/>
      <c r="Q1831" s="104" t="n"/>
      <c r="R1831" s="104" t="n"/>
      <c r="S1831" s="110" t="n"/>
      <c r="T1831" s="110" t="n"/>
      <c r="U1831" s="104" t="n"/>
    </row>
    <row r="1832">
      <c r="A1832" s="104" t="inlineStr">
        <is>
          <t>GUIDE001831</t>
        </is>
      </c>
      <c r="B1832" s="101" t="inlineStr">
        <is>
          <t>DEV000011</t>
        </is>
      </c>
      <c r="C1832" s="103" t="inlineStr">
        <is>
          <t>APL</t>
        </is>
      </c>
      <c r="D1832" s="103" t="inlineStr">
        <is>
          <t>PHN</t>
        </is>
      </c>
      <c r="E1832" s="60" t="inlineStr">
        <is>
          <t>iPhone 6s</t>
        </is>
      </c>
      <c r="F1832" s="104" t="inlineStr">
        <is>
          <t>SVC000073</t>
        </is>
      </c>
      <c r="G1832" s="104" t="inlineStr">
        <is>
          <t>Screen Protector Installation</t>
        </is>
      </c>
      <c r="H1832" s="104" t="inlineStr">
        <is>
          <t>Accessories</t>
        </is>
      </c>
      <c r="I1832" s="104" t="n"/>
      <c r="J1832" s="104" t="n"/>
      <c r="K1832" s="104" t="n"/>
      <c r="L1832" s="104" t="n"/>
      <c r="M1832" s="104" t="n"/>
      <c r="N1832" s="104" t="n"/>
      <c r="O1832" s="104" t="n"/>
      <c r="P1832" s="104" t="n"/>
      <c r="Q1832" s="104" t="n"/>
      <c r="R1832" s="104" t="n"/>
      <c r="S1832" s="110" t="n"/>
      <c r="T1832" s="110" t="n"/>
      <c r="U1832" s="104" t="n"/>
    </row>
    <row r="1833">
      <c r="A1833" s="104" t="inlineStr">
        <is>
          <t>GUIDE001832</t>
        </is>
      </c>
      <c r="B1833" s="101" t="inlineStr">
        <is>
          <t>DEV000012</t>
        </is>
      </c>
      <c r="C1833" s="103" t="inlineStr">
        <is>
          <t>APL</t>
        </is>
      </c>
      <c r="D1833" s="103" t="inlineStr">
        <is>
          <t>PHN</t>
        </is>
      </c>
      <c r="E1833" s="60" t="inlineStr">
        <is>
          <t>iPhone 6s Plus</t>
        </is>
      </c>
      <c r="F1833" s="104" t="inlineStr">
        <is>
          <t>SVC000073</t>
        </is>
      </c>
      <c r="G1833" s="104" t="inlineStr">
        <is>
          <t>Screen Protector Installation</t>
        </is>
      </c>
      <c r="H1833" s="104" t="inlineStr">
        <is>
          <t>Accessories</t>
        </is>
      </c>
      <c r="I1833" s="104" t="n"/>
      <c r="J1833" s="104" t="n"/>
      <c r="K1833" s="104" t="n"/>
      <c r="L1833" s="104" t="n"/>
      <c r="M1833" s="104" t="n"/>
      <c r="N1833" s="104" t="n"/>
      <c r="O1833" s="104" t="n"/>
      <c r="P1833" s="104" t="n"/>
      <c r="Q1833" s="104" t="n"/>
      <c r="R1833" s="104" t="n"/>
      <c r="S1833" s="110" t="n"/>
      <c r="T1833" s="110" t="n"/>
      <c r="U1833" s="104" t="n"/>
    </row>
    <row r="1834">
      <c r="A1834" s="104" t="inlineStr">
        <is>
          <t>GUIDE001833</t>
        </is>
      </c>
      <c r="B1834" s="101" t="inlineStr">
        <is>
          <t>DEV000013</t>
        </is>
      </c>
      <c r="C1834" s="103" t="inlineStr">
        <is>
          <t>APL</t>
        </is>
      </c>
      <c r="D1834" s="103" t="inlineStr">
        <is>
          <t>PHN</t>
        </is>
      </c>
      <c r="E1834" s="60" t="inlineStr">
        <is>
          <t>iPhone SE (1st Gen)</t>
        </is>
      </c>
      <c r="F1834" s="104" t="inlineStr">
        <is>
          <t>SVC000073</t>
        </is>
      </c>
      <c r="G1834" s="104" t="inlineStr">
        <is>
          <t>Screen Protector Installation</t>
        </is>
      </c>
      <c r="H1834" s="104" t="inlineStr">
        <is>
          <t>Accessories</t>
        </is>
      </c>
      <c r="I1834" s="104" t="n"/>
      <c r="J1834" s="104" t="n"/>
      <c r="K1834" s="104" t="n"/>
      <c r="L1834" s="104" t="n"/>
      <c r="M1834" s="104" t="n"/>
      <c r="N1834" s="104" t="n"/>
      <c r="O1834" s="104" t="n"/>
      <c r="P1834" s="104" t="n"/>
      <c r="Q1834" s="104" t="n"/>
      <c r="R1834" s="104" t="n"/>
      <c r="S1834" s="110" t="n"/>
      <c r="T1834" s="110" t="n"/>
      <c r="U1834" s="104" t="n"/>
    </row>
    <row r="1835">
      <c r="A1835" s="104" t="inlineStr">
        <is>
          <t>GUIDE001834</t>
        </is>
      </c>
      <c r="B1835" s="101" t="inlineStr">
        <is>
          <t>DEV000014</t>
        </is>
      </c>
      <c r="C1835" s="103" t="inlineStr">
        <is>
          <t>APL</t>
        </is>
      </c>
      <c r="D1835" s="103" t="inlineStr">
        <is>
          <t>PHN</t>
        </is>
      </c>
      <c r="E1835" s="60" t="inlineStr">
        <is>
          <t>iPhone 7</t>
        </is>
      </c>
      <c r="F1835" s="104" t="inlineStr">
        <is>
          <t>SVC000073</t>
        </is>
      </c>
      <c r="G1835" s="104" t="inlineStr">
        <is>
          <t>Screen Protector Installation</t>
        </is>
      </c>
      <c r="H1835" s="104" t="inlineStr">
        <is>
          <t>Accessories</t>
        </is>
      </c>
      <c r="I1835" s="104" t="n"/>
      <c r="J1835" s="104" t="n"/>
      <c r="K1835" s="104" t="n"/>
      <c r="L1835" s="104" t="n"/>
      <c r="M1835" s="104" t="n"/>
      <c r="N1835" s="104" t="n"/>
      <c r="O1835" s="104" t="n"/>
      <c r="P1835" s="104" t="n"/>
      <c r="Q1835" s="104" t="n"/>
      <c r="R1835" s="104" t="n"/>
      <c r="S1835" s="110" t="n"/>
      <c r="T1835" s="110" t="n"/>
      <c r="U1835" s="104" t="n"/>
    </row>
    <row r="1836">
      <c r="A1836" s="104" t="inlineStr">
        <is>
          <t>GUIDE001835</t>
        </is>
      </c>
      <c r="B1836" s="101" t="inlineStr">
        <is>
          <t>DEV000015</t>
        </is>
      </c>
      <c r="C1836" s="103" t="inlineStr">
        <is>
          <t>APL</t>
        </is>
      </c>
      <c r="D1836" s="103" t="inlineStr">
        <is>
          <t>PHN</t>
        </is>
      </c>
      <c r="E1836" s="60" t="inlineStr">
        <is>
          <t>iPhone 7 Plus</t>
        </is>
      </c>
      <c r="F1836" s="104" t="inlineStr">
        <is>
          <t>SVC000073</t>
        </is>
      </c>
      <c r="G1836" s="104" t="inlineStr">
        <is>
          <t>Screen Protector Installation</t>
        </is>
      </c>
      <c r="H1836" s="104" t="inlineStr">
        <is>
          <t>Accessories</t>
        </is>
      </c>
      <c r="I1836" s="104" t="n"/>
      <c r="J1836" s="104" t="n"/>
      <c r="K1836" s="104" t="n"/>
      <c r="L1836" s="104" t="n"/>
      <c r="M1836" s="104" t="n"/>
      <c r="N1836" s="104" t="n"/>
      <c r="O1836" s="104" t="n"/>
      <c r="P1836" s="104" t="n"/>
      <c r="Q1836" s="104" t="n"/>
      <c r="R1836" s="104" t="n"/>
      <c r="S1836" s="110" t="n"/>
      <c r="T1836" s="110" t="n"/>
      <c r="U1836" s="104" t="n"/>
    </row>
    <row r="1837">
      <c r="A1837" s="105" t="inlineStr">
        <is>
          <t>GUIDE001836</t>
        </is>
      </c>
      <c r="B1837" s="101" t="inlineStr">
        <is>
          <t>DEV000016</t>
        </is>
      </c>
      <c r="C1837" s="103" t="inlineStr">
        <is>
          <t>APL</t>
        </is>
      </c>
      <c r="D1837" s="103" t="inlineStr">
        <is>
          <t>PHN</t>
        </is>
      </c>
      <c r="E1837" s="60" t="inlineStr">
        <is>
          <t>iPhone 8</t>
        </is>
      </c>
      <c r="F1837" s="104" t="inlineStr">
        <is>
          <t>SVC000073</t>
        </is>
      </c>
      <c r="G1837" s="104" t="inlineStr">
        <is>
          <t>Screen Protector Installation</t>
        </is>
      </c>
      <c r="H1837" s="104" t="inlineStr">
        <is>
          <t>Accessories</t>
        </is>
      </c>
      <c r="I1837" s="104" t="n"/>
      <c r="J1837" s="104" t="n"/>
      <c r="K1837" s="104" t="n"/>
      <c r="L1837" s="104" t="n"/>
      <c r="M1837" s="104" t="n"/>
      <c r="N1837" s="104" t="n"/>
      <c r="O1837" s="104" t="n"/>
      <c r="P1837" s="104" t="n"/>
      <c r="Q1837" s="104" t="n"/>
      <c r="R1837" s="104" t="n"/>
      <c r="S1837" s="110" t="n"/>
      <c r="T1837" s="110" t="n"/>
      <c r="U1837" s="104" t="n"/>
    </row>
    <row r="1838">
      <c r="A1838" s="104" t="inlineStr">
        <is>
          <t>GUIDE001837</t>
        </is>
      </c>
      <c r="B1838" s="101" t="inlineStr">
        <is>
          <t>DEV000017</t>
        </is>
      </c>
      <c r="C1838" s="103" t="inlineStr">
        <is>
          <t>APL</t>
        </is>
      </c>
      <c r="D1838" s="103" t="inlineStr">
        <is>
          <t>PHN</t>
        </is>
      </c>
      <c r="E1838" s="60" t="inlineStr">
        <is>
          <t>iPhone 8 Plus</t>
        </is>
      </c>
      <c r="F1838" s="104" t="inlineStr">
        <is>
          <t>SVC000073</t>
        </is>
      </c>
      <c r="G1838" s="104" t="inlineStr">
        <is>
          <t>Screen Protector Installation</t>
        </is>
      </c>
      <c r="H1838" s="104" t="inlineStr">
        <is>
          <t>Accessories</t>
        </is>
      </c>
      <c r="I1838" s="104" t="n"/>
      <c r="J1838" s="104" t="n"/>
      <c r="K1838" s="104" t="n"/>
      <c r="L1838" s="104" t="n"/>
      <c r="M1838" s="104" t="n"/>
      <c r="N1838" s="104" t="n"/>
      <c r="O1838" s="104" t="n"/>
      <c r="P1838" s="104" t="n"/>
      <c r="Q1838" s="104" t="n"/>
      <c r="R1838" s="104" t="n"/>
      <c r="S1838" s="110" t="n"/>
      <c r="T1838" s="110" t="n"/>
      <c r="U1838" s="104" t="n"/>
    </row>
    <row r="1839">
      <c r="A1839" s="104" t="inlineStr">
        <is>
          <t>GUIDE001838</t>
        </is>
      </c>
      <c r="B1839" s="101" t="inlineStr">
        <is>
          <t>DEV000018</t>
        </is>
      </c>
      <c r="C1839" s="103" t="inlineStr">
        <is>
          <t>APL</t>
        </is>
      </c>
      <c r="D1839" s="103" t="inlineStr">
        <is>
          <t>PHN</t>
        </is>
      </c>
      <c r="E1839" s="60" t="inlineStr">
        <is>
          <t>iPhone X</t>
        </is>
      </c>
      <c r="F1839" s="104" t="inlineStr">
        <is>
          <t>SVC000073</t>
        </is>
      </c>
      <c r="G1839" s="104" t="inlineStr">
        <is>
          <t>Screen Protector Installation</t>
        </is>
      </c>
      <c r="H1839" s="104" t="inlineStr">
        <is>
          <t>Accessories</t>
        </is>
      </c>
      <c r="I1839" s="104" t="n"/>
      <c r="J1839" s="104" t="n"/>
      <c r="K1839" s="104" t="n"/>
      <c r="L1839" s="104" t="n"/>
      <c r="M1839" s="104" t="n"/>
      <c r="N1839" s="104" t="n"/>
      <c r="O1839" s="104" t="n"/>
      <c r="P1839" s="104" t="n"/>
      <c r="Q1839" s="104" t="n"/>
      <c r="R1839" s="104" t="n"/>
      <c r="S1839" s="110" t="n"/>
      <c r="T1839" s="110" t="n"/>
      <c r="U1839" s="104" t="n"/>
    </row>
    <row r="1840">
      <c r="A1840" s="104" t="inlineStr">
        <is>
          <t>GUIDE001839</t>
        </is>
      </c>
      <c r="B1840" s="101" t="inlineStr">
        <is>
          <t>DEV000019</t>
        </is>
      </c>
      <c r="C1840" s="103" t="inlineStr">
        <is>
          <t>APL</t>
        </is>
      </c>
      <c r="D1840" s="103" t="inlineStr">
        <is>
          <t>PHN</t>
        </is>
      </c>
      <c r="E1840" s="60" t="inlineStr">
        <is>
          <t>iPhone XR</t>
        </is>
      </c>
      <c r="F1840" s="104" t="inlineStr">
        <is>
          <t>SVC000073</t>
        </is>
      </c>
      <c r="G1840" s="104" t="inlineStr">
        <is>
          <t>Screen Protector Installation</t>
        </is>
      </c>
      <c r="H1840" s="104" t="inlineStr">
        <is>
          <t>Accessories</t>
        </is>
      </c>
      <c r="I1840" s="104" t="n"/>
      <c r="J1840" s="104" t="n"/>
      <c r="K1840" s="104" t="n"/>
      <c r="L1840" s="104" t="n"/>
      <c r="M1840" s="104" t="n"/>
      <c r="N1840" s="104" t="n"/>
      <c r="O1840" s="104" t="n"/>
      <c r="P1840" s="104" t="n"/>
      <c r="Q1840" s="104" t="n"/>
      <c r="R1840" s="104" t="n"/>
      <c r="S1840" s="110" t="n"/>
      <c r="T1840" s="110" t="n"/>
      <c r="U1840" s="104" t="n"/>
    </row>
    <row r="1841">
      <c r="A1841" s="104" t="inlineStr">
        <is>
          <t>GUIDE001840</t>
        </is>
      </c>
      <c r="B1841" s="101" t="inlineStr">
        <is>
          <t>DEV000020</t>
        </is>
      </c>
      <c r="C1841" s="103" t="inlineStr">
        <is>
          <t>APL</t>
        </is>
      </c>
      <c r="D1841" s="103" t="inlineStr">
        <is>
          <t>PHN</t>
        </is>
      </c>
      <c r="E1841" s="60" t="inlineStr">
        <is>
          <t>iPhone XS</t>
        </is>
      </c>
      <c r="F1841" s="104" t="inlineStr">
        <is>
          <t>SVC000073</t>
        </is>
      </c>
      <c r="G1841" s="104" t="inlineStr">
        <is>
          <t>Screen Protector Installation</t>
        </is>
      </c>
      <c r="H1841" s="104" t="inlineStr">
        <is>
          <t>Accessories</t>
        </is>
      </c>
      <c r="I1841" s="104" t="n"/>
      <c r="J1841" s="104" t="n"/>
      <c r="K1841" s="104" t="n"/>
      <c r="L1841" s="104" t="n"/>
      <c r="M1841" s="104" t="n"/>
      <c r="N1841" s="104" t="n"/>
      <c r="O1841" s="104" t="n"/>
      <c r="P1841" s="104" t="n"/>
      <c r="Q1841" s="104" t="n"/>
      <c r="R1841" s="104" t="n"/>
      <c r="S1841" s="110" t="n"/>
      <c r="T1841" s="110" t="n"/>
      <c r="U1841" s="104" t="n"/>
    </row>
    <row r="1842">
      <c r="A1842" s="104" t="inlineStr">
        <is>
          <t>GUIDE001841</t>
        </is>
      </c>
      <c r="B1842" s="101" t="inlineStr">
        <is>
          <t>DEV000021</t>
        </is>
      </c>
      <c r="C1842" s="103" t="inlineStr">
        <is>
          <t>APL</t>
        </is>
      </c>
      <c r="D1842" s="103" t="inlineStr">
        <is>
          <t>PHN</t>
        </is>
      </c>
      <c r="E1842" s="60" t="inlineStr">
        <is>
          <t>iPhone XS Max</t>
        </is>
      </c>
      <c r="F1842" s="104" t="inlineStr">
        <is>
          <t>SVC000073</t>
        </is>
      </c>
      <c r="G1842" s="104" t="inlineStr">
        <is>
          <t>Screen Protector Installation</t>
        </is>
      </c>
      <c r="H1842" s="104" t="inlineStr">
        <is>
          <t>Accessories</t>
        </is>
      </c>
      <c r="I1842" s="104" t="n"/>
      <c r="J1842" s="104" t="n"/>
      <c r="K1842" s="104" t="n"/>
      <c r="L1842" s="104" t="n"/>
      <c r="M1842" s="104" t="n"/>
      <c r="N1842" s="104" t="n"/>
      <c r="O1842" s="104" t="n"/>
      <c r="P1842" s="104" t="n"/>
      <c r="Q1842" s="104" t="n"/>
      <c r="R1842" s="104" t="n"/>
      <c r="S1842" s="110" t="n"/>
      <c r="T1842" s="110" t="n"/>
      <c r="U1842" s="104" t="n"/>
    </row>
    <row r="1843">
      <c r="A1843" s="105" t="inlineStr">
        <is>
          <t>GUIDE001842</t>
        </is>
      </c>
      <c r="B1843" s="101" t="inlineStr">
        <is>
          <t>DEV000022</t>
        </is>
      </c>
      <c r="C1843" s="103" t="inlineStr">
        <is>
          <t>APL</t>
        </is>
      </c>
      <c r="D1843" s="103" t="inlineStr">
        <is>
          <t>PHN</t>
        </is>
      </c>
      <c r="E1843" s="60" t="inlineStr">
        <is>
          <t>iPhone 11</t>
        </is>
      </c>
      <c r="F1843" s="104" t="inlineStr">
        <is>
          <t>SVC000073</t>
        </is>
      </c>
      <c r="G1843" s="104" t="inlineStr">
        <is>
          <t>Screen Protector Installation</t>
        </is>
      </c>
      <c r="H1843" s="104" t="inlineStr">
        <is>
          <t>Accessories</t>
        </is>
      </c>
      <c r="I1843" s="104" t="n"/>
      <c r="J1843" s="104" t="n"/>
      <c r="K1843" s="104" t="n"/>
      <c r="L1843" s="104" t="n"/>
      <c r="M1843" s="104" t="n"/>
      <c r="N1843" s="104" t="n"/>
      <c r="O1843" s="104" t="n"/>
      <c r="P1843" s="104" t="n"/>
      <c r="Q1843" s="104" t="n"/>
      <c r="R1843" s="104" t="n"/>
      <c r="S1843" s="110" t="n"/>
      <c r="T1843" s="110" t="n"/>
      <c r="U1843" s="104" t="n"/>
    </row>
    <row r="1844">
      <c r="A1844" s="104" t="inlineStr">
        <is>
          <t>GUIDE001843</t>
        </is>
      </c>
      <c r="B1844" s="101" t="inlineStr">
        <is>
          <t>DEV000023</t>
        </is>
      </c>
      <c r="C1844" s="103" t="inlineStr">
        <is>
          <t>APL</t>
        </is>
      </c>
      <c r="D1844" s="103" t="inlineStr">
        <is>
          <t>PHN</t>
        </is>
      </c>
      <c r="E1844" s="60" t="inlineStr">
        <is>
          <t>iPhone 11 Pro</t>
        </is>
      </c>
      <c r="F1844" s="104" t="inlineStr">
        <is>
          <t>SVC000073</t>
        </is>
      </c>
      <c r="G1844" s="104" t="inlineStr">
        <is>
          <t>Screen Protector Installation</t>
        </is>
      </c>
      <c r="H1844" s="104" t="inlineStr">
        <is>
          <t>Accessories</t>
        </is>
      </c>
      <c r="I1844" s="104" t="n"/>
      <c r="J1844" s="104" t="n"/>
      <c r="K1844" s="104" t="n"/>
      <c r="L1844" s="104" t="n"/>
      <c r="M1844" s="104" t="n"/>
      <c r="N1844" s="104" t="n"/>
      <c r="O1844" s="104" t="n"/>
      <c r="P1844" s="104" t="n"/>
      <c r="Q1844" s="104" t="n"/>
      <c r="R1844" s="104" t="n"/>
      <c r="S1844" s="110" t="n"/>
      <c r="T1844" s="110" t="n"/>
      <c r="U1844" s="104" t="n"/>
    </row>
    <row r="1845">
      <c r="A1845" s="104" t="inlineStr">
        <is>
          <t>GUIDE001844</t>
        </is>
      </c>
      <c r="B1845" s="101" t="inlineStr">
        <is>
          <t>DEV000024</t>
        </is>
      </c>
      <c r="C1845" s="103" t="inlineStr">
        <is>
          <t>APL</t>
        </is>
      </c>
      <c r="D1845" s="103" t="inlineStr">
        <is>
          <t>PHN</t>
        </is>
      </c>
      <c r="E1845" s="60" t="inlineStr">
        <is>
          <t>iPhone 11 Pro Max</t>
        </is>
      </c>
      <c r="F1845" s="104" t="inlineStr">
        <is>
          <t>SVC000073</t>
        </is>
      </c>
      <c r="G1845" s="104" t="inlineStr">
        <is>
          <t>Screen Protector Installation</t>
        </is>
      </c>
      <c r="H1845" s="104" t="inlineStr">
        <is>
          <t>Accessories</t>
        </is>
      </c>
      <c r="I1845" s="104" t="n"/>
      <c r="J1845" s="104" t="n"/>
      <c r="K1845" s="104" t="n"/>
      <c r="L1845" s="104" t="n"/>
      <c r="M1845" s="104" t="n"/>
      <c r="N1845" s="104" t="n"/>
      <c r="O1845" s="104" t="n"/>
      <c r="P1845" s="104" t="n"/>
      <c r="Q1845" s="104" t="n"/>
      <c r="R1845" s="104" t="n"/>
      <c r="S1845" s="110" t="n"/>
      <c r="T1845" s="110" t="n"/>
      <c r="U1845" s="104" t="n"/>
    </row>
    <row r="1846">
      <c r="A1846" s="104" t="inlineStr">
        <is>
          <t>GUIDE001845</t>
        </is>
      </c>
      <c r="B1846" s="101" t="inlineStr">
        <is>
          <t>DEV000025</t>
        </is>
      </c>
      <c r="C1846" s="103" t="inlineStr">
        <is>
          <t>APL</t>
        </is>
      </c>
      <c r="D1846" s="103" t="inlineStr">
        <is>
          <t>PHN</t>
        </is>
      </c>
      <c r="E1846" s="60" t="inlineStr">
        <is>
          <t>iPhone SE (2nd Generation)</t>
        </is>
      </c>
      <c r="F1846" s="104" t="inlineStr">
        <is>
          <t>SVC000073</t>
        </is>
      </c>
      <c r="G1846" s="104" t="inlineStr">
        <is>
          <t>Screen Protector Installation</t>
        </is>
      </c>
      <c r="H1846" s="104" t="inlineStr">
        <is>
          <t>Accessories</t>
        </is>
      </c>
      <c r="I1846" s="104" t="n"/>
      <c r="J1846" s="104" t="n"/>
      <c r="K1846" s="104" t="n"/>
      <c r="L1846" s="104" t="n"/>
      <c r="M1846" s="104" t="n"/>
      <c r="N1846" s="104" t="n"/>
      <c r="O1846" s="104" t="n"/>
      <c r="P1846" s="104" t="n"/>
      <c r="Q1846" s="104" t="n"/>
      <c r="R1846" s="104" t="n"/>
      <c r="S1846" s="110" t="n"/>
      <c r="T1846" s="110" t="n"/>
      <c r="U1846" s="104" t="n"/>
    </row>
    <row r="1847">
      <c r="A1847" s="104" t="inlineStr">
        <is>
          <t>GUIDE001846</t>
        </is>
      </c>
      <c r="B1847" s="101" t="inlineStr">
        <is>
          <t>DEV000026</t>
        </is>
      </c>
      <c r="C1847" s="103" t="inlineStr">
        <is>
          <t>APL</t>
        </is>
      </c>
      <c r="D1847" s="103" t="inlineStr">
        <is>
          <t>PHN</t>
        </is>
      </c>
      <c r="E1847" s="60" t="inlineStr">
        <is>
          <t>iPhone 12 mini</t>
        </is>
      </c>
      <c r="F1847" s="104" t="inlineStr">
        <is>
          <t>SVC000073</t>
        </is>
      </c>
      <c r="G1847" s="104" t="inlineStr">
        <is>
          <t>Screen Protector Installation</t>
        </is>
      </c>
      <c r="H1847" s="104" t="inlineStr">
        <is>
          <t>Accessories</t>
        </is>
      </c>
      <c r="I1847" s="104" t="n"/>
      <c r="J1847" s="104" t="n"/>
      <c r="K1847" s="104" t="n"/>
      <c r="L1847" s="104" t="n"/>
      <c r="M1847" s="104" t="n"/>
      <c r="N1847" s="104" t="n"/>
      <c r="O1847" s="104" t="n"/>
      <c r="P1847" s="104" t="n"/>
      <c r="Q1847" s="104" t="n"/>
      <c r="R1847" s="104" t="n"/>
      <c r="S1847" s="110" t="n"/>
      <c r="T1847" s="110" t="n"/>
      <c r="U1847" s="104" t="n"/>
    </row>
    <row r="1848">
      <c r="A1848" s="104" t="inlineStr">
        <is>
          <t>GUIDE001847</t>
        </is>
      </c>
      <c r="B1848" s="101" t="inlineStr">
        <is>
          <t>DEV000027</t>
        </is>
      </c>
      <c r="C1848" s="103" t="inlineStr">
        <is>
          <t>APL</t>
        </is>
      </c>
      <c r="D1848" s="103" t="inlineStr">
        <is>
          <t>PHN</t>
        </is>
      </c>
      <c r="E1848" s="60" t="inlineStr">
        <is>
          <t>iPhone 12</t>
        </is>
      </c>
      <c r="F1848" s="104" t="inlineStr">
        <is>
          <t>SVC000073</t>
        </is>
      </c>
      <c r="G1848" s="104" t="inlineStr">
        <is>
          <t>Screen Protector Installation</t>
        </is>
      </c>
      <c r="H1848" s="104" t="inlineStr">
        <is>
          <t>Accessories</t>
        </is>
      </c>
      <c r="I1848" s="104" t="n"/>
      <c r="J1848" s="104" t="n"/>
      <c r="K1848" s="104" t="n"/>
      <c r="L1848" s="104" t="n"/>
      <c r="M1848" s="104" t="n"/>
      <c r="N1848" s="104" t="n"/>
      <c r="O1848" s="104" t="n"/>
      <c r="P1848" s="104" t="n"/>
      <c r="Q1848" s="104" t="n"/>
      <c r="R1848" s="104" t="n"/>
      <c r="S1848" s="110" t="n"/>
      <c r="T1848" s="110" t="n"/>
      <c r="U1848" s="104" t="n"/>
    </row>
    <row r="1849">
      <c r="A1849" s="105" t="inlineStr">
        <is>
          <t>GUIDE001848</t>
        </is>
      </c>
      <c r="B1849" s="101" t="inlineStr">
        <is>
          <t>DEV000028</t>
        </is>
      </c>
      <c r="C1849" s="103" t="inlineStr">
        <is>
          <t>APL</t>
        </is>
      </c>
      <c r="D1849" s="103" t="inlineStr">
        <is>
          <t>PHN</t>
        </is>
      </c>
      <c r="E1849" s="60" t="inlineStr">
        <is>
          <t>iPhone 12 Pro</t>
        </is>
      </c>
      <c r="F1849" s="104" t="inlineStr">
        <is>
          <t>SVC000073</t>
        </is>
      </c>
      <c r="G1849" s="104" t="inlineStr">
        <is>
          <t>Screen Protector Installation</t>
        </is>
      </c>
      <c r="H1849" s="104" t="inlineStr">
        <is>
          <t>Accessories</t>
        </is>
      </c>
      <c r="I1849" s="104" t="n"/>
      <c r="J1849" s="104" t="n"/>
      <c r="K1849" s="104" t="n"/>
      <c r="L1849" s="104" t="n"/>
      <c r="M1849" s="104" t="n"/>
      <c r="N1849" s="104" t="n"/>
      <c r="O1849" s="104" t="n"/>
      <c r="P1849" s="104" t="n"/>
      <c r="Q1849" s="104" t="n"/>
      <c r="R1849" s="104" t="n"/>
      <c r="S1849" s="110" t="n"/>
      <c r="T1849" s="110" t="n"/>
      <c r="U1849" s="104" t="n"/>
    </row>
    <row r="1850">
      <c r="A1850" s="104" t="inlineStr">
        <is>
          <t>GUIDE001849</t>
        </is>
      </c>
      <c r="B1850" s="101" t="inlineStr">
        <is>
          <t>DEV000029</t>
        </is>
      </c>
      <c r="C1850" s="103" t="inlineStr">
        <is>
          <t>APL</t>
        </is>
      </c>
      <c r="D1850" s="103" t="inlineStr">
        <is>
          <t>PHN</t>
        </is>
      </c>
      <c r="E1850" s="60" t="inlineStr">
        <is>
          <t>iPhone 12 Pro Max</t>
        </is>
      </c>
      <c r="F1850" s="104" t="inlineStr">
        <is>
          <t>SVC000073</t>
        </is>
      </c>
      <c r="G1850" s="104" t="inlineStr">
        <is>
          <t>Screen Protector Installation</t>
        </is>
      </c>
      <c r="H1850" s="104" t="inlineStr">
        <is>
          <t>Accessories</t>
        </is>
      </c>
      <c r="I1850" s="104" t="n"/>
      <c r="J1850" s="104" t="n"/>
      <c r="K1850" s="104" t="n"/>
      <c r="L1850" s="104" t="n"/>
      <c r="M1850" s="104" t="n"/>
      <c r="N1850" s="104" t="n"/>
      <c r="O1850" s="104" t="n"/>
      <c r="P1850" s="104" t="n"/>
      <c r="Q1850" s="104" t="n"/>
      <c r="R1850" s="104" t="n"/>
      <c r="S1850" s="110" t="n"/>
      <c r="T1850" s="110" t="n"/>
      <c r="U1850" s="104" t="n"/>
    </row>
    <row r="1851">
      <c r="A1851" s="104" t="inlineStr">
        <is>
          <t>GUIDE001850</t>
        </is>
      </c>
      <c r="B1851" s="101" t="inlineStr">
        <is>
          <t>DEV000030</t>
        </is>
      </c>
      <c r="C1851" s="103" t="inlineStr">
        <is>
          <t>APL</t>
        </is>
      </c>
      <c r="D1851" s="103" t="inlineStr">
        <is>
          <t>PHN</t>
        </is>
      </c>
      <c r="E1851" s="60" t="inlineStr">
        <is>
          <t>iPhone 13 mini</t>
        </is>
      </c>
      <c r="F1851" s="104" t="inlineStr">
        <is>
          <t>SVC000073</t>
        </is>
      </c>
      <c r="G1851" s="104" t="inlineStr">
        <is>
          <t>Screen Protector Installation</t>
        </is>
      </c>
      <c r="H1851" s="104" t="inlineStr">
        <is>
          <t>Accessories</t>
        </is>
      </c>
      <c r="I1851" s="104" t="n"/>
      <c r="J1851" s="104" t="n"/>
      <c r="K1851" s="104" t="n"/>
      <c r="L1851" s="104" t="n"/>
      <c r="M1851" s="104" t="n"/>
      <c r="N1851" s="104" t="n"/>
      <c r="O1851" s="104" t="n"/>
      <c r="P1851" s="104" t="n"/>
      <c r="Q1851" s="104" t="n"/>
      <c r="R1851" s="104" t="n"/>
      <c r="S1851" s="110" t="n"/>
      <c r="T1851" s="110" t="n"/>
      <c r="U1851" s="104" t="n"/>
    </row>
    <row r="1852">
      <c r="A1852" s="104" t="inlineStr">
        <is>
          <t>GUIDE001851</t>
        </is>
      </c>
      <c r="B1852" s="101" t="inlineStr">
        <is>
          <t>DEV000031</t>
        </is>
      </c>
      <c r="C1852" s="103" t="inlineStr">
        <is>
          <t>APL</t>
        </is>
      </c>
      <c r="D1852" s="103" t="inlineStr">
        <is>
          <t>PHN</t>
        </is>
      </c>
      <c r="E1852" s="60" t="inlineStr">
        <is>
          <t>iPhone 13</t>
        </is>
      </c>
      <c r="F1852" s="104" t="inlineStr">
        <is>
          <t>SVC000073</t>
        </is>
      </c>
      <c r="G1852" s="104" t="inlineStr">
        <is>
          <t>Screen Protector Installation</t>
        </is>
      </c>
      <c r="H1852" s="104" t="inlineStr">
        <is>
          <t>Accessories</t>
        </is>
      </c>
      <c r="I1852" s="104" t="n"/>
      <c r="J1852" s="104" t="n"/>
      <c r="K1852" s="104" t="n"/>
      <c r="L1852" s="104" t="n"/>
      <c r="M1852" s="104" t="n"/>
      <c r="N1852" s="104" t="n"/>
      <c r="O1852" s="104" t="n"/>
      <c r="P1852" s="104" t="n"/>
      <c r="Q1852" s="104" t="n"/>
      <c r="R1852" s="104" t="n"/>
      <c r="S1852" s="110" t="n"/>
      <c r="T1852" s="110" t="n"/>
      <c r="U1852" s="104" t="n"/>
    </row>
    <row r="1853">
      <c r="A1853" s="104" t="inlineStr">
        <is>
          <t>GUIDE001852</t>
        </is>
      </c>
      <c r="B1853" s="101" t="inlineStr">
        <is>
          <t>DEV000032</t>
        </is>
      </c>
      <c r="C1853" s="103" t="inlineStr">
        <is>
          <t>APL</t>
        </is>
      </c>
      <c r="D1853" s="103" t="inlineStr">
        <is>
          <t>PHN</t>
        </is>
      </c>
      <c r="E1853" s="60" t="inlineStr">
        <is>
          <t>iPhone 13 Pro</t>
        </is>
      </c>
      <c r="F1853" s="104" t="inlineStr">
        <is>
          <t>SVC000073</t>
        </is>
      </c>
      <c r="G1853" s="104" t="inlineStr">
        <is>
          <t>Screen Protector Installation</t>
        </is>
      </c>
      <c r="H1853" s="104" t="inlineStr">
        <is>
          <t>Accessories</t>
        </is>
      </c>
      <c r="I1853" s="104" t="n"/>
      <c r="J1853" s="104" t="n"/>
      <c r="K1853" s="104" t="n"/>
      <c r="L1853" s="104" t="n"/>
      <c r="M1853" s="104" t="n"/>
      <c r="N1853" s="104" t="n"/>
      <c r="O1853" s="104" t="n"/>
      <c r="P1853" s="104" t="n"/>
      <c r="Q1853" s="104" t="n"/>
      <c r="R1853" s="104" t="n"/>
      <c r="S1853" s="110" t="n"/>
      <c r="T1853" s="110" t="n"/>
      <c r="U1853" s="104" t="n"/>
    </row>
    <row r="1854">
      <c r="A1854" s="104" t="inlineStr">
        <is>
          <t>GUIDE001853</t>
        </is>
      </c>
      <c r="B1854" s="101" t="inlineStr">
        <is>
          <t>DEV000033</t>
        </is>
      </c>
      <c r="C1854" s="103" t="inlineStr">
        <is>
          <t>APL</t>
        </is>
      </c>
      <c r="D1854" s="103" t="inlineStr">
        <is>
          <t>PHN</t>
        </is>
      </c>
      <c r="E1854" s="60" t="inlineStr">
        <is>
          <t>iPhone 13 Pro Max</t>
        </is>
      </c>
      <c r="F1854" s="104" t="inlineStr">
        <is>
          <t>SVC000073</t>
        </is>
      </c>
      <c r="G1854" s="104" t="inlineStr">
        <is>
          <t>Screen Protector Installation</t>
        </is>
      </c>
      <c r="H1854" s="104" t="inlineStr">
        <is>
          <t>Accessories</t>
        </is>
      </c>
      <c r="I1854" s="104" t="n"/>
      <c r="J1854" s="104" t="n"/>
      <c r="K1854" s="104" t="n"/>
      <c r="L1854" s="104" t="n"/>
      <c r="M1854" s="104" t="n"/>
      <c r="N1854" s="104" t="n"/>
      <c r="O1854" s="104" t="n"/>
      <c r="P1854" s="104" t="n"/>
      <c r="Q1854" s="104" t="n"/>
      <c r="R1854" s="104" t="n"/>
      <c r="S1854" s="110" t="n"/>
      <c r="T1854" s="110" t="n"/>
      <c r="U1854" s="104" t="n"/>
    </row>
    <row r="1855">
      <c r="A1855" s="105" t="inlineStr">
        <is>
          <t>GUIDE001854</t>
        </is>
      </c>
      <c r="B1855" s="101" t="inlineStr">
        <is>
          <t>DEV000034</t>
        </is>
      </c>
      <c r="C1855" s="103" t="inlineStr">
        <is>
          <t>APL</t>
        </is>
      </c>
      <c r="D1855" s="103" t="inlineStr">
        <is>
          <t>PHN</t>
        </is>
      </c>
      <c r="E1855" s="60" t="inlineStr">
        <is>
          <t>iPhone SE (3rd Generation)</t>
        </is>
      </c>
      <c r="F1855" s="104" t="inlineStr">
        <is>
          <t>SVC000073</t>
        </is>
      </c>
      <c r="G1855" s="104" t="inlineStr">
        <is>
          <t>Screen Protector Installation</t>
        </is>
      </c>
      <c r="H1855" s="104" t="inlineStr">
        <is>
          <t>Accessories</t>
        </is>
      </c>
      <c r="I1855" s="104" t="n"/>
      <c r="J1855" s="104" t="n"/>
      <c r="K1855" s="104" t="n"/>
      <c r="L1855" s="104" t="n"/>
      <c r="M1855" s="104" t="n"/>
      <c r="N1855" s="104" t="n"/>
      <c r="O1855" s="104" t="n"/>
      <c r="P1855" s="104" t="n"/>
      <c r="Q1855" s="104" t="n"/>
      <c r="R1855" s="104" t="n"/>
      <c r="S1855" s="110" t="n"/>
      <c r="T1855" s="110" t="n"/>
      <c r="U1855" s="104" t="n"/>
    </row>
    <row r="1856">
      <c r="A1856" s="104" t="inlineStr">
        <is>
          <t>GUIDE001855</t>
        </is>
      </c>
      <c r="B1856" s="101" t="inlineStr">
        <is>
          <t>DEV000035</t>
        </is>
      </c>
      <c r="C1856" s="103" t="inlineStr">
        <is>
          <t>APL</t>
        </is>
      </c>
      <c r="D1856" s="103" t="inlineStr">
        <is>
          <t>PHN</t>
        </is>
      </c>
      <c r="E1856" s="60" t="inlineStr">
        <is>
          <t>iPhone 14</t>
        </is>
      </c>
      <c r="F1856" s="104" t="inlineStr">
        <is>
          <t>SVC000073</t>
        </is>
      </c>
      <c r="G1856" s="104" t="inlineStr">
        <is>
          <t>Screen Protector Installation</t>
        </is>
      </c>
      <c r="H1856" s="104" t="inlineStr">
        <is>
          <t>Accessories</t>
        </is>
      </c>
      <c r="I1856" s="104" t="n"/>
      <c r="J1856" s="104" t="n"/>
      <c r="K1856" s="104" t="n"/>
      <c r="L1856" s="104" t="n"/>
      <c r="M1856" s="104" t="n"/>
      <c r="N1856" s="104" t="n"/>
      <c r="O1856" s="104" t="n"/>
      <c r="P1856" s="104" t="n"/>
      <c r="Q1856" s="104" t="n"/>
      <c r="R1856" s="104" t="n"/>
      <c r="S1856" s="110" t="n"/>
      <c r="T1856" s="110" t="n"/>
      <c r="U1856" s="104" t="n"/>
    </row>
    <row r="1857">
      <c r="A1857" s="104" t="inlineStr">
        <is>
          <t>GUIDE001856</t>
        </is>
      </c>
      <c r="B1857" s="101" t="inlineStr">
        <is>
          <t>DEV000036</t>
        </is>
      </c>
      <c r="C1857" s="103" t="inlineStr">
        <is>
          <t>APL</t>
        </is>
      </c>
      <c r="D1857" s="103" t="inlineStr">
        <is>
          <t>PHN</t>
        </is>
      </c>
      <c r="E1857" s="60" t="inlineStr">
        <is>
          <t>iPhone 14 Plus</t>
        </is>
      </c>
      <c r="F1857" s="104" t="inlineStr">
        <is>
          <t>SVC000073</t>
        </is>
      </c>
      <c r="G1857" s="104" t="inlineStr">
        <is>
          <t>Screen Protector Installation</t>
        </is>
      </c>
      <c r="H1857" s="104" t="inlineStr">
        <is>
          <t>Accessories</t>
        </is>
      </c>
      <c r="I1857" s="104" t="n"/>
      <c r="J1857" s="104" t="n"/>
      <c r="K1857" s="104" t="n"/>
      <c r="L1857" s="104" t="n"/>
      <c r="M1857" s="104" t="n"/>
      <c r="N1857" s="104" t="n"/>
      <c r="O1857" s="104" t="n"/>
      <c r="P1857" s="104" t="n"/>
      <c r="Q1857" s="104" t="n"/>
      <c r="R1857" s="104" t="n"/>
      <c r="S1857" s="110" t="n"/>
      <c r="T1857" s="110" t="n"/>
      <c r="U1857" s="104" t="n"/>
    </row>
    <row r="1858">
      <c r="A1858" s="104" t="inlineStr">
        <is>
          <t>GUIDE001857</t>
        </is>
      </c>
      <c r="B1858" s="101" t="inlineStr">
        <is>
          <t>DEV000037</t>
        </is>
      </c>
      <c r="C1858" s="103" t="inlineStr">
        <is>
          <t>APL</t>
        </is>
      </c>
      <c r="D1858" s="103" t="inlineStr">
        <is>
          <t>PHN</t>
        </is>
      </c>
      <c r="E1858" s="60" t="inlineStr">
        <is>
          <t>iPhone 14 Pro</t>
        </is>
      </c>
      <c r="F1858" s="104" t="inlineStr">
        <is>
          <t>SVC000073</t>
        </is>
      </c>
      <c r="G1858" s="104" t="inlineStr">
        <is>
          <t>Screen Protector Installation</t>
        </is>
      </c>
      <c r="H1858" s="104" t="inlineStr">
        <is>
          <t>Accessories</t>
        </is>
      </c>
      <c r="I1858" s="104" t="n"/>
      <c r="J1858" s="104" t="n"/>
      <c r="K1858" s="104" t="n"/>
      <c r="L1858" s="104" t="n"/>
      <c r="M1858" s="104" t="n"/>
      <c r="N1858" s="104" t="n"/>
      <c r="O1858" s="104" t="n"/>
      <c r="P1858" s="104" t="n"/>
      <c r="Q1858" s="104" t="n"/>
      <c r="R1858" s="104" t="n"/>
      <c r="S1858" s="110" t="n"/>
      <c r="T1858" s="110" t="n"/>
      <c r="U1858" s="104" t="n"/>
    </row>
    <row r="1859">
      <c r="A1859" s="105" t="inlineStr">
        <is>
          <t>GUIDE001858</t>
        </is>
      </c>
      <c r="B1859" s="101" t="inlineStr">
        <is>
          <t>DEV000038</t>
        </is>
      </c>
      <c r="C1859" s="103" t="inlineStr">
        <is>
          <t>APL</t>
        </is>
      </c>
      <c r="D1859" s="103" t="inlineStr">
        <is>
          <t>PHN</t>
        </is>
      </c>
      <c r="E1859" s="60" t="inlineStr">
        <is>
          <t>iPhone 14 Pro Max</t>
        </is>
      </c>
      <c r="F1859" s="104" t="inlineStr">
        <is>
          <t>SVC000073</t>
        </is>
      </c>
      <c r="G1859" s="104" t="inlineStr">
        <is>
          <t>Screen Protector Installation</t>
        </is>
      </c>
      <c r="H1859" s="104" t="inlineStr">
        <is>
          <t>Accessories</t>
        </is>
      </c>
      <c r="I1859" s="104" t="n"/>
      <c r="J1859" s="104" t="n"/>
      <c r="K1859" s="104" t="n"/>
      <c r="L1859" s="104" t="n"/>
      <c r="M1859" s="104" t="n"/>
      <c r="N1859" s="104" t="n"/>
      <c r="O1859" s="104" t="n"/>
      <c r="P1859" s="104" t="n"/>
      <c r="Q1859" s="104" t="n"/>
      <c r="R1859" s="104" t="n"/>
      <c r="S1859" s="110" t="n"/>
      <c r="T1859" s="110" t="n"/>
      <c r="U1859" s="104" t="n"/>
    </row>
    <row r="1860">
      <c r="A1860" s="104" t="inlineStr">
        <is>
          <t>GUIDE001859</t>
        </is>
      </c>
      <c r="B1860" s="101" t="inlineStr">
        <is>
          <t>DEV000039</t>
        </is>
      </c>
      <c r="C1860" s="103" t="inlineStr">
        <is>
          <t>APL</t>
        </is>
      </c>
      <c r="D1860" s="103" t="inlineStr">
        <is>
          <t>PHN</t>
        </is>
      </c>
      <c r="E1860" s="60" t="inlineStr">
        <is>
          <t>iPhone 15</t>
        </is>
      </c>
      <c r="F1860" s="104" t="inlineStr">
        <is>
          <t>SVC000073</t>
        </is>
      </c>
      <c r="G1860" s="104" t="inlineStr">
        <is>
          <t>Screen Protector Installation</t>
        </is>
      </c>
      <c r="H1860" s="104" t="inlineStr">
        <is>
          <t>Accessories</t>
        </is>
      </c>
      <c r="I1860" s="104" t="n"/>
      <c r="J1860" s="104" t="n"/>
      <c r="K1860" s="104" t="n"/>
      <c r="L1860" s="104" t="n"/>
      <c r="M1860" s="104" t="n"/>
      <c r="N1860" s="104" t="n"/>
      <c r="O1860" s="104" t="n"/>
      <c r="P1860" s="104" t="n"/>
      <c r="Q1860" s="104" t="n"/>
      <c r="R1860" s="104" t="n"/>
      <c r="S1860" s="110" t="n"/>
      <c r="T1860" s="110" t="n"/>
      <c r="U1860" s="104" t="n"/>
    </row>
    <row r="1861">
      <c r="A1861" s="104" t="inlineStr">
        <is>
          <t>GUIDE001860</t>
        </is>
      </c>
      <c r="B1861" s="101" t="inlineStr">
        <is>
          <t>DEV000040</t>
        </is>
      </c>
      <c r="C1861" s="103" t="inlineStr">
        <is>
          <t>APL</t>
        </is>
      </c>
      <c r="D1861" s="103" t="inlineStr">
        <is>
          <t>PHN</t>
        </is>
      </c>
      <c r="E1861" s="60" t="inlineStr">
        <is>
          <t>iPhone 15 Plus</t>
        </is>
      </c>
      <c r="F1861" s="104" t="inlineStr">
        <is>
          <t>SVC000073</t>
        </is>
      </c>
      <c r="G1861" s="104" t="inlineStr">
        <is>
          <t>Screen Protector Installation</t>
        </is>
      </c>
      <c r="H1861" s="104" t="inlineStr">
        <is>
          <t>Accessories</t>
        </is>
      </c>
      <c r="I1861" s="104" t="n"/>
      <c r="J1861" s="104" t="n"/>
      <c r="K1861" s="104" t="n"/>
      <c r="L1861" s="104" t="n"/>
      <c r="M1861" s="104" t="n"/>
      <c r="N1861" s="104" t="n"/>
      <c r="O1861" s="104" t="n"/>
      <c r="P1861" s="104" t="n"/>
      <c r="Q1861" s="104" t="n"/>
      <c r="R1861" s="104" t="n"/>
      <c r="S1861" s="110" t="n"/>
      <c r="T1861" s="110" t="n"/>
      <c r="U1861" s="104" t="n"/>
    </row>
    <row r="1862">
      <c r="A1862" s="104" t="inlineStr">
        <is>
          <t>GUIDE001861</t>
        </is>
      </c>
      <c r="B1862" s="101" t="inlineStr">
        <is>
          <t>DEV000041</t>
        </is>
      </c>
      <c r="C1862" s="103" t="inlineStr">
        <is>
          <t>APL</t>
        </is>
      </c>
      <c r="D1862" s="103" t="inlineStr">
        <is>
          <t>PHN</t>
        </is>
      </c>
      <c r="E1862" s="60" t="inlineStr">
        <is>
          <t>iPhone 15 Pro</t>
        </is>
      </c>
      <c r="F1862" s="104" t="inlineStr">
        <is>
          <t>SVC000073</t>
        </is>
      </c>
      <c r="G1862" s="104" t="inlineStr">
        <is>
          <t>Screen Protector Installation</t>
        </is>
      </c>
      <c r="H1862" s="104" t="inlineStr">
        <is>
          <t>Accessories</t>
        </is>
      </c>
      <c r="I1862" s="104" t="n"/>
      <c r="J1862" s="104" t="n"/>
      <c r="K1862" s="104" t="n"/>
      <c r="L1862" s="104" t="n"/>
      <c r="M1862" s="104" t="n"/>
      <c r="N1862" s="104" t="n"/>
      <c r="O1862" s="104" t="n"/>
      <c r="P1862" s="104" t="n"/>
      <c r="Q1862" s="104" t="n"/>
      <c r="R1862" s="104" t="n"/>
      <c r="S1862" s="110" t="n"/>
      <c r="T1862" s="110" t="n"/>
      <c r="U1862" s="104" t="n"/>
    </row>
    <row r="1863">
      <c r="A1863" s="105" t="inlineStr">
        <is>
          <t>GUIDE001862</t>
        </is>
      </c>
      <c r="B1863" s="101" t="inlineStr">
        <is>
          <t>DEV000042</t>
        </is>
      </c>
      <c r="C1863" s="103" t="inlineStr">
        <is>
          <t>APL</t>
        </is>
      </c>
      <c r="D1863" s="103" t="inlineStr">
        <is>
          <t>PHN</t>
        </is>
      </c>
      <c r="E1863" s="60" t="inlineStr">
        <is>
          <t>iPhone 15 Pro Max</t>
        </is>
      </c>
      <c r="F1863" s="104" t="inlineStr">
        <is>
          <t>SVC000073</t>
        </is>
      </c>
      <c r="G1863" s="104" t="inlineStr">
        <is>
          <t>Screen Protector Installation</t>
        </is>
      </c>
      <c r="H1863" s="104" t="inlineStr">
        <is>
          <t>Accessories</t>
        </is>
      </c>
      <c r="I1863" s="104" t="n"/>
      <c r="J1863" s="104" t="n"/>
      <c r="K1863" s="104" t="n"/>
      <c r="L1863" s="104" t="n"/>
      <c r="M1863" s="104" t="n"/>
      <c r="N1863" s="104" t="n"/>
      <c r="O1863" s="104" t="n"/>
      <c r="P1863" s="104" t="n"/>
      <c r="Q1863" s="104" t="n"/>
      <c r="R1863" s="104" t="n"/>
      <c r="S1863" s="110" t="n"/>
      <c r="T1863" s="110" t="n"/>
      <c r="U1863" s="104" t="n"/>
    </row>
    <row r="1864">
      <c r="A1864" s="104" t="inlineStr">
        <is>
          <t>GUIDE001863</t>
        </is>
      </c>
      <c r="B1864" s="101" t="inlineStr">
        <is>
          <t>DEV000043</t>
        </is>
      </c>
      <c r="C1864" s="103" t="inlineStr">
        <is>
          <t>APL</t>
        </is>
      </c>
      <c r="D1864" s="103" t="inlineStr">
        <is>
          <t>PHN</t>
        </is>
      </c>
      <c r="E1864" s="60" t="inlineStr">
        <is>
          <t>iPhone 16</t>
        </is>
      </c>
      <c r="F1864" s="104" t="inlineStr">
        <is>
          <t>SVC000073</t>
        </is>
      </c>
      <c r="G1864" s="104" t="inlineStr">
        <is>
          <t>Screen Protector Installation</t>
        </is>
      </c>
      <c r="H1864" s="104" t="inlineStr">
        <is>
          <t>Accessories</t>
        </is>
      </c>
      <c r="I1864" s="104" t="n"/>
      <c r="J1864" s="104" t="n"/>
      <c r="K1864" s="104" t="n"/>
      <c r="L1864" s="104" t="n"/>
      <c r="M1864" s="104" t="n"/>
      <c r="N1864" s="104" t="n"/>
      <c r="O1864" s="104" t="n"/>
      <c r="P1864" s="104" t="n"/>
      <c r="Q1864" s="104" t="n"/>
      <c r="R1864" s="104" t="n"/>
      <c r="S1864" s="110" t="n"/>
      <c r="T1864" s="110" t="n"/>
      <c r="U1864" s="104" t="n"/>
    </row>
    <row r="1865">
      <c r="A1865" s="104" t="inlineStr">
        <is>
          <t>GUIDE001864</t>
        </is>
      </c>
      <c r="B1865" s="101" t="inlineStr">
        <is>
          <t>DEV000044</t>
        </is>
      </c>
      <c r="C1865" s="103" t="inlineStr">
        <is>
          <t>APL</t>
        </is>
      </c>
      <c r="D1865" s="103" t="inlineStr">
        <is>
          <t>PHN</t>
        </is>
      </c>
      <c r="E1865" s="60" t="inlineStr">
        <is>
          <t>iPhone 16 Plus</t>
        </is>
      </c>
      <c r="F1865" s="104" t="inlineStr">
        <is>
          <t>SVC000073</t>
        </is>
      </c>
      <c r="G1865" s="104" t="inlineStr">
        <is>
          <t>Screen Protector Installation</t>
        </is>
      </c>
      <c r="H1865" s="104" t="inlineStr">
        <is>
          <t>Accessories</t>
        </is>
      </c>
      <c r="I1865" s="104" t="n"/>
      <c r="J1865" s="104" t="n"/>
      <c r="K1865" s="104" t="n"/>
      <c r="L1865" s="104" t="n"/>
      <c r="M1865" s="104" t="n"/>
      <c r="N1865" s="104" t="n"/>
      <c r="O1865" s="104" t="n"/>
      <c r="P1865" s="104" t="n"/>
      <c r="Q1865" s="104" t="n"/>
      <c r="R1865" s="104" t="n"/>
      <c r="S1865" s="110" t="n"/>
      <c r="T1865" s="110" t="n"/>
      <c r="U1865" s="104" t="n"/>
    </row>
    <row r="1866">
      <c r="A1866" s="104" t="inlineStr">
        <is>
          <t>GUIDE001865</t>
        </is>
      </c>
      <c r="B1866" s="101" t="inlineStr">
        <is>
          <t>DEV000045</t>
        </is>
      </c>
      <c r="C1866" s="103" t="inlineStr">
        <is>
          <t>APL</t>
        </is>
      </c>
      <c r="D1866" s="103" t="inlineStr">
        <is>
          <t>PHN</t>
        </is>
      </c>
      <c r="E1866" s="60" t="inlineStr">
        <is>
          <t>iPhone 16 Pro</t>
        </is>
      </c>
      <c r="F1866" s="104" t="inlineStr">
        <is>
          <t>SVC000073</t>
        </is>
      </c>
      <c r="G1866" s="104" t="inlineStr">
        <is>
          <t>Screen Protector Installation</t>
        </is>
      </c>
      <c r="H1866" s="104" t="inlineStr">
        <is>
          <t>Accessories</t>
        </is>
      </c>
      <c r="I1866" s="104" t="n"/>
      <c r="J1866" s="104" t="n"/>
      <c r="K1866" s="104" t="n"/>
      <c r="L1866" s="104" t="n"/>
      <c r="M1866" s="104" t="n"/>
      <c r="N1866" s="104" t="n"/>
      <c r="O1866" s="104" t="n"/>
      <c r="P1866" s="104" t="n"/>
      <c r="Q1866" s="104" t="n"/>
      <c r="R1866" s="104" t="n"/>
      <c r="S1866" s="110" t="n"/>
      <c r="T1866" s="110" t="n"/>
      <c r="U1866" s="104" t="n"/>
    </row>
    <row r="1867">
      <c r="A1867" s="105" t="inlineStr">
        <is>
          <t>GUIDE001866</t>
        </is>
      </c>
      <c r="B1867" s="101" t="inlineStr">
        <is>
          <t>DEV000046</t>
        </is>
      </c>
      <c r="C1867" s="103" t="inlineStr">
        <is>
          <t>APL</t>
        </is>
      </c>
      <c r="D1867" s="103" t="inlineStr">
        <is>
          <t>PHN</t>
        </is>
      </c>
      <c r="E1867" s="60" t="inlineStr">
        <is>
          <t>iPhone 16 Pro Max</t>
        </is>
      </c>
      <c r="F1867" s="104" t="inlineStr">
        <is>
          <t>SVC000073</t>
        </is>
      </c>
      <c r="G1867" s="104" t="inlineStr">
        <is>
          <t>Screen Protector Installation</t>
        </is>
      </c>
      <c r="H1867" s="104" t="inlineStr">
        <is>
          <t>Accessories</t>
        </is>
      </c>
      <c r="I1867" s="104" t="n"/>
      <c r="J1867" s="104" t="n"/>
      <c r="K1867" s="104" t="n"/>
      <c r="L1867" s="104" t="n"/>
      <c r="M1867" s="104" t="n"/>
      <c r="N1867" s="104" t="n"/>
      <c r="O1867" s="104" t="n"/>
      <c r="P1867" s="104" t="n"/>
      <c r="Q1867" s="104" t="n"/>
      <c r="R1867" s="104" t="n"/>
      <c r="S1867" s="110" t="n"/>
      <c r="T1867" s="110" t="n"/>
      <c r="U1867" s="104" t="n"/>
    </row>
    <row r="1868">
      <c r="A1868" s="104" t="inlineStr">
        <is>
          <t>GUIDE001867</t>
        </is>
      </c>
      <c r="B1868" s="101" t="inlineStr">
        <is>
          <t>DEV000047</t>
        </is>
      </c>
      <c r="C1868" s="103" t="inlineStr">
        <is>
          <t>APL</t>
        </is>
      </c>
      <c r="D1868" s="103" t="inlineStr">
        <is>
          <t>PHN</t>
        </is>
      </c>
      <c r="E1868" s="60" t="inlineStr">
        <is>
          <t>iPhone 16e</t>
        </is>
      </c>
      <c r="F1868" s="104" t="inlineStr">
        <is>
          <t>SVC000073</t>
        </is>
      </c>
      <c r="G1868" s="104" t="inlineStr">
        <is>
          <t>Screen Protector Installation</t>
        </is>
      </c>
      <c r="H1868" s="104" t="inlineStr">
        <is>
          <t>Accessories</t>
        </is>
      </c>
      <c r="I1868" s="104" t="n"/>
      <c r="J1868" s="104" t="n"/>
      <c r="K1868" s="104" t="n"/>
      <c r="L1868" s="104" t="n"/>
      <c r="M1868" s="104" t="n"/>
      <c r="N1868" s="104" t="n"/>
      <c r="O1868" s="104" t="n"/>
      <c r="P1868" s="104" t="n"/>
      <c r="Q1868" s="104" t="n"/>
      <c r="R1868" s="104" t="n"/>
      <c r="S1868" s="110" t="n"/>
      <c r="T1868" s="110" t="n"/>
      <c r="U1868" s="104" t="n"/>
    </row>
    <row r="1869">
      <c r="A1869" s="104" t="inlineStr">
        <is>
          <t>GUIDE001868</t>
        </is>
      </c>
      <c r="B1869" s="101" t="inlineStr">
        <is>
          <t>DEV000048</t>
        </is>
      </c>
      <c r="C1869" s="103" t="inlineStr">
        <is>
          <t>APL</t>
        </is>
      </c>
      <c r="D1869" s="103" t="inlineStr">
        <is>
          <t>PHN</t>
        </is>
      </c>
      <c r="E1869" s="60" t="inlineStr">
        <is>
          <t>iPhone 17</t>
        </is>
      </c>
      <c r="F1869" s="104" t="inlineStr">
        <is>
          <t>SVC000073</t>
        </is>
      </c>
      <c r="G1869" s="104" t="inlineStr">
        <is>
          <t>Screen Protector Installation</t>
        </is>
      </c>
      <c r="H1869" s="104" t="inlineStr">
        <is>
          <t>Accessories</t>
        </is>
      </c>
      <c r="I1869" s="104" t="n"/>
      <c r="J1869" s="104" t="n"/>
      <c r="K1869" s="104" t="n"/>
      <c r="L1869" s="104" t="n"/>
      <c r="M1869" s="104" t="n"/>
      <c r="N1869" s="104" t="n"/>
      <c r="O1869" s="104" t="n"/>
      <c r="P1869" s="104" t="n"/>
      <c r="Q1869" s="104" t="n"/>
      <c r="R1869" s="104" t="n"/>
      <c r="S1869" s="110" t="n"/>
      <c r="T1869" s="110" t="n"/>
      <c r="U1869" s="104" t="n"/>
    </row>
    <row r="1870">
      <c r="A1870" s="104" t="inlineStr">
        <is>
          <t>GUIDE001869</t>
        </is>
      </c>
      <c r="B1870" s="101" t="inlineStr">
        <is>
          <t>DEV000049</t>
        </is>
      </c>
      <c r="C1870" s="103" t="inlineStr">
        <is>
          <t>APL</t>
        </is>
      </c>
      <c r="D1870" s="103" t="inlineStr">
        <is>
          <t>PHN</t>
        </is>
      </c>
      <c r="E1870" s="60" t="inlineStr">
        <is>
          <t>iPhone 17 Pro</t>
        </is>
      </c>
      <c r="F1870" s="104" t="inlineStr">
        <is>
          <t>SVC000073</t>
        </is>
      </c>
      <c r="G1870" s="104" t="inlineStr">
        <is>
          <t>Screen Protector Installation</t>
        </is>
      </c>
      <c r="H1870" s="104" t="inlineStr">
        <is>
          <t>Accessories</t>
        </is>
      </c>
      <c r="I1870" s="104" t="n"/>
      <c r="J1870" s="104" t="n"/>
      <c r="K1870" s="104" t="n"/>
      <c r="L1870" s="104" t="n"/>
      <c r="M1870" s="104" t="n"/>
      <c r="N1870" s="104" t="n"/>
      <c r="O1870" s="104" t="n"/>
      <c r="P1870" s="104" t="n"/>
      <c r="Q1870" s="104" t="n"/>
      <c r="R1870" s="104" t="n"/>
      <c r="S1870" s="110" t="n"/>
      <c r="T1870" s="110" t="n"/>
      <c r="U1870" s="104" t="n"/>
    </row>
    <row r="1871">
      <c r="A1871" s="105" t="inlineStr">
        <is>
          <t>GUIDE001870</t>
        </is>
      </c>
      <c r="B1871" s="101" t="inlineStr">
        <is>
          <t>DEV000050</t>
        </is>
      </c>
      <c r="C1871" s="103" t="inlineStr">
        <is>
          <t>APL</t>
        </is>
      </c>
      <c r="D1871" s="103" t="inlineStr">
        <is>
          <t>PHN</t>
        </is>
      </c>
      <c r="E1871" s="60" t="inlineStr">
        <is>
          <t>iPhone 17 Pro Max</t>
        </is>
      </c>
      <c r="F1871" s="104" t="inlineStr">
        <is>
          <t>SVC000073</t>
        </is>
      </c>
      <c r="G1871" s="104" t="inlineStr">
        <is>
          <t>Screen Protector Installation</t>
        </is>
      </c>
      <c r="H1871" s="104" t="inlineStr">
        <is>
          <t>Accessories</t>
        </is>
      </c>
      <c r="I1871" s="104" t="n"/>
      <c r="J1871" s="104" t="n"/>
      <c r="K1871" s="104" t="n"/>
      <c r="L1871" s="104" t="n"/>
      <c r="M1871" s="104" t="n"/>
      <c r="N1871" s="104" t="n"/>
      <c r="O1871" s="104" t="n"/>
      <c r="P1871" s="104" t="n"/>
      <c r="Q1871" s="104" t="n"/>
      <c r="R1871" s="104" t="n"/>
      <c r="S1871" s="110" t="n"/>
      <c r="T1871" s="110" t="n"/>
      <c r="U1871" s="104" t="n"/>
    </row>
    <row r="1872">
      <c r="A1872" s="104" t="inlineStr">
        <is>
          <t>GUIDE001871</t>
        </is>
      </c>
      <c r="B1872" s="101" t="inlineStr">
        <is>
          <t>DEV000051</t>
        </is>
      </c>
      <c r="C1872" s="103" t="inlineStr">
        <is>
          <t>APL</t>
        </is>
      </c>
      <c r="D1872" s="103" t="inlineStr">
        <is>
          <t>PHN</t>
        </is>
      </c>
      <c r="E1872" s="60" t="inlineStr">
        <is>
          <t>iPhone Air</t>
        </is>
      </c>
      <c r="F1872" s="104" t="inlineStr">
        <is>
          <t>SVC000073</t>
        </is>
      </c>
      <c r="G1872" s="104" t="inlineStr">
        <is>
          <t>Screen Protector Installation</t>
        </is>
      </c>
      <c r="H1872" s="104" t="inlineStr">
        <is>
          <t>Accessories</t>
        </is>
      </c>
      <c r="I1872" s="104" t="n"/>
      <c r="J1872" s="104" t="n"/>
      <c r="K1872" s="104" t="n"/>
      <c r="L1872" s="104" t="n"/>
      <c r="M1872" s="104" t="n"/>
      <c r="N1872" s="104" t="n"/>
      <c r="O1872" s="104" t="n"/>
      <c r="P1872" s="104" t="n"/>
      <c r="Q1872" s="104" t="n"/>
      <c r="R1872" s="104" t="n"/>
      <c r="S1872" s="110" t="n"/>
      <c r="T1872" s="110" t="n"/>
      <c r="U1872" s="104" t="n"/>
    </row>
    <row r="1873">
      <c r="A1873" s="104" t="inlineStr">
        <is>
          <t>GUIDE001872</t>
        </is>
      </c>
      <c r="B1873" s="101" t="inlineStr">
        <is>
          <t>DEV000052</t>
        </is>
      </c>
      <c r="C1873" s="103" t="inlineStr">
        <is>
          <t>APL</t>
        </is>
      </c>
      <c r="D1873" s="103" t="inlineStr">
        <is>
          <t>PHN</t>
        </is>
      </c>
      <c r="E1873" s="60" t="inlineStr">
        <is>
          <t>iPhone 17e</t>
        </is>
      </c>
      <c r="F1873" s="104" t="inlineStr">
        <is>
          <t>SVC000073</t>
        </is>
      </c>
      <c r="G1873" s="104" t="inlineStr">
        <is>
          <t>Screen Protector Installation</t>
        </is>
      </c>
      <c r="H1873" s="104" t="inlineStr">
        <is>
          <t>Accessories</t>
        </is>
      </c>
      <c r="I1873" s="104" t="n"/>
      <c r="J1873" s="104" t="n"/>
      <c r="K1873" s="104" t="n"/>
      <c r="L1873" s="104" t="n"/>
      <c r="M1873" s="104" t="n"/>
      <c r="N1873" s="104" t="n"/>
      <c r="O1873" s="104" t="n"/>
      <c r="P1873" s="104" t="n"/>
      <c r="Q1873" s="104" t="n"/>
      <c r="R1873" s="104" t="n"/>
      <c r="S1873" s="110" t="n"/>
      <c r="T1873" s="110" t="n"/>
      <c r="U1873" s="104" t="n"/>
    </row>
    <row r="1874">
      <c r="A1874" s="104" t="inlineStr">
        <is>
          <t>GUIDE001873</t>
        </is>
      </c>
      <c r="B1874" s="101" t="inlineStr">
        <is>
          <t>DEV000001</t>
        </is>
      </c>
      <c r="C1874" s="103" t="inlineStr">
        <is>
          <t>APL</t>
        </is>
      </c>
      <c r="D1874" s="103" t="inlineStr">
        <is>
          <t>PHN</t>
        </is>
      </c>
      <c r="E1874" s="60" t="inlineStr">
        <is>
          <t>iPhone (2G)</t>
        </is>
      </c>
      <c r="F1874" s="104" t="inlineStr">
        <is>
          <t>SVC000074</t>
        </is>
      </c>
      <c r="G1874" s="104" t="inlineStr">
        <is>
          <t>Case Installation</t>
        </is>
      </c>
      <c r="H1874" s="104" t="inlineStr">
        <is>
          <t>Accessories</t>
        </is>
      </c>
      <c r="I1874" s="104" t="n"/>
      <c r="J1874" s="104" t="n"/>
      <c r="K1874" s="104" t="n"/>
      <c r="L1874" s="104" t="n"/>
      <c r="M1874" s="104" t="n"/>
      <c r="N1874" s="104" t="n"/>
      <c r="O1874" s="104" t="n"/>
      <c r="P1874" s="104" t="n"/>
      <c r="Q1874" s="104" t="n"/>
      <c r="R1874" s="104" t="n"/>
      <c r="S1874" s="110" t="n"/>
      <c r="T1874" s="110" t="n"/>
      <c r="U1874" s="104" t="n"/>
    </row>
    <row r="1875">
      <c r="A1875" s="105" t="inlineStr">
        <is>
          <t>GUIDE001874</t>
        </is>
      </c>
      <c r="B1875" s="101" t="inlineStr">
        <is>
          <t>DEV000002</t>
        </is>
      </c>
      <c r="C1875" s="103" t="inlineStr">
        <is>
          <t>APL</t>
        </is>
      </c>
      <c r="D1875" s="103" t="inlineStr">
        <is>
          <t>PHN</t>
        </is>
      </c>
      <c r="E1875" s="60" t="inlineStr">
        <is>
          <t>iPhone 3G</t>
        </is>
      </c>
      <c r="F1875" s="104" t="inlineStr">
        <is>
          <t>SVC000074</t>
        </is>
      </c>
      <c r="G1875" s="104" t="inlineStr">
        <is>
          <t>Case Installation</t>
        </is>
      </c>
      <c r="H1875" s="104" t="inlineStr">
        <is>
          <t>Accessories</t>
        </is>
      </c>
      <c r="I1875" s="104" t="n"/>
      <c r="J1875" s="104" t="n"/>
      <c r="K1875" s="104" t="n"/>
      <c r="L1875" s="104" t="n"/>
      <c r="M1875" s="104" t="n"/>
      <c r="N1875" s="104" t="n"/>
      <c r="O1875" s="104" t="n"/>
      <c r="P1875" s="104" t="n"/>
      <c r="Q1875" s="104" t="n"/>
      <c r="R1875" s="104" t="n"/>
      <c r="S1875" s="110" t="n"/>
      <c r="T1875" s="110" t="n"/>
      <c r="U1875" s="104" t="n"/>
    </row>
    <row r="1876">
      <c r="A1876" s="104" t="inlineStr">
        <is>
          <t>GUIDE001875</t>
        </is>
      </c>
      <c r="B1876" s="101" t="inlineStr">
        <is>
          <t>DEV000003</t>
        </is>
      </c>
      <c r="C1876" s="103" t="inlineStr">
        <is>
          <t>APL</t>
        </is>
      </c>
      <c r="D1876" s="103" t="inlineStr">
        <is>
          <t>PHN</t>
        </is>
      </c>
      <c r="E1876" s="60" t="inlineStr">
        <is>
          <t>iPhone 3GS</t>
        </is>
      </c>
      <c r="F1876" s="104" t="inlineStr">
        <is>
          <t>SVC000074</t>
        </is>
      </c>
      <c r="G1876" s="104" t="inlineStr">
        <is>
          <t>Case Installation</t>
        </is>
      </c>
      <c r="H1876" s="104" t="inlineStr">
        <is>
          <t>Accessories</t>
        </is>
      </c>
      <c r="I1876" s="104" t="n"/>
      <c r="J1876" s="104" t="n"/>
      <c r="K1876" s="104" t="n"/>
      <c r="L1876" s="104" t="n"/>
      <c r="M1876" s="104" t="n"/>
      <c r="N1876" s="104" t="n"/>
      <c r="O1876" s="104" t="n"/>
      <c r="P1876" s="104" t="n"/>
      <c r="Q1876" s="104" t="n"/>
      <c r="R1876" s="104" t="n"/>
      <c r="S1876" s="110" t="n"/>
      <c r="T1876" s="110" t="n"/>
      <c r="U1876" s="104" t="n"/>
    </row>
    <row r="1877">
      <c r="A1877" s="104" t="inlineStr">
        <is>
          <t>GUIDE001876</t>
        </is>
      </c>
      <c r="B1877" s="101" t="inlineStr">
        <is>
          <t>DEV000004</t>
        </is>
      </c>
      <c r="C1877" s="103" t="inlineStr">
        <is>
          <t>APL</t>
        </is>
      </c>
      <c r="D1877" s="103" t="inlineStr">
        <is>
          <t>PHN</t>
        </is>
      </c>
      <c r="E1877" s="60" t="inlineStr">
        <is>
          <t>iPhone 4</t>
        </is>
      </c>
      <c r="F1877" s="104" t="inlineStr">
        <is>
          <t>SVC000074</t>
        </is>
      </c>
      <c r="G1877" s="104" t="inlineStr">
        <is>
          <t>Case Installation</t>
        </is>
      </c>
      <c r="H1877" s="104" t="inlineStr">
        <is>
          <t>Accessories</t>
        </is>
      </c>
      <c r="I1877" s="104" t="n"/>
      <c r="J1877" s="104" t="n"/>
      <c r="K1877" s="104" t="n"/>
      <c r="L1877" s="104" t="n"/>
      <c r="M1877" s="104" t="n"/>
      <c r="N1877" s="104" t="n"/>
      <c r="O1877" s="104" t="n"/>
      <c r="P1877" s="104" t="n"/>
      <c r="Q1877" s="104" t="n"/>
      <c r="R1877" s="104" t="n"/>
      <c r="S1877" s="110" t="n"/>
      <c r="T1877" s="110" t="n"/>
      <c r="U1877" s="104" t="n"/>
    </row>
    <row r="1878">
      <c r="A1878" s="104" t="inlineStr">
        <is>
          <t>GUIDE001877</t>
        </is>
      </c>
      <c r="B1878" s="101" t="inlineStr">
        <is>
          <t>DEV000005</t>
        </is>
      </c>
      <c r="C1878" s="103" t="inlineStr">
        <is>
          <t>APL</t>
        </is>
      </c>
      <c r="D1878" s="103" t="inlineStr">
        <is>
          <t>PHN</t>
        </is>
      </c>
      <c r="E1878" s="60" t="inlineStr">
        <is>
          <t>iPhone 4s</t>
        </is>
      </c>
      <c r="F1878" s="104" t="inlineStr">
        <is>
          <t>SVC000074</t>
        </is>
      </c>
      <c r="G1878" s="104" t="inlineStr">
        <is>
          <t>Case Installation</t>
        </is>
      </c>
      <c r="H1878" s="104" t="inlineStr">
        <is>
          <t>Accessories</t>
        </is>
      </c>
      <c r="I1878" s="104" t="n"/>
      <c r="J1878" s="104" t="n"/>
      <c r="K1878" s="104" t="n"/>
      <c r="L1878" s="104" t="n"/>
      <c r="M1878" s="104" t="n"/>
      <c r="N1878" s="104" t="n"/>
      <c r="O1878" s="104" t="n"/>
      <c r="P1878" s="104" t="n"/>
      <c r="Q1878" s="104" t="n"/>
      <c r="R1878" s="104" t="n"/>
      <c r="S1878" s="110" t="n"/>
      <c r="T1878" s="110" t="n"/>
      <c r="U1878" s="104" t="n"/>
    </row>
    <row r="1879">
      <c r="A1879" s="105" t="inlineStr">
        <is>
          <t>GUIDE001878</t>
        </is>
      </c>
      <c r="B1879" s="101" t="inlineStr">
        <is>
          <t>DEV000006</t>
        </is>
      </c>
      <c r="C1879" s="103" t="inlineStr">
        <is>
          <t>APL</t>
        </is>
      </c>
      <c r="D1879" s="103" t="inlineStr">
        <is>
          <t>PHN</t>
        </is>
      </c>
      <c r="E1879" s="60" t="inlineStr">
        <is>
          <t>iPhone 5</t>
        </is>
      </c>
      <c r="F1879" s="104" t="inlineStr">
        <is>
          <t>SVC000074</t>
        </is>
      </c>
      <c r="G1879" s="104" t="inlineStr">
        <is>
          <t>Case Installation</t>
        </is>
      </c>
      <c r="H1879" s="104" t="inlineStr">
        <is>
          <t>Accessories</t>
        </is>
      </c>
      <c r="I1879" s="104" t="n"/>
      <c r="J1879" s="104" t="n"/>
      <c r="K1879" s="104" t="n"/>
      <c r="L1879" s="104" t="n"/>
      <c r="M1879" s="104" t="n"/>
      <c r="N1879" s="104" t="n"/>
      <c r="O1879" s="104" t="n"/>
      <c r="P1879" s="104" t="n"/>
      <c r="Q1879" s="104" t="n"/>
      <c r="R1879" s="104" t="n"/>
      <c r="S1879" s="110" t="n"/>
      <c r="T1879" s="110" t="n"/>
      <c r="U1879" s="104" t="n"/>
    </row>
    <row r="1880">
      <c r="A1880" s="104" t="inlineStr">
        <is>
          <t>GUIDE001879</t>
        </is>
      </c>
      <c r="B1880" s="101" t="inlineStr">
        <is>
          <t>DEV000007</t>
        </is>
      </c>
      <c r="C1880" s="103" t="inlineStr">
        <is>
          <t>APL</t>
        </is>
      </c>
      <c r="D1880" s="103" t="inlineStr">
        <is>
          <t>PHN</t>
        </is>
      </c>
      <c r="E1880" s="60" t="inlineStr">
        <is>
          <t>iPhone 5c</t>
        </is>
      </c>
      <c r="F1880" s="104" t="inlineStr">
        <is>
          <t>SVC000074</t>
        </is>
      </c>
      <c r="G1880" s="104" t="inlineStr">
        <is>
          <t>Case Installation</t>
        </is>
      </c>
      <c r="H1880" s="104" t="inlineStr">
        <is>
          <t>Accessories</t>
        </is>
      </c>
      <c r="I1880" s="104" t="n"/>
      <c r="J1880" s="104" t="n"/>
      <c r="K1880" s="104" t="n"/>
      <c r="L1880" s="104" t="n"/>
      <c r="M1880" s="104" t="n"/>
      <c r="N1880" s="104" t="n"/>
      <c r="O1880" s="104" t="n"/>
      <c r="P1880" s="104" t="n"/>
      <c r="Q1880" s="104" t="n"/>
      <c r="R1880" s="104" t="n"/>
      <c r="S1880" s="110" t="n"/>
      <c r="T1880" s="110" t="n"/>
      <c r="U1880" s="104" t="n"/>
    </row>
    <row r="1881">
      <c r="A1881" s="104" t="inlineStr">
        <is>
          <t>GUIDE001880</t>
        </is>
      </c>
      <c r="B1881" s="101" t="inlineStr">
        <is>
          <t>DEV000008</t>
        </is>
      </c>
      <c r="C1881" s="103" t="inlineStr">
        <is>
          <t>APL</t>
        </is>
      </c>
      <c r="D1881" s="103" t="inlineStr">
        <is>
          <t>PHN</t>
        </is>
      </c>
      <c r="E1881" s="60" t="inlineStr">
        <is>
          <t>iPhone 5s</t>
        </is>
      </c>
      <c r="F1881" s="104" t="inlineStr">
        <is>
          <t>SVC000074</t>
        </is>
      </c>
      <c r="G1881" s="104" t="inlineStr">
        <is>
          <t>Case Installation</t>
        </is>
      </c>
      <c r="H1881" s="104" t="inlineStr">
        <is>
          <t>Accessories</t>
        </is>
      </c>
      <c r="I1881" s="104" t="n"/>
      <c r="J1881" s="104" t="n"/>
      <c r="K1881" s="104" t="n"/>
      <c r="L1881" s="104" t="n"/>
      <c r="M1881" s="104" t="n"/>
      <c r="N1881" s="104" t="n"/>
      <c r="O1881" s="104" t="n"/>
      <c r="P1881" s="104" t="n"/>
      <c r="Q1881" s="104" t="n"/>
      <c r="R1881" s="104" t="n"/>
      <c r="S1881" s="110" t="n"/>
      <c r="T1881" s="110" t="n"/>
      <c r="U1881" s="104" t="n"/>
    </row>
    <row r="1882">
      <c r="A1882" s="104" t="inlineStr">
        <is>
          <t>GUIDE001881</t>
        </is>
      </c>
      <c r="B1882" s="101" t="inlineStr">
        <is>
          <t>DEV000009</t>
        </is>
      </c>
      <c r="C1882" s="103" t="inlineStr">
        <is>
          <t>APL</t>
        </is>
      </c>
      <c r="D1882" s="103" t="inlineStr">
        <is>
          <t>PHN</t>
        </is>
      </c>
      <c r="E1882" s="60" t="inlineStr">
        <is>
          <t>iPhone 6</t>
        </is>
      </c>
      <c r="F1882" s="104" t="inlineStr">
        <is>
          <t>SVC000074</t>
        </is>
      </c>
      <c r="G1882" s="104" t="inlineStr">
        <is>
          <t>Case Installation</t>
        </is>
      </c>
      <c r="H1882" s="104" t="inlineStr">
        <is>
          <t>Accessories</t>
        </is>
      </c>
      <c r="I1882" s="104" t="n"/>
      <c r="J1882" s="104" t="n"/>
      <c r="K1882" s="104" t="n"/>
      <c r="L1882" s="104" t="n"/>
      <c r="M1882" s="104" t="n"/>
      <c r="N1882" s="104" t="n"/>
      <c r="O1882" s="104" t="n"/>
      <c r="P1882" s="104" t="n"/>
      <c r="Q1882" s="104" t="n"/>
      <c r="R1882" s="104" t="n"/>
      <c r="S1882" s="110" t="n"/>
      <c r="T1882" s="110" t="n"/>
      <c r="U1882" s="104" t="n"/>
    </row>
    <row r="1883">
      <c r="A1883" s="105" t="inlineStr">
        <is>
          <t>GUIDE001882</t>
        </is>
      </c>
      <c r="B1883" s="101" t="inlineStr">
        <is>
          <t>DEV000010</t>
        </is>
      </c>
      <c r="C1883" s="103" t="inlineStr">
        <is>
          <t>APL</t>
        </is>
      </c>
      <c r="D1883" s="103" t="inlineStr">
        <is>
          <t>PHN</t>
        </is>
      </c>
      <c r="E1883" s="60" t="inlineStr">
        <is>
          <t>iPhone 6 Plus</t>
        </is>
      </c>
      <c r="F1883" s="104" t="inlineStr">
        <is>
          <t>SVC000074</t>
        </is>
      </c>
      <c r="G1883" s="104" t="inlineStr">
        <is>
          <t>Case Installation</t>
        </is>
      </c>
      <c r="H1883" s="104" t="inlineStr">
        <is>
          <t>Accessories</t>
        </is>
      </c>
      <c r="I1883" s="104" t="n"/>
      <c r="J1883" s="104" t="n"/>
      <c r="K1883" s="104" t="n"/>
      <c r="L1883" s="104" t="n"/>
      <c r="M1883" s="104" t="n"/>
      <c r="N1883" s="104" t="n"/>
      <c r="O1883" s="104" t="n"/>
      <c r="P1883" s="104" t="n"/>
      <c r="Q1883" s="104" t="n"/>
      <c r="R1883" s="104" t="n"/>
      <c r="S1883" s="110" t="n"/>
      <c r="T1883" s="110" t="n"/>
      <c r="U1883" s="104" t="n"/>
    </row>
    <row r="1884">
      <c r="A1884" s="104" t="inlineStr">
        <is>
          <t>GUIDE001883</t>
        </is>
      </c>
      <c r="B1884" s="101" t="inlineStr">
        <is>
          <t>DEV000011</t>
        </is>
      </c>
      <c r="C1884" s="103" t="inlineStr">
        <is>
          <t>APL</t>
        </is>
      </c>
      <c r="D1884" s="103" t="inlineStr">
        <is>
          <t>PHN</t>
        </is>
      </c>
      <c r="E1884" s="60" t="inlineStr">
        <is>
          <t>iPhone 6s</t>
        </is>
      </c>
      <c r="F1884" s="104" t="inlineStr">
        <is>
          <t>SVC000074</t>
        </is>
      </c>
      <c r="G1884" s="104" t="inlineStr">
        <is>
          <t>Case Installation</t>
        </is>
      </c>
      <c r="H1884" s="104" t="inlineStr">
        <is>
          <t>Accessories</t>
        </is>
      </c>
      <c r="I1884" s="104" t="n"/>
      <c r="J1884" s="104" t="n"/>
      <c r="K1884" s="104" t="n"/>
      <c r="L1884" s="104" t="n"/>
      <c r="M1884" s="104" t="n"/>
      <c r="N1884" s="104" t="n"/>
      <c r="O1884" s="104" t="n"/>
      <c r="P1884" s="104" t="n"/>
      <c r="Q1884" s="104" t="n"/>
      <c r="R1884" s="104" t="n"/>
      <c r="S1884" s="110" t="n"/>
      <c r="T1884" s="110" t="n"/>
      <c r="U1884" s="104" t="n"/>
    </row>
    <row r="1885">
      <c r="A1885" s="104" t="inlineStr">
        <is>
          <t>GUIDE001884</t>
        </is>
      </c>
      <c r="B1885" s="101" t="inlineStr">
        <is>
          <t>DEV000012</t>
        </is>
      </c>
      <c r="C1885" s="103" t="inlineStr">
        <is>
          <t>APL</t>
        </is>
      </c>
      <c r="D1885" s="103" t="inlineStr">
        <is>
          <t>PHN</t>
        </is>
      </c>
      <c r="E1885" s="60" t="inlineStr">
        <is>
          <t>iPhone 6s Plus</t>
        </is>
      </c>
      <c r="F1885" s="104" t="inlineStr">
        <is>
          <t>SVC000074</t>
        </is>
      </c>
      <c r="G1885" s="104" t="inlineStr">
        <is>
          <t>Case Installation</t>
        </is>
      </c>
      <c r="H1885" s="104" t="inlineStr">
        <is>
          <t>Accessories</t>
        </is>
      </c>
      <c r="I1885" s="104" t="n"/>
      <c r="J1885" s="104" t="n"/>
      <c r="K1885" s="104" t="n"/>
      <c r="L1885" s="104" t="n"/>
      <c r="M1885" s="104" t="n"/>
      <c r="N1885" s="104" t="n"/>
      <c r="O1885" s="104" t="n"/>
      <c r="P1885" s="104" t="n"/>
      <c r="Q1885" s="104" t="n"/>
      <c r="R1885" s="104" t="n"/>
      <c r="S1885" s="110" t="n"/>
      <c r="T1885" s="110" t="n"/>
      <c r="U1885" s="104" t="n"/>
    </row>
    <row r="1886">
      <c r="A1886" s="104" t="inlineStr">
        <is>
          <t>GUIDE001885</t>
        </is>
      </c>
      <c r="B1886" s="101" t="inlineStr">
        <is>
          <t>DEV000013</t>
        </is>
      </c>
      <c r="C1886" s="103" t="inlineStr">
        <is>
          <t>APL</t>
        </is>
      </c>
      <c r="D1886" s="103" t="inlineStr">
        <is>
          <t>PHN</t>
        </is>
      </c>
      <c r="E1886" s="60" t="inlineStr">
        <is>
          <t>iPhone SE (1st Gen)</t>
        </is>
      </c>
      <c r="F1886" s="104" t="inlineStr">
        <is>
          <t>SVC000074</t>
        </is>
      </c>
      <c r="G1886" s="104" t="inlineStr">
        <is>
          <t>Case Installation</t>
        </is>
      </c>
      <c r="H1886" s="104" t="inlineStr">
        <is>
          <t>Accessories</t>
        </is>
      </c>
      <c r="I1886" s="104" t="n"/>
      <c r="J1886" s="104" t="n"/>
      <c r="K1886" s="104" t="n"/>
      <c r="L1886" s="104" t="n"/>
      <c r="M1886" s="104" t="n"/>
      <c r="N1886" s="104" t="n"/>
      <c r="O1886" s="104" t="n"/>
      <c r="P1886" s="104" t="n"/>
      <c r="Q1886" s="104" t="n"/>
      <c r="R1886" s="104" t="n"/>
      <c r="S1886" s="110" t="n"/>
      <c r="T1886" s="110" t="n"/>
      <c r="U1886" s="104" t="n"/>
    </row>
    <row r="1887">
      <c r="A1887" s="105" t="inlineStr">
        <is>
          <t>GUIDE001886</t>
        </is>
      </c>
      <c r="B1887" s="101" t="inlineStr">
        <is>
          <t>DEV000014</t>
        </is>
      </c>
      <c r="C1887" s="103" t="inlineStr">
        <is>
          <t>APL</t>
        </is>
      </c>
      <c r="D1887" s="103" t="inlineStr">
        <is>
          <t>PHN</t>
        </is>
      </c>
      <c r="E1887" s="60" t="inlineStr">
        <is>
          <t>iPhone 7</t>
        </is>
      </c>
      <c r="F1887" s="104" t="inlineStr">
        <is>
          <t>SVC000074</t>
        </is>
      </c>
      <c r="G1887" s="104" t="inlineStr">
        <is>
          <t>Case Installation</t>
        </is>
      </c>
      <c r="H1887" s="104" t="inlineStr">
        <is>
          <t>Accessories</t>
        </is>
      </c>
      <c r="I1887" s="104" t="n"/>
      <c r="J1887" s="104" t="n"/>
      <c r="K1887" s="104" t="n"/>
      <c r="L1887" s="104" t="n"/>
      <c r="M1887" s="104" t="n"/>
      <c r="N1887" s="104" t="n"/>
      <c r="O1887" s="104" t="n"/>
      <c r="P1887" s="104" t="n"/>
      <c r="Q1887" s="104" t="n"/>
      <c r="R1887" s="104" t="n"/>
      <c r="S1887" s="110" t="n"/>
      <c r="T1887" s="110" t="n"/>
      <c r="U1887" s="104" t="n"/>
    </row>
    <row r="1888">
      <c r="A1888" s="104" t="inlineStr">
        <is>
          <t>GUIDE001887</t>
        </is>
      </c>
      <c r="B1888" s="101" t="inlineStr">
        <is>
          <t>DEV000015</t>
        </is>
      </c>
      <c r="C1888" s="103" t="inlineStr">
        <is>
          <t>APL</t>
        </is>
      </c>
      <c r="D1888" s="103" t="inlineStr">
        <is>
          <t>PHN</t>
        </is>
      </c>
      <c r="E1888" s="60" t="inlineStr">
        <is>
          <t>iPhone 7 Plus</t>
        </is>
      </c>
      <c r="F1888" s="104" t="inlineStr">
        <is>
          <t>SVC000074</t>
        </is>
      </c>
      <c r="G1888" s="104" t="inlineStr">
        <is>
          <t>Case Installation</t>
        </is>
      </c>
      <c r="H1888" s="104" t="inlineStr">
        <is>
          <t>Accessories</t>
        </is>
      </c>
      <c r="I1888" s="104" t="n"/>
      <c r="J1888" s="104" t="n"/>
      <c r="K1888" s="104" t="n"/>
      <c r="L1888" s="104" t="n"/>
      <c r="M1888" s="104" t="n"/>
      <c r="N1888" s="104" t="n"/>
      <c r="O1888" s="104" t="n"/>
      <c r="P1888" s="104" t="n"/>
      <c r="Q1888" s="104" t="n"/>
      <c r="R1888" s="104" t="n"/>
      <c r="S1888" s="110" t="n"/>
      <c r="T1888" s="110" t="n"/>
      <c r="U1888" s="104" t="n"/>
    </row>
    <row r="1889">
      <c r="A1889" s="104" t="inlineStr">
        <is>
          <t>GUIDE001888</t>
        </is>
      </c>
      <c r="B1889" s="101" t="inlineStr">
        <is>
          <t>DEV000016</t>
        </is>
      </c>
      <c r="C1889" s="103" t="inlineStr">
        <is>
          <t>APL</t>
        </is>
      </c>
      <c r="D1889" s="103" t="inlineStr">
        <is>
          <t>PHN</t>
        </is>
      </c>
      <c r="E1889" s="60" t="inlineStr">
        <is>
          <t>iPhone 8</t>
        </is>
      </c>
      <c r="F1889" s="104" t="inlineStr">
        <is>
          <t>SVC000074</t>
        </is>
      </c>
      <c r="G1889" s="104" t="inlineStr">
        <is>
          <t>Case Installation</t>
        </is>
      </c>
      <c r="H1889" s="104" t="inlineStr">
        <is>
          <t>Accessories</t>
        </is>
      </c>
      <c r="I1889" s="104" t="n"/>
      <c r="J1889" s="104" t="n"/>
      <c r="K1889" s="104" t="n"/>
      <c r="L1889" s="104" t="n"/>
      <c r="M1889" s="104" t="n"/>
      <c r="N1889" s="104" t="n"/>
      <c r="O1889" s="104" t="n"/>
      <c r="P1889" s="104" t="n"/>
      <c r="Q1889" s="104" t="n"/>
      <c r="R1889" s="104" t="n"/>
      <c r="S1889" s="110" t="n"/>
      <c r="T1889" s="110" t="n"/>
      <c r="U1889" s="104" t="n"/>
    </row>
    <row r="1890">
      <c r="A1890" s="104" t="inlineStr">
        <is>
          <t>GUIDE001889</t>
        </is>
      </c>
      <c r="B1890" s="101" t="inlineStr">
        <is>
          <t>DEV000017</t>
        </is>
      </c>
      <c r="C1890" s="103" t="inlineStr">
        <is>
          <t>APL</t>
        </is>
      </c>
      <c r="D1890" s="103" t="inlineStr">
        <is>
          <t>PHN</t>
        </is>
      </c>
      <c r="E1890" s="60" t="inlineStr">
        <is>
          <t>iPhone 8 Plus</t>
        </is>
      </c>
      <c r="F1890" s="104" t="inlineStr">
        <is>
          <t>SVC000074</t>
        </is>
      </c>
      <c r="G1890" s="104" t="inlineStr">
        <is>
          <t>Case Installation</t>
        </is>
      </c>
      <c r="H1890" s="104" t="inlineStr">
        <is>
          <t>Accessories</t>
        </is>
      </c>
      <c r="I1890" s="104" t="n"/>
      <c r="J1890" s="104" t="n"/>
      <c r="K1890" s="104" t="n"/>
      <c r="L1890" s="104" t="n"/>
      <c r="M1890" s="104" t="n"/>
      <c r="N1890" s="104" t="n"/>
      <c r="O1890" s="104" t="n"/>
      <c r="P1890" s="104" t="n"/>
      <c r="Q1890" s="104" t="n"/>
      <c r="R1890" s="104" t="n"/>
      <c r="S1890" s="110" t="n"/>
      <c r="T1890" s="110" t="n"/>
      <c r="U1890" s="104" t="n"/>
    </row>
    <row r="1891">
      <c r="A1891" s="105" t="inlineStr">
        <is>
          <t>GUIDE001890</t>
        </is>
      </c>
      <c r="B1891" s="101" t="inlineStr">
        <is>
          <t>DEV000018</t>
        </is>
      </c>
      <c r="C1891" s="103" t="inlineStr">
        <is>
          <t>APL</t>
        </is>
      </c>
      <c r="D1891" s="103" t="inlineStr">
        <is>
          <t>PHN</t>
        </is>
      </c>
      <c r="E1891" s="60" t="inlineStr">
        <is>
          <t>iPhone X</t>
        </is>
      </c>
      <c r="F1891" s="104" t="inlineStr">
        <is>
          <t>SVC000074</t>
        </is>
      </c>
      <c r="G1891" s="104" t="inlineStr">
        <is>
          <t>Case Installation</t>
        </is>
      </c>
      <c r="H1891" s="104" t="inlineStr">
        <is>
          <t>Accessories</t>
        </is>
      </c>
      <c r="I1891" s="104" t="n"/>
      <c r="J1891" s="104" t="n"/>
      <c r="K1891" s="104" t="n"/>
      <c r="L1891" s="104" t="n"/>
      <c r="M1891" s="104" t="n"/>
      <c r="N1891" s="104" t="n"/>
      <c r="O1891" s="104" t="n"/>
      <c r="P1891" s="104" t="n"/>
      <c r="Q1891" s="104" t="n"/>
      <c r="R1891" s="104" t="n"/>
      <c r="S1891" s="110" t="n"/>
      <c r="T1891" s="110" t="n"/>
      <c r="U1891" s="104" t="n"/>
    </row>
    <row r="1892">
      <c r="A1892" s="104" t="inlineStr">
        <is>
          <t>GUIDE001891</t>
        </is>
      </c>
      <c r="B1892" s="101" t="inlineStr">
        <is>
          <t>DEV000019</t>
        </is>
      </c>
      <c r="C1892" s="103" t="inlineStr">
        <is>
          <t>APL</t>
        </is>
      </c>
      <c r="D1892" s="103" t="inlineStr">
        <is>
          <t>PHN</t>
        </is>
      </c>
      <c r="E1892" s="60" t="inlineStr">
        <is>
          <t>iPhone XR</t>
        </is>
      </c>
      <c r="F1892" s="104" t="inlineStr">
        <is>
          <t>SVC000074</t>
        </is>
      </c>
      <c r="G1892" s="104" t="inlineStr">
        <is>
          <t>Case Installation</t>
        </is>
      </c>
      <c r="H1892" s="104" t="inlineStr">
        <is>
          <t>Accessories</t>
        </is>
      </c>
      <c r="I1892" s="104" t="n"/>
      <c r="J1892" s="104" t="n"/>
      <c r="K1892" s="104" t="n"/>
      <c r="L1892" s="104" t="n"/>
      <c r="M1892" s="104" t="n"/>
      <c r="N1892" s="104" t="n"/>
      <c r="O1892" s="104" t="n"/>
      <c r="P1892" s="104" t="n"/>
      <c r="Q1892" s="104" t="n"/>
      <c r="R1892" s="104" t="n"/>
      <c r="S1892" s="110" t="n"/>
      <c r="T1892" s="110" t="n"/>
      <c r="U1892" s="104" t="n"/>
    </row>
    <row r="1893">
      <c r="A1893" s="104" t="inlineStr">
        <is>
          <t>GUIDE001892</t>
        </is>
      </c>
      <c r="B1893" s="101" t="inlineStr">
        <is>
          <t>DEV000020</t>
        </is>
      </c>
      <c r="C1893" s="103" t="inlineStr">
        <is>
          <t>APL</t>
        </is>
      </c>
      <c r="D1893" s="103" t="inlineStr">
        <is>
          <t>PHN</t>
        </is>
      </c>
      <c r="E1893" s="60" t="inlineStr">
        <is>
          <t>iPhone XS</t>
        </is>
      </c>
      <c r="F1893" s="104" t="inlineStr">
        <is>
          <t>SVC000074</t>
        </is>
      </c>
      <c r="G1893" s="104" t="inlineStr">
        <is>
          <t>Case Installation</t>
        </is>
      </c>
      <c r="H1893" s="104" t="inlineStr">
        <is>
          <t>Accessories</t>
        </is>
      </c>
      <c r="I1893" s="104" t="n"/>
      <c r="J1893" s="104" t="n"/>
      <c r="K1893" s="104" t="n"/>
      <c r="L1893" s="104" t="n"/>
      <c r="M1893" s="104" t="n"/>
      <c r="N1893" s="104" t="n"/>
      <c r="O1893" s="104" t="n"/>
      <c r="P1893" s="104" t="n"/>
      <c r="Q1893" s="104" t="n"/>
      <c r="R1893" s="104" t="n"/>
      <c r="S1893" s="110" t="n"/>
      <c r="T1893" s="110" t="n"/>
      <c r="U1893" s="104" t="n"/>
    </row>
    <row r="1894">
      <c r="A1894" s="104" t="inlineStr">
        <is>
          <t>GUIDE001893</t>
        </is>
      </c>
      <c r="B1894" s="101" t="inlineStr">
        <is>
          <t>DEV000021</t>
        </is>
      </c>
      <c r="C1894" s="103" t="inlineStr">
        <is>
          <t>APL</t>
        </is>
      </c>
      <c r="D1894" s="103" t="inlineStr">
        <is>
          <t>PHN</t>
        </is>
      </c>
      <c r="E1894" s="60" t="inlineStr">
        <is>
          <t>iPhone XS Max</t>
        </is>
      </c>
      <c r="F1894" s="104" t="inlineStr">
        <is>
          <t>SVC000074</t>
        </is>
      </c>
      <c r="G1894" s="104" t="inlineStr">
        <is>
          <t>Case Installation</t>
        </is>
      </c>
      <c r="H1894" s="104" t="inlineStr">
        <is>
          <t>Accessories</t>
        </is>
      </c>
      <c r="I1894" s="104" t="n"/>
      <c r="J1894" s="104" t="n"/>
      <c r="K1894" s="104" t="n"/>
      <c r="L1894" s="104" t="n"/>
      <c r="M1894" s="104" t="n"/>
      <c r="N1894" s="104" t="n"/>
      <c r="O1894" s="104" t="n"/>
      <c r="P1894" s="104" t="n"/>
      <c r="Q1894" s="104" t="n"/>
      <c r="R1894" s="104" t="n"/>
      <c r="S1894" s="110" t="n"/>
      <c r="T1894" s="110" t="n"/>
      <c r="U1894" s="104" t="n"/>
    </row>
    <row r="1895">
      <c r="A1895" s="105" t="inlineStr">
        <is>
          <t>GUIDE001894</t>
        </is>
      </c>
      <c r="B1895" s="101" t="inlineStr">
        <is>
          <t>DEV000022</t>
        </is>
      </c>
      <c r="C1895" s="103" t="inlineStr">
        <is>
          <t>APL</t>
        </is>
      </c>
      <c r="D1895" s="103" t="inlineStr">
        <is>
          <t>PHN</t>
        </is>
      </c>
      <c r="E1895" s="60" t="inlineStr">
        <is>
          <t>iPhone 11</t>
        </is>
      </c>
      <c r="F1895" s="104" t="inlineStr">
        <is>
          <t>SVC000074</t>
        </is>
      </c>
      <c r="G1895" s="104" t="inlineStr">
        <is>
          <t>Case Installation</t>
        </is>
      </c>
      <c r="H1895" s="104" t="inlineStr">
        <is>
          <t>Accessories</t>
        </is>
      </c>
      <c r="I1895" s="104" t="n"/>
      <c r="J1895" s="104" t="n"/>
      <c r="K1895" s="104" t="n"/>
      <c r="L1895" s="104" t="n"/>
      <c r="M1895" s="104" t="n"/>
      <c r="N1895" s="104" t="n"/>
      <c r="O1895" s="104" t="n"/>
      <c r="P1895" s="104" t="n"/>
      <c r="Q1895" s="104" t="n"/>
      <c r="R1895" s="104" t="n"/>
      <c r="S1895" s="110" t="n"/>
      <c r="T1895" s="110" t="n"/>
      <c r="U1895" s="104" t="n"/>
    </row>
    <row r="1896">
      <c r="A1896" s="104" t="inlineStr">
        <is>
          <t>GUIDE001895</t>
        </is>
      </c>
      <c r="B1896" s="101" t="inlineStr">
        <is>
          <t>DEV000023</t>
        </is>
      </c>
      <c r="C1896" s="103" t="inlineStr">
        <is>
          <t>APL</t>
        </is>
      </c>
      <c r="D1896" s="103" t="inlineStr">
        <is>
          <t>PHN</t>
        </is>
      </c>
      <c r="E1896" s="60" t="inlineStr">
        <is>
          <t>iPhone 11 Pro</t>
        </is>
      </c>
      <c r="F1896" s="104" t="inlineStr">
        <is>
          <t>SVC000074</t>
        </is>
      </c>
      <c r="G1896" s="104" t="inlineStr">
        <is>
          <t>Case Installation</t>
        </is>
      </c>
      <c r="H1896" s="104" t="inlineStr">
        <is>
          <t>Accessories</t>
        </is>
      </c>
      <c r="I1896" s="104" t="n"/>
      <c r="J1896" s="104" t="n"/>
      <c r="K1896" s="104" t="n"/>
      <c r="L1896" s="104" t="n"/>
      <c r="M1896" s="104" t="n"/>
      <c r="N1896" s="104" t="n"/>
      <c r="O1896" s="104" t="n"/>
      <c r="P1896" s="104" t="n"/>
      <c r="Q1896" s="104" t="n"/>
      <c r="R1896" s="104" t="n"/>
      <c r="S1896" s="110" t="n"/>
      <c r="T1896" s="110" t="n"/>
      <c r="U1896" s="104" t="n"/>
    </row>
    <row r="1897">
      <c r="A1897" s="104" t="inlineStr">
        <is>
          <t>GUIDE001896</t>
        </is>
      </c>
      <c r="B1897" s="101" t="inlineStr">
        <is>
          <t>DEV000024</t>
        </is>
      </c>
      <c r="C1897" s="103" t="inlineStr">
        <is>
          <t>APL</t>
        </is>
      </c>
      <c r="D1897" s="103" t="inlineStr">
        <is>
          <t>PHN</t>
        </is>
      </c>
      <c r="E1897" s="60" t="inlineStr">
        <is>
          <t>iPhone 11 Pro Max</t>
        </is>
      </c>
      <c r="F1897" s="104" t="inlineStr">
        <is>
          <t>SVC000074</t>
        </is>
      </c>
      <c r="G1897" s="104" t="inlineStr">
        <is>
          <t>Case Installation</t>
        </is>
      </c>
      <c r="H1897" s="104" t="inlineStr">
        <is>
          <t>Accessories</t>
        </is>
      </c>
      <c r="I1897" s="104" t="n"/>
      <c r="J1897" s="104" t="n"/>
      <c r="K1897" s="104" t="n"/>
      <c r="L1897" s="104" t="n"/>
      <c r="M1897" s="104" t="n"/>
      <c r="N1897" s="104" t="n"/>
      <c r="O1897" s="104" t="n"/>
      <c r="P1897" s="104" t="n"/>
      <c r="Q1897" s="104" t="n"/>
      <c r="R1897" s="104" t="n"/>
      <c r="S1897" s="110" t="n"/>
      <c r="T1897" s="110" t="n"/>
      <c r="U1897" s="104" t="n"/>
    </row>
    <row r="1898">
      <c r="A1898" s="104" t="inlineStr">
        <is>
          <t>GUIDE001897</t>
        </is>
      </c>
      <c r="B1898" s="101" t="inlineStr">
        <is>
          <t>DEV000025</t>
        </is>
      </c>
      <c r="C1898" s="103" t="inlineStr">
        <is>
          <t>APL</t>
        </is>
      </c>
      <c r="D1898" s="103" t="inlineStr">
        <is>
          <t>PHN</t>
        </is>
      </c>
      <c r="E1898" s="60" t="inlineStr">
        <is>
          <t>iPhone SE (2nd Generation)</t>
        </is>
      </c>
      <c r="F1898" s="104" t="inlineStr">
        <is>
          <t>SVC000074</t>
        </is>
      </c>
      <c r="G1898" s="104" t="inlineStr">
        <is>
          <t>Case Installation</t>
        </is>
      </c>
      <c r="H1898" s="104" t="inlineStr">
        <is>
          <t>Accessories</t>
        </is>
      </c>
      <c r="I1898" s="104" t="n"/>
      <c r="J1898" s="104" t="n"/>
      <c r="K1898" s="104" t="n"/>
      <c r="L1898" s="104" t="n"/>
      <c r="M1898" s="104" t="n"/>
      <c r="N1898" s="104" t="n"/>
      <c r="O1898" s="104" t="n"/>
      <c r="P1898" s="104" t="n"/>
      <c r="Q1898" s="104" t="n"/>
      <c r="R1898" s="104" t="n"/>
      <c r="S1898" s="110" t="n"/>
      <c r="T1898" s="110" t="n"/>
      <c r="U1898" s="104" t="n"/>
    </row>
    <row r="1899">
      <c r="A1899" s="105" t="inlineStr">
        <is>
          <t>GUIDE001898</t>
        </is>
      </c>
      <c r="B1899" s="101" t="inlineStr">
        <is>
          <t>DEV000026</t>
        </is>
      </c>
      <c r="C1899" s="103" t="inlineStr">
        <is>
          <t>APL</t>
        </is>
      </c>
      <c r="D1899" s="103" t="inlineStr">
        <is>
          <t>PHN</t>
        </is>
      </c>
      <c r="E1899" s="60" t="inlineStr">
        <is>
          <t>iPhone 12 mini</t>
        </is>
      </c>
      <c r="F1899" s="104" t="inlineStr">
        <is>
          <t>SVC000074</t>
        </is>
      </c>
      <c r="G1899" s="104" t="inlineStr">
        <is>
          <t>Case Installation</t>
        </is>
      </c>
      <c r="H1899" s="104" t="inlineStr">
        <is>
          <t>Accessories</t>
        </is>
      </c>
      <c r="I1899" s="104" t="n"/>
      <c r="J1899" s="104" t="n"/>
      <c r="K1899" s="104" t="n"/>
      <c r="L1899" s="104" t="n"/>
      <c r="M1899" s="104" t="n"/>
      <c r="N1899" s="104" t="n"/>
      <c r="O1899" s="104" t="n"/>
      <c r="P1899" s="104" t="n"/>
      <c r="Q1899" s="104" t="n"/>
      <c r="R1899" s="104" t="n"/>
      <c r="S1899" s="110" t="n"/>
      <c r="T1899" s="110" t="n"/>
      <c r="U1899" s="104" t="n"/>
    </row>
    <row r="1900">
      <c r="A1900" s="104" t="inlineStr">
        <is>
          <t>GUIDE001899</t>
        </is>
      </c>
      <c r="B1900" s="101" t="inlineStr">
        <is>
          <t>DEV000027</t>
        </is>
      </c>
      <c r="C1900" s="103" t="inlineStr">
        <is>
          <t>APL</t>
        </is>
      </c>
      <c r="D1900" s="103" t="inlineStr">
        <is>
          <t>PHN</t>
        </is>
      </c>
      <c r="E1900" s="60" t="inlineStr">
        <is>
          <t>iPhone 12</t>
        </is>
      </c>
      <c r="F1900" s="104" t="inlineStr">
        <is>
          <t>SVC000074</t>
        </is>
      </c>
      <c r="G1900" s="104" t="inlineStr">
        <is>
          <t>Case Installation</t>
        </is>
      </c>
      <c r="H1900" s="104" t="inlineStr">
        <is>
          <t>Accessories</t>
        </is>
      </c>
      <c r="I1900" s="104" t="n"/>
      <c r="J1900" s="104" t="n"/>
      <c r="K1900" s="104" t="n"/>
      <c r="L1900" s="104" t="n"/>
      <c r="M1900" s="104" t="n"/>
      <c r="N1900" s="104" t="n"/>
      <c r="O1900" s="104" t="n"/>
      <c r="P1900" s="104" t="n"/>
      <c r="Q1900" s="104" t="n"/>
      <c r="R1900" s="104" t="n"/>
      <c r="S1900" s="110" t="n"/>
      <c r="T1900" s="110" t="n"/>
      <c r="U1900" s="104" t="n"/>
    </row>
    <row r="1901">
      <c r="A1901" s="104" t="inlineStr">
        <is>
          <t>GUIDE001900</t>
        </is>
      </c>
      <c r="B1901" s="101" t="inlineStr">
        <is>
          <t>DEV000028</t>
        </is>
      </c>
      <c r="C1901" s="103" t="inlineStr">
        <is>
          <t>APL</t>
        </is>
      </c>
      <c r="D1901" s="103" t="inlineStr">
        <is>
          <t>PHN</t>
        </is>
      </c>
      <c r="E1901" s="60" t="inlineStr">
        <is>
          <t>iPhone 12 Pro</t>
        </is>
      </c>
      <c r="F1901" s="104" t="inlineStr">
        <is>
          <t>SVC000074</t>
        </is>
      </c>
      <c r="G1901" s="104" t="inlineStr">
        <is>
          <t>Case Installation</t>
        </is>
      </c>
      <c r="H1901" s="104" t="inlineStr">
        <is>
          <t>Accessories</t>
        </is>
      </c>
      <c r="I1901" s="104" t="n"/>
      <c r="J1901" s="104" t="n"/>
      <c r="K1901" s="104" t="n"/>
      <c r="L1901" s="104" t="n"/>
      <c r="M1901" s="104" t="n"/>
      <c r="N1901" s="104" t="n"/>
      <c r="O1901" s="104" t="n"/>
      <c r="P1901" s="104" t="n"/>
      <c r="Q1901" s="104" t="n"/>
      <c r="R1901" s="104" t="n"/>
      <c r="S1901" s="110" t="n"/>
      <c r="T1901" s="110" t="n"/>
      <c r="U1901" s="104" t="n"/>
    </row>
    <row r="1902">
      <c r="A1902" s="104" t="inlineStr">
        <is>
          <t>GUIDE001901</t>
        </is>
      </c>
      <c r="B1902" s="101" t="inlineStr">
        <is>
          <t>DEV000029</t>
        </is>
      </c>
      <c r="C1902" s="103" t="inlineStr">
        <is>
          <t>APL</t>
        </is>
      </c>
      <c r="D1902" s="103" t="inlineStr">
        <is>
          <t>PHN</t>
        </is>
      </c>
      <c r="E1902" s="60" t="inlineStr">
        <is>
          <t>iPhone 12 Pro Max</t>
        </is>
      </c>
      <c r="F1902" s="104" t="inlineStr">
        <is>
          <t>SVC000074</t>
        </is>
      </c>
      <c r="G1902" s="104" t="inlineStr">
        <is>
          <t>Case Installation</t>
        </is>
      </c>
      <c r="H1902" s="104" t="inlineStr">
        <is>
          <t>Accessories</t>
        </is>
      </c>
      <c r="I1902" s="104" t="n"/>
      <c r="J1902" s="104" t="n"/>
      <c r="K1902" s="104" t="n"/>
      <c r="L1902" s="104" t="n"/>
      <c r="M1902" s="104" t="n"/>
      <c r="N1902" s="104" t="n"/>
      <c r="O1902" s="104" t="n"/>
      <c r="P1902" s="104" t="n"/>
      <c r="Q1902" s="104" t="n"/>
      <c r="R1902" s="104" t="n"/>
      <c r="S1902" s="110" t="n"/>
      <c r="T1902" s="110" t="n"/>
      <c r="U1902" s="104" t="n"/>
    </row>
    <row r="1903">
      <c r="A1903" s="105" t="inlineStr">
        <is>
          <t>GUIDE001902</t>
        </is>
      </c>
      <c r="B1903" s="101" t="inlineStr">
        <is>
          <t>DEV000030</t>
        </is>
      </c>
      <c r="C1903" s="103" t="inlineStr">
        <is>
          <t>APL</t>
        </is>
      </c>
      <c r="D1903" s="103" t="inlineStr">
        <is>
          <t>PHN</t>
        </is>
      </c>
      <c r="E1903" s="60" t="inlineStr">
        <is>
          <t>iPhone 13 mini</t>
        </is>
      </c>
      <c r="F1903" s="104" t="inlineStr">
        <is>
          <t>SVC000074</t>
        </is>
      </c>
      <c r="G1903" s="104" t="inlineStr">
        <is>
          <t>Case Installation</t>
        </is>
      </c>
      <c r="H1903" s="104" t="inlineStr">
        <is>
          <t>Accessories</t>
        </is>
      </c>
      <c r="I1903" s="104" t="n"/>
      <c r="J1903" s="104" t="n"/>
      <c r="K1903" s="104" t="n"/>
      <c r="L1903" s="104" t="n"/>
      <c r="M1903" s="104" t="n"/>
      <c r="N1903" s="104" t="n"/>
      <c r="O1903" s="104" t="n"/>
      <c r="P1903" s="104" t="n"/>
      <c r="Q1903" s="104" t="n"/>
      <c r="R1903" s="104" t="n"/>
      <c r="S1903" s="110" t="n"/>
      <c r="T1903" s="110" t="n"/>
      <c r="U1903" s="104" t="n"/>
    </row>
    <row r="1904">
      <c r="A1904" s="104" t="inlineStr">
        <is>
          <t>GUIDE001903</t>
        </is>
      </c>
      <c r="B1904" s="101" t="inlineStr">
        <is>
          <t>DEV000031</t>
        </is>
      </c>
      <c r="C1904" s="103" t="inlineStr">
        <is>
          <t>APL</t>
        </is>
      </c>
      <c r="D1904" s="103" t="inlineStr">
        <is>
          <t>PHN</t>
        </is>
      </c>
      <c r="E1904" s="60" t="inlineStr">
        <is>
          <t>iPhone 13</t>
        </is>
      </c>
      <c r="F1904" s="104" t="inlineStr">
        <is>
          <t>SVC000074</t>
        </is>
      </c>
      <c r="G1904" s="104" t="inlineStr">
        <is>
          <t>Case Installation</t>
        </is>
      </c>
      <c r="H1904" s="104" t="inlineStr">
        <is>
          <t>Accessories</t>
        </is>
      </c>
      <c r="I1904" s="104" t="n"/>
      <c r="J1904" s="104" t="n"/>
      <c r="K1904" s="104" t="n"/>
      <c r="L1904" s="104" t="n"/>
      <c r="M1904" s="104" t="n"/>
      <c r="N1904" s="104" t="n"/>
      <c r="O1904" s="104" t="n"/>
      <c r="P1904" s="104" t="n"/>
      <c r="Q1904" s="104" t="n"/>
      <c r="R1904" s="104" t="n"/>
      <c r="S1904" s="110" t="n"/>
      <c r="T1904" s="110" t="n"/>
      <c r="U1904" s="104" t="n"/>
    </row>
    <row r="1905">
      <c r="A1905" s="104" t="inlineStr">
        <is>
          <t>GUIDE001904</t>
        </is>
      </c>
      <c r="B1905" s="101" t="inlineStr">
        <is>
          <t>DEV000032</t>
        </is>
      </c>
      <c r="C1905" s="103" t="inlineStr">
        <is>
          <t>APL</t>
        </is>
      </c>
      <c r="D1905" s="103" t="inlineStr">
        <is>
          <t>PHN</t>
        </is>
      </c>
      <c r="E1905" s="60" t="inlineStr">
        <is>
          <t>iPhone 13 Pro</t>
        </is>
      </c>
      <c r="F1905" s="104" t="inlineStr">
        <is>
          <t>SVC000074</t>
        </is>
      </c>
      <c r="G1905" s="104" t="inlineStr">
        <is>
          <t>Case Installation</t>
        </is>
      </c>
      <c r="H1905" s="104" t="inlineStr">
        <is>
          <t>Accessories</t>
        </is>
      </c>
      <c r="I1905" s="104" t="n"/>
      <c r="J1905" s="104" t="n"/>
      <c r="K1905" s="104" t="n"/>
      <c r="L1905" s="104" t="n"/>
      <c r="M1905" s="104" t="n"/>
      <c r="N1905" s="104" t="n"/>
      <c r="O1905" s="104" t="n"/>
      <c r="P1905" s="104" t="n"/>
      <c r="Q1905" s="104" t="n"/>
      <c r="R1905" s="104" t="n"/>
      <c r="S1905" s="110" t="n"/>
      <c r="T1905" s="110" t="n"/>
      <c r="U1905" s="104" t="n"/>
    </row>
    <row r="1906">
      <c r="A1906" s="104" t="inlineStr">
        <is>
          <t>GUIDE001905</t>
        </is>
      </c>
      <c r="B1906" s="101" t="inlineStr">
        <is>
          <t>DEV000033</t>
        </is>
      </c>
      <c r="C1906" s="103" t="inlineStr">
        <is>
          <t>APL</t>
        </is>
      </c>
      <c r="D1906" s="103" t="inlineStr">
        <is>
          <t>PHN</t>
        </is>
      </c>
      <c r="E1906" s="60" t="inlineStr">
        <is>
          <t>iPhone 13 Pro Max</t>
        </is>
      </c>
      <c r="F1906" s="104" t="inlineStr">
        <is>
          <t>SVC000074</t>
        </is>
      </c>
      <c r="G1906" s="104" t="inlineStr">
        <is>
          <t>Case Installation</t>
        </is>
      </c>
      <c r="H1906" s="104" t="inlineStr">
        <is>
          <t>Accessories</t>
        </is>
      </c>
      <c r="I1906" s="104" t="n"/>
      <c r="J1906" s="104" t="n"/>
      <c r="K1906" s="104" t="n"/>
      <c r="L1906" s="104" t="n"/>
      <c r="M1906" s="104" t="n"/>
      <c r="N1906" s="104" t="n"/>
      <c r="O1906" s="104" t="n"/>
      <c r="P1906" s="104" t="n"/>
      <c r="Q1906" s="104" t="n"/>
      <c r="R1906" s="104" t="n"/>
      <c r="S1906" s="110" t="n"/>
      <c r="T1906" s="110" t="n"/>
      <c r="U1906" s="104" t="n"/>
    </row>
    <row r="1907">
      <c r="A1907" s="105" t="inlineStr">
        <is>
          <t>GUIDE001906</t>
        </is>
      </c>
      <c r="B1907" s="101" t="inlineStr">
        <is>
          <t>DEV000034</t>
        </is>
      </c>
      <c r="C1907" s="103" t="inlineStr">
        <is>
          <t>APL</t>
        </is>
      </c>
      <c r="D1907" s="103" t="inlineStr">
        <is>
          <t>PHN</t>
        </is>
      </c>
      <c r="E1907" s="60" t="inlineStr">
        <is>
          <t>iPhone SE (3rd Generation)</t>
        </is>
      </c>
      <c r="F1907" s="104" t="inlineStr">
        <is>
          <t>SVC000074</t>
        </is>
      </c>
      <c r="G1907" s="104" t="inlineStr">
        <is>
          <t>Case Installation</t>
        </is>
      </c>
      <c r="H1907" s="104" t="inlineStr">
        <is>
          <t>Accessories</t>
        </is>
      </c>
      <c r="I1907" s="104" t="n"/>
      <c r="J1907" s="104" t="n"/>
      <c r="K1907" s="104" t="n"/>
      <c r="L1907" s="104" t="n"/>
      <c r="M1907" s="104" t="n"/>
      <c r="N1907" s="104" t="n"/>
      <c r="O1907" s="104" t="n"/>
      <c r="P1907" s="104" t="n"/>
      <c r="Q1907" s="104" t="n"/>
      <c r="R1907" s="104" t="n"/>
      <c r="S1907" s="110" t="n"/>
      <c r="T1907" s="110" t="n"/>
      <c r="U1907" s="104" t="n"/>
    </row>
    <row r="1908">
      <c r="A1908" s="104" t="inlineStr">
        <is>
          <t>GUIDE001907</t>
        </is>
      </c>
      <c r="B1908" s="101" t="inlineStr">
        <is>
          <t>DEV000035</t>
        </is>
      </c>
      <c r="C1908" s="103" t="inlineStr">
        <is>
          <t>APL</t>
        </is>
      </c>
      <c r="D1908" s="103" t="inlineStr">
        <is>
          <t>PHN</t>
        </is>
      </c>
      <c r="E1908" s="60" t="inlineStr">
        <is>
          <t>iPhone 14</t>
        </is>
      </c>
      <c r="F1908" s="104" t="inlineStr">
        <is>
          <t>SVC000074</t>
        </is>
      </c>
      <c r="G1908" s="104" t="inlineStr">
        <is>
          <t>Case Installation</t>
        </is>
      </c>
      <c r="H1908" s="104" t="inlineStr">
        <is>
          <t>Accessories</t>
        </is>
      </c>
      <c r="I1908" s="104" t="n"/>
      <c r="J1908" s="104" t="n"/>
      <c r="K1908" s="104" t="n"/>
      <c r="L1908" s="104" t="n"/>
      <c r="M1908" s="104" t="n"/>
      <c r="N1908" s="104" t="n"/>
      <c r="O1908" s="104" t="n"/>
      <c r="P1908" s="104" t="n"/>
      <c r="Q1908" s="104" t="n"/>
      <c r="R1908" s="104" t="n"/>
      <c r="S1908" s="110" t="n"/>
      <c r="T1908" s="110" t="n"/>
      <c r="U1908" s="104" t="n"/>
    </row>
    <row r="1909">
      <c r="A1909" s="104" t="inlineStr">
        <is>
          <t>GUIDE001908</t>
        </is>
      </c>
      <c r="B1909" s="101" t="inlineStr">
        <is>
          <t>DEV000036</t>
        </is>
      </c>
      <c r="C1909" s="103" t="inlineStr">
        <is>
          <t>APL</t>
        </is>
      </c>
      <c r="D1909" s="103" t="inlineStr">
        <is>
          <t>PHN</t>
        </is>
      </c>
      <c r="E1909" s="60" t="inlineStr">
        <is>
          <t>iPhone 14 Plus</t>
        </is>
      </c>
      <c r="F1909" s="104" t="inlineStr">
        <is>
          <t>SVC000074</t>
        </is>
      </c>
      <c r="G1909" s="104" t="inlineStr">
        <is>
          <t>Case Installation</t>
        </is>
      </c>
      <c r="H1909" s="104" t="inlineStr">
        <is>
          <t>Accessories</t>
        </is>
      </c>
      <c r="I1909" s="104" t="n"/>
      <c r="J1909" s="104" t="n"/>
      <c r="K1909" s="104" t="n"/>
      <c r="L1909" s="104" t="n"/>
      <c r="M1909" s="104" t="n"/>
      <c r="N1909" s="104" t="n"/>
      <c r="O1909" s="104" t="n"/>
      <c r="P1909" s="104" t="n"/>
      <c r="Q1909" s="104" t="n"/>
      <c r="R1909" s="104" t="n"/>
      <c r="S1909" s="110" t="n"/>
      <c r="T1909" s="110" t="n"/>
      <c r="U1909" s="104" t="n"/>
    </row>
    <row r="1910">
      <c r="A1910" s="104" t="inlineStr">
        <is>
          <t>GUIDE001909</t>
        </is>
      </c>
      <c r="B1910" s="101" t="inlineStr">
        <is>
          <t>DEV000037</t>
        </is>
      </c>
      <c r="C1910" s="103" t="inlineStr">
        <is>
          <t>APL</t>
        </is>
      </c>
      <c r="D1910" s="103" t="inlineStr">
        <is>
          <t>PHN</t>
        </is>
      </c>
      <c r="E1910" s="60" t="inlineStr">
        <is>
          <t>iPhone 14 Pro</t>
        </is>
      </c>
      <c r="F1910" s="104" t="inlineStr">
        <is>
          <t>SVC000074</t>
        </is>
      </c>
      <c r="G1910" s="104" t="inlineStr">
        <is>
          <t>Case Installation</t>
        </is>
      </c>
      <c r="H1910" s="104" t="inlineStr">
        <is>
          <t>Accessories</t>
        </is>
      </c>
      <c r="I1910" s="104" t="n"/>
      <c r="J1910" s="104" t="n"/>
      <c r="K1910" s="104" t="n"/>
      <c r="L1910" s="104" t="n"/>
      <c r="M1910" s="104" t="n"/>
      <c r="N1910" s="104" t="n"/>
      <c r="O1910" s="104" t="n"/>
      <c r="P1910" s="104" t="n"/>
      <c r="Q1910" s="104" t="n"/>
      <c r="R1910" s="104" t="n"/>
      <c r="S1910" s="110" t="n"/>
      <c r="T1910" s="110" t="n"/>
      <c r="U1910" s="104" t="n"/>
    </row>
    <row r="1911">
      <c r="A1911" s="105" t="inlineStr">
        <is>
          <t>GUIDE001910</t>
        </is>
      </c>
      <c r="B1911" s="101" t="inlineStr">
        <is>
          <t>DEV000038</t>
        </is>
      </c>
      <c r="C1911" s="103" t="inlineStr">
        <is>
          <t>APL</t>
        </is>
      </c>
      <c r="D1911" s="103" t="inlineStr">
        <is>
          <t>PHN</t>
        </is>
      </c>
      <c r="E1911" s="60" t="inlineStr">
        <is>
          <t>iPhone 14 Pro Max</t>
        </is>
      </c>
      <c r="F1911" s="104" t="inlineStr">
        <is>
          <t>SVC000074</t>
        </is>
      </c>
      <c r="G1911" s="104" t="inlineStr">
        <is>
          <t>Case Installation</t>
        </is>
      </c>
      <c r="H1911" s="104" t="inlineStr">
        <is>
          <t>Accessories</t>
        </is>
      </c>
      <c r="I1911" s="104" t="n"/>
      <c r="J1911" s="104" t="n"/>
      <c r="K1911" s="104" t="n"/>
      <c r="L1911" s="104" t="n"/>
      <c r="M1911" s="104" t="n"/>
      <c r="N1911" s="104" t="n"/>
      <c r="O1911" s="104" t="n"/>
      <c r="P1911" s="104" t="n"/>
      <c r="Q1911" s="104" t="n"/>
      <c r="R1911" s="104" t="n"/>
      <c r="S1911" s="110" t="n"/>
      <c r="T1911" s="110" t="n"/>
      <c r="U1911" s="104" t="n"/>
    </row>
    <row r="1912">
      <c r="A1912" s="104" t="inlineStr">
        <is>
          <t>GUIDE001911</t>
        </is>
      </c>
      <c r="B1912" s="101" t="inlineStr">
        <is>
          <t>DEV000039</t>
        </is>
      </c>
      <c r="C1912" s="103" t="inlineStr">
        <is>
          <t>APL</t>
        </is>
      </c>
      <c r="D1912" s="103" t="inlineStr">
        <is>
          <t>PHN</t>
        </is>
      </c>
      <c r="E1912" s="60" t="inlineStr">
        <is>
          <t>iPhone 15</t>
        </is>
      </c>
      <c r="F1912" s="104" t="inlineStr">
        <is>
          <t>SVC000074</t>
        </is>
      </c>
      <c r="G1912" s="104" t="inlineStr">
        <is>
          <t>Case Installation</t>
        </is>
      </c>
      <c r="H1912" s="104" t="inlineStr">
        <is>
          <t>Accessories</t>
        </is>
      </c>
      <c r="I1912" s="104" t="n"/>
      <c r="J1912" s="104" t="n"/>
      <c r="K1912" s="104" t="n"/>
      <c r="L1912" s="104" t="n"/>
      <c r="M1912" s="104" t="n"/>
      <c r="N1912" s="104" t="n"/>
      <c r="O1912" s="104" t="n"/>
      <c r="P1912" s="104" t="n"/>
      <c r="Q1912" s="104" t="n"/>
      <c r="R1912" s="104" t="n"/>
      <c r="S1912" s="110" t="n"/>
      <c r="T1912" s="110" t="n"/>
      <c r="U1912" s="104" t="n"/>
    </row>
    <row r="1913">
      <c r="A1913" s="104" t="inlineStr">
        <is>
          <t>GUIDE001912</t>
        </is>
      </c>
      <c r="B1913" s="101" t="inlineStr">
        <is>
          <t>DEV000040</t>
        </is>
      </c>
      <c r="C1913" s="103" t="inlineStr">
        <is>
          <t>APL</t>
        </is>
      </c>
      <c r="D1913" s="103" t="inlineStr">
        <is>
          <t>PHN</t>
        </is>
      </c>
      <c r="E1913" s="60" t="inlineStr">
        <is>
          <t>iPhone 15 Plus</t>
        </is>
      </c>
      <c r="F1913" s="104" t="inlineStr">
        <is>
          <t>SVC000074</t>
        </is>
      </c>
      <c r="G1913" s="104" t="inlineStr">
        <is>
          <t>Case Installation</t>
        </is>
      </c>
      <c r="H1913" s="104" t="inlineStr">
        <is>
          <t>Accessories</t>
        </is>
      </c>
      <c r="I1913" s="104" t="n"/>
      <c r="J1913" s="104" t="n"/>
      <c r="K1913" s="104" t="n"/>
      <c r="L1913" s="104" t="n"/>
      <c r="M1913" s="104" t="n"/>
      <c r="N1913" s="104" t="n"/>
      <c r="O1913" s="104" t="n"/>
      <c r="P1913" s="104" t="n"/>
      <c r="Q1913" s="104" t="n"/>
      <c r="R1913" s="104" t="n"/>
      <c r="S1913" s="110" t="n"/>
      <c r="T1913" s="110" t="n"/>
      <c r="U1913" s="104" t="n"/>
    </row>
    <row r="1914">
      <c r="A1914" s="104" t="inlineStr">
        <is>
          <t>GUIDE001913</t>
        </is>
      </c>
      <c r="B1914" s="101" t="inlineStr">
        <is>
          <t>DEV000041</t>
        </is>
      </c>
      <c r="C1914" s="103" t="inlineStr">
        <is>
          <t>APL</t>
        </is>
      </c>
      <c r="D1914" s="103" t="inlineStr">
        <is>
          <t>PHN</t>
        </is>
      </c>
      <c r="E1914" s="60" t="inlineStr">
        <is>
          <t>iPhone 15 Pro</t>
        </is>
      </c>
      <c r="F1914" s="104" t="inlineStr">
        <is>
          <t>SVC000074</t>
        </is>
      </c>
      <c r="G1914" s="104" t="inlineStr">
        <is>
          <t>Case Installation</t>
        </is>
      </c>
      <c r="H1914" s="104" t="inlineStr">
        <is>
          <t>Accessories</t>
        </is>
      </c>
      <c r="I1914" s="104" t="n"/>
      <c r="J1914" s="104" t="n"/>
      <c r="K1914" s="104" t="n"/>
      <c r="L1914" s="104" t="n"/>
      <c r="M1914" s="104" t="n"/>
      <c r="N1914" s="104" t="n"/>
      <c r="O1914" s="104" t="n"/>
      <c r="P1914" s="104" t="n"/>
      <c r="Q1914" s="104" t="n"/>
      <c r="R1914" s="104" t="n"/>
      <c r="S1914" s="110" t="n"/>
      <c r="T1914" s="110" t="n"/>
      <c r="U1914" s="104" t="n"/>
    </row>
    <row r="1915">
      <c r="A1915" s="105" t="inlineStr">
        <is>
          <t>GUIDE001914</t>
        </is>
      </c>
      <c r="B1915" s="101" t="inlineStr">
        <is>
          <t>DEV000042</t>
        </is>
      </c>
      <c r="C1915" s="103" t="inlineStr">
        <is>
          <t>APL</t>
        </is>
      </c>
      <c r="D1915" s="103" t="inlineStr">
        <is>
          <t>PHN</t>
        </is>
      </c>
      <c r="E1915" s="60" t="inlineStr">
        <is>
          <t>iPhone 15 Pro Max</t>
        </is>
      </c>
      <c r="F1915" s="104" t="inlineStr">
        <is>
          <t>SVC000074</t>
        </is>
      </c>
      <c r="G1915" s="104" t="inlineStr">
        <is>
          <t>Case Installation</t>
        </is>
      </c>
      <c r="H1915" s="104" t="inlineStr">
        <is>
          <t>Accessories</t>
        </is>
      </c>
      <c r="I1915" s="104" t="n"/>
      <c r="J1915" s="104" t="n"/>
      <c r="K1915" s="104" t="n"/>
      <c r="L1915" s="104" t="n"/>
      <c r="M1915" s="104" t="n"/>
      <c r="N1915" s="104" t="n"/>
      <c r="O1915" s="104" t="n"/>
      <c r="P1915" s="104" t="n"/>
      <c r="Q1915" s="104" t="n"/>
      <c r="R1915" s="104" t="n"/>
      <c r="S1915" s="110" t="n"/>
      <c r="T1915" s="110" t="n"/>
      <c r="U1915" s="104" t="n"/>
    </row>
    <row r="1916">
      <c r="A1916" s="104" t="inlineStr">
        <is>
          <t>GUIDE001915</t>
        </is>
      </c>
      <c r="B1916" s="101" t="inlineStr">
        <is>
          <t>DEV000043</t>
        </is>
      </c>
      <c r="C1916" s="103" t="inlineStr">
        <is>
          <t>APL</t>
        </is>
      </c>
      <c r="D1916" s="103" t="inlineStr">
        <is>
          <t>PHN</t>
        </is>
      </c>
      <c r="E1916" s="60" t="inlineStr">
        <is>
          <t>iPhone 16</t>
        </is>
      </c>
      <c r="F1916" s="104" t="inlineStr">
        <is>
          <t>SVC000074</t>
        </is>
      </c>
      <c r="G1916" s="104" t="inlineStr">
        <is>
          <t>Case Installation</t>
        </is>
      </c>
      <c r="H1916" s="104" t="inlineStr">
        <is>
          <t>Accessories</t>
        </is>
      </c>
      <c r="I1916" s="104" t="n"/>
      <c r="J1916" s="104" t="n"/>
      <c r="K1916" s="104" t="n"/>
      <c r="L1916" s="104" t="n"/>
      <c r="M1916" s="104" t="n"/>
      <c r="N1916" s="104" t="n"/>
      <c r="O1916" s="104" t="n"/>
      <c r="P1916" s="104" t="n"/>
      <c r="Q1916" s="104" t="n"/>
      <c r="R1916" s="104" t="n"/>
      <c r="S1916" s="110" t="n"/>
      <c r="T1916" s="110" t="n"/>
      <c r="U1916" s="104" t="n"/>
    </row>
    <row r="1917">
      <c r="A1917" s="104" t="inlineStr">
        <is>
          <t>GUIDE001916</t>
        </is>
      </c>
      <c r="B1917" s="101" t="inlineStr">
        <is>
          <t>DEV000044</t>
        </is>
      </c>
      <c r="C1917" s="103" t="inlineStr">
        <is>
          <t>APL</t>
        </is>
      </c>
      <c r="D1917" s="103" t="inlineStr">
        <is>
          <t>PHN</t>
        </is>
      </c>
      <c r="E1917" s="60" t="inlineStr">
        <is>
          <t>iPhone 16 Plus</t>
        </is>
      </c>
      <c r="F1917" s="104" t="inlineStr">
        <is>
          <t>SVC000074</t>
        </is>
      </c>
      <c r="G1917" s="104" t="inlineStr">
        <is>
          <t>Case Installation</t>
        </is>
      </c>
      <c r="H1917" s="104" t="inlineStr">
        <is>
          <t>Accessories</t>
        </is>
      </c>
      <c r="I1917" s="104" t="n"/>
      <c r="J1917" s="104" t="n"/>
      <c r="K1917" s="104" t="n"/>
      <c r="L1917" s="104" t="n"/>
      <c r="M1917" s="104" t="n"/>
      <c r="N1917" s="104" t="n"/>
      <c r="O1917" s="104" t="n"/>
      <c r="P1917" s="104" t="n"/>
      <c r="Q1917" s="104" t="n"/>
      <c r="R1917" s="104" t="n"/>
      <c r="S1917" s="110" t="n"/>
      <c r="T1917" s="110" t="n"/>
      <c r="U1917" s="104" t="n"/>
    </row>
    <row r="1918">
      <c r="A1918" s="104" t="inlineStr">
        <is>
          <t>GUIDE001917</t>
        </is>
      </c>
      <c r="B1918" s="101" t="inlineStr">
        <is>
          <t>DEV000045</t>
        </is>
      </c>
      <c r="C1918" s="103" t="inlineStr">
        <is>
          <t>APL</t>
        </is>
      </c>
      <c r="D1918" s="103" t="inlineStr">
        <is>
          <t>PHN</t>
        </is>
      </c>
      <c r="E1918" s="60" t="inlineStr">
        <is>
          <t>iPhone 16 Pro</t>
        </is>
      </c>
      <c r="F1918" s="104" t="inlineStr">
        <is>
          <t>SVC000074</t>
        </is>
      </c>
      <c r="G1918" s="104" t="inlineStr">
        <is>
          <t>Case Installation</t>
        </is>
      </c>
      <c r="H1918" s="104" t="inlineStr">
        <is>
          <t>Accessories</t>
        </is>
      </c>
      <c r="I1918" s="104" t="n"/>
      <c r="J1918" s="104" t="n"/>
      <c r="K1918" s="104" t="n"/>
      <c r="L1918" s="104" t="n"/>
      <c r="M1918" s="104" t="n"/>
      <c r="N1918" s="104" t="n"/>
      <c r="O1918" s="104" t="n"/>
      <c r="P1918" s="104" t="n"/>
      <c r="Q1918" s="104" t="n"/>
      <c r="R1918" s="104" t="n"/>
      <c r="S1918" s="110" t="n"/>
      <c r="T1918" s="110" t="n"/>
      <c r="U1918" s="104" t="n"/>
    </row>
    <row r="1919">
      <c r="A1919" s="105" t="inlineStr">
        <is>
          <t>GUIDE001918</t>
        </is>
      </c>
      <c r="B1919" s="101" t="inlineStr">
        <is>
          <t>DEV000046</t>
        </is>
      </c>
      <c r="C1919" s="103" t="inlineStr">
        <is>
          <t>APL</t>
        </is>
      </c>
      <c r="D1919" s="103" t="inlineStr">
        <is>
          <t>PHN</t>
        </is>
      </c>
      <c r="E1919" s="60" t="inlineStr">
        <is>
          <t>iPhone 16 Pro Max</t>
        </is>
      </c>
      <c r="F1919" s="104" t="inlineStr">
        <is>
          <t>SVC000074</t>
        </is>
      </c>
      <c r="G1919" s="104" t="inlineStr">
        <is>
          <t>Case Installation</t>
        </is>
      </c>
      <c r="H1919" s="104" t="inlineStr">
        <is>
          <t>Accessories</t>
        </is>
      </c>
      <c r="I1919" s="104" t="n"/>
      <c r="J1919" s="104" t="n"/>
      <c r="K1919" s="104" t="n"/>
      <c r="L1919" s="104" t="n"/>
      <c r="M1919" s="104" t="n"/>
      <c r="N1919" s="104" t="n"/>
      <c r="O1919" s="104" t="n"/>
      <c r="P1919" s="104" t="n"/>
      <c r="Q1919" s="104" t="n"/>
      <c r="R1919" s="104" t="n"/>
      <c r="S1919" s="110" t="n"/>
      <c r="T1919" s="110" t="n"/>
      <c r="U1919" s="104" t="n"/>
    </row>
    <row r="1920">
      <c r="A1920" s="104" t="inlineStr">
        <is>
          <t>GUIDE001919</t>
        </is>
      </c>
      <c r="B1920" s="101" t="inlineStr">
        <is>
          <t>DEV000047</t>
        </is>
      </c>
      <c r="C1920" s="103" t="inlineStr">
        <is>
          <t>APL</t>
        </is>
      </c>
      <c r="D1920" s="103" t="inlineStr">
        <is>
          <t>PHN</t>
        </is>
      </c>
      <c r="E1920" s="60" t="inlineStr">
        <is>
          <t>iPhone 16e</t>
        </is>
      </c>
      <c r="F1920" s="104" t="inlineStr">
        <is>
          <t>SVC000074</t>
        </is>
      </c>
      <c r="G1920" s="104" t="inlineStr">
        <is>
          <t>Case Installation</t>
        </is>
      </c>
      <c r="H1920" s="104" t="inlineStr">
        <is>
          <t>Accessories</t>
        </is>
      </c>
      <c r="I1920" s="104" t="n"/>
      <c r="J1920" s="104" t="n"/>
      <c r="K1920" s="104" t="n"/>
      <c r="L1920" s="104" t="n"/>
      <c r="M1920" s="104" t="n"/>
      <c r="N1920" s="104" t="n"/>
      <c r="O1920" s="104" t="n"/>
      <c r="P1920" s="104" t="n"/>
      <c r="Q1920" s="104" t="n"/>
      <c r="R1920" s="104" t="n"/>
      <c r="S1920" s="110" t="n"/>
      <c r="T1920" s="110" t="n"/>
      <c r="U1920" s="104" t="n"/>
    </row>
    <row r="1921">
      <c r="A1921" s="104" t="inlineStr">
        <is>
          <t>GUIDE001920</t>
        </is>
      </c>
      <c r="B1921" s="101" t="inlineStr">
        <is>
          <t>DEV000048</t>
        </is>
      </c>
      <c r="C1921" s="103" t="inlineStr">
        <is>
          <t>APL</t>
        </is>
      </c>
      <c r="D1921" s="103" t="inlineStr">
        <is>
          <t>PHN</t>
        </is>
      </c>
      <c r="E1921" s="60" t="inlineStr">
        <is>
          <t>iPhone 17</t>
        </is>
      </c>
      <c r="F1921" s="104" t="inlineStr">
        <is>
          <t>SVC000074</t>
        </is>
      </c>
      <c r="G1921" s="104" t="inlineStr">
        <is>
          <t>Case Installation</t>
        </is>
      </c>
      <c r="H1921" s="104" t="inlineStr">
        <is>
          <t>Accessories</t>
        </is>
      </c>
      <c r="I1921" s="104" t="n"/>
      <c r="J1921" s="104" t="n"/>
      <c r="K1921" s="104" t="n"/>
      <c r="L1921" s="104" t="n"/>
      <c r="M1921" s="104" t="n"/>
      <c r="N1921" s="104" t="n"/>
      <c r="O1921" s="104" t="n"/>
      <c r="P1921" s="104" t="n"/>
      <c r="Q1921" s="104" t="n"/>
      <c r="R1921" s="104" t="n"/>
      <c r="S1921" s="110" t="n"/>
      <c r="T1921" s="110" t="n"/>
      <c r="U1921" s="104" t="n"/>
    </row>
    <row r="1922">
      <c r="A1922" s="104" t="inlineStr">
        <is>
          <t>GUIDE001921</t>
        </is>
      </c>
      <c r="B1922" s="101" t="inlineStr">
        <is>
          <t>DEV000049</t>
        </is>
      </c>
      <c r="C1922" s="103" t="inlineStr">
        <is>
          <t>APL</t>
        </is>
      </c>
      <c r="D1922" s="103" t="inlineStr">
        <is>
          <t>PHN</t>
        </is>
      </c>
      <c r="E1922" s="60" t="inlineStr">
        <is>
          <t>iPhone 17 Pro</t>
        </is>
      </c>
      <c r="F1922" s="104" t="inlineStr">
        <is>
          <t>SVC000074</t>
        </is>
      </c>
      <c r="G1922" s="104" t="inlineStr">
        <is>
          <t>Case Installation</t>
        </is>
      </c>
      <c r="H1922" s="104" t="inlineStr">
        <is>
          <t>Accessories</t>
        </is>
      </c>
      <c r="I1922" s="104" t="n"/>
      <c r="J1922" s="104" t="n"/>
      <c r="K1922" s="104" t="n"/>
      <c r="L1922" s="104" t="n"/>
      <c r="M1922" s="104" t="n"/>
      <c r="N1922" s="104" t="n"/>
      <c r="O1922" s="104" t="n"/>
      <c r="P1922" s="104" t="n"/>
      <c r="Q1922" s="104" t="n"/>
      <c r="R1922" s="104" t="n"/>
      <c r="S1922" s="110" t="n"/>
      <c r="T1922" s="110" t="n"/>
      <c r="U1922" s="104" t="n"/>
    </row>
    <row r="1923">
      <c r="A1923" s="105" t="inlineStr">
        <is>
          <t>GUIDE001922</t>
        </is>
      </c>
      <c r="B1923" s="101" t="inlineStr">
        <is>
          <t>DEV000050</t>
        </is>
      </c>
      <c r="C1923" s="103" t="inlineStr">
        <is>
          <t>APL</t>
        </is>
      </c>
      <c r="D1923" s="103" t="inlineStr">
        <is>
          <t>PHN</t>
        </is>
      </c>
      <c r="E1923" s="60" t="inlineStr">
        <is>
          <t>iPhone 17 Pro Max</t>
        </is>
      </c>
      <c r="F1923" s="104" t="inlineStr">
        <is>
          <t>SVC000074</t>
        </is>
      </c>
      <c r="G1923" s="104" t="inlineStr">
        <is>
          <t>Case Installation</t>
        </is>
      </c>
      <c r="H1923" s="104" t="inlineStr">
        <is>
          <t>Accessories</t>
        </is>
      </c>
      <c r="I1923" s="104" t="n"/>
      <c r="J1923" s="104" t="n"/>
      <c r="K1923" s="104" t="n"/>
      <c r="L1923" s="104" t="n"/>
      <c r="M1923" s="104" t="n"/>
      <c r="N1923" s="104" t="n"/>
      <c r="O1923" s="104" t="n"/>
      <c r="P1923" s="104" t="n"/>
      <c r="Q1923" s="104" t="n"/>
      <c r="R1923" s="104" t="n"/>
      <c r="S1923" s="110" t="n"/>
      <c r="T1923" s="110" t="n"/>
      <c r="U1923" s="104" t="n"/>
    </row>
    <row r="1924">
      <c r="A1924" s="104" t="inlineStr">
        <is>
          <t>GUIDE001923</t>
        </is>
      </c>
      <c r="B1924" s="101" t="inlineStr">
        <is>
          <t>DEV000051</t>
        </is>
      </c>
      <c r="C1924" s="103" t="inlineStr">
        <is>
          <t>APL</t>
        </is>
      </c>
      <c r="D1924" s="103" t="inlineStr">
        <is>
          <t>PHN</t>
        </is>
      </c>
      <c r="E1924" s="60" t="inlineStr">
        <is>
          <t>iPhone Air</t>
        </is>
      </c>
      <c r="F1924" s="104" t="inlineStr">
        <is>
          <t>SVC000074</t>
        </is>
      </c>
      <c r="G1924" s="104" t="inlineStr">
        <is>
          <t>Case Installation</t>
        </is>
      </c>
      <c r="H1924" s="104" t="inlineStr">
        <is>
          <t>Accessories</t>
        </is>
      </c>
      <c r="I1924" s="104" t="n"/>
      <c r="J1924" s="104" t="n"/>
      <c r="K1924" s="104" t="n"/>
      <c r="L1924" s="104" t="n"/>
      <c r="M1924" s="104" t="n"/>
      <c r="N1924" s="104" t="n"/>
      <c r="O1924" s="104" t="n"/>
      <c r="P1924" s="104" t="n"/>
      <c r="Q1924" s="104" t="n"/>
      <c r="R1924" s="104" t="n"/>
      <c r="S1924" s="110" t="n"/>
      <c r="T1924" s="110" t="n"/>
      <c r="U1924" s="104" t="n"/>
    </row>
    <row r="1925">
      <c r="A1925" s="104" t="inlineStr">
        <is>
          <t>GUIDE001924</t>
        </is>
      </c>
      <c r="B1925" s="101" t="inlineStr">
        <is>
          <t>DEV000052</t>
        </is>
      </c>
      <c r="C1925" s="103" t="inlineStr">
        <is>
          <t>APL</t>
        </is>
      </c>
      <c r="D1925" s="103" t="inlineStr">
        <is>
          <t>PHN</t>
        </is>
      </c>
      <c r="E1925" s="60" t="inlineStr">
        <is>
          <t>iPhone 17e</t>
        </is>
      </c>
      <c r="F1925" s="104" t="inlineStr">
        <is>
          <t>SVC000074</t>
        </is>
      </c>
      <c r="G1925" s="104" t="inlineStr">
        <is>
          <t>Case Installation</t>
        </is>
      </c>
      <c r="H1925" s="104" t="inlineStr">
        <is>
          <t>Accessories</t>
        </is>
      </c>
      <c r="I1925" s="104" t="n"/>
      <c r="J1925" s="104" t="n"/>
      <c r="K1925" s="104" t="n"/>
      <c r="L1925" s="104" t="n"/>
      <c r="M1925" s="104" t="n"/>
      <c r="N1925" s="104" t="n"/>
      <c r="O1925" s="104" t="n"/>
      <c r="P1925" s="104" t="n"/>
      <c r="Q1925" s="104" t="n"/>
      <c r="R1925" s="104" t="n"/>
      <c r="S1925" s="110" t="n"/>
      <c r="T1925" s="110" t="n"/>
      <c r="U1925" s="104" t="n"/>
    </row>
    <row r="1926">
      <c r="A1926" s="104" t="inlineStr">
        <is>
          <t>GUIDE001925</t>
        </is>
      </c>
      <c r="B1926" s="104" t="n"/>
      <c r="C1926" s="107" t="n"/>
      <c r="D1926" s="107" t="n"/>
      <c r="E1926" s="108" t="n"/>
      <c r="F1926" s="104" t="n"/>
      <c r="G1926" s="104" t="n"/>
      <c r="H1926" s="104" t="n"/>
      <c r="I1926" s="104" t="n"/>
      <c r="J1926" s="104" t="n"/>
      <c r="K1926" s="104" t="n"/>
      <c r="L1926" s="104" t="n"/>
      <c r="M1926" s="104" t="n"/>
      <c r="N1926" s="104" t="n"/>
      <c r="O1926" s="104" t="n"/>
      <c r="P1926" s="104" t="n"/>
      <c r="Q1926" s="104" t="n"/>
      <c r="R1926" s="104" t="n"/>
      <c r="S1926" s="110" t="n"/>
      <c r="T1926" s="110" t="n"/>
      <c r="U1926" s="104" t="n"/>
    </row>
    <row r="1927">
      <c r="A1927" s="105" t="inlineStr">
        <is>
          <t>GUIDE001926</t>
        </is>
      </c>
      <c r="B1927" s="104" t="n"/>
      <c r="C1927" s="107" t="n"/>
      <c r="D1927" s="107" t="n"/>
      <c r="E1927" s="108" t="n"/>
      <c r="F1927" s="104" t="n"/>
      <c r="G1927" s="104" t="n"/>
      <c r="H1927" s="104" t="n"/>
      <c r="I1927" s="104" t="n"/>
      <c r="J1927" s="104" t="n"/>
      <c r="K1927" s="104" t="n"/>
      <c r="L1927" s="104" t="n"/>
      <c r="M1927" s="104" t="n"/>
      <c r="N1927" s="104" t="n"/>
      <c r="O1927" s="104" t="n"/>
      <c r="P1927" s="104" t="n"/>
      <c r="Q1927" s="104" t="n"/>
      <c r="R1927" s="104" t="n"/>
      <c r="S1927" s="110" t="n"/>
      <c r="T1927" s="110" t="n"/>
      <c r="U1927" s="104" t="n"/>
    </row>
    <row r="1928">
      <c r="A1928" s="104" t="inlineStr">
        <is>
          <t>GUIDE001927</t>
        </is>
      </c>
      <c r="B1928" s="104" t="n"/>
      <c r="C1928" s="107" t="n"/>
      <c r="D1928" s="107" t="n"/>
      <c r="E1928" s="108" t="n"/>
      <c r="F1928" s="104" t="n"/>
      <c r="G1928" s="104" t="n"/>
      <c r="H1928" s="104" t="n"/>
      <c r="I1928" s="104" t="n"/>
      <c r="J1928" s="104" t="n"/>
      <c r="K1928" s="104" t="n"/>
      <c r="L1928" s="104" t="n"/>
      <c r="M1928" s="104" t="n"/>
      <c r="N1928" s="104" t="n"/>
      <c r="O1928" s="104" t="n"/>
      <c r="P1928" s="104" t="n"/>
      <c r="Q1928" s="104" t="n"/>
      <c r="R1928" s="104" t="n"/>
      <c r="S1928" s="110" t="n"/>
      <c r="T1928" s="110" t="n"/>
      <c r="U1928" s="104" t="n"/>
    </row>
    <row r="1929">
      <c r="A1929" s="104" t="inlineStr">
        <is>
          <t>GUIDE001928</t>
        </is>
      </c>
      <c r="B1929" s="104" t="n"/>
      <c r="C1929" s="107" t="n"/>
      <c r="D1929" s="107" t="n"/>
      <c r="E1929" s="108" t="n"/>
      <c r="F1929" s="104" t="n"/>
      <c r="G1929" s="104" t="n"/>
      <c r="H1929" s="104" t="n"/>
      <c r="I1929" s="104" t="n"/>
      <c r="J1929" s="104" t="n"/>
      <c r="K1929" s="104" t="n"/>
      <c r="L1929" s="104" t="n"/>
      <c r="M1929" s="104" t="n"/>
      <c r="N1929" s="104" t="n"/>
      <c r="O1929" s="104" t="n"/>
      <c r="P1929" s="104" t="n"/>
      <c r="Q1929" s="104" t="n"/>
      <c r="R1929" s="104" t="n"/>
      <c r="S1929" s="110" t="n"/>
      <c r="T1929" s="110" t="n"/>
      <c r="U1929" s="104" t="n"/>
    </row>
    <row r="1930">
      <c r="A1930" s="104" t="inlineStr">
        <is>
          <t>GUIDE001929</t>
        </is>
      </c>
      <c r="B1930" s="104" t="n"/>
      <c r="C1930" s="107" t="n"/>
      <c r="D1930" s="107" t="n"/>
      <c r="E1930" s="108" t="n"/>
      <c r="F1930" s="104" t="n"/>
      <c r="G1930" s="104" t="n"/>
      <c r="H1930" s="104" t="n"/>
      <c r="I1930" s="104" t="n"/>
      <c r="J1930" s="104" t="n"/>
      <c r="K1930" s="104" t="n"/>
      <c r="L1930" s="104" t="n"/>
      <c r="M1930" s="104" t="n"/>
      <c r="N1930" s="104" t="n"/>
      <c r="O1930" s="104" t="n"/>
      <c r="P1930" s="104" t="n"/>
      <c r="Q1930" s="104" t="n"/>
      <c r="R1930" s="104" t="n"/>
      <c r="S1930" s="110" t="n"/>
      <c r="T1930" s="110" t="n"/>
      <c r="U1930" s="104" t="n"/>
    </row>
    <row r="1931">
      <c r="A1931" s="105" t="inlineStr">
        <is>
          <t>GUIDE001930</t>
        </is>
      </c>
      <c r="B1931" s="104" t="n"/>
      <c r="C1931" s="107" t="n"/>
      <c r="D1931" s="107" t="n"/>
      <c r="E1931" s="108" t="n"/>
      <c r="F1931" s="104" t="n"/>
      <c r="G1931" s="104" t="n"/>
      <c r="H1931" s="104" t="n"/>
      <c r="I1931" s="104" t="n"/>
      <c r="J1931" s="104" t="n"/>
      <c r="K1931" s="104" t="n"/>
      <c r="L1931" s="104" t="n"/>
      <c r="M1931" s="104" t="n"/>
      <c r="N1931" s="104" t="n"/>
      <c r="O1931" s="104" t="n"/>
      <c r="P1931" s="104" t="n"/>
      <c r="Q1931" s="104" t="n"/>
      <c r="R1931" s="104" t="n"/>
      <c r="S1931" s="110" t="n"/>
      <c r="T1931" s="110" t="n"/>
      <c r="U1931" s="104" t="n"/>
    </row>
    <row r="1932">
      <c r="A1932" s="104" t="inlineStr">
        <is>
          <t>GUIDE001931</t>
        </is>
      </c>
      <c r="B1932" s="104" t="n"/>
      <c r="C1932" s="107" t="n"/>
      <c r="D1932" s="107" t="n"/>
      <c r="E1932" s="108" t="n"/>
      <c r="F1932" s="104" t="n"/>
      <c r="G1932" s="104" t="n"/>
      <c r="H1932" s="104" t="n"/>
      <c r="I1932" s="104" t="n"/>
      <c r="J1932" s="104" t="n"/>
      <c r="K1932" s="104" t="n"/>
      <c r="L1932" s="104" t="n"/>
      <c r="M1932" s="104" t="n"/>
      <c r="N1932" s="104" t="n"/>
      <c r="O1932" s="104" t="n"/>
      <c r="P1932" s="104" t="n"/>
      <c r="Q1932" s="104" t="n"/>
      <c r="R1932" s="104" t="n"/>
      <c r="S1932" s="110" t="n"/>
      <c r="T1932" s="110" t="n"/>
      <c r="U1932" s="104" t="n"/>
    </row>
    <row r="1933">
      <c r="A1933" s="104" t="inlineStr">
        <is>
          <t>GUIDE001932</t>
        </is>
      </c>
      <c r="B1933" s="104" t="n"/>
      <c r="C1933" s="107" t="n"/>
      <c r="D1933" s="107" t="n"/>
      <c r="E1933" s="108" t="n"/>
      <c r="F1933" s="104" t="n"/>
      <c r="G1933" s="104" t="n"/>
      <c r="H1933" s="104" t="n"/>
      <c r="I1933" s="104" t="n"/>
      <c r="J1933" s="104" t="n"/>
      <c r="K1933" s="104" t="n"/>
      <c r="L1933" s="104" t="n"/>
      <c r="M1933" s="104" t="n"/>
      <c r="N1933" s="104" t="n"/>
      <c r="O1933" s="104" t="n"/>
      <c r="P1933" s="104" t="n"/>
      <c r="Q1933" s="104" t="n"/>
      <c r="R1933" s="104" t="n"/>
      <c r="S1933" s="110" t="n"/>
      <c r="T1933" s="110" t="n"/>
      <c r="U1933" s="104" t="n"/>
    </row>
    <row r="1934">
      <c r="A1934" s="104" t="inlineStr">
        <is>
          <t>GUIDE001933</t>
        </is>
      </c>
      <c r="B1934" s="104" t="n"/>
      <c r="C1934" s="107" t="n"/>
      <c r="D1934" s="107" t="n"/>
      <c r="E1934" s="108" t="n"/>
      <c r="F1934" s="104" t="n"/>
      <c r="G1934" s="104" t="n"/>
      <c r="H1934" s="104" t="n"/>
      <c r="I1934" s="104" t="n"/>
      <c r="J1934" s="104" t="n"/>
      <c r="K1934" s="104" t="n"/>
      <c r="L1934" s="104" t="n"/>
      <c r="M1934" s="104" t="n"/>
      <c r="N1934" s="104" t="n"/>
      <c r="O1934" s="104" t="n"/>
      <c r="P1934" s="104" t="n"/>
      <c r="Q1934" s="104" t="n"/>
      <c r="R1934" s="104" t="n"/>
      <c r="S1934" s="110" t="n"/>
      <c r="T1934" s="110" t="n"/>
      <c r="U1934" s="104" t="n"/>
    </row>
    <row r="1935">
      <c r="A1935" s="105" t="inlineStr">
        <is>
          <t>GUIDE001934</t>
        </is>
      </c>
      <c r="B1935" s="104" t="n"/>
      <c r="C1935" s="107" t="n"/>
      <c r="D1935" s="107" t="n"/>
      <c r="E1935" s="108" t="n"/>
      <c r="F1935" s="104" t="n"/>
      <c r="G1935" s="104" t="n"/>
      <c r="H1935" s="104" t="n"/>
      <c r="I1935" s="104" t="n"/>
      <c r="J1935" s="104" t="n"/>
      <c r="K1935" s="104" t="n"/>
      <c r="L1935" s="104" t="n"/>
      <c r="M1935" s="104" t="n"/>
      <c r="N1935" s="104" t="n"/>
      <c r="O1935" s="104" t="n"/>
      <c r="P1935" s="104" t="n"/>
      <c r="Q1935" s="104" t="n"/>
      <c r="R1935" s="104" t="n"/>
      <c r="S1935" s="110" t="n"/>
      <c r="T1935" s="110" t="n"/>
      <c r="U1935" s="104" t="n"/>
    </row>
    <row r="1936">
      <c r="A1936" s="104" t="inlineStr">
        <is>
          <t>GUIDE001935</t>
        </is>
      </c>
      <c r="B1936" s="104" t="n"/>
      <c r="C1936" s="107" t="n"/>
      <c r="D1936" s="107" t="n"/>
      <c r="E1936" s="108" t="n"/>
      <c r="F1936" s="104" t="n"/>
      <c r="G1936" s="104" t="n"/>
      <c r="H1936" s="104" t="n"/>
      <c r="I1936" s="104" t="n"/>
      <c r="J1936" s="104" t="n"/>
      <c r="K1936" s="104" t="n"/>
      <c r="L1936" s="104" t="n"/>
      <c r="M1936" s="104" t="n"/>
      <c r="N1936" s="104" t="n"/>
      <c r="O1936" s="104" t="n"/>
      <c r="P1936" s="104" t="n"/>
      <c r="Q1936" s="104" t="n"/>
      <c r="R1936" s="104" t="n"/>
      <c r="S1936" s="110" t="n"/>
      <c r="T1936" s="110" t="n"/>
      <c r="U1936" s="104" t="n"/>
    </row>
    <row r="1937">
      <c r="A1937" s="104" t="inlineStr">
        <is>
          <t>GUIDE001936</t>
        </is>
      </c>
      <c r="B1937" s="104" t="n"/>
      <c r="C1937" s="107" t="n"/>
      <c r="D1937" s="107" t="n"/>
      <c r="E1937" s="108" t="n"/>
      <c r="F1937" s="104" t="n"/>
      <c r="G1937" s="104" t="n"/>
      <c r="H1937" s="104" t="n"/>
      <c r="I1937" s="104" t="n"/>
      <c r="J1937" s="104" t="n"/>
      <c r="K1937" s="104" t="n"/>
      <c r="L1937" s="104" t="n"/>
      <c r="M1937" s="104" t="n"/>
      <c r="N1937" s="104" t="n"/>
      <c r="O1937" s="104" t="n"/>
      <c r="P1937" s="104" t="n"/>
      <c r="Q1937" s="104" t="n"/>
      <c r="R1937" s="104" t="n"/>
      <c r="S1937" s="110" t="n"/>
      <c r="T1937" s="110" t="n"/>
      <c r="U1937" s="104" t="n"/>
    </row>
    <row r="1938">
      <c r="A1938" s="104" t="inlineStr">
        <is>
          <t>GUIDE001937</t>
        </is>
      </c>
      <c r="B1938" s="104" t="n"/>
      <c r="C1938" s="107" t="n"/>
      <c r="D1938" s="107" t="n"/>
      <c r="E1938" s="108" t="n"/>
      <c r="F1938" s="104" t="n"/>
      <c r="G1938" s="104" t="n"/>
      <c r="H1938" s="104" t="n"/>
      <c r="I1938" s="104" t="n"/>
      <c r="J1938" s="104" t="n"/>
      <c r="K1938" s="104" t="n"/>
      <c r="L1938" s="104" t="n"/>
      <c r="M1938" s="104" t="n"/>
      <c r="N1938" s="104" t="n"/>
      <c r="O1938" s="104" t="n"/>
      <c r="P1938" s="104" t="n"/>
      <c r="Q1938" s="104" t="n"/>
      <c r="R1938" s="104" t="n"/>
      <c r="S1938" s="110" t="n"/>
      <c r="T1938" s="110" t="n"/>
      <c r="U1938" s="104" t="n"/>
    </row>
    <row r="1939">
      <c r="A1939" s="105" t="inlineStr">
        <is>
          <t>GUIDE001938</t>
        </is>
      </c>
      <c r="B1939" s="104" t="n"/>
      <c r="C1939" s="107" t="n"/>
      <c r="D1939" s="107" t="n"/>
      <c r="E1939" s="108" t="n"/>
      <c r="F1939" s="104" t="n"/>
      <c r="G1939" s="104" t="n"/>
      <c r="H1939" s="104" t="n"/>
      <c r="I1939" s="104" t="n"/>
      <c r="J1939" s="104" t="n"/>
      <c r="K1939" s="104" t="n"/>
      <c r="L1939" s="104" t="n"/>
      <c r="M1939" s="104" t="n"/>
      <c r="N1939" s="104" t="n"/>
      <c r="O1939" s="104" t="n"/>
      <c r="P1939" s="104" t="n"/>
      <c r="Q1939" s="104" t="n"/>
      <c r="R1939" s="104" t="n"/>
      <c r="S1939" s="110" t="n"/>
      <c r="T1939" s="110" t="n"/>
      <c r="U1939" s="104" t="n"/>
    </row>
    <row r="1940">
      <c r="A1940" s="104" t="inlineStr">
        <is>
          <t>GUIDE001939</t>
        </is>
      </c>
      <c r="B1940" s="104" t="n"/>
      <c r="C1940" s="107" t="n"/>
      <c r="D1940" s="107" t="n"/>
      <c r="E1940" s="108" t="n"/>
      <c r="F1940" s="104" t="n"/>
      <c r="G1940" s="104" t="n"/>
      <c r="H1940" s="104" t="n"/>
      <c r="I1940" s="104" t="n"/>
      <c r="J1940" s="104" t="n"/>
      <c r="K1940" s="104" t="n"/>
      <c r="L1940" s="104" t="n"/>
      <c r="M1940" s="104" t="n"/>
      <c r="N1940" s="104" t="n"/>
      <c r="O1940" s="104" t="n"/>
      <c r="P1940" s="104" t="n"/>
      <c r="Q1940" s="104" t="n"/>
      <c r="R1940" s="104" t="n"/>
      <c r="S1940" s="110" t="n"/>
      <c r="T1940" s="110" t="n"/>
      <c r="U1940" s="104" t="n"/>
    </row>
    <row r="1941">
      <c r="A1941" s="104" t="inlineStr">
        <is>
          <t>GUIDE001940</t>
        </is>
      </c>
      <c r="B1941" s="104" t="n"/>
      <c r="C1941" s="107" t="n"/>
      <c r="D1941" s="107" t="n"/>
      <c r="E1941" s="108" t="n"/>
      <c r="F1941" s="104" t="n"/>
      <c r="G1941" s="104" t="n"/>
      <c r="H1941" s="104" t="n"/>
      <c r="I1941" s="104" t="n"/>
      <c r="J1941" s="104" t="n"/>
      <c r="K1941" s="104" t="n"/>
      <c r="L1941" s="104" t="n"/>
      <c r="M1941" s="104" t="n"/>
      <c r="N1941" s="104" t="n"/>
      <c r="O1941" s="104" t="n"/>
      <c r="P1941" s="104" t="n"/>
      <c r="Q1941" s="104" t="n"/>
      <c r="R1941" s="104" t="n"/>
      <c r="S1941" s="110" t="n"/>
      <c r="T1941" s="110" t="n"/>
      <c r="U1941" s="104" t="n"/>
    </row>
    <row r="1942">
      <c r="A1942" s="104" t="inlineStr">
        <is>
          <t>GUIDE001941</t>
        </is>
      </c>
      <c r="B1942" s="104" t="n"/>
      <c r="C1942" s="107" t="n"/>
      <c r="D1942" s="107" t="n"/>
      <c r="E1942" s="108" t="n"/>
      <c r="F1942" s="104" t="n"/>
      <c r="G1942" s="104" t="n"/>
      <c r="H1942" s="104" t="n"/>
      <c r="I1942" s="104" t="n"/>
      <c r="J1942" s="104" t="n"/>
      <c r="K1942" s="104" t="n"/>
      <c r="L1942" s="104" t="n"/>
      <c r="M1942" s="104" t="n"/>
      <c r="N1942" s="104" t="n"/>
      <c r="O1942" s="104" t="n"/>
      <c r="P1942" s="104" t="n"/>
      <c r="Q1942" s="104" t="n"/>
      <c r="R1942" s="104" t="n"/>
      <c r="S1942" s="110" t="n"/>
      <c r="T1942" s="110" t="n"/>
      <c r="U1942" s="104" t="n"/>
    </row>
    <row r="1943">
      <c r="A1943" s="105" t="inlineStr">
        <is>
          <t>GUIDE001942</t>
        </is>
      </c>
      <c r="B1943" s="104" t="n"/>
      <c r="C1943" s="107" t="n"/>
      <c r="D1943" s="107" t="n"/>
      <c r="E1943" s="108" t="n"/>
      <c r="F1943" s="104" t="n"/>
      <c r="G1943" s="104" t="n"/>
      <c r="H1943" s="104" t="n"/>
      <c r="I1943" s="104" t="n"/>
      <c r="J1943" s="104" t="n"/>
      <c r="K1943" s="104" t="n"/>
      <c r="L1943" s="104" t="n"/>
      <c r="M1943" s="104" t="n"/>
      <c r="N1943" s="104" t="n"/>
      <c r="O1943" s="104" t="n"/>
      <c r="P1943" s="104" t="n"/>
      <c r="Q1943" s="104" t="n"/>
      <c r="R1943" s="104" t="n"/>
      <c r="S1943" s="110" t="n"/>
      <c r="T1943" s="110" t="n"/>
      <c r="U1943" s="104" t="n"/>
    </row>
    <row r="1944">
      <c r="A1944" s="104" t="inlineStr">
        <is>
          <t>GUIDE001943</t>
        </is>
      </c>
      <c r="B1944" s="104" t="n"/>
      <c r="C1944" s="107" t="n"/>
      <c r="D1944" s="107" t="n"/>
      <c r="E1944" s="108" t="n"/>
      <c r="F1944" s="104" t="n"/>
      <c r="G1944" s="104" t="n"/>
      <c r="H1944" s="104" t="n"/>
      <c r="I1944" s="104" t="n"/>
      <c r="J1944" s="104" t="n"/>
      <c r="K1944" s="104" t="n"/>
      <c r="L1944" s="104" t="n"/>
      <c r="M1944" s="104" t="n"/>
      <c r="N1944" s="104" t="n"/>
      <c r="O1944" s="104" t="n"/>
      <c r="P1944" s="104" t="n"/>
      <c r="Q1944" s="104" t="n"/>
      <c r="R1944" s="104" t="n"/>
      <c r="S1944" s="110" t="n"/>
      <c r="T1944" s="110" t="n"/>
      <c r="U1944" s="104" t="n"/>
    </row>
    <row r="1945">
      <c r="A1945" s="104" t="inlineStr">
        <is>
          <t>GUIDE001944</t>
        </is>
      </c>
      <c r="B1945" s="104" t="n"/>
      <c r="C1945" s="107" t="n"/>
      <c r="D1945" s="107" t="n"/>
      <c r="E1945" s="108" t="n"/>
      <c r="F1945" s="104" t="n"/>
      <c r="G1945" s="104" t="n"/>
      <c r="H1945" s="104" t="n"/>
      <c r="I1945" s="104" t="n"/>
      <c r="J1945" s="104" t="n"/>
      <c r="K1945" s="104" t="n"/>
      <c r="L1945" s="104" t="n"/>
      <c r="M1945" s="104" t="n"/>
      <c r="N1945" s="104" t="n"/>
      <c r="O1945" s="104" t="n"/>
      <c r="P1945" s="104" t="n"/>
      <c r="Q1945" s="104" t="n"/>
      <c r="R1945" s="104" t="n"/>
      <c r="S1945" s="110" t="n"/>
      <c r="T1945" s="110" t="n"/>
      <c r="U1945" s="104" t="n"/>
    </row>
    <row r="1946">
      <c r="A1946" s="104" t="inlineStr">
        <is>
          <t>GUIDE001945</t>
        </is>
      </c>
      <c r="B1946" s="104" t="n"/>
      <c r="C1946" s="107" t="n"/>
      <c r="D1946" s="107" t="n"/>
      <c r="E1946" s="108" t="n"/>
      <c r="F1946" s="104" t="n"/>
      <c r="G1946" s="104" t="n"/>
      <c r="H1946" s="104" t="n"/>
      <c r="I1946" s="104" t="n"/>
      <c r="J1946" s="104" t="n"/>
      <c r="K1946" s="104" t="n"/>
      <c r="L1946" s="104" t="n"/>
      <c r="M1946" s="104" t="n"/>
      <c r="N1946" s="104" t="n"/>
      <c r="O1946" s="104" t="n"/>
      <c r="P1946" s="104" t="n"/>
      <c r="Q1946" s="104" t="n"/>
      <c r="R1946" s="104" t="n"/>
      <c r="S1946" s="110" t="n"/>
      <c r="T1946" s="110" t="n"/>
      <c r="U1946" s="104" t="n"/>
    </row>
    <row r="1947">
      <c r="A1947" s="105" t="inlineStr">
        <is>
          <t>GUIDE001946</t>
        </is>
      </c>
      <c r="B1947" s="104" t="n"/>
      <c r="C1947" s="107" t="n"/>
      <c r="D1947" s="107" t="n"/>
      <c r="E1947" s="108" t="n"/>
      <c r="F1947" s="104" t="n"/>
      <c r="G1947" s="104" t="n"/>
      <c r="H1947" s="104" t="n"/>
      <c r="I1947" s="104" t="n"/>
      <c r="J1947" s="104" t="n"/>
      <c r="K1947" s="104" t="n"/>
      <c r="L1947" s="104" t="n"/>
      <c r="M1947" s="104" t="n"/>
      <c r="N1947" s="104" t="n"/>
      <c r="O1947" s="104" t="n"/>
      <c r="P1947" s="104" t="n"/>
      <c r="Q1947" s="104" t="n"/>
      <c r="R1947" s="104" t="n"/>
      <c r="S1947" s="110" t="n"/>
      <c r="T1947" s="110" t="n"/>
      <c r="U1947" s="104" t="n"/>
    </row>
    <row r="1948">
      <c r="A1948" s="104" t="inlineStr">
        <is>
          <t>GUIDE001947</t>
        </is>
      </c>
      <c r="B1948" s="104" t="n"/>
      <c r="C1948" s="107" t="n"/>
      <c r="D1948" s="107" t="n"/>
      <c r="E1948" s="108" t="n"/>
      <c r="F1948" s="104" t="n"/>
      <c r="G1948" s="104" t="n"/>
      <c r="H1948" s="104" t="n"/>
      <c r="I1948" s="104" t="n"/>
      <c r="J1948" s="104" t="n"/>
      <c r="K1948" s="104" t="n"/>
      <c r="L1948" s="104" t="n"/>
      <c r="M1948" s="104" t="n"/>
      <c r="N1948" s="104" t="n"/>
      <c r="O1948" s="104" t="n"/>
      <c r="P1948" s="104" t="n"/>
      <c r="Q1948" s="104" t="n"/>
      <c r="R1948" s="104" t="n"/>
      <c r="S1948" s="110" t="n"/>
      <c r="T1948" s="110" t="n"/>
      <c r="U1948" s="104" t="n"/>
    </row>
    <row r="1949">
      <c r="A1949" s="104" t="inlineStr">
        <is>
          <t>GUIDE001948</t>
        </is>
      </c>
      <c r="B1949" s="104" t="n"/>
      <c r="C1949" s="107" t="n"/>
      <c r="D1949" s="107" t="n"/>
      <c r="E1949" s="108" t="n"/>
      <c r="F1949" s="104" t="n"/>
      <c r="G1949" s="104" t="n"/>
      <c r="H1949" s="104" t="n"/>
      <c r="I1949" s="104" t="n"/>
      <c r="J1949" s="104" t="n"/>
      <c r="K1949" s="104" t="n"/>
      <c r="L1949" s="104" t="n"/>
      <c r="M1949" s="104" t="n"/>
      <c r="N1949" s="104" t="n"/>
      <c r="O1949" s="104" t="n"/>
      <c r="P1949" s="104" t="n"/>
      <c r="Q1949" s="104" t="n"/>
      <c r="R1949" s="104" t="n"/>
      <c r="S1949" s="110" t="n"/>
      <c r="T1949" s="110" t="n"/>
      <c r="U1949" s="104" t="n"/>
    </row>
    <row r="1950">
      <c r="A1950" s="104" t="inlineStr">
        <is>
          <t>GUIDE001949</t>
        </is>
      </c>
      <c r="B1950" s="104" t="n"/>
      <c r="C1950" s="107" t="n"/>
      <c r="D1950" s="107" t="n"/>
      <c r="E1950" s="108" t="n"/>
      <c r="F1950" s="104" t="n"/>
      <c r="G1950" s="104" t="n"/>
      <c r="H1950" s="104" t="n"/>
      <c r="I1950" s="104" t="n"/>
      <c r="J1950" s="104" t="n"/>
      <c r="K1950" s="104" t="n"/>
      <c r="L1950" s="104" t="n"/>
      <c r="M1950" s="104" t="n"/>
      <c r="N1950" s="104" t="n"/>
      <c r="O1950" s="104" t="n"/>
      <c r="P1950" s="104" t="n"/>
      <c r="Q1950" s="104" t="n"/>
      <c r="R1950" s="104" t="n"/>
      <c r="S1950" s="110" t="n"/>
      <c r="T1950" s="110" t="n"/>
      <c r="U1950" s="104" t="n"/>
    </row>
    <row r="1951">
      <c r="A1951" s="105" t="inlineStr">
        <is>
          <t>GUIDE001950</t>
        </is>
      </c>
      <c r="B1951" s="104" t="n"/>
      <c r="C1951" s="107" t="n"/>
      <c r="D1951" s="107" t="n"/>
      <c r="E1951" s="108" t="n"/>
      <c r="F1951" s="104" t="n"/>
      <c r="G1951" s="104" t="n"/>
      <c r="H1951" s="104" t="n"/>
      <c r="I1951" s="104" t="n"/>
      <c r="J1951" s="104" t="n"/>
      <c r="K1951" s="104" t="n"/>
      <c r="L1951" s="104" t="n"/>
      <c r="M1951" s="104" t="n"/>
      <c r="N1951" s="104" t="n"/>
      <c r="O1951" s="104" t="n"/>
      <c r="P1951" s="104" t="n"/>
      <c r="Q1951" s="104" t="n"/>
      <c r="R1951" s="104" t="n"/>
      <c r="S1951" s="110" t="n"/>
      <c r="T1951" s="110" t="n"/>
      <c r="U1951" s="104" t="n"/>
    </row>
    <row r="1952">
      <c r="A1952" s="104" t="inlineStr">
        <is>
          <t>GUIDE001951</t>
        </is>
      </c>
      <c r="B1952" s="104" t="n"/>
      <c r="C1952" s="107" t="n"/>
      <c r="D1952" s="107" t="n"/>
      <c r="E1952" s="108" t="n"/>
      <c r="F1952" s="104" t="n"/>
      <c r="G1952" s="104" t="n"/>
      <c r="H1952" s="104" t="n"/>
      <c r="I1952" s="104" t="n"/>
      <c r="J1952" s="104" t="n"/>
      <c r="K1952" s="104" t="n"/>
      <c r="L1952" s="104" t="n"/>
      <c r="M1952" s="104" t="n"/>
      <c r="N1952" s="104" t="n"/>
      <c r="O1952" s="104" t="n"/>
      <c r="P1952" s="104" t="n"/>
      <c r="Q1952" s="104" t="n"/>
      <c r="R1952" s="104" t="n"/>
      <c r="S1952" s="110" t="n"/>
      <c r="T1952" s="110" t="n"/>
      <c r="U1952" s="104" t="n"/>
    </row>
    <row r="1953">
      <c r="A1953" s="104" t="inlineStr">
        <is>
          <t>GUIDE001952</t>
        </is>
      </c>
      <c r="B1953" s="104" t="n"/>
      <c r="C1953" s="107" t="n"/>
      <c r="D1953" s="107" t="n"/>
      <c r="E1953" s="108" t="n"/>
      <c r="F1953" s="104" t="n"/>
      <c r="G1953" s="104" t="n"/>
      <c r="H1953" s="104" t="n"/>
      <c r="I1953" s="104" t="n"/>
      <c r="J1953" s="104" t="n"/>
      <c r="K1953" s="104" t="n"/>
      <c r="L1953" s="104" t="n"/>
      <c r="M1953" s="104" t="n"/>
      <c r="N1953" s="104" t="n"/>
      <c r="O1953" s="104" t="n"/>
      <c r="P1953" s="104" t="n"/>
      <c r="Q1953" s="104" t="n"/>
      <c r="R1953" s="104" t="n"/>
      <c r="S1953" s="110" t="n"/>
      <c r="T1953" s="110" t="n"/>
      <c r="U1953" s="104" t="n"/>
    </row>
    <row r="1954">
      <c r="A1954" s="104" t="inlineStr">
        <is>
          <t>GUIDE001953</t>
        </is>
      </c>
      <c r="B1954" s="104" t="n"/>
      <c r="C1954" s="107" t="n"/>
      <c r="D1954" s="107" t="n"/>
      <c r="E1954" s="108" t="n"/>
      <c r="F1954" s="104" t="n"/>
      <c r="G1954" s="104" t="n"/>
      <c r="H1954" s="104" t="n"/>
      <c r="I1954" s="104" t="n"/>
      <c r="J1954" s="104" t="n"/>
      <c r="K1954" s="104" t="n"/>
      <c r="L1954" s="104" t="n"/>
      <c r="M1954" s="104" t="n"/>
      <c r="N1954" s="104" t="n"/>
      <c r="O1954" s="104" t="n"/>
      <c r="P1954" s="104" t="n"/>
      <c r="Q1954" s="104" t="n"/>
      <c r="R1954" s="104" t="n"/>
      <c r="S1954" s="110" t="n"/>
      <c r="T1954" s="110" t="n"/>
      <c r="U1954" s="104" t="n"/>
    </row>
    <row r="1955">
      <c r="A1955" s="105" t="inlineStr">
        <is>
          <t>GUIDE001954</t>
        </is>
      </c>
      <c r="B1955" s="104" t="n"/>
      <c r="C1955" s="107" t="n"/>
      <c r="D1955" s="107" t="n"/>
      <c r="E1955" s="108" t="n"/>
      <c r="F1955" s="104" t="n"/>
      <c r="G1955" s="104" t="n"/>
      <c r="H1955" s="104" t="n"/>
      <c r="I1955" s="104" t="n"/>
      <c r="J1955" s="104" t="n"/>
      <c r="K1955" s="104" t="n"/>
      <c r="L1955" s="104" t="n"/>
      <c r="M1955" s="104" t="n"/>
      <c r="N1955" s="104" t="n"/>
      <c r="O1955" s="104" t="n"/>
      <c r="P1955" s="104" t="n"/>
      <c r="Q1955" s="104" t="n"/>
      <c r="R1955" s="104" t="n"/>
      <c r="S1955" s="110" t="n"/>
      <c r="T1955" s="110" t="n"/>
      <c r="U1955" s="104" t="n"/>
    </row>
    <row r="1956">
      <c r="A1956" s="104" t="inlineStr">
        <is>
          <t>GUIDE001955</t>
        </is>
      </c>
      <c r="B1956" s="104" t="n"/>
      <c r="C1956" s="107" t="n"/>
      <c r="D1956" s="107" t="n"/>
      <c r="E1956" s="108" t="n"/>
      <c r="F1956" s="104" t="n"/>
      <c r="G1956" s="104" t="n"/>
      <c r="H1956" s="104" t="n"/>
      <c r="I1956" s="104" t="n"/>
      <c r="J1956" s="104" t="n"/>
      <c r="K1956" s="104" t="n"/>
      <c r="L1956" s="104" t="n"/>
      <c r="M1956" s="104" t="n"/>
      <c r="N1956" s="104" t="n"/>
      <c r="O1956" s="104" t="n"/>
      <c r="P1956" s="104" t="n"/>
      <c r="Q1956" s="104" t="n"/>
      <c r="R1956" s="104" t="n"/>
      <c r="S1956" s="110" t="n"/>
      <c r="T1956" s="110" t="n"/>
      <c r="U1956" s="104" t="n"/>
    </row>
    <row r="1957">
      <c r="A1957" s="104" t="inlineStr">
        <is>
          <t>GUIDE001956</t>
        </is>
      </c>
      <c r="B1957" s="104" t="n"/>
      <c r="C1957" s="107" t="n"/>
      <c r="D1957" s="107" t="n"/>
      <c r="E1957" s="108" t="n"/>
      <c r="F1957" s="104" t="n"/>
      <c r="G1957" s="104" t="n"/>
      <c r="H1957" s="104" t="n"/>
      <c r="I1957" s="104" t="n"/>
      <c r="J1957" s="104" t="n"/>
      <c r="K1957" s="104" t="n"/>
      <c r="L1957" s="104" t="n"/>
      <c r="M1957" s="104" t="n"/>
      <c r="N1957" s="104" t="n"/>
      <c r="O1957" s="104" t="n"/>
      <c r="P1957" s="104" t="n"/>
      <c r="Q1957" s="104" t="n"/>
      <c r="R1957" s="104" t="n"/>
      <c r="S1957" s="110" t="n"/>
      <c r="T1957" s="110" t="n"/>
      <c r="U1957" s="104" t="n"/>
    </row>
    <row r="1958">
      <c r="A1958" s="104" t="inlineStr">
        <is>
          <t>GUIDE001957</t>
        </is>
      </c>
      <c r="B1958" s="104" t="n"/>
      <c r="C1958" s="107" t="n"/>
      <c r="D1958" s="107" t="n"/>
      <c r="E1958" s="108" t="n"/>
      <c r="F1958" s="104" t="n"/>
      <c r="G1958" s="104" t="n"/>
      <c r="H1958" s="104" t="n"/>
      <c r="I1958" s="104" t="n"/>
      <c r="J1958" s="104" t="n"/>
      <c r="K1958" s="104" t="n"/>
      <c r="L1958" s="104" t="n"/>
      <c r="M1958" s="104" t="n"/>
      <c r="N1958" s="104" t="n"/>
      <c r="O1958" s="104" t="n"/>
      <c r="P1958" s="104" t="n"/>
      <c r="Q1958" s="104" t="n"/>
      <c r="R1958" s="104" t="n"/>
      <c r="S1958" s="110" t="n"/>
      <c r="T1958" s="110" t="n"/>
      <c r="U1958" s="104" t="n"/>
    </row>
    <row r="1959">
      <c r="A1959" s="105" t="inlineStr">
        <is>
          <t>GUIDE001958</t>
        </is>
      </c>
      <c r="B1959" s="104" t="n"/>
      <c r="C1959" s="107" t="n"/>
      <c r="D1959" s="107" t="n"/>
      <c r="E1959" s="108" t="n"/>
      <c r="F1959" s="104" t="n"/>
      <c r="G1959" s="104" t="n"/>
      <c r="H1959" s="104" t="n"/>
      <c r="I1959" s="104" t="n"/>
      <c r="J1959" s="104" t="n"/>
      <c r="K1959" s="104" t="n"/>
      <c r="L1959" s="104" t="n"/>
      <c r="M1959" s="104" t="n"/>
      <c r="N1959" s="104" t="n"/>
      <c r="O1959" s="104" t="n"/>
      <c r="P1959" s="104" t="n"/>
      <c r="Q1959" s="104" t="n"/>
      <c r="R1959" s="104" t="n"/>
      <c r="S1959" s="110" t="n"/>
      <c r="T1959" s="110" t="n"/>
      <c r="U1959" s="104" t="n"/>
    </row>
    <row r="1960">
      <c r="A1960" s="104" t="inlineStr">
        <is>
          <t>GUIDE001959</t>
        </is>
      </c>
      <c r="B1960" s="104" t="n"/>
      <c r="C1960" s="107" t="n"/>
      <c r="D1960" s="107" t="n"/>
      <c r="E1960" s="108" t="n"/>
      <c r="F1960" s="104" t="n"/>
      <c r="G1960" s="104" t="n"/>
      <c r="H1960" s="104" t="n"/>
      <c r="I1960" s="104" t="n"/>
      <c r="J1960" s="104" t="n"/>
      <c r="K1960" s="104" t="n"/>
      <c r="L1960" s="104" t="n"/>
      <c r="M1960" s="104" t="n"/>
      <c r="N1960" s="104" t="n"/>
      <c r="O1960" s="104" t="n"/>
      <c r="P1960" s="104" t="n"/>
      <c r="Q1960" s="104" t="n"/>
      <c r="R1960" s="104" t="n"/>
      <c r="S1960" s="110" t="n"/>
      <c r="T1960" s="110" t="n"/>
      <c r="U1960" s="104" t="n"/>
    </row>
    <row r="1961">
      <c r="A1961" s="104" t="inlineStr">
        <is>
          <t>GUIDE001960</t>
        </is>
      </c>
      <c r="B1961" s="104" t="n"/>
      <c r="C1961" s="107" t="n"/>
      <c r="D1961" s="107" t="n"/>
      <c r="E1961" s="108" t="n"/>
      <c r="F1961" s="104" t="n"/>
      <c r="G1961" s="104" t="n"/>
      <c r="H1961" s="104" t="n"/>
      <c r="I1961" s="104" t="n"/>
      <c r="J1961" s="104" t="n"/>
      <c r="K1961" s="104" t="n"/>
      <c r="L1961" s="104" t="n"/>
      <c r="M1961" s="104" t="n"/>
      <c r="N1961" s="104" t="n"/>
      <c r="O1961" s="104" t="n"/>
      <c r="P1961" s="104" t="n"/>
      <c r="Q1961" s="104" t="n"/>
      <c r="R1961" s="104" t="n"/>
      <c r="S1961" s="110" t="n"/>
      <c r="T1961" s="110" t="n"/>
      <c r="U1961" s="104" t="n"/>
    </row>
    <row r="1962">
      <c r="A1962" s="104" t="inlineStr">
        <is>
          <t>GUIDE001961</t>
        </is>
      </c>
      <c r="B1962" s="104" t="n"/>
      <c r="C1962" s="107" t="n"/>
      <c r="D1962" s="107" t="n"/>
      <c r="E1962" s="108" t="n"/>
      <c r="F1962" s="104" t="n"/>
      <c r="G1962" s="104" t="n"/>
      <c r="H1962" s="104" t="n"/>
      <c r="I1962" s="104" t="n"/>
      <c r="J1962" s="104" t="n"/>
      <c r="K1962" s="104" t="n"/>
      <c r="L1962" s="104" t="n"/>
      <c r="M1962" s="104" t="n"/>
      <c r="N1962" s="104" t="n"/>
      <c r="O1962" s="104" t="n"/>
      <c r="P1962" s="104" t="n"/>
      <c r="Q1962" s="104" t="n"/>
      <c r="R1962" s="104" t="n"/>
      <c r="S1962" s="110" t="n"/>
      <c r="T1962" s="110" t="n"/>
      <c r="U1962" s="104" t="n"/>
    </row>
    <row r="1963">
      <c r="A1963" s="105" t="inlineStr">
        <is>
          <t>GUIDE001962</t>
        </is>
      </c>
      <c r="B1963" s="104" t="n"/>
      <c r="C1963" s="107" t="n"/>
      <c r="D1963" s="107" t="n"/>
      <c r="E1963" s="108" t="n"/>
      <c r="F1963" s="104" t="n"/>
      <c r="G1963" s="104" t="n"/>
      <c r="H1963" s="104" t="n"/>
      <c r="I1963" s="104" t="n"/>
      <c r="J1963" s="104" t="n"/>
      <c r="K1963" s="104" t="n"/>
      <c r="L1963" s="104" t="n"/>
      <c r="M1963" s="104" t="n"/>
      <c r="N1963" s="104" t="n"/>
      <c r="O1963" s="104" t="n"/>
      <c r="P1963" s="104" t="n"/>
      <c r="Q1963" s="104" t="n"/>
      <c r="R1963" s="104" t="n"/>
      <c r="S1963" s="110" t="n"/>
      <c r="T1963" s="110" t="n"/>
      <c r="U1963" s="104" t="n"/>
    </row>
    <row r="1964">
      <c r="A1964" s="104" t="inlineStr">
        <is>
          <t>GUIDE001963</t>
        </is>
      </c>
      <c r="B1964" s="104" t="n"/>
      <c r="C1964" s="107" t="n"/>
      <c r="D1964" s="107" t="n"/>
      <c r="E1964" s="108" t="n"/>
      <c r="F1964" s="104" t="n"/>
      <c r="G1964" s="104" t="n"/>
      <c r="H1964" s="104" t="n"/>
      <c r="I1964" s="104" t="n"/>
      <c r="J1964" s="104" t="n"/>
      <c r="K1964" s="104" t="n"/>
      <c r="L1964" s="104" t="n"/>
      <c r="M1964" s="104" t="n"/>
      <c r="N1964" s="104" t="n"/>
      <c r="O1964" s="104" t="n"/>
      <c r="P1964" s="104" t="n"/>
      <c r="Q1964" s="104" t="n"/>
      <c r="R1964" s="104" t="n"/>
      <c r="S1964" s="110" t="n"/>
      <c r="T1964" s="110" t="n"/>
      <c r="U1964" s="104" t="n"/>
    </row>
    <row r="1965">
      <c r="A1965" s="104" t="inlineStr">
        <is>
          <t>GUIDE001964</t>
        </is>
      </c>
      <c r="B1965" s="104" t="n"/>
      <c r="C1965" s="107" t="n"/>
      <c r="D1965" s="107" t="n"/>
      <c r="E1965" s="108" t="n"/>
      <c r="F1965" s="104" t="n"/>
      <c r="G1965" s="104" t="n"/>
      <c r="H1965" s="104" t="n"/>
      <c r="I1965" s="104" t="n"/>
      <c r="J1965" s="104" t="n"/>
      <c r="K1965" s="104" t="n"/>
      <c r="L1965" s="104" t="n"/>
      <c r="M1965" s="104" t="n"/>
      <c r="N1965" s="104" t="n"/>
      <c r="O1965" s="104" t="n"/>
      <c r="P1965" s="104" t="n"/>
      <c r="Q1965" s="104" t="n"/>
      <c r="R1965" s="104" t="n"/>
      <c r="S1965" s="110" t="n"/>
      <c r="T1965" s="110" t="n"/>
      <c r="U1965" s="104" t="n"/>
    </row>
    <row r="1966">
      <c r="A1966" s="104" t="inlineStr">
        <is>
          <t>GUIDE001965</t>
        </is>
      </c>
      <c r="B1966" s="104" t="n"/>
      <c r="C1966" s="107" t="n"/>
      <c r="D1966" s="107" t="n"/>
      <c r="E1966" s="108" t="n"/>
      <c r="F1966" s="104" t="n"/>
      <c r="G1966" s="104" t="n"/>
      <c r="H1966" s="104" t="n"/>
      <c r="I1966" s="104" t="n"/>
      <c r="J1966" s="104" t="n"/>
      <c r="K1966" s="104" t="n"/>
      <c r="L1966" s="104" t="n"/>
      <c r="M1966" s="104" t="n"/>
      <c r="N1966" s="104" t="n"/>
      <c r="O1966" s="104" t="n"/>
      <c r="P1966" s="104" t="n"/>
      <c r="Q1966" s="104" t="n"/>
      <c r="R1966" s="104" t="n"/>
      <c r="S1966" s="110" t="n"/>
      <c r="T1966" s="110" t="n"/>
      <c r="U1966" s="104" t="n"/>
    </row>
    <row r="1967">
      <c r="A1967" s="105" t="inlineStr">
        <is>
          <t>GUIDE001966</t>
        </is>
      </c>
      <c r="B1967" s="104" t="n"/>
      <c r="C1967" s="107" t="n"/>
      <c r="D1967" s="107" t="n"/>
      <c r="E1967" s="108" t="n"/>
      <c r="F1967" s="104" t="n"/>
      <c r="G1967" s="104" t="n"/>
      <c r="H1967" s="104" t="n"/>
      <c r="I1967" s="104" t="n"/>
      <c r="J1967" s="104" t="n"/>
      <c r="K1967" s="104" t="n"/>
      <c r="L1967" s="104" t="n"/>
      <c r="M1967" s="104" t="n"/>
      <c r="N1967" s="104" t="n"/>
      <c r="O1967" s="104" t="n"/>
      <c r="P1967" s="104" t="n"/>
      <c r="Q1967" s="104" t="n"/>
      <c r="R1967" s="104" t="n"/>
      <c r="S1967" s="110" t="n"/>
      <c r="T1967" s="110" t="n"/>
      <c r="U1967" s="104" t="n"/>
    </row>
    <row r="1968">
      <c r="A1968" s="104" t="inlineStr">
        <is>
          <t>GUIDE001967</t>
        </is>
      </c>
      <c r="B1968" s="104" t="n"/>
      <c r="C1968" s="107" t="n"/>
      <c r="D1968" s="107" t="n"/>
      <c r="E1968" s="108" t="n"/>
      <c r="F1968" s="104" t="n"/>
      <c r="G1968" s="104" t="n"/>
      <c r="H1968" s="104" t="n"/>
      <c r="I1968" s="104" t="n"/>
      <c r="J1968" s="104" t="n"/>
      <c r="K1968" s="104" t="n"/>
      <c r="L1968" s="104" t="n"/>
      <c r="M1968" s="104" t="n"/>
      <c r="N1968" s="104" t="n"/>
      <c r="O1968" s="104" t="n"/>
      <c r="P1968" s="104" t="n"/>
      <c r="Q1968" s="104" t="n"/>
      <c r="R1968" s="104" t="n"/>
      <c r="S1968" s="110" t="n"/>
      <c r="T1968" s="110" t="n"/>
      <c r="U1968" s="104" t="n"/>
    </row>
    <row r="1969">
      <c r="A1969" s="104" t="inlineStr">
        <is>
          <t>GUIDE001968</t>
        </is>
      </c>
      <c r="B1969" s="104" t="n"/>
      <c r="C1969" s="107" t="n"/>
      <c r="D1969" s="107" t="n"/>
      <c r="E1969" s="108" t="n"/>
      <c r="F1969" s="104" t="n"/>
      <c r="G1969" s="104" t="n"/>
      <c r="H1969" s="104" t="n"/>
      <c r="I1969" s="104" t="n"/>
      <c r="J1969" s="104" t="n"/>
      <c r="K1969" s="104" t="n"/>
      <c r="L1969" s="104" t="n"/>
      <c r="M1969" s="104" t="n"/>
      <c r="N1969" s="104" t="n"/>
      <c r="O1969" s="104" t="n"/>
      <c r="P1969" s="104" t="n"/>
      <c r="Q1969" s="104" t="n"/>
      <c r="R1969" s="104" t="n"/>
      <c r="S1969" s="110" t="n"/>
      <c r="T1969" s="110" t="n"/>
      <c r="U1969" s="104" t="n"/>
    </row>
    <row r="1970">
      <c r="A1970" s="104" t="inlineStr">
        <is>
          <t>GUIDE001969</t>
        </is>
      </c>
      <c r="B1970" s="104" t="n"/>
      <c r="C1970" s="107" t="n"/>
      <c r="D1970" s="107" t="n"/>
      <c r="E1970" s="108" t="n"/>
      <c r="F1970" s="104" t="n"/>
      <c r="G1970" s="104" t="n"/>
      <c r="H1970" s="104" t="n"/>
      <c r="I1970" s="104" t="n"/>
      <c r="J1970" s="104" t="n"/>
      <c r="K1970" s="104" t="n"/>
      <c r="L1970" s="104" t="n"/>
      <c r="M1970" s="104" t="n"/>
      <c r="N1970" s="104" t="n"/>
      <c r="O1970" s="104" t="n"/>
      <c r="P1970" s="104" t="n"/>
      <c r="Q1970" s="104" t="n"/>
      <c r="R1970" s="104" t="n"/>
      <c r="S1970" s="110" t="n"/>
      <c r="T1970" s="110" t="n"/>
      <c r="U1970" s="104" t="n"/>
    </row>
    <row r="1971">
      <c r="A1971" s="105" t="inlineStr">
        <is>
          <t>GUIDE001970</t>
        </is>
      </c>
      <c r="B1971" s="104" t="n"/>
      <c r="C1971" s="107" t="n"/>
      <c r="D1971" s="107" t="n"/>
      <c r="E1971" s="108" t="n"/>
      <c r="F1971" s="104" t="n"/>
      <c r="G1971" s="104" t="n"/>
      <c r="H1971" s="104" t="n"/>
      <c r="I1971" s="104" t="n"/>
      <c r="J1971" s="104" t="n"/>
      <c r="K1971" s="104" t="n"/>
      <c r="L1971" s="104" t="n"/>
      <c r="M1971" s="104" t="n"/>
      <c r="N1971" s="104" t="n"/>
      <c r="O1971" s="104" t="n"/>
      <c r="P1971" s="104" t="n"/>
      <c r="Q1971" s="104" t="n"/>
      <c r="R1971" s="104" t="n"/>
      <c r="S1971" s="110" t="n"/>
      <c r="T1971" s="110" t="n"/>
      <c r="U1971" s="104" t="n"/>
    </row>
    <row r="1972">
      <c r="A1972" s="104" t="inlineStr">
        <is>
          <t>GUIDE001971</t>
        </is>
      </c>
      <c r="B1972" s="104" t="n"/>
      <c r="C1972" s="107" t="n"/>
      <c r="D1972" s="107" t="n"/>
      <c r="E1972" s="108" t="n"/>
      <c r="F1972" s="104" t="n"/>
      <c r="G1972" s="104" t="n"/>
      <c r="H1972" s="104" t="n"/>
      <c r="I1972" s="104" t="n"/>
      <c r="J1972" s="104" t="n"/>
      <c r="K1972" s="104" t="n"/>
      <c r="L1972" s="104" t="n"/>
      <c r="M1972" s="104" t="n"/>
      <c r="N1972" s="104" t="n"/>
      <c r="O1972" s="104" t="n"/>
      <c r="P1972" s="104" t="n"/>
      <c r="Q1972" s="104" t="n"/>
      <c r="R1972" s="104" t="n"/>
      <c r="S1972" s="110" t="n"/>
      <c r="T1972" s="110" t="n"/>
      <c r="U1972" s="104" t="n"/>
    </row>
    <row r="1973">
      <c r="A1973" s="104" t="inlineStr">
        <is>
          <t>GUIDE001972</t>
        </is>
      </c>
      <c r="B1973" s="104" t="n"/>
      <c r="C1973" s="107" t="n"/>
      <c r="D1973" s="107" t="n"/>
      <c r="E1973" s="108" t="n"/>
      <c r="F1973" s="104" t="n"/>
      <c r="G1973" s="104" t="n"/>
      <c r="H1973" s="104" t="n"/>
      <c r="I1973" s="104" t="n"/>
      <c r="J1973" s="104" t="n"/>
      <c r="K1973" s="104" t="n"/>
      <c r="L1973" s="104" t="n"/>
      <c r="M1973" s="104" t="n"/>
      <c r="N1973" s="104" t="n"/>
      <c r="O1973" s="104" t="n"/>
      <c r="P1973" s="104" t="n"/>
      <c r="Q1973" s="104" t="n"/>
      <c r="R1973" s="104" t="n"/>
      <c r="S1973" s="110" t="n"/>
      <c r="T1973" s="110" t="n"/>
      <c r="U1973" s="104" t="n"/>
    </row>
    <row r="1974">
      <c r="A1974" s="104" t="inlineStr">
        <is>
          <t>GUIDE001973</t>
        </is>
      </c>
      <c r="B1974" s="104" t="n"/>
      <c r="C1974" s="107" t="n"/>
      <c r="D1974" s="107" t="n"/>
      <c r="E1974" s="108" t="n"/>
      <c r="F1974" s="104" t="n"/>
      <c r="G1974" s="104" t="n"/>
      <c r="H1974" s="104" t="n"/>
      <c r="I1974" s="104" t="n"/>
      <c r="J1974" s="104" t="n"/>
      <c r="K1974" s="104" t="n"/>
      <c r="L1974" s="104" t="n"/>
      <c r="M1974" s="104" t="n"/>
      <c r="N1974" s="104" t="n"/>
      <c r="O1974" s="104" t="n"/>
      <c r="P1974" s="104" t="n"/>
      <c r="Q1974" s="104" t="n"/>
      <c r="R1974" s="104" t="n"/>
      <c r="S1974" s="110" t="n"/>
      <c r="T1974" s="110" t="n"/>
      <c r="U1974" s="104" t="n"/>
    </row>
    <row r="1975">
      <c r="A1975" s="105" t="inlineStr">
        <is>
          <t>GUIDE001974</t>
        </is>
      </c>
      <c r="B1975" s="104" t="n"/>
      <c r="C1975" s="107" t="n"/>
      <c r="D1975" s="107" t="n"/>
      <c r="E1975" s="108" t="n"/>
      <c r="F1975" s="104" t="n"/>
      <c r="G1975" s="104" t="n"/>
      <c r="H1975" s="104" t="n"/>
      <c r="I1975" s="104" t="n"/>
      <c r="J1975" s="104" t="n"/>
      <c r="K1975" s="104" t="n"/>
      <c r="L1975" s="104" t="n"/>
      <c r="M1975" s="104" t="n"/>
      <c r="N1975" s="104" t="n"/>
      <c r="O1975" s="104" t="n"/>
      <c r="P1975" s="104" t="n"/>
      <c r="Q1975" s="104" t="n"/>
      <c r="R1975" s="104" t="n"/>
      <c r="S1975" s="110" t="n"/>
      <c r="T1975" s="110" t="n"/>
      <c r="U1975" s="104" t="n"/>
    </row>
    <row r="1976">
      <c r="A1976" s="104" t="inlineStr">
        <is>
          <t>GUIDE001975</t>
        </is>
      </c>
      <c r="B1976" s="104" t="n"/>
      <c r="C1976" s="107" t="n"/>
      <c r="D1976" s="107" t="n"/>
      <c r="E1976" s="108" t="n"/>
      <c r="F1976" s="104" t="n"/>
      <c r="G1976" s="104" t="n"/>
      <c r="H1976" s="104" t="n"/>
      <c r="I1976" s="104" t="n"/>
      <c r="J1976" s="104" t="n"/>
      <c r="K1976" s="104" t="n"/>
      <c r="L1976" s="104" t="n"/>
      <c r="M1976" s="104" t="n"/>
      <c r="N1976" s="104" t="n"/>
      <c r="O1976" s="104" t="n"/>
      <c r="P1976" s="104" t="n"/>
      <c r="Q1976" s="104" t="n"/>
      <c r="R1976" s="104" t="n"/>
      <c r="S1976" s="110" t="n"/>
      <c r="T1976" s="110" t="n"/>
      <c r="U1976" s="104" t="n"/>
    </row>
    <row r="1977">
      <c r="A1977" s="104" t="inlineStr">
        <is>
          <t>GUIDE001976</t>
        </is>
      </c>
      <c r="B1977" s="104" t="n"/>
      <c r="C1977" s="107" t="n"/>
      <c r="D1977" s="107" t="n"/>
      <c r="E1977" s="108" t="n"/>
      <c r="F1977" s="104" t="n"/>
      <c r="G1977" s="104" t="n"/>
      <c r="H1977" s="104" t="n"/>
      <c r="I1977" s="104" t="n"/>
      <c r="J1977" s="104" t="n"/>
      <c r="K1977" s="104" t="n"/>
      <c r="L1977" s="104" t="n"/>
      <c r="M1977" s="104" t="n"/>
      <c r="N1977" s="104" t="n"/>
      <c r="O1977" s="104" t="n"/>
      <c r="P1977" s="104" t="n"/>
      <c r="Q1977" s="104" t="n"/>
      <c r="R1977" s="104" t="n"/>
      <c r="S1977" s="110" t="n"/>
      <c r="T1977" s="110" t="n"/>
      <c r="U1977" s="104" t="n"/>
    </row>
    <row r="1978">
      <c r="A1978" s="104" t="inlineStr">
        <is>
          <t>GUIDE001977</t>
        </is>
      </c>
      <c r="B1978" s="104" t="n"/>
      <c r="C1978" s="107" t="n"/>
      <c r="D1978" s="107" t="n"/>
      <c r="E1978" s="108" t="n"/>
      <c r="F1978" s="104" t="n"/>
      <c r="G1978" s="104" t="n"/>
      <c r="H1978" s="104" t="n"/>
      <c r="I1978" s="104" t="n"/>
      <c r="J1978" s="104" t="n"/>
      <c r="K1978" s="104" t="n"/>
      <c r="L1978" s="104" t="n"/>
      <c r="M1978" s="104" t="n"/>
      <c r="N1978" s="104" t="n"/>
      <c r="O1978" s="104" t="n"/>
      <c r="P1978" s="104" t="n"/>
      <c r="Q1978" s="104" t="n"/>
      <c r="R1978" s="104" t="n"/>
      <c r="S1978" s="110" t="n"/>
      <c r="T1978" s="110" t="n"/>
      <c r="U1978" s="104" t="n"/>
    </row>
    <row r="1979">
      <c r="A1979" s="105" t="inlineStr">
        <is>
          <t>GUIDE001978</t>
        </is>
      </c>
      <c r="B1979" s="104" t="n"/>
      <c r="C1979" s="107" t="n"/>
      <c r="D1979" s="107" t="n"/>
      <c r="E1979" s="108" t="n"/>
      <c r="F1979" s="104" t="n"/>
      <c r="G1979" s="104" t="n"/>
      <c r="H1979" s="104" t="n"/>
      <c r="I1979" s="104" t="n"/>
      <c r="J1979" s="104" t="n"/>
      <c r="K1979" s="104" t="n"/>
      <c r="L1979" s="104" t="n"/>
      <c r="M1979" s="104" t="n"/>
      <c r="N1979" s="104" t="n"/>
      <c r="O1979" s="104" t="n"/>
      <c r="P1979" s="104" t="n"/>
      <c r="Q1979" s="104" t="n"/>
      <c r="R1979" s="104" t="n"/>
      <c r="S1979" s="110" t="n"/>
      <c r="T1979" s="110" t="n"/>
      <c r="U1979" s="104" t="n"/>
    </row>
    <row r="1980">
      <c r="A1980" s="104" t="inlineStr">
        <is>
          <t>GUIDE001979</t>
        </is>
      </c>
      <c r="B1980" s="104" t="n"/>
      <c r="C1980" s="107" t="n"/>
      <c r="D1980" s="107" t="n"/>
      <c r="E1980" s="108" t="n"/>
      <c r="F1980" s="104" t="n"/>
      <c r="G1980" s="104" t="n"/>
      <c r="H1980" s="104" t="n"/>
      <c r="I1980" s="104" t="n"/>
      <c r="J1980" s="104" t="n"/>
      <c r="K1980" s="104" t="n"/>
      <c r="L1980" s="104" t="n"/>
      <c r="M1980" s="104" t="n"/>
      <c r="N1980" s="104" t="n"/>
      <c r="O1980" s="104" t="n"/>
      <c r="P1980" s="104" t="n"/>
      <c r="Q1980" s="104" t="n"/>
      <c r="R1980" s="104" t="n"/>
      <c r="S1980" s="110" t="n"/>
      <c r="T1980" s="110" t="n"/>
      <c r="U1980" s="104" t="n"/>
    </row>
    <row r="1981">
      <c r="A1981" s="104" t="inlineStr">
        <is>
          <t>GUIDE001980</t>
        </is>
      </c>
      <c r="B1981" s="104" t="n"/>
      <c r="C1981" s="107" t="n"/>
      <c r="D1981" s="107" t="n"/>
      <c r="E1981" s="108" t="n"/>
      <c r="F1981" s="104" t="n"/>
      <c r="G1981" s="104" t="n"/>
      <c r="H1981" s="104" t="n"/>
      <c r="I1981" s="104" t="n"/>
      <c r="J1981" s="104" t="n"/>
      <c r="K1981" s="104" t="n"/>
      <c r="L1981" s="104" t="n"/>
      <c r="M1981" s="104" t="n"/>
      <c r="N1981" s="104" t="n"/>
      <c r="O1981" s="104" t="n"/>
      <c r="P1981" s="104" t="n"/>
      <c r="Q1981" s="104" t="n"/>
      <c r="R1981" s="104" t="n"/>
      <c r="S1981" s="110" t="n"/>
      <c r="T1981" s="110" t="n"/>
      <c r="U1981" s="104" t="n"/>
    </row>
    <row r="1982">
      <c r="A1982" s="104" t="inlineStr">
        <is>
          <t>GUIDE001981</t>
        </is>
      </c>
      <c r="B1982" s="104" t="n"/>
      <c r="C1982" s="107" t="n"/>
      <c r="D1982" s="107" t="n"/>
      <c r="E1982" s="108" t="n"/>
      <c r="F1982" s="104" t="n"/>
      <c r="G1982" s="104" t="n"/>
      <c r="H1982" s="104" t="n"/>
      <c r="I1982" s="104" t="n"/>
      <c r="J1982" s="104" t="n"/>
      <c r="K1982" s="104" t="n"/>
      <c r="L1982" s="104" t="n"/>
      <c r="M1982" s="104" t="n"/>
      <c r="N1982" s="104" t="n"/>
      <c r="O1982" s="104" t="n"/>
      <c r="P1982" s="104" t="n"/>
      <c r="Q1982" s="104" t="n"/>
      <c r="R1982" s="104" t="n"/>
      <c r="S1982" s="110" t="n"/>
      <c r="T1982" s="110" t="n"/>
      <c r="U1982" s="104" t="n"/>
    </row>
    <row r="1983">
      <c r="A1983" s="105" t="inlineStr">
        <is>
          <t>GUIDE001982</t>
        </is>
      </c>
      <c r="B1983" s="104" t="n"/>
      <c r="C1983" s="107" t="n"/>
      <c r="D1983" s="107" t="n"/>
      <c r="E1983" s="108" t="n"/>
      <c r="F1983" s="104" t="n"/>
      <c r="G1983" s="104" t="n"/>
      <c r="H1983" s="104" t="n"/>
      <c r="I1983" s="104" t="n"/>
      <c r="J1983" s="104" t="n"/>
      <c r="K1983" s="104" t="n"/>
      <c r="L1983" s="104" t="n"/>
      <c r="M1983" s="104" t="n"/>
      <c r="N1983" s="104" t="n"/>
      <c r="O1983" s="104" t="n"/>
      <c r="P1983" s="104" t="n"/>
      <c r="Q1983" s="104" t="n"/>
      <c r="R1983" s="104" t="n"/>
      <c r="S1983" s="110" t="n"/>
      <c r="T1983" s="110" t="n"/>
      <c r="U1983" s="104" t="n"/>
    </row>
    <row r="1984">
      <c r="A1984" s="104" t="inlineStr">
        <is>
          <t>GUIDE001983</t>
        </is>
      </c>
      <c r="B1984" s="104" t="n"/>
      <c r="C1984" s="107" t="n"/>
      <c r="D1984" s="107" t="n"/>
      <c r="E1984" s="108" t="n"/>
      <c r="F1984" s="104" t="n"/>
      <c r="G1984" s="104" t="n"/>
      <c r="H1984" s="104" t="n"/>
      <c r="I1984" s="104" t="n"/>
      <c r="J1984" s="104" t="n"/>
      <c r="K1984" s="104" t="n"/>
      <c r="L1984" s="104" t="n"/>
      <c r="M1984" s="104" t="n"/>
      <c r="N1984" s="104" t="n"/>
      <c r="O1984" s="104" t="n"/>
      <c r="P1984" s="104" t="n"/>
      <c r="Q1984" s="104" t="n"/>
      <c r="R1984" s="104" t="n"/>
      <c r="S1984" s="110" t="n"/>
      <c r="T1984" s="110" t="n"/>
      <c r="U1984" s="104" t="n"/>
    </row>
    <row r="1985">
      <c r="A1985" s="104" t="inlineStr">
        <is>
          <t>GUIDE001984</t>
        </is>
      </c>
      <c r="B1985" s="104" t="n"/>
      <c r="C1985" s="107" t="n"/>
      <c r="D1985" s="107" t="n"/>
      <c r="E1985" s="108" t="n"/>
      <c r="F1985" s="104" t="n"/>
      <c r="G1985" s="104" t="n"/>
      <c r="H1985" s="104" t="n"/>
      <c r="I1985" s="104" t="n"/>
      <c r="J1985" s="104" t="n"/>
      <c r="K1985" s="104" t="n"/>
      <c r="L1985" s="104" t="n"/>
      <c r="M1985" s="104" t="n"/>
      <c r="N1985" s="104" t="n"/>
      <c r="O1985" s="104" t="n"/>
      <c r="P1985" s="104" t="n"/>
      <c r="Q1985" s="104" t="n"/>
      <c r="R1985" s="104" t="n"/>
      <c r="S1985" s="110" t="n"/>
      <c r="T1985" s="110" t="n"/>
      <c r="U1985" s="104" t="n"/>
    </row>
    <row r="1986">
      <c r="A1986" s="104" t="inlineStr">
        <is>
          <t>GUIDE001985</t>
        </is>
      </c>
      <c r="B1986" s="104" t="n"/>
      <c r="C1986" s="107" t="n"/>
      <c r="D1986" s="107" t="n"/>
      <c r="E1986" s="108" t="n"/>
      <c r="F1986" s="104" t="n"/>
      <c r="G1986" s="104" t="n"/>
      <c r="H1986" s="104" t="n"/>
      <c r="I1986" s="104" t="n"/>
      <c r="J1986" s="104" t="n"/>
      <c r="K1986" s="104" t="n"/>
      <c r="L1986" s="104" t="n"/>
      <c r="M1986" s="104" t="n"/>
      <c r="N1986" s="104" t="n"/>
      <c r="O1986" s="104" t="n"/>
      <c r="P1986" s="104" t="n"/>
      <c r="Q1986" s="104" t="n"/>
      <c r="R1986" s="104" t="n"/>
      <c r="S1986" s="110" t="n"/>
      <c r="T1986" s="110" t="n"/>
      <c r="U1986" s="104" t="n"/>
    </row>
    <row r="1987">
      <c r="A1987" s="105" t="inlineStr">
        <is>
          <t>GUIDE001986</t>
        </is>
      </c>
      <c r="B1987" s="104" t="n"/>
      <c r="C1987" s="107" t="n"/>
      <c r="D1987" s="107" t="n"/>
      <c r="E1987" s="108" t="n"/>
      <c r="F1987" s="104" t="n"/>
      <c r="G1987" s="104" t="n"/>
      <c r="H1987" s="104" t="n"/>
      <c r="I1987" s="104" t="n"/>
      <c r="J1987" s="104" t="n"/>
      <c r="K1987" s="104" t="n"/>
      <c r="L1987" s="104" t="n"/>
      <c r="M1987" s="104" t="n"/>
      <c r="N1987" s="104" t="n"/>
      <c r="O1987" s="104" t="n"/>
      <c r="P1987" s="104" t="n"/>
      <c r="Q1987" s="104" t="n"/>
      <c r="R1987" s="104" t="n"/>
      <c r="S1987" s="110" t="n"/>
      <c r="T1987" s="110" t="n"/>
      <c r="U1987" s="104" t="n"/>
    </row>
    <row r="1988">
      <c r="A1988" s="104" t="inlineStr">
        <is>
          <t>GUIDE001987</t>
        </is>
      </c>
      <c r="B1988" s="104" t="n"/>
      <c r="C1988" s="107" t="n"/>
      <c r="D1988" s="107" t="n"/>
      <c r="E1988" s="108" t="n"/>
      <c r="F1988" s="104" t="n"/>
      <c r="G1988" s="104" t="n"/>
      <c r="H1988" s="104" t="n"/>
      <c r="I1988" s="104" t="n"/>
      <c r="J1988" s="104" t="n"/>
      <c r="K1988" s="104" t="n"/>
      <c r="L1988" s="104" t="n"/>
      <c r="M1988" s="104" t="n"/>
      <c r="N1988" s="104" t="n"/>
      <c r="O1988" s="104" t="n"/>
      <c r="P1988" s="104" t="n"/>
      <c r="Q1988" s="104" t="n"/>
      <c r="R1988" s="104" t="n"/>
      <c r="S1988" s="110" t="n"/>
      <c r="T1988" s="110" t="n"/>
      <c r="U1988" s="104" t="n"/>
    </row>
    <row r="1989">
      <c r="A1989" s="104" t="inlineStr">
        <is>
          <t>GUIDE001988</t>
        </is>
      </c>
      <c r="B1989" s="104" t="n"/>
      <c r="C1989" s="107" t="n"/>
      <c r="D1989" s="107" t="n"/>
      <c r="E1989" s="108" t="n"/>
      <c r="F1989" s="104" t="n"/>
      <c r="G1989" s="104" t="n"/>
      <c r="H1989" s="104" t="n"/>
      <c r="I1989" s="104" t="n"/>
      <c r="J1989" s="104" t="n"/>
      <c r="K1989" s="104" t="n"/>
      <c r="L1989" s="104" t="n"/>
      <c r="M1989" s="104" t="n"/>
      <c r="N1989" s="104" t="n"/>
      <c r="O1989" s="104" t="n"/>
      <c r="P1989" s="104" t="n"/>
      <c r="Q1989" s="104" t="n"/>
      <c r="R1989" s="104" t="n"/>
      <c r="S1989" s="110" t="n"/>
      <c r="T1989" s="110" t="n"/>
      <c r="U1989" s="104" t="n"/>
    </row>
    <row r="1990">
      <c r="A1990" s="104" t="inlineStr">
        <is>
          <t>GUIDE001989</t>
        </is>
      </c>
      <c r="B1990" s="104" t="n"/>
      <c r="C1990" s="107" t="n"/>
      <c r="D1990" s="107" t="n"/>
      <c r="E1990" s="108" t="n"/>
      <c r="F1990" s="104" t="n"/>
      <c r="G1990" s="104" t="n"/>
      <c r="H1990" s="104" t="n"/>
      <c r="I1990" s="104" t="n"/>
      <c r="J1990" s="104" t="n"/>
      <c r="K1990" s="104" t="n"/>
      <c r="L1990" s="104" t="n"/>
      <c r="M1990" s="104" t="n"/>
      <c r="N1990" s="104" t="n"/>
      <c r="O1990" s="104" t="n"/>
      <c r="P1990" s="104" t="n"/>
      <c r="Q1990" s="104" t="n"/>
      <c r="R1990" s="104" t="n"/>
      <c r="S1990" s="110" t="n"/>
      <c r="T1990" s="110" t="n"/>
      <c r="U1990" s="104" t="n"/>
    </row>
    <row r="1991">
      <c r="A1991" s="105" t="inlineStr">
        <is>
          <t>GUIDE001990</t>
        </is>
      </c>
      <c r="B1991" s="104" t="n"/>
      <c r="C1991" s="107" t="n"/>
      <c r="D1991" s="107" t="n"/>
      <c r="E1991" s="108" t="n"/>
      <c r="F1991" s="104" t="n"/>
      <c r="G1991" s="104" t="n"/>
      <c r="H1991" s="104" t="n"/>
      <c r="I1991" s="104" t="n"/>
      <c r="J1991" s="104" t="n"/>
      <c r="K1991" s="104" t="n"/>
      <c r="L1991" s="104" t="n"/>
      <c r="M1991" s="104" t="n"/>
      <c r="N1991" s="104" t="n"/>
      <c r="O1991" s="104" t="n"/>
      <c r="P1991" s="104" t="n"/>
      <c r="Q1991" s="104" t="n"/>
      <c r="R1991" s="104" t="n"/>
      <c r="S1991" s="110" t="n"/>
      <c r="T1991" s="110" t="n"/>
      <c r="U1991" s="104" t="n"/>
    </row>
    <row r="1992">
      <c r="A1992" s="104" t="inlineStr">
        <is>
          <t>GUIDE001991</t>
        </is>
      </c>
      <c r="B1992" s="104" t="n"/>
      <c r="C1992" s="107" t="n"/>
      <c r="D1992" s="107" t="n"/>
      <c r="E1992" s="108" t="n"/>
      <c r="F1992" s="104" t="n"/>
      <c r="G1992" s="104" t="n"/>
      <c r="H1992" s="104" t="n"/>
      <c r="I1992" s="104" t="n"/>
      <c r="J1992" s="104" t="n"/>
      <c r="K1992" s="104" t="n"/>
      <c r="L1992" s="104" t="n"/>
      <c r="M1992" s="104" t="n"/>
      <c r="N1992" s="104" t="n"/>
      <c r="O1992" s="104" t="n"/>
      <c r="P1992" s="104" t="n"/>
      <c r="Q1992" s="104" t="n"/>
      <c r="R1992" s="104" t="n"/>
      <c r="S1992" s="110" t="n"/>
      <c r="T1992" s="110" t="n"/>
      <c r="U1992" s="104" t="n"/>
    </row>
    <row r="1993">
      <c r="A1993" s="104" t="inlineStr">
        <is>
          <t>GUIDE001992</t>
        </is>
      </c>
      <c r="B1993" s="104" t="n"/>
      <c r="C1993" s="107" t="n"/>
      <c r="D1993" s="107" t="n"/>
      <c r="E1993" s="108" t="n"/>
      <c r="F1993" s="104" t="n"/>
      <c r="G1993" s="104" t="n"/>
      <c r="H1993" s="104" t="n"/>
      <c r="I1993" s="104" t="n"/>
      <c r="J1993" s="104" t="n"/>
      <c r="K1993" s="104" t="n"/>
      <c r="L1993" s="104" t="n"/>
      <c r="M1993" s="104" t="n"/>
      <c r="N1993" s="104" t="n"/>
      <c r="O1993" s="104" t="n"/>
      <c r="P1993" s="104" t="n"/>
      <c r="Q1993" s="104" t="n"/>
      <c r="R1993" s="104" t="n"/>
      <c r="S1993" s="110" t="n"/>
      <c r="T1993" s="110" t="n"/>
      <c r="U1993" s="104" t="n"/>
    </row>
    <row r="1994">
      <c r="A1994" s="104" t="inlineStr">
        <is>
          <t>GUIDE001993</t>
        </is>
      </c>
      <c r="B1994" s="104" t="n"/>
      <c r="C1994" s="107" t="n"/>
      <c r="D1994" s="107" t="n"/>
      <c r="E1994" s="108" t="n"/>
      <c r="F1994" s="104" t="n"/>
      <c r="G1994" s="104" t="n"/>
      <c r="H1994" s="104" t="n"/>
      <c r="I1994" s="104" t="n"/>
      <c r="J1994" s="104" t="n"/>
      <c r="K1994" s="104" t="n"/>
      <c r="L1994" s="104" t="n"/>
      <c r="M1994" s="104" t="n"/>
      <c r="N1994" s="104" t="n"/>
      <c r="O1994" s="104" t="n"/>
      <c r="P1994" s="104" t="n"/>
      <c r="Q1994" s="104" t="n"/>
      <c r="R1994" s="104" t="n"/>
      <c r="S1994" s="110" t="n"/>
      <c r="T1994" s="110" t="n"/>
      <c r="U1994" s="104" t="n"/>
    </row>
    <row r="1995">
      <c r="A1995" s="105" t="inlineStr">
        <is>
          <t>GUIDE001994</t>
        </is>
      </c>
      <c r="B1995" s="104" t="n"/>
      <c r="C1995" s="107" t="n"/>
      <c r="D1995" s="107" t="n"/>
      <c r="E1995" s="108" t="n"/>
      <c r="F1995" s="104" t="n"/>
      <c r="G1995" s="104" t="n"/>
      <c r="H1995" s="104" t="n"/>
      <c r="I1995" s="104" t="n"/>
      <c r="J1995" s="104" t="n"/>
      <c r="K1995" s="104" t="n"/>
      <c r="L1995" s="104" t="n"/>
      <c r="M1995" s="104" t="n"/>
      <c r="N1995" s="104" t="n"/>
      <c r="O1995" s="104" t="n"/>
      <c r="P1995" s="104" t="n"/>
      <c r="Q1995" s="104" t="n"/>
      <c r="R1995" s="104" t="n"/>
      <c r="S1995" s="110" t="n"/>
      <c r="T1995" s="110" t="n"/>
      <c r="U1995" s="104" t="n"/>
    </row>
    <row r="1996">
      <c r="A1996" s="104" t="inlineStr">
        <is>
          <t>GUIDE001995</t>
        </is>
      </c>
      <c r="B1996" s="104" t="n"/>
      <c r="C1996" s="107" t="n"/>
      <c r="D1996" s="107" t="n"/>
      <c r="E1996" s="108" t="n"/>
      <c r="F1996" s="104" t="n"/>
      <c r="G1996" s="104" t="n"/>
      <c r="H1996" s="104" t="n"/>
      <c r="I1996" s="104" t="n"/>
      <c r="J1996" s="104" t="n"/>
      <c r="K1996" s="104" t="n"/>
      <c r="L1996" s="104" t="n"/>
      <c r="M1996" s="104" t="n"/>
      <c r="N1996" s="104" t="n"/>
      <c r="O1996" s="104" t="n"/>
      <c r="P1996" s="104" t="n"/>
      <c r="Q1996" s="104" t="n"/>
      <c r="R1996" s="104" t="n"/>
      <c r="S1996" s="110" t="n"/>
      <c r="T1996" s="110" t="n"/>
      <c r="U1996" s="104" t="n"/>
    </row>
    <row r="1997">
      <c r="A1997" s="104" t="inlineStr">
        <is>
          <t>GUIDE001996</t>
        </is>
      </c>
      <c r="B1997" s="104" t="n"/>
      <c r="C1997" s="107" t="n"/>
      <c r="D1997" s="107" t="n"/>
      <c r="E1997" s="108" t="n"/>
      <c r="F1997" s="104" t="n"/>
      <c r="G1997" s="104" t="n"/>
      <c r="H1997" s="104" t="n"/>
      <c r="I1997" s="104" t="n"/>
      <c r="J1997" s="104" t="n"/>
      <c r="K1997" s="104" t="n"/>
      <c r="L1997" s="104" t="n"/>
      <c r="M1997" s="104" t="n"/>
      <c r="N1997" s="104" t="n"/>
      <c r="O1997" s="104" t="n"/>
      <c r="P1997" s="104" t="n"/>
      <c r="Q1997" s="104" t="n"/>
      <c r="R1997" s="104" t="n"/>
      <c r="S1997" s="110" t="n"/>
      <c r="T1997" s="110" t="n"/>
      <c r="U1997" s="104" t="n"/>
    </row>
    <row r="1998">
      <c r="A1998" s="104" t="inlineStr">
        <is>
          <t>GUIDE001997</t>
        </is>
      </c>
      <c r="B1998" s="104" t="n"/>
      <c r="C1998" s="107" t="n"/>
      <c r="D1998" s="107" t="n"/>
      <c r="E1998" s="108" t="n"/>
      <c r="F1998" s="104" t="n"/>
      <c r="G1998" s="104" t="n"/>
      <c r="H1998" s="104" t="n"/>
      <c r="I1998" s="104" t="n"/>
      <c r="J1998" s="104" t="n"/>
      <c r="K1998" s="104" t="n"/>
      <c r="L1998" s="104" t="n"/>
      <c r="M1998" s="104" t="n"/>
      <c r="N1998" s="104" t="n"/>
      <c r="O1998" s="104" t="n"/>
      <c r="P1998" s="104" t="n"/>
      <c r="Q1998" s="104" t="n"/>
      <c r="R1998" s="104" t="n"/>
      <c r="S1998" s="110" t="n"/>
      <c r="T1998" s="110" t="n"/>
      <c r="U1998" s="104" t="n"/>
    </row>
    <row r="1999">
      <c r="A1999" s="105" t="inlineStr">
        <is>
          <t>GUIDE001998</t>
        </is>
      </c>
      <c r="B1999" s="104" t="n"/>
      <c r="C1999" s="107" t="n"/>
      <c r="D1999" s="107" t="n"/>
      <c r="E1999" s="108" t="n"/>
      <c r="F1999" s="104" t="n"/>
      <c r="G1999" s="104" t="n"/>
      <c r="H1999" s="104" t="n"/>
      <c r="I1999" s="104" t="n"/>
      <c r="J1999" s="104" t="n"/>
      <c r="K1999" s="104" t="n"/>
      <c r="L1999" s="104" t="n"/>
      <c r="M1999" s="104" t="n"/>
      <c r="N1999" s="104" t="n"/>
      <c r="O1999" s="104" t="n"/>
      <c r="P1999" s="104" t="n"/>
      <c r="Q1999" s="104" t="n"/>
      <c r="R1999" s="104" t="n"/>
      <c r="S1999" s="110" t="n"/>
      <c r="T1999" s="110" t="n"/>
      <c r="U1999" s="104" t="n"/>
    </row>
    <row r="2000">
      <c r="A2000" s="104" t="inlineStr">
        <is>
          <t>GUIDE001999</t>
        </is>
      </c>
      <c r="B2000" s="104" t="n"/>
      <c r="C2000" s="107" t="n"/>
      <c r="D2000" s="107" t="n"/>
      <c r="E2000" s="108" t="n"/>
      <c r="F2000" s="104" t="n"/>
      <c r="G2000" s="104" t="n"/>
      <c r="H2000" s="104" t="n"/>
      <c r="I2000" s="104" t="n"/>
      <c r="J2000" s="104" t="n"/>
      <c r="K2000" s="104" t="n"/>
      <c r="L2000" s="104" t="n"/>
      <c r="M2000" s="104" t="n"/>
      <c r="N2000" s="104" t="n"/>
      <c r="O2000" s="104" t="n"/>
      <c r="P2000" s="104" t="n"/>
      <c r="Q2000" s="104" t="n"/>
      <c r="R2000" s="104" t="n"/>
      <c r="S2000" s="110" t="n"/>
      <c r="T2000" s="110" t="n"/>
      <c r="U2000" s="104" t="n"/>
    </row>
    <row r="2001">
      <c r="A2001" s="104" t="inlineStr">
        <is>
          <t>GUIDE002000</t>
        </is>
      </c>
      <c r="B2001" s="104" t="n"/>
      <c r="C2001" s="107" t="n"/>
      <c r="D2001" s="107" t="n"/>
      <c r="E2001" s="108" t="n"/>
      <c r="F2001" s="104" t="n"/>
      <c r="G2001" s="104" t="n"/>
      <c r="H2001" s="104" t="n"/>
      <c r="I2001" s="104" t="n"/>
      <c r="J2001" s="104" t="n"/>
      <c r="K2001" s="104" t="n"/>
      <c r="L2001" s="104" t="n"/>
      <c r="M2001" s="104" t="n"/>
      <c r="N2001" s="104" t="n"/>
      <c r="O2001" s="104" t="n"/>
      <c r="P2001" s="104" t="n"/>
      <c r="Q2001" s="104" t="n"/>
      <c r="R2001" s="104" t="n"/>
      <c r="S2001" s="110" t="n"/>
      <c r="T2001" s="110" t="n"/>
      <c r="U2001" s="104" t="n"/>
    </row>
    <row r="2002">
      <c r="A2002" s="104" t="inlineStr">
        <is>
          <t>GUIDE002001</t>
        </is>
      </c>
      <c r="B2002" s="104" t="n"/>
      <c r="C2002" s="107" t="n"/>
      <c r="D2002" s="107" t="n"/>
      <c r="E2002" s="108" t="n"/>
      <c r="F2002" s="104" t="n"/>
      <c r="G2002" s="104" t="n"/>
      <c r="H2002" s="104" t="n"/>
      <c r="I2002" s="104" t="n"/>
      <c r="J2002" s="104" t="n"/>
      <c r="K2002" s="104" t="n"/>
      <c r="L2002" s="104" t="n"/>
      <c r="M2002" s="104" t="n"/>
      <c r="N2002" s="104" t="n"/>
      <c r="O2002" s="104" t="n"/>
      <c r="P2002" s="104" t="n"/>
      <c r="Q2002" s="104" t="n"/>
      <c r="R2002" s="104" t="n"/>
      <c r="S2002" s="110" t="n"/>
      <c r="T2002" s="110" t="n"/>
      <c r="U2002" s="104" t="n"/>
    </row>
    <row r="2003">
      <c r="A2003" s="105" t="inlineStr">
        <is>
          <t>GUIDE002002</t>
        </is>
      </c>
      <c r="B2003" s="104" t="n"/>
      <c r="C2003" s="107" t="n"/>
      <c r="D2003" s="107" t="n"/>
      <c r="E2003" s="108" t="n"/>
      <c r="F2003" s="104" t="n"/>
      <c r="G2003" s="104" t="n"/>
      <c r="H2003" s="104" t="n"/>
      <c r="I2003" s="104" t="n"/>
      <c r="J2003" s="104" t="n"/>
      <c r="K2003" s="104" t="n"/>
      <c r="L2003" s="104" t="n"/>
      <c r="M2003" s="104" t="n"/>
      <c r="N2003" s="104" t="n"/>
      <c r="O2003" s="104" t="n"/>
      <c r="P2003" s="104" t="n"/>
      <c r="Q2003" s="104" t="n"/>
      <c r="R2003" s="104" t="n"/>
      <c r="S2003" s="110" t="n"/>
      <c r="T2003" s="110" t="n"/>
      <c r="U2003" s="104" t="n"/>
    </row>
    <row r="2004">
      <c r="A2004" s="104" t="inlineStr">
        <is>
          <t>GUIDE002003</t>
        </is>
      </c>
      <c r="B2004" s="104" t="n"/>
      <c r="C2004" s="107" t="n"/>
      <c r="D2004" s="107" t="n"/>
      <c r="E2004" s="108" t="n"/>
      <c r="F2004" s="104" t="n"/>
      <c r="G2004" s="104" t="n"/>
      <c r="H2004" s="104" t="n"/>
      <c r="I2004" s="104" t="n"/>
      <c r="J2004" s="104" t="n"/>
      <c r="K2004" s="104" t="n"/>
      <c r="L2004" s="104" t="n"/>
      <c r="M2004" s="104" t="n"/>
      <c r="N2004" s="104" t="n"/>
      <c r="O2004" s="104" t="n"/>
      <c r="P2004" s="104" t="n"/>
      <c r="Q2004" s="104" t="n"/>
      <c r="R2004" s="104" t="n"/>
      <c r="S2004" s="110" t="n"/>
      <c r="T2004" s="110" t="n"/>
      <c r="U2004" s="104" t="n"/>
    </row>
    <row r="2005">
      <c r="A2005" s="104" t="inlineStr">
        <is>
          <t>GUIDE002004</t>
        </is>
      </c>
      <c r="B2005" s="104" t="n"/>
      <c r="C2005" s="107" t="n"/>
      <c r="D2005" s="107" t="n"/>
      <c r="E2005" s="108" t="n"/>
      <c r="F2005" s="104" t="n"/>
      <c r="G2005" s="104" t="n"/>
      <c r="H2005" s="104" t="n"/>
      <c r="I2005" s="104" t="n"/>
      <c r="J2005" s="104" t="n"/>
      <c r="K2005" s="104" t="n"/>
      <c r="L2005" s="104" t="n"/>
      <c r="M2005" s="104" t="n"/>
      <c r="N2005" s="104" t="n"/>
      <c r="O2005" s="104" t="n"/>
      <c r="P2005" s="104" t="n"/>
      <c r="Q2005" s="104" t="n"/>
      <c r="R2005" s="104" t="n"/>
      <c r="S2005" s="110" t="n"/>
      <c r="T2005" s="110" t="n"/>
      <c r="U2005" s="104" t="n"/>
    </row>
    <row r="2006">
      <c r="A2006" s="104" t="inlineStr">
        <is>
          <t>GUIDE002005</t>
        </is>
      </c>
      <c r="B2006" s="104" t="n"/>
      <c r="C2006" s="107" t="n"/>
      <c r="D2006" s="107" t="n"/>
      <c r="E2006" s="108" t="n"/>
      <c r="F2006" s="104" t="n"/>
      <c r="G2006" s="104" t="n"/>
      <c r="H2006" s="104" t="n"/>
      <c r="I2006" s="104" t="n"/>
      <c r="J2006" s="104" t="n"/>
      <c r="K2006" s="104" t="n"/>
      <c r="L2006" s="104" t="n"/>
      <c r="M2006" s="104" t="n"/>
      <c r="N2006" s="104" t="n"/>
      <c r="O2006" s="104" t="n"/>
      <c r="P2006" s="104" t="n"/>
      <c r="Q2006" s="104" t="n"/>
      <c r="R2006" s="104" t="n"/>
      <c r="S2006" s="110" t="n"/>
      <c r="T2006" s="110" t="n"/>
      <c r="U2006" s="104" t="n"/>
    </row>
    <row r="2007">
      <c r="A2007" s="105" t="inlineStr">
        <is>
          <t>GUIDE002006</t>
        </is>
      </c>
      <c r="B2007" s="104" t="n"/>
      <c r="C2007" s="107" t="n"/>
      <c r="D2007" s="107" t="n"/>
      <c r="E2007" s="108" t="n"/>
      <c r="F2007" s="104" t="n"/>
      <c r="G2007" s="104" t="n"/>
      <c r="H2007" s="104" t="n"/>
      <c r="I2007" s="104" t="n"/>
      <c r="J2007" s="104" t="n"/>
      <c r="K2007" s="104" t="n"/>
      <c r="L2007" s="104" t="n"/>
      <c r="M2007" s="104" t="n"/>
      <c r="N2007" s="104" t="n"/>
      <c r="O2007" s="104" t="n"/>
      <c r="P2007" s="104" t="n"/>
      <c r="Q2007" s="104" t="n"/>
      <c r="R2007" s="104" t="n"/>
      <c r="S2007" s="110" t="n"/>
      <c r="T2007" s="110" t="n"/>
      <c r="U2007" s="104" t="n"/>
    </row>
    <row r="2008">
      <c r="A2008" s="104" t="inlineStr">
        <is>
          <t>GUIDE002007</t>
        </is>
      </c>
      <c r="B2008" s="104" t="n"/>
      <c r="C2008" s="107" t="n"/>
      <c r="D2008" s="107" t="n"/>
      <c r="E2008" s="108" t="n"/>
      <c r="F2008" s="104" t="n"/>
      <c r="G2008" s="104" t="n"/>
      <c r="H2008" s="104" t="n"/>
      <c r="I2008" s="104" t="n"/>
      <c r="J2008" s="104" t="n"/>
      <c r="K2008" s="104" t="n"/>
      <c r="L2008" s="104" t="n"/>
      <c r="M2008" s="104" t="n"/>
      <c r="N2008" s="104" t="n"/>
      <c r="O2008" s="104" t="n"/>
      <c r="P2008" s="104" t="n"/>
      <c r="Q2008" s="104" t="n"/>
      <c r="R2008" s="104" t="n"/>
      <c r="S2008" s="110" t="n"/>
      <c r="T2008" s="110" t="n"/>
      <c r="U2008" s="104" t="n"/>
    </row>
    <row r="2009">
      <c r="A2009" s="104" t="inlineStr">
        <is>
          <t>GUIDE002008</t>
        </is>
      </c>
      <c r="B2009" s="104" t="n"/>
      <c r="C2009" s="107" t="n"/>
      <c r="D2009" s="107" t="n"/>
      <c r="E2009" s="108" t="n"/>
      <c r="F2009" s="104" t="n"/>
      <c r="G2009" s="104" t="n"/>
      <c r="H2009" s="104" t="n"/>
      <c r="I2009" s="104" t="n"/>
      <c r="J2009" s="104" t="n"/>
      <c r="K2009" s="104" t="n"/>
      <c r="L2009" s="104" t="n"/>
      <c r="M2009" s="104" t="n"/>
      <c r="N2009" s="104" t="n"/>
      <c r="O2009" s="104" t="n"/>
      <c r="P2009" s="104" t="n"/>
      <c r="Q2009" s="104" t="n"/>
      <c r="R2009" s="104" t="n"/>
      <c r="S2009" s="110" t="n"/>
      <c r="T2009" s="110" t="n"/>
      <c r="U2009" s="104" t="n"/>
    </row>
    <row r="2010">
      <c r="A2010" s="104" t="inlineStr">
        <is>
          <t>GUIDE002009</t>
        </is>
      </c>
      <c r="B2010" s="104" t="n"/>
      <c r="C2010" s="107" t="n"/>
      <c r="D2010" s="107" t="n"/>
      <c r="E2010" s="108" t="n"/>
      <c r="F2010" s="104" t="n"/>
      <c r="G2010" s="104" t="n"/>
      <c r="H2010" s="104" t="n"/>
      <c r="I2010" s="104" t="n"/>
      <c r="J2010" s="104" t="n"/>
      <c r="K2010" s="104" t="n"/>
      <c r="L2010" s="104" t="n"/>
      <c r="M2010" s="104" t="n"/>
      <c r="N2010" s="104" t="n"/>
      <c r="O2010" s="104" t="n"/>
      <c r="P2010" s="104" t="n"/>
      <c r="Q2010" s="104" t="n"/>
      <c r="R2010" s="104" t="n"/>
      <c r="S2010" s="110" t="n"/>
      <c r="T2010" s="110" t="n"/>
      <c r="U2010" s="104" t="n"/>
    </row>
    <row r="2011">
      <c r="A2011" s="105" t="inlineStr">
        <is>
          <t>GUIDE002010</t>
        </is>
      </c>
      <c r="B2011" s="104" t="n"/>
      <c r="C2011" s="107" t="n"/>
      <c r="D2011" s="107" t="n"/>
      <c r="E2011" s="108" t="n"/>
      <c r="F2011" s="104" t="n"/>
      <c r="G2011" s="104" t="n"/>
      <c r="H2011" s="104" t="n"/>
      <c r="I2011" s="104" t="n"/>
      <c r="J2011" s="104" t="n"/>
      <c r="K2011" s="104" t="n"/>
      <c r="L2011" s="104" t="n"/>
      <c r="M2011" s="104" t="n"/>
      <c r="N2011" s="104" t="n"/>
      <c r="O2011" s="104" t="n"/>
      <c r="P2011" s="104" t="n"/>
      <c r="Q2011" s="104" t="n"/>
      <c r="R2011" s="104" t="n"/>
      <c r="S2011" s="110" t="n"/>
      <c r="T2011" s="110" t="n"/>
      <c r="U2011" s="104" t="n"/>
    </row>
    <row r="2012">
      <c r="A2012" s="104" t="inlineStr">
        <is>
          <t>GUIDE002011</t>
        </is>
      </c>
      <c r="B2012" s="104" t="n"/>
      <c r="C2012" s="107" t="n"/>
      <c r="D2012" s="107" t="n"/>
      <c r="E2012" s="108" t="n"/>
      <c r="F2012" s="104" t="n"/>
      <c r="G2012" s="104" t="n"/>
      <c r="H2012" s="104" t="n"/>
      <c r="I2012" s="104" t="n"/>
      <c r="J2012" s="104" t="n"/>
      <c r="K2012" s="104" t="n"/>
      <c r="L2012" s="104" t="n"/>
      <c r="M2012" s="104" t="n"/>
      <c r="N2012" s="104" t="n"/>
      <c r="O2012" s="104" t="n"/>
      <c r="P2012" s="104" t="n"/>
      <c r="Q2012" s="104" t="n"/>
      <c r="R2012" s="104" t="n"/>
      <c r="S2012" s="110" t="n"/>
      <c r="T2012" s="110" t="n"/>
      <c r="U2012" s="104" t="n"/>
    </row>
    <row r="2013">
      <c r="A2013" s="104" t="inlineStr">
        <is>
          <t>GUIDE002012</t>
        </is>
      </c>
      <c r="B2013" s="104" t="n"/>
      <c r="C2013" s="107" t="n"/>
      <c r="D2013" s="107" t="n"/>
      <c r="E2013" s="108" t="n"/>
      <c r="F2013" s="104" t="n"/>
      <c r="G2013" s="104" t="n"/>
      <c r="H2013" s="104" t="n"/>
      <c r="I2013" s="104" t="n"/>
      <c r="J2013" s="104" t="n"/>
      <c r="K2013" s="104" t="n"/>
      <c r="L2013" s="104" t="n"/>
      <c r="M2013" s="104" t="n"/>
      <c r="N2013" s="104" t="n"/>
      <c r="O2013" s="104" t="n"/>
      <c r="P2013" s="104" t="n"/>
      <c r="Q2013" s="104" t="n"/>
      <c r="R2013" s="104" t="n"/>
      <c r="S2013" s="110" t="n"/>
      <c r="T2013" s="110" t="n"/>
      <c r="U2013" s="104" t="n"/>
    </row>
    <row r="2014">
      <c r="A2014" s="104" t="inlineStr">
        <is>
          <t>GUIDE002013</t>
        </is>
      </c>
      <c r="B2014" s="104" t="n"/>
      <c r="C2014" s="107" t="n"/>
      <c r="D2014" s="107" t="n"/>
      <c r="E2014" s="108" t="n"/>
      <c r="F2014" s="104" t="n"/>
      <c r="G2014" s="104" t="n"/>
      <c r="H2014" s="104" t="n"/>
      <c r="I2014" s="104" t="n"/>
      <c r="J2014" s="104" t="n"/>
      <c r="K2014" s="104" t="n"/>
      <c r="L2014" s="104" t="n"/>
      <c r="M2014" s="104" t="n"/>
      <c r="N2014" s="104" t="n"/>
      <c r="O2014" s="104" t="n"/>
      <c r="P2014" s="104" t="n"/>
      <c r="Q2014" s="104" t="n"/>
      <c r="R2014" s="104" t="n"/>
      <c r="S2014" s="110" t="n"/>
      <c r="T2014" s="110" t="n"/>
      <c r="U2014" s="104" t="n"/>
    </row>
    <row r="2015">
      <c r="A2015" s="105" t="inlineStr">
        <is>
          <t>GUIDE002014</t>
        </is>
      </c>
      <c r="B2015" s="104" t="n"/>
      <c r="C2015" s="107" t="n"/>
      <c r="D2015" s="107" t="n"/>
      <c r="E2015" s="108" t="n"/>
      <c r="F2015" s="104" t="n"/>
      <c r="G2015" s="104" t="n"/>
      <c r="H2015" s="104" t="n"/>
      <c r="I2015" s="104" t="n"/>
      <c r="J2015" s="104" t="n"/>
      <c r="K2015" s="104" t="n"/>
      <c r="L2015" s="104" t="n"/>
      <c r="M2015" s="104" t="n"/>
      <c r="N2015" s="104" t="n"/>
      <c r="O2015" s="104" t="n"/>
      <c r="P2015" s="104" t="n"/>
      <c r="Q2015" s="104" t="n"/>
      <c r="R2015" s="104" t="n"/>
      <c r="S2015" s="110" t="n"/>
      <c r="T2015" s="110" t="n"/>
      <c r="U2015" s="104" t="n"/>
    </row>
    <row r="2016">
      <c r="A2016" s="104" t="inlineStr">
        <is>
          <t>GUIDE002015</t>
        </is>
      </c>
      <c r="B2016" s="104" t="n"/>
      <c r="C2016" s="107" t="n"/>
      <c r="D2016" s="107" t="n"/>
      <c r="E2016" s="108" t="n"/>
      <c r="F2016" s="104" t="n"/>
      <c r="G2016" s="104" t="n"/>
      <c r="H2016" s="104" t="n"/>
      <c r="I2016" s="104" t="n"/>
      <c r="J2016" s="104" t="n"/>
      <c r="K2016" s="104" t="n"/>
      <c r="L2016" s="104" t="n"/>
      <c r="M2016" s="104" t="n"/>
      <c r="N2016" s="104" t="n"/>
      <c r="O2016" s="104" t="n"/>
      <c r="P2016" s="104" t="n"/>
      <c r="Q2016" s="104" t="n"/>
      <c r="R2016" s="104" t="n"/>
      <c r="S2016" s="110" t="n"/>
      <c r="T2016" s="110" t="n"/>
      <c r="U2016" s="104" t="n"/>
    </row>
    <row r="2017">
      <c r="A2017" s="104" t="inlineStr">
        <is>
          <t>GUIDE002016</t>
        </is>
      </c>
      <c r="B2017" s="104" t="n"/>
      <c r="C2017" s="107" t="n"/>
      <c r="D2017" s="107" t="n"/>
      <c r="E2017" s="108" t="n"/>
      <c r="F2017" s="104" t="n"/>
      <c r="G2017" s="104" t="n"/>
      <c r="H2017" s="104" t="n"/>
      <c r="I2017" s="104" t="n"/>
      <c r="J2017" s="104" t="n"/>
      <c r="K2017" s="104" t="n"/>
      <c r="L2017" s="104" t="n"/>
      <c r="M2017" s="104" t="n"/>
      <c r="N2017" s="104" t="n"/>
      <c r="O2017" s="104" t="n"/>
      <c r="P2017" s="104" t="n"/>
      <c r="Q2017" s="104" t="n"/>
      <c r="R2017" s="104" t="n"/>
      <c r="S2017" s="110" t="n"/>
      <c r="T2017" s="110" t="n"/>
      <c r="U2017" s="104" t="n"/>
    </row>
    <row r="2018">
      <c r="A2018" s="104" t="inlineStr">
        <is>
          <t>GUIDE002017</t>
        </is>
      </c>
      <c r="B2018" s="104" t="n"/>
      <c r="C2018" s="107" t="n"/>
      <c r="D2018" s="107" t="n"/>
      <c r="E2018" s="108" t="n"/>
      <c r="F2018" s="104" t="n"/>
      <c r="G2018" s="104" t="n"/>
      <c r="H2018" s="104" t="n"/>
      <c r="I2018" s="104" t="n"/>
      <c r="J2018" s="104" t="n"/>
      <c r="K2018" s="104" t="n"/>
      <c r="L2018" s="104" t="n"/>
      <c r="M2018" s="104" t="n"/>
      <c r="N2018" s="104" t="n"/>
      <c r="O2018" s="104" t="n"/>
      <c r="P2018" s="104" t="n"/>
      <c r="Q2018" s="104" t="n"/>
      <c r="R2018" s="104" t="n"/>
      <c r="S2018" s="110" t="n"/>
      <c r="T2018" s="110" t="n"/>
      <c r="U2018" s="104" t="n"/>
    </row>
    <row r="2019">
      <c r="A2019" s="105" t="inlineStr">
        <is>
          <t>GUIDE002018</t>
        </is>
      </c>
      <c r="B2019" s="104" t="n"/>
      <c r="C2019" s="107" t="n"/>
      <c r="D2019" s="107" t="n"/>
      <c r="E2019" s="108" t="n"/>
      <c r="F2019" s="104" t="n"/>
      <c r="G2019" s="104" t="n"/>
      <c r="H2019" s="104" t="n"/>
      <c r="I2019" s="104" t="n"/>
      <c r="J2019" s="104" t="n"/>
      <c r="K2019" s="104" t="n"/>
      <c r="L2019" s="104" t="n"/>
      <c r="M2019" s="104" t="n"/>
      <c r="N2019" s="104" t="n"/>
      <c r="O2019" s="104" t="n"/>
      <c r="P2019" s="104" t="n"/>
      <c r="Q2019" s="104" t="n"/>
      <c r="R2019" s="104" t="n"/>
      <c r="S2019" s="110" t="n"/>
      <c r="T2019" s="110" t="n"/>
      <c r="U2019" s="104" t="n"/>
    </row>
    <row r="2020">
      <c r="A2020" s="104" t="inlineStr">
        <is>
          <t>GUIDE002019</t>
        </is>
      </c>
      <c r="B2020" s="104" t="n"/>
      <c r="C2020" s="107" t="n"/>
      <c r="D2020" s="107" t="n"/>
      <c r="E2020" s="108" t="n"/>
      <c r="F2020" s="104" t="n"/>
      <c r="G2020" s="104" t="n"/>
      <c r="H2020" s="104" t="n"/>
      <c r="I2020" s="104" t="n"/>
      <c r="J2020" s="104" t="n"/>
      <c r="K2020" s="104" t="n"/>
      <c r="L2020" s="104" t="n"/>
      <c r="M2020" s="104" t="n"/>
      <c r="N2020" s="104" t="n"/>
      <c r="O2020" s="104" t="n"/>
      <c r="P2020" s="104" t="n"/>
      <c r="Q2020" s="104" t="n"/>
      <c r="R2020" s="104" t="n"/>
      <c r="S2020" s="110" t="n"/>
      <c r="T2020" s="110" t="n"/>
      <c r="U2020" s="104" t="n"/>
    </row>
    <row r="2021">
      <c r="A2021" s="104" t="inlineStr">
        <is>
          <t>GUIDE002020</t>
        </is>
      </c>
      <c r="B2021" s="104" t="n"/>
      <c r="C2021" s="107" t="n"/>
      <c r="D2021" s="107" t="n"/>
      <c r="E2021" s="108" t="n"/>
      <c r="F2021" s="104" t="n"/>
      <c r="G2021" s="104" t="n"/>
      <c r="H2021" s="104" t="n"/>
      <c r="I2021" s="104" t="n"/>
      <c r="J2021" s="104" t="n"/>
      <c r="K2021" s="104" t="n"/>
      <c r="L2021" s="104" t="n"/>
      <c r="M2021" s="104" t="n"/>
      <c r="N2021" s="104" t="n"/>
      <c r="O2021" s="104" t="n"/>
      <c r="P2021" s="104" t="n"/>
      <c r="Q2021" s="104" t="n"/>
      <c r="R2021" s="104" t="n"/>
      <c r="S2021" s="110" t="n"/>
      <c r="T2021" s="110" t="n"/>
      <c r="U2021" s="104" t="n"/>
    </row>
    <row r="2022">
      <c r="A2022" s="104" t="inlineStr">
        <is>
          <t>GUIDE002021</t>
        </is>
      </c>
      <c r="B2022" s="104" t="n"/>
      <c r="C2022" s="107" t="n"/>
      <c r="D2022" s="107" t="n"/>
      <c r="E2022" s="108" t="n"/>
      <c r="F2022" s="104" t="n"/>
      <c r="G2022" s="104" t="n"/>
      <c r="H2022" s="104" t="n"/>
      <c r="I2022" s="104" t="n"/>
      <c r="J2022" s="104" t="n"/>
      <c r="K2022" s="104" t="n"/>
      <c r="L2022" s="104" t="n"/>
      <c r="M2022" s="104" t="n"/>
      <c r="N2022" s="104" t="n"/>
      <c r="O2022" s="104" t="n"/>
      <c r="P2022" s="104" t="n"/>
      <c r="Q2022" s="104" t="n"/>
      <c r="R2022" s="104" t="n"/>
      <c r="S2022" s="110" t="n"/>
      <c r="T2022" s="110" t="n"/>
      <c r="U2022" s="104" t="n"/>
    </row>
    <row r="2023">
      <c r="A2023" s="105" t="inlineStr">
        <is>
          <t>GUIDE002022</t>
        </is>
      </c>
      <c r="B2023" s="104" t="n"/>
      <c r="C2023" s="107" t="n"/>
      <c r="D2023" s="107" t="n"/>
      <c r="E2023" s="108" t="n"/>
      <c r="F2023" s="104" t="n"/>
      <c r="G2023" s="104" t="n"/>
      <c r="H2023" s="104" t="n"/>
      <c r="I2023" s="104" t="n"/>
      <c r="J2023" s="104" t="n"/>
      <c r="K2023" s="104" t="n"/>
      <c r="L2023" s="104" t="n"/>
      <c r="M2023" s="104" t="n"/>
      <c r="N2023" s="104" t="n"/>
      <c r="O2023" s="104" t="n"/>
      <c r="P2023" s="104" t="n"/>
      <c r="Q2023" s="104" t="n"/>
      <c r="R2023" s="104" t="n"/>
      <c r="S2023" s="110" t="n"/>
      <c r="T2023" s="110" t="n"/>
      <c r="U2023" s="104" t="n"/>
    </row>
    <row r="2024">
      <c r="A2024" s="104" t="inlineStr">
        <is>
          <t>GUIDE002023</t>
        </is>
      </c>
      <c r="B2024" s="104" t="n"/>
      <c r="C2024" s="107" t="n"/>
      <c r="D2024" s="107" t="n"/>
      <c r="E2024" s="108" t="n"/>
      <c r="F2024" s="104" t="n"/>
      <c r="G2024" s="104" t="n"/>
      <c r="H2024" s="104" t="n"/>
      <c r="I2024" s="104" t="n"/>
      <c r="J2024" s="104" t="n"/>
      <c r="K2024" s="104" t="n"/>
      <c r="L2024" s="104" t="n"/>
      <c r="M2024" s="104" t="n"/>
      <c r="N2024" s="104" t="n"/>
      <c r="O2024" s="104" t="n"/>
      <c r="P2024" s="104" t="n"/>
      <c r="Q2024" s="104" t="n"/>
      <c r="R2024" s="104" t="n"/>
      <c r="S2024" s="110" t="n"/>
      <c r="T2024" s="110" t="n"/>
      <c r="U2024" s="104" t="n"/>
    </row>
    <row r="2025">
      <c r="A2025" s="104" t="inlineStr">
        <is>
          <t>GUIDE002024</t>
        </is>
      </c>
      <c r="B2025" s="104" t="n"/>
      <c r="C2025" s="107" t="n"/>
      <c r="D2025" s="107" t="n"/>
      <c r="E2025" s="108" t="n"/>
      <c r="F2025" s="104" t="n"/>
      <c r="G2025" s="104" t="n"/>
      <c r="H2025" s="104" t="n"/>
      <c r="I2025" s="104" t="n"/>
      <c r="J2025" s="104" t="n"/>
      <c r="K2025" s="104" t="n"/>
      <c r="L2025" s="104" t="n"/>
      <c r="M2025" s="104" t="n"/>
      <c r="N2025" s="104" t="n"/>
      <c r="O2025" s="104" t="n"/>
      <c r="P2025" s="104" t="n"/>
      <c r="Q2025" s="104" t="n"/>
      <c r="R2025" s="104" t="n"/>
      <c r="S2025" s="110" t="n"/>
      <c r="T2025" s="110" t="n"/>
      <c r="U2025" s="104" t="n"/>
    </row>
    <row r="2026">
      <c r="A2026" s="104" t="inlineStr">
        <is>
          <t>GUIDE002025</t>
        </is>
      </c>
      <c r="B2026" s="104" t="n"/>
      <c r="C2026" s="107" t="n"/>
      <c r="D2026" s="107" t="n"/>
      <c r="E2026" s="108" t="n"/>
      <c r="F2026" s="104" t="n"/>
      <c r="G2026" s="104" t="n"/>
      <c r="H2026" s="104" t="n"/>
      <c r="I2026" s="104" t="n"/>
      <c r="J2026" s="104" t="n"/>
      <c r="K2026" s="104" t="n"/>
      <c r="L2026" s="104" t="n"/>
      <c r="M2026" s="104" t="n"/>
      <c r="N2026" s="104" t="n"/>
      <c r="O2026" s="104" t="n"/>
      <c r="P2026" s="104" t="n"/>
      <c r="Q2026" s="104" t="n"/>
      <c r="R2026" s="104" t="n"/>
      <c r="S2026" s="110" t="n"/>
      <c r="T2026" s="110" t="n"/>
      <c r="U2026" s="104" t="n"/>
    </row>
    <row r="2027">
      <c r="A2027" s="105" t="inlineStr">
        <is>
          <t>GUIDE002026</t>
        </is>
      </c>
      <c r="B2027" s="104" t="n"/>
      <c r="C2027" s="107" t="n"/>
      <c r="D2027" s="107" t="n"/>
      <c r="E2027" s="108" t="n"/>
      <c r="F2027" s="104" t="n"/>
      <c r="G2027" s="104" t="n"/>
      <c r="H2027" s="104" t="n"/>
      <c r="I2027" s="104" t="n"/>
      <c r="J2027" s="104" t="n"/>
      <c r="K2027" s="104" t="n"/>
      <c r="L2027" s="104" t="n"/>
      <c r="M2027" s="104" t="n"/>
      <c r="N2027" s="104" t="n"/>
      <c r="O2027" s="104" t="n"/>
      <c r="P2027" s="104" t="n"/>
      <c r="Q2027" s="104" t="n"/>
      <c r="R2027" s="104" t="n"/>
      <c r="S2027" s="110" t="n"/>
      <c r="T2027" s="110" t="n"/>
      <c r="U2027" s="104" t="n"/>
    </row>
    <row r="2028">
      <c r="A2028" s="104" t="inlineStr">
        <is>
          <t>GUIDE002027</t>
        </is>
      </c>
      <c r="B2028" s="104" t="n"/>
      <c r="C2028" s="107" t="n"/>
      <c r="D2028" s="107" t="n"/>
      <c r="E2028" s="108" t="n"/>
      <c r="F2028" s="104" t="n"/>
      <c r="G2028" s="104" t="n"/>
      <c r="H2028" s="104" t="n"/>
      <c r="I2028" s="104" t="n"/>
      <c r="J2028" s="104" t="n"/>
      <c r="K2028" s="104" t="n"/>
      <c r="L2028" s="104" t="n"/>
      <c r="M2028" s="104" t="n"/>
      <c r="N2028" s="104" t="n"/>
      <c r="O2028" s="104" t="n"/>
      <c r="P2028" s="104" t="n"/>
      <c r="Q2028" s="104" t="n"/>
      <c r="R2028" s="104" t="n"/>
      <c r="S2028" s="110" t="n"/>
      <c r="T2028" s="110" t="n"/>
      <c r="U2028" s="104" t="n"/>
    </row>
    <row r="2029">
      <c r="A2029" s="104" t="inlineStr">
        <is>
          <t>GUIDE002028</t>
        </is>
      </c>
      <c r="B2029" s="104" t="n"/>
      <c r="C2029" s="107" t="n"/>
      <c r="D2029" s="107" t="n"/>
      <c r="E2029" s="108" t="n"/>
      <c r="F2029" s="104" t="n"/>
      <c r="G2029" s="104" t="n"/>
      <c r="H2029" s="104" t="n"/>
      <c r="I2029" s="104" t="n"/>
      <c r="J2029" s="104" t="n"/>
      <c r="K2029" s="104" t="n"/>
      <c r="L2029" s="104" t="n"/>
      <c r="M2029" s="104" t="n"/>
      <c r="N2029" s="104" t="n"/>
      <c r="O2029" s="104" t="n"/>
      <c r="P2029" s="104" t="n"/>
      <c r="Q2029" s="104" t="n"/>
      <c r="R2029" s="104" t="n"/>
      <c r="S2029" s="110" t="n"/>
      <c r="T2029" s="110" t="n"/>
      <c r="U2029" s="104" t="n"/>
    </row>
    <row r="2030">
      <c r="A2030" s="104" t="inlineStr">
        <is>
          <t>GUIDE002029</t>
        </is>
      </c>
      <c r="B2030" s="104" t="n"/>
      <c r="C2030" s="107" t="n"/>
      <c r="D2030" s="107" t="n"/>
      <c r="E2030" s="108" t="n"/>
      <c r="F2030" s="104" t="n"/>
      <c r="G2030" s="104" t="n"/>
      <c r="H2030" s="104" t="n"/>
      <c r="I2030" s="104" t="n"/>
      <c r="J2030" s="104" t="n"/>
      <c r="K2030" s="104" t="n"/>
      <c r="L2030" s="104" t="n"/>
      <c r="M2030" s="104" t="n"/>
      <c r="N2030" s="104" t="n"/>
      <c r="O2030" s="104" t="n"/>
      <c r="P2030" s="104" t="n"/>
      <c r="Q2030" s="104" t="n"/>
      <c r="R2030" s="104" t="n"/>
      <c r="S2030" s="110" t="n"/>
      <c r="T2030" s="110" t="n"/>
      <c r="U2030" s="104" t="n"/>
    </row>
    <row r="2031">
      <c r="A2031" s="105" t="inlineStr">
        <is>
          <t>GUIDE002030</t>
        </is>
      </c>
      <c r="B2031" s="104" t="n"/>
      <c r="C2031" s="107" t="n"/>
      <c r="D2031" s="107" t="n"/>
      <c r="E2031" s="108" t="n"/>
      <c r="F2031" s="104" t="n"/>
      <c r="G2031" s="104" t="n"/>
      <c r="H2031" s="104" t="n"/>
      <c r="I2031" s="104" t="n"/>
      <c r="J2031" s="104" t="n"/>
      <c r="K2031" s="104" t="n"/>
      <c r="L2031" s="104" t="n"/>
      <c r="M2031" s="104" t="n"/>
      <c r="N2031" s="104" t="n"/>
      <c r="O2031" s="104" t="n"/>
      <c r="P2031" s="104" t="n"/>
      <c r="Q2031" s="104" t="n"/>
      <c r="R2031" s="104" t="n"/>
      <c r="S2031" s="110" t="n"/>
      <c r="T2031" s="110" t="n"/>
      <c r="U2031" s="104" t="n"/>
    </row>
    <row r="2032">
      <c r="A2032" s="104" t="inlineStr">
        <is>
          <t>GUIDE002031</t>
        </is>
      </c>
      <c r="B2032" s="104" t="n"/>
      <c r="C2032" s="107" t="n"/>
      <c r="D2032" s="107" t="n"/>
      <c r="E2032" s="108" t="n"/>
      <c r="F2032" s="104" t="n"/>
      <c r="G2032" s="104" t="n"/>
      <c r="H2032" s="104" t="n"/>
      <c r="I2032" s="104" t="n"/>
      <c r="J2032" s="104" t="n"/>
      <c r="K2032" s="104" t="n"/>
      <c r="L2032" s="104" t="n"/>
      <c r="M2032" s="104" t="n"/>
      <c r="N2032" s="104" t="n"/>
      <c r="O2032" s="104" t="n"/>
      <c r="P2032" s="104" t="n"/>
      <c r="Q2032" s="104" t="n"/>
      <c r="R2032" s="104" t="n"/>
      <c r="S2032" s="110" t="n"/>
      <c r="T2032" s="110" t="n"/>
      <c r="U2032" s="104" t="n"/>
    </row>
    <row r="2033">
      <c r="A2033" s="104" t="inlineStr">
        <is>
          <t>GUIDE002032</t>
        </is>
      </c>
      <c r="B2033" s="104" t="n"/>
      <c r="C2033" s="107" t="n"/>
      <c r="D2033" s="107" t="n"/>
      <c r="E2033" s="108" t="n"/>
      <c r="F2033" s="104" t="n"/>
      <c r="G2033" s="104" t="n"/>
      <c r="H2033" s="104" t="n"/>
      <c r="I2033" s="104" t="n"/>
      <c r="J2033" s="104" t="n"/>
      <c r="K2033" s="104" t="n"/>
      <c r="L2033" s="104" t="n"/>
      <c r="M2033" s="104" t="n"/>
      <c r="N2033" s="104" t="n"/>
      <c r="O2033" s="104" t="n"/>
      <c r="P2033" s="104" t="n"/>
      <c r="Q2033" s="104" t="n"/>
      <c r="R2033" s="104" t="n"/>
      <c r="S2033" s="110" t="n"/>
      <c r="T2033" s="110" t="n"/>
      <c r="U2033" s="104" t="n"/>
    </row>
    <row r="2034">
      <c r="A2034" s="104" t="inlineStr">
        <is>
          <t>GUIDE002033</t>
        </is>
      </c>
      <c r="B2034" s="104" t="n"/>
      <c r="C2034" s="107" t="n"/>
      <c r="D2034" s="107" t="n"/>
      <c r="E2034" s="108" t="n"/>
      <c r="F2034" s="104" t="n"/>
      <c r="G2034" s="104" t="n"/>
      <c r="H2034" s="104" t="n"/>
      <c r="I2034" s="104" t="n"/>
      <c r="J2034" s="104" t="n"/>
      <c r="K2034" s="104" t="n"/>
      <c r="L2034" s="104" t="n"/>
      <c r="M2034" s="104" t="n"/>
      <c r="N2034" s="104" t="n"/>
      <c r="O2034" s="104" t="n"/>
      <c r="P2034" s="104" t="n"/>
      <c r="Q2034" s="104" t="n"/>
      <c r="R2034" s="104" t="n"/>
      <c r="S2034" s="110" t="n"/>
      <c r="T2034" s="110" t="n"/>
      <c r="U2034" s="104" t="n"/>
    </row>
    <row r="2035">
      <c r="A2035" s="105" t="inlineStr">
        <is>
          <t>GUIDE002034</t>
        </is>
      </c>
      <c r="B2035" s="104" t="n"/>
      <c r="C2035" s="107" t="n"/>
      <c r="D2035" s="107" t="n"/>
      <c r="E2035" s="108" t="n"/>
      <c r="F2035" s="104" t="n"/>
      <c r="G2035" s="104" t="n"/>
      <c r="H2035" s="104" t="n"/>
      <c r="I2035" s="104" t="n"/>
      <c r="J2035" s="104" t="n"/>
      <c r="K2035" s="104" t="n"/>
      <c r="L2035" s="104" t="n"/>
      <c r="M2035" s="104" t="n"/>
      <c r="N2035" s="104" t="n"/>
      <c r="O2035" s="104" t="n"/>
      <c r="P2035" s="104" t="n"/>
      <c r="Q2035" s="104" t="n"/>
      <c r="R2035" s="104" t="n"/>
      <c r="S2035" s="110" t="n"/>
      <c r="T2035" s="110" t="n"/>
      <c r="U2035" s="104" t="n"/>
    </row>
    <row r="2036">
      <c r="A2036" s="104" t="inlineStr">
        <is>
          <t>GUIDE002035</t>
        </is>
      </c>
      <c r="B2036" s="104" t="n"/>
      <c r="C2036" s="107" t="n"/>
      <c r="D2036" s="107" t="n"/>
      <c r="E2036" s="108" t="n"/>
      <c r="F2036" s="104" t="n"/>
      <c r="G2036" s="104" t="n"/>
      <c r="H2036" s="104" t="n"/>
      <c r="I2036" s="104" t="n"/>
      <c r="J2036" s="104" t="n"/>
      <c r="K2036" s="104" t="n"/>
      <c r="L2036" s="104" t="n"/>
      <c r="M2036" s="104" t="n"/>
      <c r="N2036" s="104" t="n"/>
      <c r="O2036" s="104" t="n"/>
      <c r="P2036" s="104" t="n"/>
      <c r="Q2036" s="104" t="n"/>
      <c r="R2036" s="104" t="n"/>
      <c r="S2036" s="110" t="n"/>
      <c r="T2036" s="110" t="n"/>
      <c r="U2036" s="104" t="n"/>
    </row>
    <row r="2037">
      <c r="A2037" s="104" t="inlineStr">
        <is>
          <t>GUIDE002036</t>
        </is>
      </c>
      <c r="B2037" s="104" t="n"/>
      <c r="C2037" s="107" t="n"/>
      <c r="D2037" s="107" t="n"/>
      <c r="E2037" s="108" t="n"/>
      <c r="F2037" s="104" t="n"/>
      <c r="G2037" s="104" t="n"/>
      <c r="H2037" s="104" t="n"/>
      <c r="I2037" s="104" t="n"/>
      <c r="J2037" s="104" t="n"/>
      <c r="K2037" s="104" t="n"/>
      <c r="L2037" s="104" t="n"/>
      <c r="M2037" s="104" t="n"/>
      <c r="N2037" s="104" t="n"/>
      <c r="O2037" s="104" t="n"/>
      <c r="P2037" s="104" t="n"/>
      <c r="Q2037" s="104" t="n"/>
      <c r="R2037" s="104" t="n"/>
      <c r="S2037" s="110" t="n"/>
      <c r="T2037" s="110" t="n"/>
      <c r="U2037" s="104" t="n"/>
    </row>
    <row r="2038">
      <c r="A2038" s="104" t="inlineStr">
        <is>
          <t>GUIDE002037</t>
        </is>
      </c>
      <c r="B2038" s="104" t="n"/>
      <c r="C2038" s="107" t="n"/>
      <c r="D2038" s="107" t="n"/>
      <c r="E2038" s="108" t="n"/>
      <c r="F2038" s="104" t="n"/>
      <c r="G2038" s="104" t="n"/>
      <c r="H2038" s="104" t="n"/>
      <c r="I2038" s="104" t="n"/>
      <c r="J2038" s="104" t="n"/>
      <c r="K2038" s="104" t="n"/>
      <c r="L2038" s="104" t="n"/>
      <c r="M2038" s="104" t="n"/>
      <c r="N2038" s="104" t="n"/>
      <c r="O2038" s="104" t="n"/>
      <c r="P2038" s="104" t="n"/>
      <c r="Q2038" s="104" t="n"/>
      <c r="R2038" s="104" t="n"/>
      <c r="S2038" s="110" t="n"/>
      <c r="T2038" s="110" t="n"/>
      <c r="U2038" s="104" t="n"/>
    </row>
    <row r="2039">
      <c r="A2039" s="105" t="inlineStr">
        <is>
          <t>GUIDE002038</t>
        </is>
      </c>
      <c r="B2039" s="104" t="n"/>
      <c r="C2039" s="107" t="n"/>
      <c r="D2039" s="107" t="n"/>
      <c r="E2039" s="108" t="n"/>
      <c r="F2039" s="104" t="n"/>
      <c r="G2039" s="104" t="n"/>
      <c r="H2039" s="104" t="n"/>
      <c r="I2039" s="104" t="n"/>
      <c r="J2039" s="104" t="n"/>
      <c r="K2039" s="104" t="n"/>
      <c r="L2039" s="104" t="n"/>
      <c r="M2039" s="104" t="n"/>
      <c r="N2039" s="104" t="n"/>
      <c r="O2039" s="104" t="n"/>
      <c r="P2039" s="104" t="n"/>
      <c r="Q2039" s="104" t="n"/>
      <c r="R2039" s="104" t="n"/>
      <c r="S2039" s="110" t="n"/>
      <c r="T2039" s="110" t="n"/>
      <c r="U2039" s="104" t="n"/>
    </row>
    <row r="2040">
      <c r="A2040" s="104" t="inlineStr">
        <is>
          <t>GUIDE002039</t>
        </is>
      </c>
      <c r="B2040" s="104" t="n"/>
      <c r="C2040" s="107" t="n"/>
      <c r="D2040" s="107" t="n"/>
      <c r="E2040" s="108" t="n"/>
      <c r="F2040" s="104" t="n"/>
      <c r="G2040" s="104" t="n"/>
      <c r="H2040" s="104" t="n"/>
      <c r="I2040" s="104" t="n"/>
      <c r="J2040" s="104" t="n"/>
      <c r="K2040" s="104" t="n"/>
      <c r="L2040" s="104" t="n"/>
      <c r="M2040" s="104" t="n"/>
      <c r="N2040" s="104" t="n"/>
      <c r="O2040" s="104" t="n"/>
      <c r="P2040" s="104" t="n"/>
      <c r="Q2040" s="104" t="n"/>
      <c r="R2040" s="104" t="n"/>
      <c r="S2040" s="110" t="n"/>
      <c r="T2040" s="110" t="n"/>
      <c r="U2040" s="104" t="n"/>
    </row>
    <row r="2041">
      <c r="A2041" s="104" t="inlineStr">
        <is>
          <t>GUIDE002040</t>
        </is>
      </c>
      <c r="B2041" s="104" t="n"/>
      <c r="C2041" s="107" t="n"/>
      <c r="D2041" s="107" t="n"/>
      <c r="E2041" s="108" t="n"/>
      <c r="F2041" s="104" t="n"/>
      <c r="G2041" s="104" t="n"/>
      <c r="H2041" s="104" t="n"/>
      <c r="I2041" s="104" t="n"/>
      <c r="J2041" s="104" t="n"/>
      <c r="K2041" s="104" t="n"/>
      <c r="L2041" s="104" t="n"/>
      <c r="M2041" s="104" t="n"/>
      <c r="N2041" s="104" t="n"/>
      <c r="O2041" s="104" t="n"/>
      <c r="P2041" s="104" t="n"/>
      <c r="Q2041" s="104" t="n"/>
      <c r="R2041" s="104" t="n"/>
      <c r="S2041" s="110" t="n"/>
      <c r="T2041" s="110" t="n"/>
      <c r="U2041" s="104" t="n"/>
    </row>
    <row r="2042">
      <c r="A2042" s="104" t="inlineStr">
        <is>
          <t>GUIDE002041</t>
        </is>
      </c>
      <c r="B2042" s="104" t="n"/>
      <c r="C2042" s="107" t="n"/>
      <c r="D2042" s="107" t="n"/>
      <c r="E2042" s="108" t="n"/>
      <c r="F2042" s="104" t="n"/>
      <c r="G2042" s="104" t="n"/>
      <c r="H2042" s="104" t="n"/>
      <c r="I2042" s="104" t="n"/>
      <c r="J2042" s="104" t="n"/>
      <c r="K2042" s="104" t="n"/>
      <c r="L2042" s="104" t="n"/>
      <c r="M2042" s="104" t="n"/>
      <c r="N2042" s="104" t="n"/>
      <c r="O2042" s="104" t="n"/>
      <c r="P2042" s="104" t="n"/>
      <c r="Q2042" s="104" t="n"/>
      <c r="R2042" s="104" t="n"/>
      <c r="S2042" s="110" t="n"/>
      <c r="T2042" s="110" t="n"/>
      <c r="U2042" s="104" t="n"/>
    </row>
    <row r="2043">
      <c r="A2043" s="105" t="inlineStr">
        <is>
          <t>GUIDE002042</t>
        </is>
      </c>
      <c r="B2043" s="104" t="n"/>
      <c r="C2043" s="107" t="n"/>
      <c r="D2043" s="107" t="n"/>
      <c r="E2043" s="108" t="n"/>
      <c r="F2043" s="104" t="n"/>
      <c r="G2043" s="104" t="n"/>
      <c r="H2043" s="104" t="n"/>
      <c r="I2043" s="104" t="n"/>
      <c r="J2043" s="104" t="n"/>
      <c r="K2043" s="104" t="n"/>
      <c r="L2043" s="104" t="n"/>
      <c r="M2043" s="104" t="n"/>
      <c r="N2043" s="104" t="n"/>
      <c r="O2043" s="104" t="n"/>
      <c r="P2043" s="104" t="n"/>
      <c r="Q2043" s="104" t="n"/>
      <c r="R2043" s="104" t="n"/>
      <c r="S2043" s="110" t="n"/>
      <c r="T2043" s="110" t="n"/>
      <c r="U2043" s="104" t="n"/>
    </row>
    <row r="2044">
      <c r="A2044" s="104" t="inlineStr">
        <is>
          <t>GUIDE002043</t>
        </is>
      </c>
      <c r="B2044" s="104" t="n"/>
      <c r="C2044" s="107" t="n"/>
      <c r="D2044" s="107" t="n"/>
      <c r="E2044" s="108" t="n"/>
      <c r="F2044" s="104" t="n"/>
      <c r="G2044" s="104" t="n"/>
      <c r="H2044" s="104" t="n"/>
      <c r="I2044" s="104" t="n"/>
      <c r="J2044" s="104" t="n"/>
      <c r="K2044" s="104" t="n"/>
      <c r="L2044" s="104" t="n"/>
      <c r="M2044" s="104" t="n"/>
      <c r="N2044" s="104" t="n"/>
      <c r="O2044" s="104" t="n"/>
      <c r="P2044" s="104" t="n"/>
      <c r="Q2044" s="104" t="n"/>
      <c r="R2044" s="104" t="n"/>
      <c r="S2044" s="110" t="n"/>
      <c r="T2044" s="110" t="n"/>
      <c r="U2044" s="104" t="n"/>
    </row>
    <row r="2045">
      <c r="A2045" s="104" t="inlineStr">
        <is>
          <t>GUIDE002044</t>
        </is>
      </c>
      <c r="B2045" s="104" t="n"/>
      <c r="C2045" s="107" t="n"/>
      <c r="D2045" s="107" t="n"/>
      <c r="E2045" s="108" t="n"/>
      <c r="F2045" s="104" t="n"/>
      <c r="G2045" s="104" t="n"/>
      <c r="H2045" s="104" t="n"/>
      <c r="I2045" s="104" t="n"/>
      <c r="J2045" s="104" t="n"/>
      <c r="K2045" s="104" t="n"/>
      <c r="L2045" s="104" t="n"/>
      <c r="M2045" s="104" t="n"/>
      <c r="N2045" s="104" t="n"/>
      <c r="O2045" s="104" t="n"/>
      <c r="P2045" s="104" t="n"/>
      <c r="Q2045" s="104" t="n"/>
      <c r="R2045" s="104" t="n"/>
      <c r="S2045" s="110" t="n"/>
      <c r="T2045" s="110" t="n"/>
      <c r="U2045" s="104" t="n"/>
    </row>
    <row r="2046">
      <c r="A2046" s="104" t="inlineStr">
        <is>
          <t>GUIDE002045</t>
        </is>
      </c>
      <c r="B2046" s="104" t="n"/>
      <c r="C2046" s="107" t="n"/>
      <c r="D2046" s="107" t="n"/>
      <c r="E2046" s="108" t="n"/>
      <c r="F2046" s="104" t="n"/>
      <c r="G2046" s="104" t="n"/>
      <c r="H2046" s="104" t="n"/>
      <c r="I2046" s="104" t="n"/>
      <c r="J2046" s="104" t="n"/>
      <c r="K2046" s="104" t="n"/>
      <c r="L2046" s="104" t="n"/>
      <c r="M2046" s="104" t="n"/>
      <c r="N2046" s="104" t="n"/>
      <c r="O2046" s="104" t="n"/>
      <c r="P2046" s="104" t="n"/>
      <c r="Q2046" s="104" t="n"/>
      <c r="R2046" s="104" t="n"/>
      <c r="S2046" s="110" t="n"/>
      <c r="T2046" s="110" t="n"/>
      <c r="U2046" s="104" t="n"/>
    </row>
    <row r="2047">
      <c r="A2047" s="105" t="inlineStr">
        <is>
          <t>GUIDE002046</t>
        </is>
      </c>
      <c r="B2047" s="104" t="n"/>
      <c r="C2047" s="107" t="n"/>
      <c r="D2047" s="107" t="n"/>
      <c r="E2047" s="108" t="n"/>
      <c r="F2047" s="104" t="n"/>
      <c r="G2047" s="104" t="n"/>
      <c r="H2047" s="104" t="n"/>
      <c r="I2047" s="104" t="n"/>
      <c r="J2047" s="104" t="n"/>
      <c r="K2047" s="104" t="n"/>
      <c r="L2047" s="104" t="n"/>
      <c r="M2047" s="104" t="n"/>
      <c r="N2047" s="104" t="n"/>
      <c r="O2047" s="104" t="n"/>
      <c r="P2047" s="104" t="n"/>
      <c r="Q2047" s="104" t="n"/>
      <c r="R2047" s="104" t="n"/>
      <c r="S2047" s="110" t="n"/>
      <c r="T2047" s="110" t="n"/>
      <c r="U2047" s="104" t="n"/>
    </row>
    <row r="2048">
      <c r="A2048" s="104" t="inlineStr">
        <is>
          <t>GUIDE002047</t>
        </is>
      </c>
      <c r="B2048" s="104" t="n"/>
      <c r="C2048" s="107" t="n"/>
      <c r="D2048" s="107" t="n"/>
      <c r="E2048" s="108" t="n"/>
      <c r="F2048" s="104" t="n"/>
      <c r="G2048" s="104" t="n"/>
      <c r="H2048" s="104" t="n"/>
      <c r="I2048" s="104" t="n"/>
      <c r="J2048" s="104" t="n"/>
      <c r="K2048" s="104" t="n"/>
      <c r="L2048" s="104" t="n"/>
      <c r="M2048" s="104" t="n"/>
      <c r="N2048" s="104" t="n"/>
      <c r="O2048" s="104" t="n"/>
      <c r="P2048" s="104" t="n"/>
      <c r="Q2048" s="104" t="n"/>
      <c r="R2048" s="104" t="n"/>
      <c r="S2048" s="110" t="n"/>
      <c r="T2048" s="110" t="n"/>
      <c r="U2048" s="104" t="n"/>
    </row>
    <row r="2049">
      <c r="A2049" s="104" t="inlineStr">
        <is>
          <t>GUIDE002048</t>
        </is>
      </c>
      <c r="B2049" s="104" t="n"/>
      <c r="C2049" s="107" t="n"/>
      <c r="D2049" s="107" t="n"/>
      <c r="E2049" s="108" t="n"/>
      <c r="F2049" s="104" t="n"/>
      <c r="G2049" s="104" t="n"/>
      <c r="H2049" s="104" t="n"/>
      <c r="I2049" s="104" t="n"/>
      <c r="J2049" s="104" t="n"/>
      <c r="K2049" s="104" t="n"/>
      <c r="L2049" s="104" t="n"/>
      <c r="M2049" s="104" t="n"/>
      <c r="N2049" s="104" t="n"/>
      <c r="O2049" s="104" t="n"/>
      <c r="P2049" s="104" t="n"/>
      <c r="Q2049" s="104" t="n"/>
      <c r="R2049" s="104" t="n"/>
      <c r="S2049" s="110" t="n"/>
      <c r="T2049" s="110" t="n"/>
      <c r="U2049" s="104" t="n"/>
    </row>
    <row r="2050">
      <c r="A2050" s="104" t="inlineStr">
        <is>
          <t>GUIDE002049</t>
        </is>
      </c>
      <c r="B2050" s="104" t="n"/>
      <c r="C2050" s="107" t="n"/>
      <c r="D2050" s="107" t="n"/>
      <c r="E2050" s="108" t="n"/>
      <c r="F2050" s="104" t="n"/>
      <c r="G2050" s="104" t="n"/>
      <c r="H2050" s="104" t="n"/>
      <c r="I2050" s="104" t="n"/>
      <c r="J2050" s="104" t="n"/>
      <c r="K2050" s="104" t="n"/>
      <c r="L2050" s="104" t="n"/>
      <c r="M2050" s="104" t="n"/>
      <c r="N2050" s="104" t="n"/>
      <c r="O2050" s="104" t="n"/>
      <c r="P2050" s="104" t="n"/>
      <c r="Q2050" s="104" t="n"/>
      <c r="R2050" s="104" t="n"/>
      <c r="S2050" s="110" t="n"/>
      <c r="T2050" s="110" t="n"/>
      <c r="U2050" s="104" t="n"/>
    </row>
    <row r="2051">
      <c r="A2051" s="105" t="inlineStr">
        <is>
          <t>GUIDE002050</t>
        </is>
      </c>
      <c r="B2051" s="104" t="n"/>
      <c r="C2051" s="107" t="n"/>
      <c r="D2051" s="107" t="n"/>
      <c r="E2051" s="108" t="n"/>
      <c r="F2051" s="104" t="n"/>
      <c r="G2051" s="104" t="n"/>
      <c r="H2051" s="104" t="n"/>
      <c r="I2051" s="104" t="n"/>
      <c r="J2051" s="104" t="n"/>
      <c r="K2051" s="104" t="n"/>
      <c r="L2051" s="104" t="n"/>
      <c r="M2051" s="104" t="n"/>
      <c r="N2051" s="104" t="n"/>
      <c r="O2051" s="104" t="n"/>
      <c r="P2051" s="104" t="n"/>
      <c r="Q2051" s="104" t="n"/>
      <c r="R2051" s="104" t="n"/>
      <c r="S2051" s="110" t="n"/>
      <c r="T2051" s="110" t="n"/>
      <c r="U2051" s="104" t="n"/>
    </row>
    <row r="2052">
      <c r="A2052" s="104" t="inlineStr">
        <is>
          <t>GUIDE002051</t>
        </is>
      </c>
      <c r="B2052" s="104" t="n"/>
      <c r="C2052" s="107" t="n"/>
      <c r="D2052" s="107" t="n"/>
      <c r="E2052" s="108" t="n"/>
      <c r="F2052" s="104" t="n"/>
      <c r="G2052" s="104" t="n"/>
      <c r="H2052" s="104" t="n"/>
      <c r="I2052" s="104" t="n"/>
      <c r="J2052" s="104" t="n"/>
      <c r="K2052" s="104" t="n"/>
      <c r="L2052" s="104" t="n"/>
      <c r="M2052" s="104" t="n"/>
      <c r="N2052" s="104" t="n"/>
      <c r="O2052" s="104" t="n"/>
      <c r="P2052" s="104" t="n"/>
      <c r="Q2052" s="104" t="n"/>
      <c r="R2052" s="104" t="n"/>
      <c r="S2052" s="110" t="n"/>
      <c r="T2052" s="110" t="n"/>
      <c r="U2052" s="104" t="n"/>
    </row>
    <row r="2053">
      <c r="A2053" s="104" t="inlineStr">
        <is>
          <t>GUIDE002052</t>
        </is>
      </c>
      <c r="B2053" s="104" t="n"/>
      <c r="C2053" s="107" t="n"/>
      <c r="D2053" s="107" t="n"/>
      <c r="E2053" s="108" t="n"/>
      <c r="F2053" s="104" t="n"/>
      <c r="G2053" s="104" t="n"/>
      <c r="H2053" s="104" t="n"/>
      <c r="I2053" s="104" t="n"/>
      <c r="J2053" s="104" t="n"/>
      <c r="K2053" s="104" t="n"/>
      <c r="L2053" s="104" t="n"/>
      <c r="M2053" s="104" t="n"/>
      <c r="N2053" s="104" t="n"/>
      <c r="O2053" s="104" t="n"/>
      <c r="P2053" s="104" t="n"/>
      <c r="Q2053" s="104" t="n"/>
      <c r="R2053" s="104" t="n"/>
      <c r="S2053" s="110" t="n"/>
      <c r="T2053" s="110" t="n"/>
      <c r="U2053" s="104" t="n"/>
    </row>
    <row r="2054">
      <c r="A2054" s="104" t="inlineStr">
        <is>
          <t>GUIDE002053</t>
        </is>
      </c>
      <c r="B2054" s="104" t="n"/>
      <c r="C2054" s="107" t="n"/>
      <c r="D2054" s="107" t="n"/>
      <c r="E2054" s="108" t="n"/>
      <c r="F2054" s="104" t="n"/>
      <c r="G2054" s="104" t="n"/>
      <c r="H2054" s="104" t="n"/>
      <c r="I2054" s="104" t="n"/>
      <c r="J2054" s="104" t="n"/>
      <c r="K2054" s="104" t="n"/>
      <c r="L2054" s="104" t="n"/>
      <c r="M2054" s="104" t="n"/>
      <c r="N2054" s="104" t="n"/>
      <c r="O2054" s="104" t="n"/>
      <c r="P2054" s="104" t="n"/>
      <c r="Q2054" s="104" t="n"/>
      <c r="R2054" s="104" t="n"/>
      <c r="S2054" s="110" t="n"/>
      <c r="T2054" s="110" t="n"/>
      <c r="U2054" s="104" t="n"/>
    </row>
    <row r="2055">
      <c r="A2055" s="105" t="inlineStr">
        <is>
          <t>GUIDE002054</t>
        </is>
      </c>
      <c r="B2055" s="104" t="n"/>
      <c r="C2055" s="107" t="n"/>
      <c r="D2055" s="107" t="n"/>
      <c r="E2055" s="108" t="n"/>
      <c r="F2055" s="104" t="n"/>
      <c r="G2055" s="104" t="n"/>
      <c r="H2055" s="104" t="n"/>
      <c r="I2055" s="104" t="n"/>
      <c r="J2055" s="104" t="n"/>
      <c r="K2055" s="104" t="n"/>
      <c r="L2055" s="104" t="n"/>
      <c r="M2055" s="104" t="n"/>
      <c r="N2055" s="104" t="n"/>
      <c r="O2055" s="104" t="n"/>
      <c r="P2055" s="104" t="n"/>
      <c r="Q2055" s="104" t="n"/>
      <c r="R2055" s="104" t="n"/>
      <c r="S2055" s="110" t="n"/>
      <c r="T2055" s="110" t="n"/>
      <c r="U2055" s="104" t="n"/>
    </row>
    <row r="2056">
      <c r="A2056" s="104" t="inlineStr">
        <is>
          <t>GUIDE002055</t>
        </is>
      </c>
      <c r="B2056" s="104" t="n"/>
      <c r="C2056" s="107" t="n"/>
      <c r="D2056" s="107" t="n"/>
      <c r="E2056" s="108" t="n"/>
      <c r="F2056" s="104" t="n"/>
      <c r="G2056" s="104" t="n"/>
      <c r="H2056" s="104" t="n"/>
      <c r="I2056" s="104" t="n"/>
      <c r="J2056" s="104" t="n"/>
      <c r="K2056" s="104" t="n"/>
      <c r="L2056" s="104" t="n"/>
      <c r="M2056" s="104" t="n"/>
      <c r="N2056" s="104" t="n"/>
      <c r="O2056" s="104" t="n"/>
      <c r="P2056" s="104" t="n"/>
      <c r="Q2056" s="104" t="n"/>
      <c r="R2056" s="104" t="n"/>
      <c r="S2056" s="110" t="n"/>
      <c r="T2056" s="110" t="n"/>
      <c r="U2056" s="104" t="n"/>
    </row>
    <row r="2057">
      <c r="A2057" s="104" t="inlineStr">
        <is>
          <t>GUIDE002056</t>
        </is>
      </c>
      <c r="B2057" s="104" t="n"/>
      <c r="C2057" s="107" t="n"/>
      <c r="D2057" s="107" t="n"/>
      <c r="E2057" s="108" t="n"/>
      <c r="F2057" s="104" t="n"/>
      <c r="G2057" s="104" t="n"/>
      <c r="H2057" s="104" t="n"/>
      <c r="I2057" s="104" t="n"/>
      <c r="J2057" s="104" t="n"/>
      <c r="K2057" s="104" t="n"/>
      <c r="L2057" s="104" t="n"/>
      <c r="M2057" s="104" t="n"/>
      <c r="N2057" s="104" t="n"/>
      <c r="O2057" s="104" t="n"/>
      <c r="P2057" s="104" t="n"/>
      <c r="Q2057" s="104" t="n"/>
      <c r="R2057" s="104" t="n"/>
      <c r="S2057" s="110" t="n"/>
      <c r="T2057" s="110" t="n"/>
      <c r="U2057" s="104" t="n"/>
    </row>
    <row r="2058">
      <c r="A2058" s="104" t="inlineStr">
        <is>
          <t>GUIDE002057</t>
        </is>
      </c>
      <c r="B2058" s="104" t="n"/>
      <c r="C2058" s="107" t="n"/>
      <c r="D2058" s="107" t="n"/>
      <c r="E2058" s="108" t="n"/>
      <c r="F2058" s="104" t="n"/>
      <c r="G2058" s="104" t="n"/>
      <c r="H2058" s="104" t="n"/>
      <c r="I2058" s="104" t="n"/>
      <c r="J2058" s="104" t="n"/>
      <c r="K2058" s="104" t="n"/>
      <c r="L2058" s="104" t="n"/>
      <c r="M2058" s="104" t="n"/>
      <c r="N2058" s="104" t="n"/>
      <c r="O2058" s="104" t="n"/>
      <c r="P2058" s="104" t="n"/>
      <c r="Q2058" s="104" t="n"/>
      <c r="R2058" s="104" t="n"/>
      <c r="S2058" s="110" t="n"/>
      <c r="T2058" s="110" t="n"/>
      <c r="U2058" s="104" t="n"/>
    </row>
    <row r="2059">
      <c r="A2059" s="105" t="inlineStr">
        <is>
          <t>GUIDE002058</t>
        </is>
      </c>
      <c r="B2059" s="104" t="n"/>
      <c r="C2059" s="107" t="n"/>
      <c r="D2059" s="107" t="n"/>
      <c r="E2059" s="108" t="n"/>
      <c r="F2059" s="104" t="n"/>
      <c r="G2059" s="104" t="n"/>
      <c r="H2059" s="104" t="n"/>
      <c r="I2059" s="104" t="n"/>
      <c r="J2059" s="104" t="n"/>
      <c r="K2059" s="104" t="n"/>
      <c r="L2059" s="104" t="n"/>
      <c r="M2059" s="104" t="n"/>
      <c r="N2059" s="104" t="n"/>
      <c r="O2059" s="104" t="n"/>
      <c r="P2059" s="104" t="n"/>
      <c r="Q2059" s="104" t="n"/>
      <c r="R2059" s="104" t="n"/>
      <c r="S2059" s="110" t="n"/>
      <c r="T2059" s="110" t="n"/>
      <c r="U2059" s="104" t="n"/>
    </row>
    <row r="2060">
      <c r="A2060" s="104" t="inlineStr">
        <is>
          <t>GUIDE002059</t>
        </is>
      </c>
      <c r="B2060" s="104" t="n"/>
      <c r="C2060" s="107" t="n"/>
      <c r="D2060" s="107" t="n"/>
      <c r="E2060" s="108" t="n"/>
      <c r="F2060" s="104" t="n"/>
      <c r="G2060" s="104" t="n"/>
      <c r="H2060" s="104" t="n"/>
      <c r="I2060" s="104" t="n"/>
      <c r="J2060" s="104" t="n"/>
      <c r="K2060" s="104" t="n"/>
      <c r="L2060" s="104" t="n"/>
      <c r="M2060" s="104" t="n"/>
      <c r="N2060" s="104" t="n"/>
      <c r="O2060" s="104" t="n"/>
      <c r="P2060" s="104" t="n"/>
      <c r="Q2060" s="104" t="n"/>
      <c r="R2060" s="104" t="n"/>
      <c r="S2060" s="110" t="n"/>
      <c r="T2060" s="110" t="n"/>
      <c r="U2060" s="104" t="n"/>
    </row>
    <row r="2061">
      <c r="A2061" s="104" t="inlineStr">
        <is>
          <t>GUIDE002060</t>
        </is>
      </c>
      <c r="B2061" s="104" t="n"/>
      <c r="C2061" s="107" t="n"/>
      <c r="D2061" s="107" t="n"/>
      <c r="E2061" s="108" t="n"/>
      <c r="F2061" s="104" t="n"/>
      <c r="G2061" s="104" t="n"/>
      <c r="H2061" s="104" t="n"/>
      <c r="I2061" s="104" t="n"/>
      <c r="J2061" s="104" t="n"/>
      <c r="K2061" s="104" t="n"/>
      <c r="L2061" s="104" t="n"/>
      <c r="M2061" s="104" t="n"/>
      <c r="N2061" s="104" t="n"/>
      <c r="O2061" s="104" t="n"/>
      <c r="P2061" s="104" t="n"/>
      <c r="Q2061" s="104" t="n"/>
      <c r="R2061" s="104" t="n"/>
      <c r="S2061" s="110" t="n"/>
      <c r="T2061" s="110" t="n"/>
      <c r="U2061" s="104" t="n"/>
    </row>
    <row r="2062">
      <c r="A2062" s="104" t="inlineStr">
        <is>
          <t>GUIDE002061</t>
        </is>
      </c>
      <c r="B2062" s="104" t="n"/>
      <c r="C2062" s="107" t="n"/>
      <c r="D2062" s="107" t="n"/>
      <c r="E2062" s="108" t="n"/>
      <c r="F2062" s="104" t="n"/>
      <c r="G2062" s="104" t="n"/>
      <c r="H2062" s="104" t="n"/>
      <c r="I2062" s="104" t="n"/>
      <c r="J2062" s="104" t="n"/>
      <c r="K2062" s="104" t="n"/>
      <c r="L2062" s="104" t="n"/>
      <c r="M2062" s="104" t="n"/>
      <c r="N2062" s="104" t="n"/>
      <c r="O2062" s="104" t="n"/>
      <c r="P2062" s="104" t="n"/>
      <c r="Q2062" s="104" t="n"/>
      <c r="R2062" s="104" t="n"/>
      <c r="S2062" s="110" t="n"/>
      <c r="T2062" s="110" t="n"/>
      <c r="U2062" s="104" t="n"/>
    </row>
    <row r="2063">
      <c r="A2063" s="105" t="inlineStr">
        <is>
          <t>GUIDE002062</t>
        </is>
      </c>
      <c r="B2063" s="104" t="n"/>
      <c r="C2063" s="107" t="n"/>
      <c r="D2063" s="107" t="n"/>
      <c r="E2063" s="108" t="n"/>
      <c r="F2063" s="104" t="n"/>
      <c r="G2063" s="104" t="n"/>
      <c r="H2063" s="104" t="n"/>
      <c r="I2063" s="104" t="n"/>
      <c r="J2063" s="104" t="n"/>
      <c r="K2063" s="104" t="n"/>
      <c r="L2063" s="104" t="n"/>
      <c r="M2063" s="104" t="n"/>
      <c r="N2063" s="104" t="n"/>
      <c r="O2063" s="104" t="n"/>
      <c r="P2063" s="104" t="n"/>
      <c r="Q2063" s="104" t="n"/>
      <c r="R2063" s="104" t="n"/>
      <c r="S2063" s="110" t="n"/>
      <c r="T2063" s="110" t="n"/>
      <c r="U2063" s="104" t="n"/>
    </row>
    <row r="2064">
      <c r="A2064" s="104" t="inlineStr">
        <is>
          <t>GUIDE002063</t>
        </is>
      </c>
      <c r="B2064" s="104" t="n"/>
      <c r="C2064" s="107" t="n"/>
      <c r="D2064" s="107" t="n"/>
      <c r="E2064" s="108" t="n"/>
      <c r="F2064" s="104" t="n"/>
      <c r="G2064" s="104" t="n"/>
      <c r="H2064" s="104" t="n"/>
      <c r="I2064" s="104" t="n"/>
      <c r="J2064" s="104" t="n"/>
      <c r="K2064" s="104" t="n"/>
      <c r="L2064" s="104" t="n"/>
      <c r="M2064" s="104" t="n"/>
      <c r="N2064" s="104" t="n"/>
      <c r="O2064" s="104" t="n"/>
      <c r="P2064" s="104" t="n"/>
      <c r="Q2064" s="104" t="n"/>
      <c r="R2064" s="104" t="n"/>
      <c r="S2064" s="110" t="n"/>
      <c r="T2064" s="110" t="n"/>
      <c r="U2064" s="104" t="n"/>
    </row>
    <row r="2065">
      <c r="A2065" s="104" t="inlineStr">
        <is>
          <t>GUIDE002064</t>
        </is>
      </c>
      <c r="B2065" s="104" t="n"/>
      <c r="C2065" s="107" t="n"/>
      <c r="D2065" s="107" t="n"/>
      <c r="E2065" s="108" t="n"/>
      <c r="F2065" s="104" t="n"/>
      <c r="G2065" s="104" t="n"/>
      <c r="H2065" s="104" t="n"/>
      <c r="I2065" s="104" t="n"/>
      <c r="J2065" s="104" t="n"/>
      <c r="K2065" s="104" t="n"/>
      <c r="L2065" s="104" t="n"/>
      <c r="M2065" s="104" t="n"/>
      <c r="N2065" s="104" t="n"/>
      <c r="O2065" s="104" t="n"/>
      <c r="P2065" s="104" t="n"/>
      <c r="Q2065" s="104" t="n"/>
      <c r="R2065" s="104" t="n"/>
      <c r="S2065" s="110" t="n"/>
      <c r="T2065" s="110" t="n"/>
      <c r="U2065" s="104" t="n"/>
    </row>
    <row r="2066">
      <c r="A2066" s="104" t="inlineStr">
        <is>
          <t>GUIDE002065</t>
        </is>
      </c>
      <c r="B2066" s="104" t="n"/>
      <c r="C2066" s="107" t="n"/>
      <c r="D2066" s="107" t="n"/>
      <c r="E2066" s="108" t="n"/>
      <c r="F2066" s="104" t="n"/>
      <c r="G2066" s="104" t="n"/>
      <c r="H2066" s="104" t="n"/>
      <c r="I2066" s="104" t="n"/>
      <c r="J2066" s="104" t="n"/>
      <c r="K2066" s="104" t="n"/>
      <c r="L2066" s="104" t="n"/>
      <c r="M2066" s="104" t="n"/>
      <c r="N2066" s="104" t="n"/>
      <c r="O2066" s="104" t="n"/>
      <c r="P2066" s="104" t="n"/>
      <c r="Q2066" s="104" t="n"/>
      <c r="R2066" s="104" t="n"/>
      <c r="S2066" s="110" t="n"/>
      <c r="T2066" s="110" t="n"/>
      <c r="U2066" s="104" t="n"/>
    </row>
    <row r="2067">
      <c r="A2067" s="105" t="inlineStr">
        <is>
          <t>GUIDE002066</t>
        </is>
      </c>
      <c r="B2067" s="104" t="n"/>
      <c r="C2067" s="107" t="n"/>
      <c r="D2067" s="107" t="n"/>
      <c r="E2067" s="108" t="n"/>
      <c r="F2067" s="104" t="n"/>
      <c r="G2067" s="104" t="n"/>
      <c r="H2067" s="104" t="n"/>
      <c r="I2067" s="104" t="n"/>
      <c r="J2067" s="104" t="n"/>
      <c r="K2067" s="104" t="n"/>
      <c r="L2067" s="104" t="n"/>
      <c r="M2067" s="104" t="n"/>
      <c r="N2067" s="104" t="n"/>
      <c r="O2067" s="104" t="n"/>
      <c r="P2067" s="104" t="n"/>
      <c r="Q2067" s="104" t="n"/>
      <c r="R2067" s="104" t="n"/>
      <c r="S2067" s="110" t="n"/>
      <c r="T2067" s="110" t="n"/>
      <c r="U2067" s="104" t="n"/>
    </row>
    <row r="2068">
      <c r="A2068" s="104" t="inlineStr">
        <is>
          <t>GUIDE002067</t>
        </is>
      </c>
      <c r="B2068" s="104" t="n"/>
      <c r="C2068" s="107" t="n"/>
      <c r="D2068" s="107" t="n"/>
      <c r="E2068" s="108" t="n"/>
      <c r="F2068" s="104" t="n"/>
      <c r="G2068" s="104" t="n"/>
      <c r="H2068" s="104" t="n"/>
      <c r="I2068" s="104" t="n"/>
      <c r="J2068" s="104" t="n"/>
      <c r="K2068" s="104" t="n"/>
      <c r="L2068" s="104" t="n"/>
      <c r="M2068" s="104" t="n"/>
      <c r="N2068" s="104" t="n"/>
      <c r="O2068" s="104" t="n"/>
      <c r="P2068" s="104" t="n"/>
      <c r="Q2068" s="104" t="n"/>
      <c r="R2068" s="104" t="n"/>
      <c r="S2068" s="110" t="n"/>
      <c r="T2068" s="110" t="n"/>
      <c r="U2068" s="104" t="n"/>
    </row>
    <row r="2069">
      <c r="A2069" s="104" t="inlineStr">
        <is>
          <t>GUIDE002068</t>
        </is>
      </c>
      <c r="B2069" s="104" t="n"/>
      <c r="C2069" s="107" t="n"/>
      <c r="D2069" s="107" t="n"/>
      <c r="E2069" s="108" t="n"/>
      <c r="F2069" s="104" t="n"/>
      <c r="G2069" s="104" t="n"/>
      <c r="H2069" s="104" t="n"/>
      <c r="I2069" s="104" t="n"/>
      <c r="J2069" s="104" t="n"/>
      <c r="K2069" s="104" t="n"/>
      <c r="L2069" s="104" t="n"/>
      <c r="M2069" s="104" t="n"/>
      <c r="N2069" s="104" t="n"/>
      <c r="O2069" s="104" t="n"/>
      <c r="P2069" s="104" t="n"/>
      <c r="Q2069" s="104" t="n"/>
      <c r="R2069" s="104" t="n"/>
      <c r="S2069" s="110" t="n"/>
      <c r="T2069" s="110" t="n"/>
      <c r="U2069" s="104" t="n"/>
    </row>
    <row r="2070">
      <c r="A2070" s="104" t="inlineStr">
        <is>
          <t>GUIDE002069</t>
        </is>
      </c>
      <c r="B2070" s="104" t="n"/>
      <c r="C2070" s="107" t="n"/>
      <c r="D2070" s="107" t="n"/>
      <c r="E2070" s="108" t="n"/>
      <c r="F2070" s="104" t="n"/>
      <c r="G2070" s="104" t="n"/>
      <c r="H2070" s="104" t="n"/>
      <c r="I2070" s="104" t="n"/>
      <c r="J2070" s="104" t="n"/>
      <c r="K2070" s="104" t="n"/>
      <c r="L2070" s="104" t="n"/>
      <c r="M2070" s="104" t="n"/>
      <c r="N2070" s="104" t="n"/>
      <c r="O2070" s="104" t="n"/>
      <c r="P2070" s="104" t="n"/>
      <c r="Q2070" s="104" t="n"/>
      <c r="R2070" s="104" t="n"/>
      <c r="S2070" s="110" t="n"/>
      <c r="T2070" s="110" t="n"/>
      <c r="U2070" s="104" t="n"/>
    </row>
    <row r="2071">
      <c r="A2071" s="105" t="inlineStr">
        <is>
          <t>GUIDE002070</t>
        </is>
      </c>
      <c r="B2071" s="104" t="n"/>
      <c r="C2071" s="107" t="n"/>
      <c r="D2071" s="107" t="n"/>
      <c r="E2071" s="108" t="n"/>
      <c r="F2071" s="104" t="n"/>
      <c r="G2071" s="104" t="n"/>
      <c r="H2071" s="104" t="n"/>
      <c r="I2071" s="104" t="n"/>
      <c r="J2071" s="104" t="n"/>
      <c r="K2071" s="104" t="n"/>
      <c r="L2071" s="104" t="n"/>
      <c r="M2071" s="104" t="n"/>
      <c r="N2071" s="104" t="n"/>
      <c r="O2071" s="104" t="n"/>
      <c r="P2071" s="104" t="n"/>
      <c r="Q2071" s="104" t="n"/>
      <c r="R2071" s="104" t="n"/>
      <c r="S2071" s="110" t="n"/>
      <c r="T2071" s="110" t="n"/>
      <c r="U2071" s="104" t="n"/>
    </row>
    <row r="2072">
      <c r="A2072" s="104" t="inlineStr">
        <is>
          <t>GUIDE002071</t>
        </is>
      </c>
      <c r="B2072" s="104" t="n"/>
      <c r="C2072" s="107" t="n"/>
      <c r="D2072" s="107" t="n"/>
      <c r="E2072" s="108" t="n"/>
      <c r="F2072" s="104" t="n"/>
      <c r="G2072" s="104" t="n"/>
      <c r="H2072" s="104" t="n"/>
      <c r="I2072" s="104" t="n"/>
      <c r="J2072" s="104" t="n"/>
      <c r="K2072" s="104" t="n"/>
      <c r="L2072" s="104" t="n"/>
      <c r="M2072" s="104" t="n"/>
      <c r="N2072" s="104" t="n"/>
      <c r="O2072" s="104" t="n"/>
      <c r="P2072" s="104" t="n"/>
      <c r="Q2072" s="104" t="n"/>
      <c r="R2072" s="104" t="n"/>
      <c r="S2072" s="110" t="n"/>
      <c r="T2072" s="110" t="n"/>
      <c r="U2072" s="104" t="n"/>
    </row>
    <row r="2073">
      <c r="A2073" s="104" t="inlineStr">
        <is>
          <t>GUIDE002072</t>
        </is>
      </c>
      <c r="B2073" s="104" t="n"/>
      <c r="C2073" s="107" t="n"/>
      <c r="D2073" s="107" t="n"/>
      <c r="E2073" s="108" t="n"/>
      <c r="F2073" s="104" t="n"/>
      <c r="G2073" s="104" t="n"/>
      <c r="H2073" s="104" t="n"/>
      <c r="I2073" s="104" t="n"/>
      <c r="J2073" s="104" t="n"/>
      <c r="K2073" s="104" t="n"/>
      <c r="L2073" s="104" t="n"/>
      <c r="M2073" s="104" t="n"/>
      <c r="N2073" s="104" t="n"/>
      <c r="O2073" s="104" t="n"/>
      <c r="P2073" s="104" t="n"/>
      <c r="Q2073" s="104" t="n"/>
      <c r="R2073" s="104" t="n"/>
      <c r="S2073" s="110" t="n"/>
      <c r="T2073" s="110" t="n"/>
      <c r="U2073" s="104" t="n"/>
    </row>
    <row r="2074">
      <c r="A2074" s="104" t="inlineStr">
        <is>
          <t>GUIDE002073</t>
        </is>
      </c>
      <c r="B2074" s="104" t="n"/>
      <c r="C2074" s="107" t="n"/>
      <c r="D2074" s="107" t="n"/>
      <c r="E2074" s="108" t="n"/>
      <c r="F2074" s="104" t="n"/>
      <c r="G2074" s="104" t="n"/>
      <c r="H2074" s="104" t="n"/>
      <c r="I2074" s="104" t="n"/>
      <c r="J2074" s="104" t="n"/>
      <c r="K2074" s="104" t="n"/>
      <c r="L2074" s="104" t="n"/>
      <c r="M2074" s="104" t="n"/>
      <c r="N2074" s="104" t="n"/>
      <c r="O2074" s="104" t="n"/>
      <c r="P2074" s="104" t="n"/>
      <c r="Q2074" s="104" t="n"/>
      <c r="R2074" s="104" t="n"/>
      <c r="S2074" s="110" t="n"/>
      <c r="T2074" s="110" t="n"/>
      <c r="U2074" s="104" t="n"/>
    </row>
    <row r="2075">
      <c r="A2075" s="105" t="inlineStr">
        <is>
          <t>GUIDE002074</t>
        </is>
      </c>
      <c r="B2075" s="104" t="n"/>
      <c r="C2075" s="107" t="n"/>
      <c r="D2075" s="107" t="n"/>
      <c r="E2075" s="108" t="n"/>
      <c r="F2075" s="104" t="n"/>
      <c r="G2075" s="104" t="n"/>
      <c r="H2075" s="104" t="n"/>
      <c r="I2075" s="104" t="n"/>
      <c r="J2075" s="104" t="n"/>
      <c r="K2075" s="104" t="n"/>
      <c r="L2075" s="104" t="n"/>
      <c r="M2075" s="104" t="n"/>
      <c r="N2075" s="104" t="n"/>
      <c r="O2075" s="104" t="n"/>
      <c r="P2075" s="104" t="n"/>
      <c r="Q2075" s="104" t="n"/>
      <c r="R2075" s="104" t="n"/>
      <c r="S2075" s="110" t="n"/>
      <c r="T2075" s="110" t="n"/>
      <c r="U2075" s="104" t="n"/>
    </row>
    <row r="2076">
      <c r="A2076" s="104" t="inlineStr">
        <is>
          <t>GUIDE002075</t>
        </is>
      </c>
      <c r="B2076" s="104" t="n"/>
      <c r="C2076" s="107" t="n"/>
      <c r="D2076" s="107" t="n"/>
      <c r="E2076" s="108" t="n"/>
      <c r="F2076" s="104" t="n"/>
      <c r="G2076" s="104" t="n"/>
      <c r="H2076" s="104" t="n"/>
      <c r="I2076" s="104" t="n"/>
      <c r="J2076" s="104" t="n"/>
      <c r="K2076" s="104" t="n"/>
      <c r="L2076" s="104" t="n"/>
      <c r="M2076" s="104" t="n"/>
      <c r="N2076" s="104" t="n"/>
      <c r="O2076" s="104" t="n"/>
      <c r="P2076" s="104" t="n"/>
      <c r="Q2076" s="104" t="n"/>
      <c r="R2076" s="104" t="n"/>
      <c r="S2076" s="110" t="n"/>
      <c r="T2076" s="110" t="n"/>
      <c r="U2076" s="104" t="n"/>
    </row>
    <row r="2077">
      <c r="A2077" s="104" t="inlineStr">
        <is>
          <t>GUIDE002076</t>
        </is>
      </c>
      <c r="B2077" s="104" t="n"/>
      <c r="C2077" s="107" t="n"/>
      <c r="D2077" s="107" t="n"/>
      <c r="E2077" s="108" t="n"/>
      <c r="F2077" s="104" t="n"/>
      <c r="G2077" s="104" t="n"/>
      <c r="H2077" s="104" t="n"/>
      <c r="I2077" s="104" t="n"/>
      <c r="J2077" s="104" t="n"/>
      <c r="K2077" s="104" t="n"/>
      <c r="L2077" s="104" t="n"/>
      <c r="M2077" s="104" t="n"/>
      <c r="N2077" s="104" t="n"/>
      <c r="O2077" s="104" t="n"/>
      <c r="P2077" s="104" t="n"/>
      <c r="Q2077" s="104" t="n"/>
      <c r="R2077" s="104" t="n"/>
      <c r="S2077" s="110" t="n"/>
      <c r="T2077" s="110" t="n"/>
      <c r="U2077" s="104" t="n"/>
    </row>
    <row r="2078">
      <c r="A2078" s="104" t="inlineStr">
        <is>
          <t>GUIDE002077</t>
        </is>
      </c>
      <c r="B2078" s="104" t="n"/>
      <c r="C2078" s="107" t="n"/>
      <c r="D2078" s="107" t="n"/>
      <c r="E2078" s="108" t="n"/>
      <c r="F2078" s="104" t="n"/>
      <c r="G2078" s="104" t="n"/>
      <c r="H2078" s="104" t="n"/>
      <c r="I2078" s="104" t="n"/>
      <c r="J2078" s="104" t="n"/>
      <c r="K2078" s="104" t="n"/>
      <c r="L2078" s="104" t="n"/>
      <c r="M2078" s="104" t="n"/>
      <c r="N2078" s="104" t="n"/>
      <c r="O2078" s="104" t="n"/>
      <c r="P2078" s="104" t="n"/>
      <c r="Q2078" s="104" t="n"/>
      <c r="R2078" s="104" t="n"/>
      <c r="S2078" s="110" t="n"/>
      <c r="T2078" s="110" t="n"/>
      <c r="U2078" s="104" t="n"/>
    </row>
    <row r="2079">
      <c r="A2079" s="105" t="inlineStr">
        <is>
          <t>GUIDE002078</t>
        </is>
      </c>
      <c r="B2079" s="104" t="n"/>
      <c r="C2079" s="107" t="n"/>
      <c r="D2079" s="107" t="n"/>
      <c r="E2079" s="108" t="n"/>
      <c r="F2079" s="104" t="n"/>
      <c r="G2079" s="104" t="n"/>
      <c r="H2079" s="104" t="n"/>
      <c r="I2079" s="104" t="n"/>
      <c r="J2079" s="104" t="n"/>
      <c r="K2079" s="104" t="n"/>
      <c r="L2079" s="104" t="n"/>
      <c r="M2079" s="104" t="n"/>
      <c r="N2079" s="104" t="n"/>
      <c r="O2079" s="104" t="n"/>
      <c r="P2079" s="104" t="n"/>
      <c r="Q2079" s="104" t="n"/>
      <c r="R2079" s="104" t="n"/>
      <c r="S2079" s="110" t="n"/>
      <c r="T2079" s="110" t="n"/>
      <c r="U2079" s="104" t="n"/>
    </row>
    <row r="2080">
      <c r="A2080" s="104" t="inlineStr">
        <is>
          <t>GUIDE002079</t>
        </is>
      </c>
      <c r="B2080" s="104" t="n"/>
      <c r="C2080" s="107" t="n"/>
      <c r="D2080" s="107" t="n"/>
      <c r="E2080" s="108" t="n"/>
      <c r="F2080" s="104" t="n"/>
      <c r="G2080" s="104" t="n"/>
      <c r="H2080" s="104" t="n"/>
      <c r="I2080" s="104" t="n"/>
      <c r="J2080" s="104" t="n"/>
      <c r="K2080" s="104" t="n"/>
      <c r="L2080" s="104" t="n"/>
      <c r="M2080" s="104" t="n"/>
      <c r="N2080" s="104" t="n"/>
      <c r="O2080" s="104" t="n"/>
      <c r="P2080" s="104" t="n"/>
      <c r="Q2080" s="104" t="n"/>
      <c r="R2080" s="104" t="n"/>
      <c r="S2080" s="110" t="n"/>
      <c r="T2080" s="110" t="n"/>
      <c r="U2080" s="104" t="n"/>
    </row>
    <row r="2081">
      <c r="A2081" s="104" t="inlineStr">
        <is>
          <t>GUIDE002080</t>
        </is>
      </c>
      <c r="B2081" s="104" t="n"/>
      <c r="C2081" s="107" t="n"/>
      <c r="D2081" s="107" t="n"/>
      <c r="E2081" s="108" t="n"/>
      <c r="F2081" s="104" t="n"/>
      <c r="G2081" s="104" t="n"/>
      <c r="H2081" s="104" t="n"/>
      <c r="I2081" s="104" t="n"/>
      <c r="J2081" s="104" t="n"/>
      <c r="K2081" s="104" t="n"/>
      <c r="L2081" s="104" t="n"/>
      <c r="M2081" s="104" t="n"/>
      <c r="N2081" s="104" t="n"/>
      <c r="O2081" s="104" t="n"/>
      <c r="P2081" s="104" t="n"/>
      <c r="Q2081" s="104" t="n"/>
      <c r="R2081" s="104" t="n"/>
      <c r="S2081" s="110" t="n"/>
      <c r="T2081" s="110" t="n"/>
      <c r="U2081" s="104" t="n"/>
    </row>
    <row r="2082">
      <c r="A2082" s="104" t="inlineStr">
        <is>
          <t>GUIDE002081</t>
        </is>
      </c>
      <c r="B2082" s="104" t="n"/>
      <c r="C2082" s="107" t="n"/>
      <c r="D2082" s="107" t="n"/>
      <c r="E2082" s="108" t="n"/>
      <c r="F2082" s="104" t="n"/>
      <c r="G2082" s="104" t="n"/>
      <c r="H2082" s="104" t="n"/>
      <c r="I2082" s="104" t="n"/>
      <c r="J2082" s="104" t="n"/>
      <c r="K2082" s="104" t="n"/>
      <c r="L2082" s="104" t="n"/>
      <c r="M2082" s="104" t="n"/>
      <c r="N2082" s="104" t="n"/>
      <c r="O2082" s="104" t="n"/>
      <c r="P2082" s="104" t="n"/>
      <c r="Q2082" s="104" t="n"/>
      <c r="R2082" s="104" t="n"/>
      <c r="S2082" s="110" t="n"/>
      <c r="T2082" s="110" t="n"/>
      <c r="U2082" s="104" t="n"/>
    </row>
    <row r="2083">
      <c r="A2083" s="105" t="inlineStr">
        <is>
          <t>GUIDE002082</t>
        </is>
      </c>
      <c r="B2083" s="104" t="n"/>
      <c r="C2083" s="107" t="n"/>
      <c r="D2083" s="107" t="n"/>
      <c r="E2083" s="108" t="n"/>
      <c r="F2083" s="104" t="n"/>
      <c r="G2083" s="104" t="n"/>
      <c r="H2083" s="104" t="n"/>
      <c r="I2083" s="104" t="n"/>
      <c r="J2083" s="104" t="n"/>
      <c r="K2083" s="104" t="n"/>
      <c r="L2083" s="104" t="n"/>
      <c r="M2083" s="104" t="n"/>
      <c r="N2083" s="104" t="n"/>
      <c r="O2083" s="104" t="n"/>
      <c r="P2083" s="104" t="n"/>
      <c r="Q2083" s="104" t="n"/>
      <c r="R2083" s="104" t="n"/>
      <c r="S2083" s="110" t="n"/>
      <c r="T2083" s="110" t="n"/>
      <c r="U2083" s="104" t="n"/>
    </row>
    <row r="2084">
      <c r="A2084" s="104" t="inlineStr">
        <is>
          <t>GUIDE002083</t>
        </is>
      </c>
      <c r="B2084" s="104" t="n"/>
      <c r="C2084" s="107" t="n"/>
      <c r="D2084" s="107" t="n"/>
      <c r="E2084" s="108" t="n"/>
      <c r="F2084" s="104" t="n"/>
      <c r="G2084" s="104" t="n"/>
      <c r="H2084" s="104" t="n"/>
      <c r="I2084" s="104" t="n"/>
      <c r="J2084" s="104" t="n"/>
      <c r="K2084" s="104" t="n"/>
      <c r="L2084" s="104" t="n"/>
      <c r="M2084" s="104" t="n"/>
      <c r="N2084" s="104" t="n"/>
      <c r="O2084" s="104" t="n"/>
      <c r="P2084" s="104" t="n"/>
      <c r="Q2084" s="104" t="n"/>
      <c r="R2084" s="104" t="n"/>
      <c r="S2084" s="110" t="n"/>
      <c r="T2084" s="110" t="n"/>
      <c r="U2084" s="104" t="n"/>
    </row>
    <row r="2085">
      <c r="A2085" s="104" t="inlineStr">
        <is>
          <t>GUIDE002084</t>
        </is>
      </c>
      <c r="B2085" s="104" t="n"/>
      <c r="C2085" s="107" t="n"/>
      <c r="D2085" s="107" t="n"/>
      <c r="E2085" s="108" t="n"/>
      <c r="F2085" s="104" t="n"/>
      <c r="G2085" s="104" t="n"/>
      <c r="H2085" s="104" t="n"/>
      <c r="I2085" s="104" t="n"/>
      <c r="J2085" s="104" t="n"/>
      <c r="K2085" s="104" t="n"/>
      <c r="L2085" s="104" t="n"/>
      <c r="M2085" s="104" t="n"/>
      <c r="N2085" s="104" t="n"/>
      <c r="O2085" s="104" t="n"/>
      <c r="P2085" s="104" t="n"/>
      <c r="Q2085" s="104" t="n"/>
      <c r="R2085" s="104" t="n"/>
      <c r="S2085" s="110" t="n"/>
      <c r="T2085" s="110" t="n"/>
      <c r="U2085" s="104" t="n"/>
    </row>
    <row r="2086">
      <c r="A2086" s="104" t="inlineStr">
        <is>
          <t>GUIDE002085</t>
        </is>
      </c>
      <c r="B2086" s="104" t="n"/>
      <c r="C2086" s="107" t="n"/>
      <c r="D2086" s="107" t="n"/>
      <c r="E2086" s="108" t="n"/>
      <c r="F2086" s="104" t="n"/>
      <c r="G2086" s="104" t="n"/>
      <c r="H2086" s="104" t="n"/>
      <c r="I2086" s="104" t="n"/>
      <c r="J2086" s="104" t="n"/>
      <c r="K2086" s="104" t="n"/>
      <c r="L2086" s="104" t="n"/>
      <c r="M2086" s="104" t="n"/>
      <c r="N2086" s="104" t="n"/>
      <c r="O2086" s="104" t="n"/>
      <c r="P2086" s="104" t="n"/>
      <c r="Q2086" s="104" t="n"/>
      <c r="R2086" s="104" t="n"/>
      <c r="S2086" s="110" t="n"/>
      <c r="T2086" s="110" t="n"/>
      <c r="U2086" s="104" t="n"/>
    </row>
    <row r="2087">
      <c r="A2087" s="105" t="inlineStr">
        <is>
          <t>GUIDE002086</t>
        </is>
      </c>
      <c r="B2087" s="104" t="n"/>
      <c r="C2087" s="107" t="n"/>
      <c r="D2087" s="107" t="n"/>
      <c r="E2087" s="108" t="n"/>
      <c r="F2087" s="104" t="n"/>
      <c r="G2087" s="104" t="n"/>
      <c r="H2087" s="104" t="n"/>
      <c r="I2087" s="104" t="n"/>
      <c r="J2087" s="104" t="n"/>
      <c r="K2087" s="104" t="n"/>
      <c r="L2087" s="104" t="n"/>
      <c r="M2087" s="104" t="n"/>
      <c r="N2087" s="104" t="n"/>
      <c r="O2087" s="104" t="n"/>
      <c r="P2087" s="104" t="n"/>
      <c r="Q2087" s="104" t="n"/>
      <c r="R2087" s="104" t="n"/>
      <c r="S2087" s="110" t="n"/>
      <c r="T2087" s="110" t="n"/>
      <c r="U2087" s="104" t="n"/>
    </row>
    <row r="2088">
      <c r="A2088" s="104" t="inlineStr">
        <is>
          <t>GUIDE002087</t>
        </is>
      </c>
      <c r="B2088" s="104" t="n"/>
      <c r="C2088" s="107" t="n"/>
      <c r="D2088" s="107" t="n"/>
      <c r="E2088" s="108" t="n"/>
      <c r="F2088" s="104" t="n"/>
      <c r="G2088" s="104" t="n"/>
      <c r="H2088" s="104" t="n"/>
      <c r="I2088" s="104" t="n"/>
      <c r="J2088" s="104" t="n"/>
      <c r="K2088" s="104" t="n"/>
      <c r="L2088" s="104" t="n"/>
      <c r="M2088" s="104" t="n"/>
      <c r="N2088" s="104" t="n"/>
      <c r="O2088" s="104" t="n"/>
      <c r="P2088" s="104" t="n"/>
      <c r="Q2088" s="104" t="n"/>
      <c r="R2088" s="104" t="n"/>
      <c r="S2088" s="110" t="n"/>
      <c r="T2088" s="110" t="n"/>
      <c r="U2088" s="104" t="n"/>
    </row>
    <row r="2089">
      <c r="A2089" s="104" t="inlineStr">
        <is>
          <t>GUIDE002088</t>
        </is>
      </c>
      <c r="B2089" s="104" t="n"/>
      <c r="C2089" s="107" t="n"/>
      <c r="D2089" s="107" t="n"/>
      <c r="E2089" s="108" t="n"/>
      <c r="F2089" s="104" t="n"/>
      <c r="G2089" s="104" t="n"/>
      <c r="H2089" s="104" t="n"/>
      <c r="I2089" s="104" t="n"/>
      <c r="J2089" s="104" t="n"/>
      <c r="K2089" s="104" t="n"/>
      <c r="L2089" s="104" t="n"/>
      <c r="M2089" s="104" t="n"/>
      <c r="N2089" s="104" t="n"/>
      <c r="O2089" s="104" t="n"/>
      <c r="P2089" s="104" t="n"/>
      <c r="Q2089" s="104" t="n"/>
      <c r="R2089" s="104" t="n"/>
      <c r="S2089" s="110" t="n"/>
      <c r="T2089" s="110" t="n"/>
      <c r="U2089" s="104" t="n"/>
    </row>
    <row r="2090">
      <c r="A2090" s="104" t="inlineStr">
        <is>
          <t>GUIDE002089</t>
        </is>
      </c>
      <c r="B2090" s="104" t="n"/>
      <c r="C2090" s="107" t="n"/>
      <c r="D2090" s="107" t="n"/>
      <c r="E2090" s="108" t="n"/>
      <c r="F2090" s="104" t="n"/>
      <c r="G2090" s="104" t="n"/>
      <c r="H2090" s="104" t="n"/>
      <c r="I2090" s="104" t="n"/>
      <c r="J2090" s="104" t="n"/>
      <c r="K2090" s="104" t="n"/>
      <c r="L2090" s="104" t="n"/>
      <c r="M2090" s="104" t="n"/>
      <c r="N2090" s="104" t="n"/>
      <c r="O2090" s="104" t="n"/>
      <c r="P2090" s="104" t="n"/>
      <c r="Q2090" s="104" t="n"/>
      <c r="R2090" s="104" t="n"/>
      <c r="S2090" s="110" t="n"/>
      <c r="T2090" s="110" t="n"/>
      <c r="U2090" s="104" t="n"/>
    </row>
    <row r="2091">
      <c r="A2091" s="105" t="inlineStr">
        <is>
          <t>GUIDE002090</t>
        </is>
      </c>
      <c r="B2091" s="104" t="n"/>
      <c r="C2091" s="107" t="n"/>
      <c r="D2091" s="107" t="n"/>
      <c r="E2091" s="108" t="n"/>
      <c r="F2091" s="104" t="n"/>
      <c r="G2091" s="104" t="n"/>
      <c r="H2091" s="104" t="n"/>
      <c r="I2091" s="104" t="n"/>
      <c r="J2091" s="104" t="n"/>
      <c r="K2091" s="104" t="n"/>
      <c r="L2091" s="104" t="n"/>
      <c r="M2091" s="104" t="n"/>
      <c r="N2091" s="104" t="n"/>
      <c r="O2091" s="104" t="n"/>
      <c r="P2091" s="104" t="n"/>
      <c r="Q2091" s="104" t="n"/>
      <c r="R2091" s="104" t="n"/>
      <c r="S2091" s="110" t="n"/>
      <c r="T2091" s="110" t="n"/>
      <c r="U2091" s="104" t="n"/>
    </row>
    <row r="2092">
      <c r="A2092" s="104" t="inlineStr">
        <is>
          <t>GUIDE002091</t>
        </is>
      </c>
      <c r="B2092" s="104" t="n"/>
      <c r="C2092" s="107" t="n"/>
      <c r="D2092" s="107" t="n"/>
      <c r="E2092" s="108" t="n"/>
      <c r="F2092" s="104" t="n"/>
      <c r="G2092" s="104" t="n"/>
      <c r="H2092" s="104" t="n"/>
      <c r="I2092" s="104" t="n"/>
      <c r="J2092" s="104" t="n"/>
      <c r="K2092" s="104" t="n"/>
      <c r="L2092" s="104" t="n"/>
      <c r="M2092" s="104" t="n"/>
      <c r="N2092" s="104" t="n"/>
      <c r="O2092" s="104" t="n"/>
      <c r="P2092" s="104" t="n"/>
      <c r="Q2092" s="104" t="n"/>
      <c r="R2092" s="104" t="n"/>
      <c r="S2092" s="110" t="n"/>
      <c r="T2092" s="110" t="n"/>
      <c r="U2092" s="104" t="n"/>
    </row>
    <row r="2093">
      <c r="A2093" s="104" t="inlineStr">
        <is>
          <t>GUIDE002092</t>
        </is>
      </c>
      <c r="B2093" s="104" t="n"/>
      <c r="C2093" s="107" t="n"/>
      <c r="D2093" s="107" t="n"/>
      <c r="E2093" s="108" t="n"/>
      <c r="F2093" s="104" t="n"/>
      <c r="G2093" s="104" t="n"/>
      <c r="H2093" s="104" t="n"/>
      <c r="I2093" s="104" t="n"/>
      <c r="J2093" s="104" t="n"/>
      <c r="K2093" s="104" t="n"/>
      <c r="L2093" s="104" t="n"/>
      <c r="M2093" s="104" t="n"/>
      <c r="N2093" s="104" t="n"/>
      <c r="O2093" s="104" t="n"/>
      <c r="P2093" s="104" t="n"/>
      <c r="Q2093" s="104" t="n"/>
      <c r="R2093" s="104" t="n"/>
      <c r="S2093" s="110" t="n"/>
      <c r="T2093" s="110" t="n"/>
      <c r="U2093" s="104" t="n"/>
    </row>
    <row r="2094">
      <c r="A2094" s="104" t="inlineStr">
        <is>
          <t>GUIDE002093</t>
        </is>
      </c>
      <c r="B2094" s="104" t="n"/>
      <c r="C2094" s="107" t="n"/>
      <c r="D2094" s="107" t="n"/>
      <c r="E2094" s="108" t="n"/>
      <c r="F2094" s="104" t="n"/>
      <c r="G2094" s="104" t="n"/>
      <c r="H2094" s="104" t="n"/>
      <c r="I2094" s="104" t="n"/>
      <c r="J2094" s="104" t="n"/>
      <c r="K2094" s="104" t="n"/>
      <c r="L2094" s="104" t="n"/>
      <c r="M2094" s="104" t="n"/>
      <c r="N2094" s="104" t="n"/>
      <c r="O2094" s="104" t="n"/>
      <c r="P2094" s="104" t="n"/>
      <c r="Q2094" s="104" t="n"/>
      <c r="R2094" s="104" t="n"/>
      <c r="S2094" s="110" t="n"/>
      <c r="T2094" s="110" t="n"/>
      <c r="U2094" s="104" t="n"/>
    </row>
    <row r="2095">
      <c r="A2095" s="105" t="inlineStr">
        <is>
          <t>GUIDE002094</t>
        </is>
      </c>
      <c r="B2095" s="104" t="n"/>
      <c r="C2095" s="107" t="n"/>
      <c r="D2095" s="107" t="n"/>
      <c r="E2095" s="108" t="n"/>
      <c r="F2095" s="104" t="n"/>
      <c r="G2095" s="104" t="n"/>
      <c r="H2095" s="104" t="n"/>
      <c r="I2095" s="104" t="n"/>
      <c r="J2095" s="104" t="n"/>
      <c r="K2095" s="104" t="n"/>
      <c r="L2095" s="104" t="n"/>
      <c r="M2095" s="104" t="n"/>
      <c r="N2095" s="104" t="n"/>
      <c r="O2095" s="104" t="n"/>
      <c r="P2095" s="104" t="n"/>
      <c r="Q2095" s="104" t="n"/>
      <c r="R2095" s="104" t="n"/>
      <c r="S2095" s="110" t="n"/>
      <c r="T2095" s="110" t="n"/>
      <c r="U2095" s="104" t="n"/>
    </row>
    <row r="2096">
      <c r="A2096" s="104" t="inlineStr">
        <is>
          <t>GUIDE002095</t>
        </is>
      </c>
      <c r="B2096" s="104" t="n"/>
      <c r="C2096" s="107" t="n"/>
      <c r="D2096" s="107" t="n"/>
      <c r="E2096" s="108" t="n"/>
      <c r="F2096" s="104" t="n"/>
      <c r="G2096" s="104" t="n"/>
      <c r="H2096" s="104" t="n"/>
      <c r="I2096" s="104" t="n"/>
      <c r="J2096" s="104" t="n"/>
      <c r="K2096" s="104" t="n"/>
      <c r="L2096" s="104" t="n"/>
      <c r="M2096" s="104" t="n"/>
      <c r="N2096" s="104" t="n"/>
      <c r="O2096" s="104" t="n"/>
      <c r="P2096" s="104" t="n"/>
      <c r="Q2096" s="104" t="n"/>
      <c r="R2096" s="104" t="n"/>
      <c r="S2096" s="110" t="n"/>
      <c r="T2096" s="110" t="n"/>
      <c r="U2096" s="104" t="n"/>
    </row>
    <row r="2097">
      <c r="A2097" s="104" t="inlineStr">
        <is>
          <t>GUIDE002096</t>
        </is>
      </c>
      <c r="B2097" s="104" t="n"/>
      <c r="C2097" s="107" t="n"/>
      <c r="D2097" s="107" t="n"/>
      <c r="E2097" s="108" t="n"/>
      <c r="F2097" s="104" t="n"/>
      <c r="G2097" s="104" t="n"/>
      <c r="H2097" s="104" t="n"/>
      <c r="I2097" s="104" t="n"/>
      <c r="J2097" s="104" t="n"/>
      <c r="K2097" s="104" t="n"/>
      <c r="L2097" s="104" t="n"/>
      <c r="M2097" s="104" t="n"/>
      <c r="N2097" s="104" t="n"/>
      <c r="O2097" s="104" t="n"/>
      <c r="P2097" s="104" t="n"/>
      <c r="Q2097" s="104" t="n"/>
      <c r="R2097" s="104" t="n"/>
      <c r="S2097" s="110" t="n"/>
      <c r="T2097" s="110" t="n"/>
      <c r="U2097" s="104" t="n"/>
    </row>
    <row r="2098">
      <c r="A2098" s="104" t="inlineStr">
        <is>
          <t>GUIDE002097</t>
        </is>
      </c>
      <c r="B2098" s="104" t="n"/>
      <c r="C2098" s="107" t="n"/>
      <c r="D2098" s="107" t="n"/>
      <c r="E2098" s="108" t="n"/>
      <c r="F2098" s="104" t="n"/>
      <c r="G2098" s="104" t="n"/>
      <c r="H2098" s="104" t="n"/>
      <c r="I2098" s="104" t="n"/>
      <c r="J2098" s="104" t="n"/>
      <c r="K2098" s="104" t="n"/>
      <c r="L2098" s="104" t="n"/>
      <c r="M2098" s="104" t="n"/>
      <c r="N2098" s="104" t="n"/>
      <c r="O2098" s="104" t="n"/>
      <c r="P2098" s="104" t="n"/>
      <c r="Q2098" s="104" t="n"/>
      <c r="R2098" s="104" t="n"/>
      <c r="S2098" s="110" t="n"/>
      <c r="T2098" s="110" t="n"/>
      <c r="U2098" s="104" t="n"/>
    </row>
    <row r="2099">
      <c r="A2099" s="105" t="inlineStr">
        <is>
          <t>GUIDE002098</t>
        </is>
      </c>
      <c r="B2099" s="104" t="n"/>
      <c r="C2099" s="107" t="n"/>
      <c r="D2099" s="107" t="n"/>
      <c r="E2099" s="108" t="n"/>
      <c r="F2099" s="104" t="n"/>
      <c r="G2099" s="104" t="n"/>
      <c r="H2099" s="104" t="n"/>
      <c r="I2099" s="104" t="n"/>
      <c r="J2099" s="104" t="n"/>
      <c r="K2099" s="104" t="n"/>
      <c r="L2099" s="104" t="n"/>
      <c r="M2099" s="104" t="n"/>
      <c r="N2099" s="104" t="n"/>
      <c r="O2099" s="104" t="n"/>
      <c r="P2099" s="104" t="n"/>
      <c r="Q2099" s="104" t="n"/>
      <c r="R2099" s="104" t="n"/>
      <c r="S2099" s="110" t="n"/>
      <c r="T2099" s="110" t="n"/>
      <c r="U2099" s="104" t="n"/>
    </row>
    <row r="2100">
      <c r="A2100" s="104" t="inlineStr">
        <is>
          <t>GUIDE002099</t>
        </is>
      </c>
      <c r="B2100" s="104" t="n"/>
      <c r="C2100" s="107" t="n"/>
      <c r="D2100" s="107" t="n"/>
      <c r="E2100" s="108" t="n"/>
      <c r="F2100" s="104" t="n"/>
      <c r="G2100" s="104" t="n"/>
      <c r="H2100" s="104" t="n"/>
      <c r="I2100" s="104" t="n"/>
      <c r="J2100" s="104" t="n"/>
      <c r="K2100" s="104" t="n"/>
      <c r="L2100" s="104" t="n"/>
      <c r="M2100" s="104" t="n"/>
      <c r="N2100" s="104" t="n"/>
      <c r="O2100" s="104" t="n"/>
      <c r="P2100" s="104" t="n"/>
      <c r="Q2100" s="104" t="n"/>
      <c r="R2100" s="104" t="n"/>
      <c r="S2100" s="110" t="n"/>
      <c r="T2100" s="110" t="n"/>
      <c r="U2100" s="104" t="n"/>
    </row>
    <row r="2101">
      <c r="A2101" s="104" t="inlineStr">
        <is>
          <t>GUIDE002100</t>
        </is>
      </c>
      <c r="B2101" s="104" t="n"/>
      <c r="C2101" s="107" t="n"/>
      <c r="D2101" s="107" t="n"/>
      <c r="E2101" s="108" t="n"/>
      <c r="F2101" s="104" t="n"/>
      <c r="G2101" s="104" t="n"/>
      <c r="H2101" s="104" t="n"/>
      <c r="I2101" s="104" t="n"/>
      <c r="J2101" s="104" t="n"/>
      <c r="K2101" s="104" t="n"/>
      <c r="L2101" s="104" t="n"/>
      <c r="M2101" s="104" t="n"/>
      <c r="N2101" s="104" t="n"/>
      <c r="O2101" s="104" t="n"/>
      <c r="P2101" s="104" t="n"/>
      <c r="Q2101" s="104" t="n"/>
      <c r="R2101" s="104" t="n"/>
      <c r="S2101" s="110" t="n"/>
      <c r="T2101" s="110" t="n"/>
      <c r="U2101" s="104" t="n"/>
    </row>
    <row r="2102">
      <c r="A2102" s="104" t="inlineStr">
        <is>
          <t>GUIDE002101</t>
        </is>
      </c>
      <c r="B2102" s="104" t="n"/>
      <c r="C2102" s="107" t="n"/>
      <c r="D2102" s="107" t="n"/>
      <c r="E2102" s="108" t="n"/>
      <c r="F2102" s="104" t="n"/>
      <c r="G2102" s="104" t="n"/>
      <c r="H2102" s="104" t="n"/>
      <c r="I2102" s="104" t="n"/>
      <c r="J2102" s="104" t="n"/>
      <c r="K2102" s="104" t="n"/>
      <c r="L2102" s="104" t="n"/>
      <c r="M2102" s="104" t="n"/>
      <c r="N2102" s="104" t="n"/>
      <c r="O2102" s="104" t="n"/>
      <c r="P2102" s="104" t="n"/>
      <c r="Q2102" s="104" t="n"/>
      <c r="R2102" s="104" t="n"/>
      <c r="S2102" s="110" t="n"/>
      <c r="T2102" s="110" t="n"/>
      <c r="U2102" s="104" t="n"/>
    </row>
    <row r="2103">
      <c r="A2103" s="105" t="inlineStr">
        <is>
          <t>GUIDE002102</t>
        </is>
      </c>
      <c r="B2103" s="104" t="n"/>
      <c r="C2103" s="107" t="n"/>
      <c r="D2103" s="107" t="n"/>
      <c r="E2103" s="108" t="n"/>
      <c r="F2103" s="104" t="n"/>
      <c r="G2103" s="104" t="n"/>
      <c r="H2103" s="104" t="n"/>
      <c r="I2103" s="104" t="n"/>
      <c r="J2103" s="104" t="n"/>
      <c r="K2103" s="104" t="n"/>
      <c r="L2103" s="104" t="n"/>
      <c r="M2103" s="104" t="n"/>
      <c r="N2103" s="104" t="n"/>
      <c r="O2103" s="104" t="n"/>
      <c r="P2103" s="104" t="n"/>
      <c r="Q2103" s="104" t="n"/>
      <c r="R2103" s="104" t="n"/>
      <c r="S2103" s="110" t="n"/>
      <c r="T2103" s="110" t="n"/>
      <c r="U2103" s="104" t="n"/>
    </row>
    <row r="2104">
      <c r="A2104" s="104" t="inlineStr">
        <is>
          <t>GUIDE002103</t>
        </is>
      </c>
      <c r="B2104" s="104" t="n"/>
      <c r="C2104" s="107" t="n"/>
      <c r="D2104" s="107" t="n"/>
      <c r="E2104" s="108" t="n"/>
      <c r="F2104" s="104" t="n"/>
      <c r="G2104" s="104" t="n"/>
      <c r="H2104" s="104" t="n"/>
      <c r="I2104" s="104" t="n"/>
      <c r="J2104" s="104" t="n"/>
      <c r="K2104" s="104" t="n"/>
      <c r="L2104" s="104" t="n"/>
      <c r="M2104" s="104" t="n"/>
      <c r="N2104" s="104" t="n"/>
      <c r="O2104" s="104" t="n"/>
      <c r="P2104" s="104" t="n"/>
      <c r="Q2104" s="104" t="n"/>
      <c r="R2104" s="104" t="n"/>
      <c r="S2104" s="110" t="n"/>
      <c r="T2104" s="110" t="n"/>
      <c r="U2104" s="104" t="n"/>
    </row>
    <row r="2105">
      <c r="A2105" s="104" t="inlineStr">
        <is>
          <t>GUIDE002104</t>
        </is>
      </c>
      <c r="B2105" s="104" t="n"/>
      <c r="C2105" s="107" t="n"/>
      <c r="D2105" s="107" t="n"/>
      <c r="E2105" s="108" t="n"/>
      <c r="F2105" s="104" t="n"/>
      <c r="G2105" s="104" t="n"/>
      <c r="H2105" s="104" t="n"/>
      <c r="I2105" s="104" t="n"/>
      <c r="J2105" s="104" t="n"/>
      <c r="K2105" s="104" t="n"/>
      <c r="L2105" s="104" t="n"/>
      <c r="M2105" s="104" t="n"/>
      <c r="N2105" s="104" t="n"/>
      <c r="O2105" s="104" t="n"/>
      <c r="P2105" s="104" t="n"/>
      <c r="Q2105" s="104" t="n"/>
      <c r="R2105" s="104" t="n"/>
      <c r="S2105" s="110" t="n"/>
      <c r="T2105" s="110" t="n"/>
      <c r="U2105" s="104" t="n"/>
    </row>
    <row r="2106">
      <c r="A2106" s="104" t="inlineStr">
        <is>
          <t>GUIDE002105</t>
        </is>
      </c>
      <c r="B2106" s="104" t="n"/>
      <c r="C2106" s="107" t="n"/>
      <c r="D2106" s="107" t="n"/>
      <c r="E2106" s="108" t="n"/>
      <c r="F2106" s="104" t="n"/>
      <c r="G2106" s="104" t="n"/>
      <c r="H2106" s="104" t="n"/>
      <c r="I2106" s="104" t="n"/>
      <c r="J2106" s="104" t="n"/>
      <c r="K2106" s="104" t="n"/>
      <c r="L2106" s="104" t="n"/>
      <c r="M2106" s="104" t="n"/>
      <c r="N2106" s="104" t="n"/>
      <c r="O2106" s="104" t="n"/>
      <c r="P2106" s="104" t="n"/>
      <c r="Q2106" s="104" t="n"/>
      <c r="R2106" s="104" t="n"/>
      <c r="S2106" s="110" t="n"/>
      <c r="T2106" s="110" t="n"/>
      <c r="U2106" s="104" t="n"/>
    </row>
    <row r="2107">
      <c r="A2107" s="105" t="inlineStr">
        <is>
          <t>GUIDE002106</t>
        </is>
      </c>
      <c r="B2107" s="104" t="n"/>
      <c r="C2107" s="107" t="n"/>
      <c r="D2107" s="107" t="n"/>
      <c r="E2107" s="108" t="n"/>
      <c r="F2107" s="104" t="n"/>
      <c r="G2107" s="104" t="n"/>
      <c r="H2107" s="104" t="n"/>
      <c r="I2107" s="104" t="n"/>
      <c r="J2107" s="104" t="n"/>
      <c r="K2107" s="104" t="n"/>
      <c r="L2107" s="104" t="n"/>
      <c r="M2107" s="104" t="n"/>
      <c r="N2107" s="104" t="n"/>
      <c r="O2107" s="104" t="n"/>
      <c r="P2107" s="104" t="n"/>
      <c r="Q2107" s="104" t="n"/>
      <c r="R2107" s="104" t="n"/>
      <c r="S2107" s="110" t="n"/>
      <c r="T2107" s="110" t="n"/>
      <c r="U2107" s="104" t="n"/>
    </row>
    <row r="2108">
      <c r="A2108" s="104" t="inlineStr">
        <is>
          <t>GUIDE002107</t>
        </is>
      </c>
      <c r="B2108" s="104" t="n"/>
      <c r="C2108" s="107" t="n"/>
      <c r="D2108" s="107" t="n"/>
      <c r="E2108" s="108" t="n"/>
      <c r="F2108" s="104" t="n"/>
      <c r="G2108" s="104" t="n"/>
      <c r="H2108" s="104" t="n"/>
      <c r="I2108" s="104" t="n"/>
      <c r="J2108" s="104" t="n"/>
      <c r="K2108" s="104" t="n"/>
      <c r="L2108" s="104" t="n"/>
      <c r="M2108" s="104" t="n"/>
      <c r="N2108" s="104" t="n"/>
      <c r="O2108" s="104" t="n"/>
      <c r="P2108" s="104" t="n"/>
      <c r="Q2108" s="104" t="n"/>
      <c r="R2108" s="104" t="n"/>
      <c r="S2108" s="110" t="n"/>
      <c r="T2108" s="110" t="n"/>
      <c r="U2108" s="104" t="n"/>
    </row>
    <row r="2109">
      <c r="A2109" s="104" t="inlineStr">
        <is>
          <t>GUIDE002108</t>
        </is>
      </c>
      <c r="B2109" s="104" t="n"/>
      <c r="C2109" s="107" t="n"/>
      <c r="D2109" s="107" t="n"/>
      <c r="E2109" s="108" t="n"/>
      <c r="F2109" s="104" t="n"/>
      <c r="G2109" s="104" t="n"/>
      <c r="H2109" s="104" t="n"/>
      <c r="I2109" s="104" t="n"/>
      <c r="J2109" s="104" t="n"/>
      <c r="K2109" s="104" t="n"/>
      <c r="L2109" s="104" t="n"/>
      <c r="M2109" s="104" t="n"/>
      <c r="N2109" s="104" t="n"/>
      <c r="O2109" s="104" t="n"/>
      <c r="P2109" s="104" t="n"/>
      <c r="Q2109" s="104" t="n"/>
      <c r="R2109" s="104" t="n"/>
      <c r="S2109" s="110" t="n"/>
      <c r="T2109" s="110" t="n"/>
      <c r="U2109" s="104" t="n"/>
    </row>
    <row r="2110">
      <c r="A2110" s="104" t="inlineStr">
        <is>
          <t>GUIDE002109</t>
        </is>
      </c>
      <c r="B2110" s="104" t="n"/>
      <c r="C2110" s="107" t="n"/>
      <c r="D2110" s="107" t="n"/>
      <c r="E2110" s="108" t="n"/>
      <c r="F2110" s="104" t="n"/>
      <c r="G2110" s="104" t="n"/>
      <c r="H2110" s="104" t="n"/>
      <c r="I2110" s="104" t="n"/>
      <c r="J2110" s="104" t="n"/>
      <c r="K2110" s="104" t="n"/>
      <c r="L2110" s="104" t="n"/>
      <c r="M2110" s="104" t="n"/>
      <c r="N2110" s="104" t="n"/>
      <c r="O2110" s="104" t="n"/>
      <c r="P2110" s="104" t="n"/>
      <c r="Q2110" s="104" t="n"/>
      <c r="R2110" s="104" t="n"/>
      <c r="S2110" s="110" t="n"/>
      <c r="T2110" s="110" t="n"/>
      <c r="U2110" s="104" t="n"/>
    </row>
    <row r="2111">
      <c r="A2111" s="105" t="inlineStr">
        <is>
          <t>GUIDE002110</t>
        </is>
      </c>
      <c r="B2111" s="104" t="n"/>
      <c r="C2111" s="107" t="n"/>
      <c r="D2111" s="107" t="n"/>
      <c r="E2111" s="108" t="n"/>
      <c r="F2111" s="104" t="n"/>
      <c r="G2111" s="104" t="n"/>
      <c r="H2111" s="104" t="n"/>
      <c r="I2111" s="104" t="n"/>
      <c r="J2111" s="104" t="n"/>
      <c r="K2111" s="104" t="n"/>
      <c r="L2111" s="104" t="n"/>
      <c r="M2111" s="104" t="n"/>
      <c r="N2111" s="104" t="n"/>
      <c r="O2111" s="104" t="n"/>
      <c r="P2111" s="104" t="n"/>
      <c r="Q2111" s="104" t="n"/>
      <c r="R2111" s="104" t="n"/>
      <c r="S2111" s="110" t="n"/>
      <c r="T2111" s="110" t="n"/>
      <c r="U2111" s="104" t="n"/>
    </row>
    <row r="2112">
      <c r="A2112" s="104" t="inlineStr">
        <is>
          <t>GUIDE002111</t>
        </is>
      </c>
      <c r="B2112" s="104" t="n"/>
      <c r="C2112" s="107" t="n"/>
      <c r="D2112" s="107" t="n"/>
      <c r="E2112" s="108" t="n"/>
      <c r="F2112" s="104" t="n"/>
      <c r="G2112" s="104" t="n"/>
      <c r="H2112" s="104" t="n"/>
      <c r="I2112" s="104" t="n"/>
      <c r="J2112" s="104" t="n"/>
      <c r="K2112" s="104" t="n"/>
      <c r="L2112" s="104" t="n"/>
      <c r="M2112" s="104" t="n"/>
      <c r="N2112" s="104" t="n"/>
      <c r="O2112" s="104" t="n"/>
      <c r="P2112" s="104" t="n"/>
      <c r="Q2112" s="104" t="n"/>
      <c r="R2112" s="104" t="n"/>
      <c r="S2112" s="110" t="n"/>
      <c r="T2112" s="110" t="n"/>
      <c r="U2112" s="104" t="n"/>
    </row>
    <row r="2113">
      <c r="A2113" s="104" t="inlineStr">
        <is>
          <t>GUIDE002112</t>
        </is>
      </c>
      <c r="B2113" s="104" t="n"/>
      <c r="C2113" s="107" t="n"/>
      <c r="D2113" s="107" t="n"/>
      <c r="E2113" s="108" t="n"/>
      <c r="F2113" s="104" t="n"/>
      <c r="G2113" s="104" t="n"/>
      <c r="H2113" s="104" t="n"/>
      <c r="I2113" s="104" t="n"/>
      <c r="J2113" s="104" t="n"/>
      <c r="K2113" s="104" t="n"/>
      <c r="L2113" s="104" t="n"/>
      <c r="M2113" s="104" t="n"/>
      <c r="N2113" s="104" t="n"/>
      <c r="O2113" s="104" t="n"/>
      <c r="P2113" s="104" t="n"/>
      <c r="Q2113" s="104" t="n"/>
      <c r="R2113" s="104" t="n"/>
      <c r="S2113" s="110" t="n"/>
      <c r="T2113" s="110" t="n"/>
      <c r="U2113" s="104" t="n"/>
    </row>
    <row r="2114">
      <c r="A2114" s="104" t="inlineStr">
        <is>
          <t>GUIDE002113</t>
        </is>
      </c>
      <c r="B2114" s="104" t="n"/>
      <c r="C2114" s="107" t="n"/>
      <c r="D2114" s="107" t="n"/>
      <c r="E2114" s="108" t="n"/>
      <c r="F2114" s="104" t="n"/>
      <c r="G2114" s="104" t="n"/>
      <c r="H2114" s="104" t="n"/>
      <c r="I2114" s="104" t="n"/>
      <c r="J2114" s="104" t="n"/>
      <c r="K2114" s="104" t="n"/>
      <c r="L2114" s="104" t="n"/>
      <c r="M2114" s="104" t="n"/>
      <c r="N2114" s="104" t="n"/>
      <c r="O2114" s="104" t="n"/>
      <c r="P2114" s="104" t="n"/>
      <c r="Q2114" s="104" t="n"/>
      <c r="R2114" s="104" t="n"/>
      <c r="S2114" s="110" t="n"/>
      <c r="T2114" s="110" t="n"/>
      <c r="U2114" s="104" t="n"/>
    </row>
    <row r="2115">
      <c r="A2115" s="105" t="inlineStr">
        <is>
          <t>GUIDE002114</t>
        </is>
      </c>
      <c r="B2115" s="104" t="n"/>
      <c r="C2115" s="107" t="n"/>
      <c r="D2115" s="107" t="n"/>
      <c r="E2115" s="108" t="n"/>
      <c r="F2115" s="104" t="n"/>
      <c r="G2115" s="104" t="n"/>
      <c r="H2115" s="104" t="n"/>
      <c r="I2115" s="104" t="n"/>
      <c r="J2115" s="104" t="n"/>
      <c r="K2115" s="104" t="n"/>
      <c r="L2115" s="104" t="n"/>
      <c r="M2115" s="104" t="n"/>
      <c r="N2115" s="104" t="n"/>
      <c r="O2115" s="104" t="n"/>
      <c r="P2115" s="104" t="n"/>
      <c r="Q2115" s="104" t="n"/>
      <c r="R2115" s="104" t="n"/>
      <c r="S2115" s="110" t="n"/>
      <c r="T2115" s="110" t="n"/>
      <c r="U2115" s="104" t="n"/>
    </row>
    <row r="2116">
      <c r="A2116" s="104" t="inlineStr">
        <is>
          <t>GUIDE002115</t>
        </is>
      </c>
      <c r="B2116" s="104" t="n"/>
      <c r="C2116" s="107" t="n"/>
      <c r="D2116" s="107" t="n"/>
      <c r="E2116" s="108" t="n"/>
      <c r="F2116" s="104" t="n"/>
      <c r="G2116" s="104" t="n"/>
      <c r="H2116" s="104" t="n"/>
      <c r="I2116" s="104" t="n"/>
      <c r="J2116" s="104" t="n"/>
      <c r="K2116" s="104" t="n"/>
      <c r="L2116" s="104" t="n"/>
      <c r="M2116" s="104" t="n"/>
      <c r="N2116" s="104" t="n"/>
      <c r="O2116" s="104" t="n"/>
      <c r="P2116" s="104" t="n"/>
      <c r="Q2116" s="104" t="n"/>
      <c r="R2116" s="104" t="n"/>
      <c r="S2116" s="110" t="n"/>
      <c r="T2116" s="110" t="n"/>
      <c r="U2116" s="104" t="n"/>
    </row>
    <row r="2117">
      <c r="A2117" s="104" t="inlineStr">
        <is>
          <t>GUIDE002116</t>
        </is>
      </c>
      <c r="B2117" s="104" t="n"/>
      <c r="C2117" s="107" t="n"/>
      <c r="D2117" s="107" t="n"/>
      <c r="E2117" s="108" t="n"/>
      <c r="F2117" s="104" t="n"/>
      <c r="G2117" s="104" t="n"/>
      <c r="H2117" s="104" t="n"/>
      <c r="I2117" s="104" t="n"/>
      <c r="J2117" s="104" t="n"/>
      <c r="K2117" s="104" t="n"/>
      <c r="L2117" s="104" t="n"/>
      <c r="M2117" s="104" t="n"/>
      <c r="N2117" s="104" t="n"/>
      <c r="O2117" s="104" t="n"/>
      <c r="P2117" s="104" t="n"/>
      <c r="Q2117" s="104" t="n"/>
      <c r="R2117" s="104" t="n"/>
      <c r="S2117" s="110" t="n"/>
      <c r="T2117" s="110" t="n"/>
      <c r="U2117" s="104" t="n"/>
    </row>
    <row r="2118">
      <c r="A2118" s="104" t="inlineStr">
        <is>
          <t>GUIDE002117</t>
        </is>
      </c>
      <c r="B2118" s="104" t="n"/>
      <c r="C2118" s="107" t="n"/>
      <c r="D2118" s="107" t="n"/>
      <c r="E2118" s="108" t="n"/>
      <c r="F2118" s="104" t="n"/>
      <c r="G2118" s="104" t="n"/>
      <c r="H2118" s="104" t="n"/>
      <c r="I2118" s="104" t="n"/>
      <c r="J2118" s="104" t="n"/>
      <c r="K2118" s="104" t="n"/>
      <c r="L2118" s="104" t="n"/>
      <c r="M2118" s="104" t="n"/>
      <c r="N2118" s="104" t="n"/>
      <c r="O2118" s="104" t="n"/>
      <c r="P2118" s="104" t="n"/>
      <c r="Q2118" s="104" t="n"/>
      <c r="R2118" s="104" t="n"/>
      <c r="S2118" s="110" t="n"/>
      <c r="T2118" s="110" t="n"/>
      <c r="U2118" s="104" t="n"/>
    </row>
    <row r="2119">
      <c r="A2119" s="105" t="inlineStr">
        <is>
          <t>GUIDE002118</t>
        </is>
      </c>
      <c r="B2119" s="104" t="n"/>
      <c r="C2119" s="107" t="n"/>
      <c r="D2119" s="107" t="n"/>
      <c r="E2119" s="108" t="n"/>
      <c r="F2119" s="104" t="n"/>
      <c r="G2119" s="104" t="n"/>
      <c r="H2119" s="104" t="n"/>
      <c r="I2119" s="104" t="n"/>
      <c r="J2119" s="104" t="n"/>
      <c r="K2119" s="104" t="n"/>
      <c r="L2119" s="104" t="n"/>
      <c r="M2119" s="104" t="n"/>
      <c r="N2119" s="104" t="n"/>
      <c r="O2119" s="104" t="n"/>
      <c r="P2119" s="104" t="n"/>
      <c r="Q2119" s="104" t="n"/>
      <c r="R2119" s="104" t="n"/>
      <c r="S2119" s="110" t="n"/>
      <c r="T2119" s="110" t="n"/>
      <c r="U2119" s="104" t="n"/>
    </row>
    <row r="2120">
      <c r="A2120" s="104" t="inlineStr">
        <is>
          <t>GUIDE002119</t>
        </is>
      </c>
      <c r="B2120" s="104" t="n"/>
      <c r="C2120" s="107" t="n"/>
      <c r="D2120" s="107" t="n"/>
      <c r="E2120" s="108" t="n"/>
      <c r="F2120" s="104" t="n"/>
      <c r="G2120" s="104" t="n"/>
      <c r="H2120" s="104" t="n"/>
      <c r="I2120" s="104" t="n"/>
      <c r="J2120" s="104" t="n"/>
      <c r="K2120" s="104" t="n"/>
      <c r="L2120" s="104" t="n"/>
      <c r="M2120" s="104" t="n"/>
      <c r="N2120" s="104" t="n"/>
      <c r="O2120" s="104" t="n"/>
      <c r="P2120" s="104" t="n"/>
      <c r="Q2120" s="104" t="n"/>
      <c r="R2120" s="104" t="n"/>
      <c r="S2120" s="110" t="n"/>
      <c r="T2120" s="110" t="n"/>
      <c r="U2120" s="104" t="n"/>
    </row>
    <row r="2121">
      <c r="A2121" s="104" t="inlineStr">
        <is>
          <t>GUIDE002120</t>
        </is>
      </c>
      <c r="B2121" s="104" t="n"/>
      <c r="C2121" s="107" t="n"/>
      <c r="D2121" s="107" t="n"/>
      <c r="E2121" s="108" t="n"/>
      <c r="F2121" s="104" t="n"/>
      <c r="G2121" s="104" t="n"/>
      <c r="H2121" s="104" t="n"/>
      <c r="I2121" s="104" t="n"/>
      <c r="J2121" s="104" t="n"/>
      <c r="K2121" s="104" t="n"/>
      <c r="L2121" s="104" t="n"/>
      <c r="M2121" s="104" t="n"/>
      <c r="N2121" s="104" t="n"/>
      <c r="O2121" s="104" t="n"/>
      <c r="P2121" s="104" t="n"/>
      <c r="Q2121" s="104" t="n"/>
      <c r="R2121" s="104" t="n"/>
      <c r="S2121" s="110" t="n"/>
      <c r="T2121" s="110" t="n"/>
      <c r="U2121" s="104" t="n"/>
    </row>
    <row r="2122">
      <c r="A2122" s="104" t="inlineStr">
        <is>
          <t>GUIDE002121</t>
        </is>
      </c>
      <c r="B2122" s="104" t="n"/>
      <c r="C2122" s="107" t="n"/>
      <c r="D2122" s="107" t="n"/>
      <c r="E2122" s="108" t="n"/>
      <c r="F2122" s="104" t="n"/>
      <c r="G2122" s="104" t="n"/>
      <c r="H2122" s="104" t="n"/>
      <c r="I2122" s="104" t="n"/>
      <c r="J2122" s="104" t="n"/>
      <c r="K2122" s="104" t="n"/>
      <c r="L2122" s="104" t="n"/>
      <c r="M2122" s="104" t="n"/>
      <c r="N2122" s="104" t="n"/>
      <c r="O2122" s="104" t="n"/>
      <c r="P2122" s="104" t="n"/>
      <c r="Q2122" s="104" t="n"/>
      <c r="R2122" s="104" t="n"/>
      <c r="S2122" s="110" t="n"/>
      <c r="T2122" s="110" t="n"/>
      <c r="U2122" s="104" t="n"/>
    </row>
    <row r="2123">
      <c r="A2123" s="105" t="inlineStr">
        <is>
          <t>GUIDE002122</t>
        </is>
      </c>
      <c r="B2123" s="104" t="n"/>
      <c r="C2123" s="107" t="n"/>
      <c r="D2123" s="107" t="n"/>
      <c r="E2123" s="108" t="n"/>
      <c r="F2123" s="104" t="n"/>
      <c r="G2123" s="104" t="n"/>
      <c r="H2123" s="104" t="n"/>
      <c r="I2123" s="104" t="n"/>
      <c r="J2123" s="104" t="n"/>
      <c r="K2123" s="104" t="n"/>
      <c r="L2123" s="104" t="n"/>
      <c r="M2123" s="104" t="n"/>
      <c r="N2123" s="104" t="n"/>
      <c r="O2123" s="104" t="n"/>
      <c r="P2123" s="104" t="n"/>
      <c r="Q2123" s="104" t="n"/>
      <c r="R2123" s="104" t="n"/>
      <c r="S2123" s="110" t="n"/>
      <c r="T2123" s="110" t="n"/>
      <c r="U2123" s="104" t="n"/>
    </row>
    <row r="2124">
      <c r="A2124" s="104" t="inlineStr">
        <is>
          <t>GUIDE002123</t>
        </is>
      </c>
      <c r="B2124" s="104" t="n"/>
      <c r="C2124" s="107" t="n"/>
      <c r="D2124" s="107" t="n"/>
      <c r="E2124" s="108" t="n"/>
      <c r="F2124" s="104" t="n"/>
      <c r="G2124" s="104" t="n"/>
      <c r="H2124" s="104" t="n"/>
      <c r="I2124" s="104" t="n"/>
      <c r="J2124" s="104" t="n"/>
      <c r="K2124" s="104" t="n"/>
      <c r="L2124" s="104" t="n"/>
      <c r="M2124" s="104" t="n"/>
      <c r="N2124" s="104" t="n"/>
      <c r="O2124" s="104" t="n"/>
      <c r="P2124" s="104" t="n"/>
      <c r="Q2124" s="104" t="n"/>
      <c r="R2124" s="104" t="n"/>
      <c r="S2124" s="110" t="n"/>
      <c r="T2124" s="110" t="n"/>
      <c r="U2124" s="104" t="n"/>
    </row>
    <row r="2125">
      <c r="A2125" s="104" t="inlineStr">
        <is>
          <t>GUIDE002124</t>
        </is>
      </c>
      <c r="B2125" s="104" t="n"/>
      <c r="C2125" s="107" t="n"/>
      <c r="D2125" s="107" t="n"/>
      <c r="E2125" s="108" t="n"/>
      <c r="F2125" s="104" t="n"/>
      <c r="G2125" s="104" t="n"/>
      <c r="H2125" s="104" t="n"/>
      <c r="I2125" s="104" t="n"/>
      <c r="J2125" s="104" t="n"/>
      <c r="K2125" s="104" t="n"/>
      <c r="L2125" s="104" t="n"/>
      <c r="M2125" s="104" t="n"/>
      <c r="N2125" s="104" t="n"/>
      <c r="O2125" s="104" t="n"/>
      <c r="P2125" s="104" t="n"/>
      <c r="Q2125" s="104" t="n"/>
      <c r="R2125" s="104" t="n"/>
      <c r="S2125" s="110" t="n"/>
      <c r="T2125" s="110" t="n"/>
      <c r="U2125" s="104" t="n"/>
    </row>
    <row r="2126">
      <c r="A2126" s="104" t="inlineStr">
        <is>
          <t>GUIDE002125</t>
        </is>
      </c>
      <c r="B2126" s="104" t="n"/>
      <c r="C2126" s="107" t="n"/>
      <c r="D2126" s="107" t="n"/>
      <c r="E2126" s="108" t="n"/>
      <c r="F2126" s="104" t="n"/>
      <c r="G2126" s="104" t="n"/>
      <c r="H2126" s="104" t="n"/>
      <c r="I2126" s="104" t="n"/>
      <c r="J2126" s="104" t="n"/>
      <c r="K2126" s="104" t="n"/>
      <c r="L2126" s="104" t="n"/>
      <c r="M2126" s="104" t="n"/>
      <c r="N2126" s="104" t="n"/>
      <c r="O2126" s="104" t="n"/>
      <c r="P2126" s="104" t="n"/>
      <c r="Q2126" s="104" t="n"/>
      <c r="R2126" s="104" t="n"/>
      <c r="S2126" s="110" t="n"/>
      <c r="T2126" s="110" t="n"/>
      <c r="U2126" s="104" t="n"/>
    </row>
    <row r="2127">
      <c r="A2127" s="105" t="inlineStr">
        <is>
          <t>GUIDE002126</t>
        </is>
      </c>
      <c r="B2127" s="104" t="n"/>
      <c r="C2127" s="107" t="n"/>
      <c r="D2127" s="107" t="n"/>
      <c r="E2127" s="108" t="n"/>
      <c r="F2127" s="104" t="n"/>
      <c r="G2127" s="104" t="n"/>
      <c r="H2127" s="104" t="n"/>
      <c r="I2127" s="104" t="n"/>
      <c r="J2127" s="104" t="n"/>
      <c r="K2127" s="104" t="n"/>
      <c r="L2127" s="104" t="n"/>
      <c r="M2127" s="104" t="n"/>
      <c r="N2127" s="104" t="n"/>
      <c r="O2127" s="104" t="n"/>
      <c r="P2127" s="104" t="n"/>
      <c r="Q2127" s="104" t="n"/>
      <c r="R2127" s="104" t="n"/>
      <c r="S2127" s="110" t="n"/>
      <c r="T2127" s="110" t="n"/>
      <c r="U2127" s="104" t="n"/>
    </row>
    <row r="2128">
      <c r="A2128" s="104" t="inlineStr">
        <is>
          <t>GUIDE002127</t>
        </is>
      </c>
      <c r="B2128" s="104" t="n"/>
      <c r="C2128" s="107" t="n"/>
      <c r="D2128" s="107" t="n"/>
      <c r="E2128" s="108" t="n"/>
      <c r="F2128" s="104" t="n"/>
      <c r="G2128" s="104" t="n"/>
      <c r="H2128" s="104" t="n"/>
      <c r="I2128" s="104" t="n"/>
      <c r="J2128" s="104" t="n"/>
      <c r="K2128" s="104" t="n"/>
      <c r="L2128" s="104" t="n"/>
      <c r="M2128" s="104" t="n"/>
      <c r="N2128" s="104" t="n"/>
      <c r="O2128" s="104" t="n"/>
      <c r="P2128" s="104" t="n"/>
      <c r="Q2128" s="104" t="n"/>
      <c r="R2128" s="104" t="n"/>
      <c r="S2128" s="110" t="n"/>
      <c r="T2128" s="110" t="n"/>
      <c r="U2128" s="104" t="n"/>
    </row>
    <row r="2129">
      <c r="A2129" s="104" t="inlineStr">
        <is>
          <t>GUIDE002128</t>
        </is>
      </c>
      <c r="B2129" s="104" t="n"/>
      <c r="C2129" s="107" t="n"/>
      <c r="D2129" s="107" t="n"/>
      <c r="E2129" s="108" t="n"/>
      <c r="F2129" s="104" t="n"/>
      <c r="G2129" s="104" t="n"/>
      <c r="H2129" s="104" t="n"/>
      <c r="I2129" s="104" t="n"/>
      <c r="J2129" s="104" t="n"/>
      <c r="K2129" s="104" t="n"/>
      <c r="L2129" s="104" t="n"/>
      <c r="M2129" s="104" t="n"/>
      <c r="N2129" s="104" t="n"/>
      <c r="O2129" s="104" t="n"/>
      <c r="P2129" s="104" t="n"/>
      <c r="Q2129" s="104" t="n"/>
      <c r="R2129" s="104" t="n"/>
      <c r="S2129" s="110" t="n"/>
      <c r="T2129" s="110" t="n"/>
      <c r="U2129" s="104" t="n"/>
    </row>
    <row r="2130">
      <c r="A2130" s="104" t="inlineStr">
        <is>
          <t>GUIDE002129</t>
        </is>
      </c>
      <c r="B2130" s="104" t="n"/>
      <c r="C2130" s="107" t="n"/>
      <c r="D2130" s="107" t="n"/>
      <c r="E2130" s="108" t="n"/>
      <c r="F2130" s="104" t="n"/>
      <c r="G2130" s="104" t="n"/>
      <c r="H2130" s="104" t="n"/>
      <c r="I2130" s="104" t="n"/>
      <c r="J2130" s="104" t="n"/>
      <c r="K2130" s="104" t="n"/>
      <c r="L2130" s="104" t="n"/>
      <c r="M2130" s="104" t="n"/>
      <c r="N2130" s="104" t="n"/>
      <c r="O2130" s="104" t="n"/>
      <c r="P2130" s="104" t="n"/>
      <c r="Q2130" s="104" t="n"/>
      <c r="R2130" s="104" t="n"/>
      <c r="S2130" s="110" t="n"/>
      <c r="T2130" s="110" t="n"/>
      <c r="U2130" s="104" t="n"/>
    </row>
    <row r="2131">
      <c r="A2131" s="105" t="inlineStr">
        <is>
          <t>GUIDE002130</t>
        </is>
      </c>
      <c r="B2131" s="104" t="n"/>
      <c r="C2131" s="107" t="n"/>
      <c r="D2131" s="107" t="n"/>
      <c r="E2131" s="108" t="n"/>
      <c r="F2131" s="104" t="n"/>
      <c r="G2131" s="104" t="n"/>
      <c r="H2131" s="104" t="n"/>
      <c r="I2131" s="104" t="n"/>
      <c r="J2131" s="104" t="n"/>
      <c r="K2131" s="104" t="n"/>
      <c r="L2131" s="104" t="n"/>
      <c r="M2131" s="104" t="n"/>
      <c r="N2131" s="104" t="n"/>
      <c r="O2131" s="104" t="n"/>
      <c r="P2131" s="104" t="n"/>
      <c r="Q2131" s="104" t="n"/>
      <c r="R2131" s="104" t="n"/>
      <c r="S2131" s="110" t="n"/>
      <c r="T2131" s="110" t="n"/>
      <c r="U2131" s="104" t="n"/>
    </row>
    <row r="2132">
      <c r="A2132" s="104" t="inlineStr">
        <is>
          <t>GUIDE002131</t>
        </is>
      </c>
      <c r="B2132" s="104" t="n"/>
      <c r="C2132" s="107" t="n"/>
      <c r="D2132" s="107" t="n"/>
      <c r="E2132" s="108" t="n"/>
      <c r="F2132" s="104" t="n"/>
      <c r="G2132" s="104" t="n"/>
      <c r="H2132" s="104" t="n"/>
      <c r="I2132" s="104" t="n"/>
      <c r="J2132" s="104" t="n"/>
      <c r="K2132" s="104" t="n"/>
      <c r="L2132" s="104" t="n"/>
      <c r="M2132" s="104" t="n"/>
      <c r="N2132" s="104" t="n"/>
      <c r="O2132" s="104" t="n"/>
      <c r="P2132" s="104" t="n"/>
      <c r="Q2132" s="104" t="n"/>
      <c r="R2132" s="104" t="n"/>
      <c r="S2132" s="110" t="n"/>
      <c r="T2132" s="110" t="n"/>
      <c r="U2132" s="104" t="n"/>
    </row>
    <row r="2133">
      <c r="A2133" s="104" t="inlineStr">
        <is>
          <t>GUIDE002132</t>
        </is>
      </c>
      <c r="B2133" s="104" t="n"/>
      <c r="C2133" s="107" t="n"/>
      <c r="D2133" s="107" t="n"/>
      <c r="E2133" s="108" t="n"/>
      <c r="F2133" s="104" t="n"/>
      <c r="G2133" s="104" t="n"/>
      <c r="H2133" s="104" t="n"/>
      <c r="I2133" s="104" t="n"/>
      <c r="J2133" s="104" t="n"/>
      <c r="K2133" s="104" t="n"/>
      <c r="L2133" s="104" t="n"/>
      <c r="M2133" s="104" t="n"/>
      <c r="N2133" s="104" t="n"/>
      <c r="O2133" s="104" t="n"/>
      <c r="P2133" s="104" t="n"/>
      <c r="Q2133" s="104" t="n"/>
      <c r="R2133" s="104" t="n"/>
      <c r="S2133" s="110" t="n"/>
      <c r="T2133" s="110" t="n"/>
      <c r="U2133" s="104" t="n"/>
    </row>
    <row r="2134">
      <c r="A2134" s="104" t="inlineStr">
        <is>
          <t>GUIDE002133</t>
        </is>
      </c>
      <c r="B2134" s="104" t="n"/>
      <c r="C2134" s="107" t="n"/>
      <c r="D2134" s="107" t="n"/>
      <c r="E2134" s="108" t="n"/>
      <c r="F2134" s="104" t="n"/>
      <c r="G2134" s="104" t="n"/>
      <c r="H2134" s="104" t="n"/>
      <c r="I2134" s="104" t="n"/>
      <c r="J2134" s="104" t="n"/>
      <c r="K2134" s="104" t="n"/>
      <c r="L2134" s="104" t="n"/>
      <c r="M2134" s="104" t="n"/>
      <c r="N2134" s="104" t="n"/>
      <c r="O2134" s="104" t="n"/>
      <c r="P2134" s="104" t="n"/>
      <c r="Q2134" s="104" t="n"/>
      <c r="R2134" s="104" t="n"/>
      <c r="S2134" s="110" t="n"/>
      <c r="T2134" s="110" t="n"/>
      <c r="U2134" s="104" t="n"/>
    </row>
    <row r="2135">
      <c r="A2135" s="105" t="inlineStr">
        <is>
          <t>GUIDE002134</t>
        </is>
      </c>
      <c r="B2135" s="104" t="n"/>
      <c r="C2135" s="107" t="n"/>
      <c r="D2135" s="107" t="n"/>
      <c r="E2135" s="108" t="n"/>
      <c r="F2135" s="104" t="n"/>
      <c r="G2135" s="104" t="n"/>
      <c r="H2135" s="104" t="n"/>
      <c r="I2135" s="104" t="n"/>
      <c r="J2135" s="104" t="n"/>
      <c r="K2135" s="104" t="n"/>
      <c r="L2135" s="104" t="n"/>
      <c r="M2135" s="104" t="n"/>
      <c r="N2135" s="104" t="n"/>
      <c r="O2135" s="104" t="n"/>
      <c r="P2135" s="104" t="n"/>
      <c r="Q2135" s="104" t="n"/>
      <c r="R2135" s="104" t="n"/>
      <c r="S2135" s="110" t="n"/>
      <c r="T2135" s="110" t="n"/>
      <c r="U2135" s="104" t="n"/>
    </row>
    <row r="2136">
      <c r="A2136" s="104" t="inlineStr">
        <is>
          <t>GUIDE002135</t>
        </is>
      </c>
      <c r="B2136" s="104" t="n"/>
      <c r="C2136" s="107" t="n"/>
      <c r="D2136" s="107" t="n"/>
      <c r="E2136" s="108" t="n"/>
      <c r="F2136" s="104" t="n"/>
      <c r="G2136" s="104" t="n"/>
      <c r="H2136" s="104" t="n"/>
      <c r="I2136" s="104" t="n"/>
      <c r="J2136" s="104" t="n"/>
      <c r="K2136" s="104" t="n"/>
      <c r="L2136" s="104" t="n"/>
      <c r="M2136" s="104" t="n"/>
      <c r="N2136" s="104" t="n"/>
      <c r="O2136" s="104" t="n"/>
      <c r="P2136" s="104" t="n"/>
      <c r="Q2136" s="104" t="n"/>
      <c r="R2136" s="104" t="n"/>
      <c r="S2136" s="110" t="n"/>
      <c r="T2136" s="110" t="n"/>
      <c r="U2136" s="104" t="n"/>
    </row>
    <row r="2137">
      <c r="A2137" s="104" t="inlineStr">
        <is>
          <t>GUIDE002136</t>
        </is>
      </c>
      <c r="B2137" s="104" t="n"/>
      <c r="C2137" s="107" t="n"/>
      <c r="D2137" s="107" t="n"/>
      <c r="E2137" s="108" t="n"/>
      <c r="F2137" s="104" t="n"/>
      <c r="G2137" s="104" t="n"/>
      <c r="H2137" s="104" t="n"/>
      <c r="I2137" s="104" t="n"/>
      <c r="J2137" s="104" t="n"/>
      <c r="K2137" s="104" t="n"/>
      <c r="L2137" s="104" t="n"/>
      <c r="M2137" s="104" t="n"/>
      <c r="N2137" s="104" t="n"/>
      <c r="O2137" s="104" t="n"/>
      <c r="P2137" s="104" t="n"/>
      <c r="Q2137" s="104" t="n"/>
      <c r="R2137" s="104" t="n"/>
      <c r="S2137" s="110" t="n"/>
      <c r="T2137" s="110" t="n"/>
      <c r="U2137" s="104" t="n"/>
    </row>
    <row r="2138">
      <c r="A2138" s="104" t="inlineStr">
        <is>
          <t>GUIDE002137</t>
        </is>
      </c>
      <c r="B2138" s="104" t="n"/>
      <c r="C2138" s="107" t="n"/>
      <c r="D2138" s="107" t="n"/>
      <c r="E2138" s="108" t="n"/>
      <c r="F2138" s="104" t="n"/>
      <c r="G2138" s="104" t="n"/>
      <c r="H2138" s="104" t="n"/>
      <c r="I2138" s="104" t="n"/>
      <c r="J2138" s="104" t="n"/>
      <c r="K2138" s="104" t="n"/>
      <c r="L2138" s="104" t="n"/>
      <c r="M2138" s="104" t="n"/>
      <c r="N2138" s="104" t="n"/>
      <c r="O2138" s="104" t="n"/>
      <c r="P2138" s="104" t="n"/>
      <c r="Q2138" s="104" t="n"/>
      <c r="R2138" s="104" t="n"/>
      <c r="S2138" s="110" t="n"/>
      <c r="T2138" s="110" t="n"/>
      <c r="U2138" s="104" t="n"/>
    </row>
    <row r="2139">
      <c r="A2139" s="105" t="inlineStr">
        <is>
          <t>GUIDE002138</t>
        </is>
      </c>
      <c r="B2139" s="104" t="n"/>
      <c r="C2139" s="107" t="n"/>
      <c r="D2139" s="107" t="n"/>
      <c r="E2139" s="108" t="n"/>
      <c r="F2139" s="104" t="n"/>
      <c r="G2139" s="104" t="n"/>
      <c r="H2139" s="104" t="n"/>
      <c r="I2139" s="104" t="n"/>
      <c r="J2139" s="104" t="n"/>
      <c r="K2139" s="104" t="n"/>
      <c r="L2139" s="104" t="n"/>
      <c r="M2139" s="104" t="n"/>
      <c r="N2139" s="104" t="n"/>
      <c r="O2139" s="104" t="n"/>
      <c r="P2139" s="104" t="n"/>
      <c r="Q2139" s="104" t="n"/>
      <c r="R2139" s="104" t="n"/>
      <c r="S2139" s="110" t="n"/>
      <c r="T2139" s="110" t="n"/>
      <c r="U2139" s="104" t="n"/>
    </row>
    <row r="2140">
      <c r="A2140" s="104" t="inlineStr">
        <is>
          <t>GUIDE002139</t>
        </is>
      </c>
      <c r="B2140" s="104" t="n"/>
      <c r="C2140" s="107" t="n"/>
      <c r="D2140" s="107" t="n"/>
      <c r="E2140" s="108" t="n"/>
      <c r="F2140" s="104" t="n"/>
      <c r="G2140" s="104" t="n"/>
      <c r="H2140" s="104" t="n"/>
      <c r="I2140" s="104" t="n"/>
      <c r="J2140" s="104" t="n"/>
      <c r="K2140" s="104" t="n"/>
      <c r="L2140" s="104" t="n"/>
      <c r="M2140" s="104" t="n"/>
      <c r="N2140" s="104" t="n"/>
      <c r="O2140" s="104" t="n"/>
      <c r="P2140" s="104" t="n"/>
      <c r="Q2140" s="104" t="n"/>
      <c r="R2140" s="104" t="n"/>
      <c r="S2140" s="110" t="n"/>
      <c r="T2140" s="110" t="n"/>
      <c r="U2140" s="104" t="n"/>
    </row>
    <row r="2141">
      <c r="A2141" s="104" t="inlineStr">
        <is>
          <t>GUIDE002140</t>
        </is>
      </c>
      <c r="B2141" s="104" t="n"/>
      <c r="C2141" s="107" t="n"/>
      <c r="D2141" s="107" t="n"/>
      <c r="E2141" s="108" t="n"/>
      <c r="F2141" s="104" t="n"/>
      <c r="G2141" s="104" t="n"/>
      <c r="H2141" s="104" t="n"/>
      <c r="I2141" s="104" t="n"/>
      <c r="J2141" s="104" t="n"/>
      <c r="K2141" s="104" t="n"/>
      <c r="L2141" s="104" t="n"/>
      <c r="M2141" s="104" t="n"/>
      <c r="N2141" s="104" t="n"/>
      <c r="O2141" s="104" t="n"/>
      <c r="P2141" s="104" t="n"/>
      <c r="Q2141" s="104" t="n"/>
      <c r="R2141" s="104" t="n"/>
      <c r="S2141" s="110" t="n"/>
      <c r="T2141" s="110" t="n"/>
      <c r="U2141" s="104" t="n"/>
    </row>
    <row r="2142">
      <c r="A2142" s="104" t="inlineStr">
        <is>
          <t>GUIDE002141</t>
        </is>
      </c>
      <c r="B2142" s="104" t="n"/>
      <c r="C2142" s="107" t="n"/>
      <c r="D2142" s="107" t="n"/>
      <c r="E2142" s="108" t="n"/>
      <c r="F2142" s="104" t="n"/>
      <c r="G2142" s="104" t="n"/>
      <c r="H2142" s="104" t="n"/>
      <c r="I2142" s="104" t="n"/>
      <c r="J2142" s="104" t="n"/>
      <c r="K2142" s="104" t="n"/>
      <c r="L2142" s="104" t="n"/>
      <c r="M2142" s="104" t="n"/>
      <c r="N2142" s="104" t="n"/>
      <c r="O2142" s="104" t="n"/>
      <c r="P2142" s="104" t="n"/>
      <c r="Q2142" s="104" t="n"/>
      <c r="R2142" s="104" t="n"/>
      <c r="S2142" s="110" t="n"/>
      <c r="T2142" s="110" t="n"/>
      <c r="U2142" s="104" t="n"/>
    </row>
    <row r="2143">
      <c r="A2143" s="105" t="inlineStr">
        <is>
          <t>GUIDE002142</t>
        </is>
      </c>
      <c r="B2143" s="104" t="n"/>
      <c r="C2143" s="107" t="n"/>
      <c r="D2143" s="107" t="n"/>
      <c r="E2143" s="108" t="n"/>
      <c r="F2143" s="104" t="n"/>
      <c r="G2143" s="104" t="n"/>
      <c r="H2143" s="104" t="n"/>
      <c r="I2143" s="104" t="n"/>
      <c r="J2143" s="104" t="n"/>
      <c r="K2143" s="104" t="n"/>
      <c r="L2143" s="104" t="n"/>
      <c r="M2143" s="104" t="n"/>
      <c r="N2143" s="104" t="n"/>
      <c r="O2143" s="104" t="n"/>
      <c r="P2143" s="104" t="n"/>
      <c r="Q2143" s="104" t="n"/>
      <c r="R2143" s="104" t="n"/>
      <c r="S2143" s="110" t="n"/>
      <c r="T2143" s="110" t="n"/>
      <c r="U2143" s="104" t="n"/>
    </row>
    <row r="2144">
      <c r="A2144" s="104" t="inlineStr">
        <is>
          <t>GUIDE002143</t>
        </is>
      </c>
      <c r="B2144" s="104" t="n"/>
      <c r="C2144" s="107" t="n"/>
      <c r="D2144" s="107" t="n"/>
      <c r="E2144" s="108" t="n"/>
      <c r="F2144" s="104" t="n"/>
      <c r="G2144" s="104" t="n"/>
      <c r="H2144" s="104" t="n"/>
      <c r="I2144" s="104" t="n"/>
      <c r="J2144" s="104" t="n"/>
      <c r="K2144" s="104" t="n"/>
      <c r="L2144" s="104" t="n"/>
      <c r="M2144" s="104" t="n"/>
      <c r="N2144" s="104" t="n"/>
      <c r="O2144" s="104" t="n"/>
      <c r="P2144" s="104" t="n"/>
      <c r="Q2144" s="104" t="n"/>
      <c r="R2144" s="104" t="n"/>
      <c r="S2144" s="110" t="n"/>
      <c r="T2144" s="110" t="n"/>
      <c r="U2144" s="104" t="n"/>
    </row>
    <row r="2145">
      <c r="A2145" s="104" t="inlineStr">
        <is>
          <t>GUIDE002144</t>
        </is>
      </c>
      <c r="B2145" s="104" t="n"/>
      <c r="C2145" s="107" t="n"/>
      <c r="D2145" s="107" t="n"/>
      <c r="E2145" s="108" t="n"/>
      <c r="F2145" s="104" t="n"/>
      <c r="G2145" s="104" t="n"/>
      <c r="H2145" s="104" t="n"/>
      <c r="I2145" s="104" t="n"/>
      <c r="J2145" s="104" t="n"/>
      <c r="K2145" s="104" t="n"/>
      <c r="L2145" s="104" t="n"/>
      <c r="M2145" s="104" t="n"/>
      <c r="N2145" s="104" t="n"/>
      <c r="O2145" s="104" t="n"/>
      <c r="P2145" s="104" t="n"/>
      <c r="Q2145" s="104" t="n"/>
      <c r="R2145" s="104" t="n"/>
      <c r="S2145" s="110" t="n"/>
      <c r="T2145" s="110" t="n"/>
      <c r="U2145" s="104" t="n"/>
    </row>
    <row r="2146">
      <c r="A2146" s="104" t="inlineStr">
        <is>
          <t>GUIDE002145</t>
        </is>
      </c>
      <c r="B2146" s="104" t="n"/>
      <c r="C2146" s="107" t="n"/>
      <c r="D2146" s="107" t="n"/>
      <c r="E2146" s="108" t="n"/>
      <c r="F2146" s="104" t="n"/>
      <c r="G2146" s="104" t="n"/>
      <c r="H2146" s="104" t="n"/>
      <c r="I2146" s="104" t="n"/>
      <c r="J2146" s="104" t="n"/>
      <c r="K2146" s="104" t="n"/>
      <c r="L2146" s="104" t="n"/>
      <c r="M2146" s="104" t="n"/>
      <c r="N2146" s="104" t="n"/>
      <c r="O2146" s="104" t="n"/>
      <c r="P2146" s="104" t="n"/>
      <c r="Q2146" s="104" t="n"/>
      <c r="R2146" s="104" t="n"/>
      <c r="S2146" s="110" t="n"/>
      <c r="T2146" s="110" t="n"/>
      <c r="U2146" s="104" t="n"/>
    </row>
    <row r="2147">
      <c r="A2147" s="105" t="inlineStr">
        <is>
          <t>GUIDE002146</t>
        </is>
      </c>
      <c r="B2147" s="104" t="n"/>
      <c r="C2147" s="107" t="n"/>
      <c r="D2147" s="107" t="n"/>
      <c r="E2147" s="108" t="n"/>
      <c r="F2147" s="104" t="n"/>
      <c r="G2147" s="104" t="n"/>
      <c r="H2147" s="104" t="n"/>
      <c r="I2147" s="104" t="n"/>
      <c r="J2147" s="104" t="n"/>
      <c r="K2147" s="104" t="n"/>
      <c r="L2147" s="104" t="n"/>
      <c r="M2147" s="104" t="n"/>
      <c r="N2147" s="104" t="n"/>
      <c r="O2147" s="104" t="n"/>
      <c r="P2147" s="104" t="n"/>
      <c r="Q2147" s="104" t="n"/>
      <c r="R2147" s="104" t="n"/>
      <c r="S2147" s="110" t="n"/>
      <c r="T2147" s="110" t="n"/>
      <c r="U2147" s="104" t="n"/>
    </row>
    <row r="2148">
      <c r="A2148" s="104" t="inlineStr">
        <is>
          <t>GUIDE002147</t>
        </is>
      </c>
      <c r="B2148" s="104" t="n"/>
      <c r="C2148" s="107" t="n"/>
      <c r="D2148" s="107" t="n"/>
      <c r="E2148" s="108" t="n"/>
      <c r="F2148" s="104" t="n"/>
      <c r="G2148" s="104" t="n"/>
      <c r="H2148" s="104" t="n"/>
      <c r="I2148" s="104" t="n"/>
      <c r="J2148" s="104" t="n"/>
      <c r="K2148" s="104" t="n"/>
      <c r="L2148" s="104" t="n"/>
      <c r="M2148" s="104" t="n"/>
      <c r="N2148" s="104" t="n"/>
      <c r="O2148" s="104" t="n"/>
      <c r="P2148" s="104" t="n"/>
      <c r="Q2148" s="104" t="n"/>
      <c r="R2148" s="104" t="n"/>
      <c r="S2148" s="110" t="n"/>
      <c r="T2148" s="110" t="n"/>
      <c r="U2148" s="104" t="n"/>
    </row>
    <row r="2149">
      <c r="A2149" s="104" t="inlineStr">
        <is>
          <t>GUIDE002148</t>
        </is>
      </c>
      <c r="B2149" s="104" t="n"/>
      <c r="C2149" s="107" t="n"/>
      <c r="D2149" s="107" t="n"/>
      <c r="E2149" s="108" t="n"/>
      <c r="F2149" s="104" t="n"/>
      <c r="G2149" s="104" t="n"/>
      <c r="H2149" s="104" t="n"/>
      <c r="I2149" s="104" t="n"/>
      <c r="J2149" s="104" t="n"/>
      <c r="K2149" s="104" t="n"/>
      <c r="L2149" s="104" t="n"/>
      <c r="M2149" s="104" t="n"/>
      <c r="N2149" s="104" t="n"/>
      <c r="O2149" s="104" t="n"/>
      <c r="P2149" s="104" t="n"/>
      <c r="Q2149" s="104" t="n"/>
      <c r="R2149" s="104" t="n"/>
      <c r="S2149" s="110" t="n"/>
      <c r="T2149" s="110" t="n"/>
      <c r="U2149" s="104" t="n"/>
    </row>
    <row r="2150">
      <c r="A2150" s="104" t="inlineStr">
        <is>
          <t>GUIDE002149</t>
        </is>
      </c>
      <c r="B2150" s="104" t="n"/>
      <c r="C2150" s="107" t="n"/>
      <c r="D2150" s="107" t="n"/>
      <c r="E2150" s="108" t="n"/>
      <c r="F2150" s="104" t="n"/>
      <c r="G2150" s="104" t="n"/>
      <c r="H2150" s="104" t="n"/>
      <c r="I2150" s="104" t="n"/>
      <c r="J2150" s="104" t="n"/>
      <c r="K2150" s="104" t="n"/>
      <c r="L2150" s="104" t="n"/>
      <c r="M2150" s="104" t="n"/>
      <c r="N2150" s="104" t="n"/>
      <c r="O2150" s="104" t="n"/>
      <c r="P2150" s="104" t="n"/>
      <c r="Q2150" s="104" t="n"/>
      <c r="R2150" s="104" t="n"/>
      <c r="S2150" s="110" t="n"/>
      <c r="T2150" s="110" t="n"/>
      <c r="U2150" s="104" t="n"/>
    </row>
    <row r="2151">
      <c r="A2151" s="105" t="inlineStr">
        <is>
          <t>GUIDE002150</t>
        </is>
      </c>
      <c r="B2151" s="104" t="n"/>
      <c r="C2151" s="107" t="n"/>
      <c r="D2151" s="107" t="n"/>
      <c r="E2151" s="108" t="n"/>
      <c r="F2151" s="104" t="n"/>
      <c r="G2151" s="104" t="n"/>
      <c r="H2151" s="104" t="n"/>
      <c r="I2151" s="104" t="n"/>
      <c r="J2151" s="104" t="n"/>
      <c r="K2151" s="104" t="n"/>
      <c r="L2151" s="104" t="n"/>
      <c r="M2151" s="104" t="n"/>
      <c r="N2151" s="104" t="n"/>
      <c r="O2151" s="104" t="n"/>
      <c r="P2151" s="104" t="n"/>
      <c r="Q2151" s="104" t="n"/>
      <c r="R2151" s="104" t="n"/>
      <c r="S2151" s="110" t="n"/>
      <c r="T2151" s="110" t="n"/>
      <c r="U2151" s="104" t="n"/>
    </row>
    <row r="2152">
      <c r="A2152" s="104" t="inlineStr">
        <is>
          <t>GUIDE002151</t>
        </is>
      </c>
      <c r="B2152" s="104" t="n"/>
      <c r="C2152" s="107" t="n"/>
      <c r="D2152" s="107" t="n"/>
      <c r="E2152" s="108" t="n"/>
      <c r="F2152" s="104" t="n"/>
      <c r="G2152" s="104" t="n"/>
      <c r="H2152" s="104" t="n"/>
      <c r="I2152" s="104" t="n"/>
      <c r="J2152" s="104" t="n"/>
      <c r="K2152" s="104" t="n"/>
      <c r="L2152" s="104" t="n"/>
      <c r="M2152" s="104" t="n"/>
      <c r="N2152" s="104" t="n"/>
      <c r="O2152" s="104" t="n"/>
      <c r="P2152" s="104" t="n"/>
      <c r="Q2152" s="104" t="n"/>
      <c r="R2152" s="104" t="n"/>
      <c r="S2152" s="110" t="n"/>
      <c r="T2152" s="110" t="n"/>
      <c r="U2152" s="104" t="n"/>
    </row>
    <row r="2153">
      <c r="A2153" s="104" t="inlineStr">
        <is>
          <t>GUIDE002152</t>
        </is>
      </c>
      <c r="B2153" s="104" t="n"/>
      <c r="C2153" s="107" t="n"/>
      <c r="D2153" s="107" t="n"/>
      <c r="E2153" s="108" t="n"/>
      <c r="F2153" s="104" t="n"/>
      <c r="G2153" s="104" t="n"/>
      <c r="H2153" s="104" t="n"/>
      <c r="I2153" s="104" t="n"/>
      <c r="J2153" s="104" t="n"/>
      <c r="K2153" s="104" t="n"/>
      <c r="L2153" s="104" t="n"/>
      <c r="M2153" s="104" t="n"/>
      <c r="N2153" s="104" t="n"/>
      <c r="O2153" s="104" t="n"/>
      <c r="P2153" s="104" t="n"/>
      <c r="Q2153" s="104" t="n"/>
      <c r="R2153" s="104" t="n"/>
      <c r="S2153" s="110" t="n"/>
      <c r="T2153" s="110" t="n"/>
      <c r="U2153" s="104" t="n"/>
    </row>
    <row r="2154">
      <c r="A2154" s="104" t="inlineStr">
        <is>
          <t>GUIDE002153</t>
        </is>
      </c>
      <c r="B2154" s="104" t="n"/>
      <c r="C2154" s="107" t="n"/>
      <c r="D2154" s="107" t="n"/>
      <c r="E2154" s="108" t="n"/>
      <c r="F2154" s="104" t="n"/>
      <c r="G2154" s="104" t="n"/>
      <c r="H2154" s="104" t="n"/>
      <c r="I2154" s="104" t="n"/>
      <c r="J2154" s="104" t="n"/>
      <c r="K2154" s="104" t="n"/>
      <c r="L2154" s="104" t="n"/>
      <c r="M2154" s="104" t="n"/>
      <c r="N2154" s="104" t="n"/>
      <c r="O2154" s="104" t="n"/>
      <c r="P2154" s="104" t="n"/>
      <c r="Q2154" s="104" t="n"/>
      <c r="R2154" s="104" t="n"/>
      <c r="S2154" s="110" t="n"/>
      <c r="T2154" s="110" t="n"/>
      <c r="U2154" s="104" t="n"/>
    </row>
    <row r="2155">
      <c r="A2155" s="105" t="inlineStr">
        <is>
          <t>GUIDE002154</t>
        </is>
      </c>
      <c r="B2155" s="104" t="n"/>
      <c r="C2155" s="107" t="n"/>
      <c r="D2155" s="107" t="n"/>
      <c r="E2155" s="108" t="n"/>
      <c r="F2155" s="104" t="n"/>
      <c r="G2155" s="104" t="n"/>
      <c r="H2155" s="104" t="n"/>
      <c r="I2155" s="104" t="n"/>
      <c r="J2155" s="104" t="n"/>
      <c r="K2155" s="104" t="n"/>
      <c r="L2155" s="104" t="n"/>
      <c r="M2155" s="104" t="n"/>
      <c r="N2155" s="104" t="n"/>
      <c r="O2155" s="104" t="n"/>
      <c r="P2155" s="104" t="n"/>
      <c r="Q2155" s="104" t="n"/>
      <c r="R2155" s="104" t="n"/>
      <c r="S2155" s="110" t="n"/>
      <c r="T2155" s="110" t="n"/>
      <c r="U2155" s="104" t="n"/>
    </row>
    <row r="2156">
      <c r="A2156" s="104" t="inlineStr">
        <is>
          <t>GUIDE002155</t>
        </is>
      </c>
      <c r="B2156" s="104" t="n"/>
      <c r="C2156" s="107" t="n"/>
      <c r="D2156" s="107" t="n"/>
      <c r="E2156" s="108" t="n"/>
      <c r="F2156" s="104" t="n"/>
      <c r="G2156" s="104" t="n"/>
      <c r="H2156" s="104" t="n"/>
      <c r="I2156" s="104" t="n"/>
      <c r="J2156" s="104" t="n"/>
      <c r="K2156" s="104" t="n"/>
      <c r="L2156" s="104" t="n"/>
      <c r="M2156" s="104" t="n"/>
      <c r="N2156" s="104" t="n"/>
      <c r="O2156" s="104" t="n"/>
      <c r="P2156" s="104" t="n"/>
      <c r="Q2156" s="104" t="n"/>
      <c r="R2156" s="104" t="n"/>
      <c r="S2156" s="110" t="n"/>
      <c r="T2156" s="110" t="n"/>
      <c r="U2156" s="104" t="n"/>
    </row>
    <row r="2157">
      <c r="A2157" s="104" t="inlineStr">
        <is>
          <t>GUIDE002156</t>
        </is>
      </c>
      <c r="B2157" s="104" t="n"/>
      <c r="C2157" s="107" t="n"/>
      <c r="D2157" s="107" t="n"/>
      <c r="E2157" s="108" t="n"/>
      <c r="F2157" s="104" t="n"/>
      <c r="G2157" s="104" t="n"/>
      <c r="H2157" s="104" t="n"/>
      <c r="I2157" s="104" t="n"/>
      <c r="J2157" s="104" t="n"/>
      <c r="K2157" s="104" t="n"/>
      <c r="L2157" s="104" t="n"/>
      <c r="M2157" s="104" t="n"/>
      <c r="N2157" s="104" t="n"/>
      <c r="O2157" s="104" t="n"/>
      <c r="P2157" s="104" t="n"/>
      <c r="Q2157" s="104" t="n"/>
      <c r="R2157" s="104" t="n"/>
      <c r="S2157" s="110" t="n"/>
      <c r="T2157" s="110" t="n"/>
      <c r="U2157" s="104" t="n"/>
    </row>
    <row r="2158">
      <c r="A2158" s="104" t="inlineStr">
        <is>
          <t>GUIDE002157</t>
        </is>
      </c>
      <c r="B2158" s="104" t="n"/>
      <c r="C2158" s="107" t="n"/>
      <c r="D2158" s="107" t="n"/>
      <c r="E2158" s="108" t="n"/>
      <c r="F2158" s="104" t="n"/>
      <c r="G2158" s="104" t="n"/>
      <c r="H2158" s="104" t="n"/>
      <c r="I2158" s="104" t="n"/>
      <c r="J2158" s="104" t="n"/>
      <c r="K2158" s="104" t="n"/>
      <c r="L2158" s="104" t="n"/>
      <c r="M2158" s="104" t="n"/>
      <c r="N2158" s="104" t="n"/>
      <c r="O2158" s="104" t="n"/>
      <c r="P2158" s="104" t="n"/>
      <c r="Q2158" s="104" t="n"/>
      <c r="R2158" s="104" t="n"/>
      <c r="S2158" s="110" t="n"/>
      <c r="T2158" s="110" t="n"/>
      <c r="U2158" s="104" t="n"/>
    </row>
    <row r="2159">
      <c r="A2159" s="105" t="inlineStr">
        <is>
          <t>GUIDE002158</t>
        </is>
      </c>
      <c r="B2159" s="104" t="n"/>
      <c r="C2159" s="107" t="n"/>
      <c r="D2159" s="107" t="n"/>
      <c r="E2159" s="108" t="n"/>
      <c r="F2159" s="104" t="n"/>
      <c r="G2159" s="104" t="n"/>
      <c r="H2159" s="104" t="n"/>
      <c r="I2159" s="104" t="n"/>
      <c r="J2159" s="104" t="n"/>
      <c r="K2159" s="104" t="n"/>
      <c r="L2159" s="104" t="n"/>
      <c r="M2159" s="104" t="n"/>
      <c r="N2159" s="104" t="n"/>
      <c r="O2159" s="104" t="n"/>
      <c r="P2159" s="104" t="n"/>
      <c r="Q2159" s="104" t="n"/>
      <c r="R2159" s="104" t="n"/>
      <c r="S2159" s="110" t="n"/>
      <c r="T2159" s="110" t="n"/>
      <c r="U2159" s="104" t="n"/>
    </row>
    <row r="2160">
      <c r="A2160" s="104" t="inlineStr">
        <is>
          <t>GUIDE002159</t>
        </is>
      </c>
      <c r="B2160" s="104" t="n"/>
      <c r="C2160" s="107" t="n"/>
      <c r="D2160" s="107" t="n"/>
      <c r="E2160" s="108" t="n"/>
      <c r="F2160" s="104" t="n"/>
      <c r="G2160" s="104" t="n"/>
      <c r="H2160" s="104" t="n"/>
      <c r="I2160" s="104" t="n"/>
      <c r="J2160" s="104" t="n"/>
      <c r="K2160" s="104" t="n"/>
      <c r="L2160" s="104" t="n"/>
      <c r="M2160" s="104" t="n"/>
      <c r="N2160" s="104" t="n"/>
      <c r="O2160" s="104" t="n"/>
      <c r="P2160" s="104" t="n"/>
      <c r="Q2160" s="104" t="n"/>
      <c r="R2160" s="104" t="n"/>
      <c r="S2160" s="110" t="n"/>
      <c r="T2160" s="110" t="n"/>
      <c r="U2160" s="104" t="n"/>
    </row>
    <row r="2161">
      <c r="A2161" s="104" t="inlineStr">
        <is>
          <t>GUIDE002160</t>
        </is>
      </c>
      <c r="B2161" s="104" t="n"/>
      <c r="C2161" s="107" t="n"/>
      <c r="D2161" s="107" t="n"/>
      <c r="E2161" s="108" t="n"/>
      <c r="F2161" s="104" t="n"/>
      <c r="G2161" s="104" t="n"/>
      <c r="H2161" s="104" t="n"/>
      <c r="I2161" s="104" t="n"/>
      <c r="J2161" s="104" t="n"/>
      <c r="K2161" s="104" t="n"/>
      <c r="L2161" s="104" t="n"/>
      <c r="M2161" s="104" t="n"/>
      <c r="N2161" s="104" t="n"/>
      <c r="O2161" s="104" t="n"/>
      <c r="P2161" s="104" t="n"/>
      <c r="Q2161" s="104" t="n"/>
      <c r="R2161" s="104" t="n"/>
      <c r="S2161" s="110" t="n"/>
      <c r="T2161" s="110" t="n"/>
      <c r="U2161" s="104" t="n"/>
    </row>
    <row r="2162">
      <c r="A2162" s="104" t="inlineStr">
        <is>
          <t>GUIDE002161</t>
        </is>
      </c>
      <c r="B2162" s="104" t="n"/>
      <c r="C2162" s="107" t="n"/>
      <c r="D2162" s="107" t="n"/>
      <c r="E2162" s="108" t="n"/>
      <c r="F2162" s="104" t="n"/>
      <c r="G2162" s="104" t="n"/>
      <c r="H2162" s="104" t="n"/>
      <c r="I2162" s="104" t="n"/>
      <c r="J2162" s="104" t="n"/>
      <c r="K2162" s="104" t="n"/>
      <c r="L2162" s="104" t="n"/>
      <c r="M2162" s="104" t="n"/>
      <c r="N2162" s="104" t="n"/>
      <c r="O2162" s="104" t="n"/>
      <c r="P2162" s="104" t="n"/>
      <c r="Q2162" s="104" t="n"/>
      <c r="R2162" s="104" t="n"/>
      <c r="S2162" s="110" t="n"/>
      <c r="T2162" s="110" t="n"/>
      <c r="U2162" s="104" t="n"/>
    </row>
    <row r="2163">
      <c r="A2163" s="105" t="inlineStr">
        <is>
          <t>GUIDE002162</t>
        </is>
      </c>
      <c r="B2163" s="104" t="n"/>
      <c r="C2163" s="107" t="n"/>
      <c r="D2163" s="107" t="n"/>
      <c r="E2163" s="108" t="n"/>
      <c r="F2163" s="104" t="n"/>
      <c r="G2163" s="104" t="n"/>
      <c r="H2163" s="104" t="n"/>
      <c r="I2163" s="104" t="n"/>
      <c r="J2163" s="104" t="n"/>
      <c r="K2163" s="104" t="n"/>
      <c r="L2163" s="104" t="n"/>
      <c r="M2163" s="104" t="n"/>
      <c r="N2163" s="104" t="n"/>
      <c r="O2163" s="104" t="n"/>
      <c r="P2163" s="104" t="n"/>
      <c r="Q2163" s="104" t="n"/>
      <c r="R2163" s="104" t="n"/>
      <c r="S2163" s="110" t="n"/>
      <c r="T2163" s="110" t="n"/>
      <c r="U2163" s="104" t="n"/>
    </row>
    <row r="2164">
      <c r="A2164" s="104" t="inlineStr">
        <is>
          <t>GUIDE002163</t>
        </is>
      </c>
      <c r="B2164" s="104" t="n"/>
      <c r="C2164" s="107" t="n"/>
      <c r="D2164" s="107" t="n"/>
      <c r="E2164" s="108" t="n"/>
      <c r="F2164" s="104" t="n"/>
      <c r="G2164" s="104" t="n"/>
      <c r="H2164" s="104" t="n"/>
      <c r="I2164" s="104" t="n"/>
      <c r="J2164" s="104" t="n"/>
      <c r="K2164" s="104" t="n"/>
      <c r="L2164" s="104" t="n"/>
      <c r="M2164" s="104" t="n"/>
      <c r="N2164" s="104" t="n"/>
      <c r="O2164" s="104" t="n"/>
      <c r="P2164" s="104" t="n"/>
      <c r="Q2164" s="104" t="n"/>
      <c r="R2164" s="104" t="n"/>
      <c r="S2164" s="110" t="n"/>
      <c r="T2164" s="110" t="n"/>
      <c r="U2164" s="104" t="n"/>
    </row>
    <row r="2165">
      <c r="A2165" s="104" t="inlineStr">
        <is>
          <t>GUIDE002164</t>
        </is>
      </c>
      <c r="B2165" s="104" t="n"/>
      <c r="C2165" s="107" t="n"/>
      <c r="D2165" s="107" t="n"/>
      <c r="E2165" s="108" t="n"/>
      <c r="F2165" s="104" t="n"/>
      <c r="G2165" s="104" t="n"/>
      <c r="H2165" s="104" t="n"/>
      <c r="I2165" s="104" t="n"/>
      <c r="J2165" s="104" t="n"/>
      <c r="K2165" s="104" t="n"/>
      <c r="L2165" s="104" t="n"/>
      <c r="M2165" s="104" t="n"/>
      <c r="N2165" s="104" t="n"/>
      <c r="O2165" s="104" t="n"/>
      <c r="P2165" s="104" t="n"/>
      <c r="Q2165" s="104" t="n"/>
      <c r="R2165" s="104" t="n"/>
      <c r="S2165" s="110" t="n"/>
      <c r="T2165" s="110" t="n"/>
      <c r="U2165" s="104" t="n"/>
    </row>
    <row r="2166">
      <c r="A2166" s="104" t="inlineStr">
        <is>
          <t>GUIDE002165</t>
        </is>
      </c>
      <c r="B2166" s="104" t="n"/>
      <c r="C2166" s="107" t="n"/>
      <c r="D2166" s="107" t="n"/>
      <c r="E2166" s="108" t="n"/>
      <c r="F2166" s="104" t="n"/>
      <c r="G2166" s="104" t="n"/>
      <c r="H2166" s="104" t="n"/>
      <c r="I2166" s="104" t="n"/>
      <c r="J2166" s="104" t="n"/>
      <c r="K2166" s="104" t="n"/>
      <c r="L2166" s="104" t="n"/>
      <c r="M2166" s="104" t="n"/>
      <c r="N2166" s="104" t="n"/>
      <c r="O2166" s="104" t="n"/>
      <c r="P2166" s="104" t="n"/>
      <c r="Q2166" s="104" t="n"/>
      <c r="R2166" s="104" t="n"/>
      <c r="S2166" s="110" t="n"/>
      <c r="T2166" s="110" t="n"/>
      <c r="U2166" s="104" t="n"/>
    </row>
    <row r="2167">
      <c r="A2167" s="105" t="inlineStr">
        <is>
          <t>GUIDE002166</t>
        </is>
      </c>
      <c r="B2167" s="104" t="n"/>
      <c r="C2167" s="107" t="n"/>
      <c r="D2167" s="107" t="n"/>
      <c r="E2167" s="108" t="n"/>
      <c r="F2167" s="104" t="n"/>
      <c r="G2167" s="104" t="n"/>
      <c r="H2167" s="104" t="n"/>
      <c r="I2167" s="104" t="n"/>
      <c r="J2167" s="104" t="n"/>
      <c r="K2167" s="104" t="n"/>
      <c r="L2167" s="104" t="n"/>
      <c r="M2167" s="104" t="n"/>
      <c r="N2167" s="104" t="n"/>
      <c r="O2167" s="104" t="n"/>
      <c r="P2167" s="104" t="n"/>
      <c r="Q2167" s="104" t="n"/>
      <c r="R2167" s="104" t="n"/>
      <c r="S2167" s="110" t="n"/>
      <c r="T2167" s="110" t="n"/>
      <c r="U2167" s="104" t="n"/>
    </row>
    <row r="2168">
      <c r="A2168" s="104" t="inlineStr">
        <is>
          <t>GUIDE002167</t>
        </is>
      </c>
      <c r="B2168" s="104" t="n"/>
      <c r="C2168" s="107" t="n"/>
      <c r="D2168" s="107" t="n"/>
      <c r="E2168" s="108" t="n"/>
      <c r="F2168" s="104" t="n"/>
      <c r="G2168" s="104" t="n"/>
      <c r="H2168" s="104" t="n"/>
      <c r="I2168" s="104" t="n"/>
      <c r="J2168" s="104" t="n"/>
      <c r="K2168" s="104" t="n"/>
      <c r="L2168" s="104" t="n"/>
      <c r="M2168" s="104" t="n"/>
      <c r="N2168" s="104" t="n"/>
      <c r="O2168" s="104" t="n"/>
      <c r="P2168" s="104" t="n"/>
      <c r="Q2168" s="104" t="n"/>
      <c r="R2168" s="104" t="n"/>
      <c r="S2168" s="110" t="n"/>
      <c r="T2168" s="110" t="n"/>
      <c r="U2168" s="104" t="n"/>
    </row>
    <row r="2169">
      <c r="A2169" s="104" t="inlineStr">
        <is>
          <t>GUIDE002168</t>
        </is>
      </c>
      <c r="B2169" s="104" t="n"/>
      <c r="C2169" s="107" t="n"/>
      <c r="D2169" s="107" t="n"/>
      <c r="E2169" s="108" t="n"/>
      <c r="F2169" s="104" t="n"/>
      <c r="G2169" s="104" t="n"/>
      <c r="H2169" s="104" t="n"/>
      <c r="I2169" s="104" t="n"/>
      <c r="J2169" s="104" t="n"/>
      <c r="K2169" s="104" t="n"/>
      <c r="L2169" s="104" t="n"/>
      <c r="M2169" s="104" t="n"/>
      <c r="N2169" s="104" t="n"/>
      <c r="O2169" s="104" t="n"/>
      <c r="P2169" s="104" t="n"/>
      <c r="Q2169" s="104" t="n"/>
      <c r="R2169" s="104" t="n"/>
      <c r="S2169" s="110" t="n"/>
      <c r="T2169" s="110" t="n"/>
      <c r="U2169" s="104" t="n"/>
    </row>
    <row r="2170">
      <c r="A2170" s="104" t="inlineStr">
        <is>
          <t>GUIDE002169</t>
        </is>
      </c>
      <c r="B2170" s="104" t="n"/>
      <c r="C2170" s="107" t="n"/>
      <c r="D2170" s="107" t="n"/>
      <c r="E2170" s="108" t="n"/>
      <c r="F2170" s="104" t="n"/>
      <c r="G2170" s="104" t="n"/>
      <c r="H2170" s="104" t="n"/>
      <c r="I2170" s="104" t="n"/>
      <c r="J2170" s="104" t="n"/>
      <c r="K2170" s="104" t="n"/>
      <c r="L2170" s="104" t="n"/>
      <c r="M2170" s="104" t="n"/>
      <c r="N2170" s="104" t="n"/>
      <c r="O2170" s="104" t="n"/>
      <c r="P2170" s="104" t="n"/>
      <c r="Q2170" s="104" t="n"/>
      <c r="R2170" s="104" t="n"/>
      <c r="S2170" s="110" t="n"/>
      <c r="T2170" s="110" t="n"/>
      <c r="U2170" s="104" t="n"/>
    </row>
    <row r="2171">
      <c r="A2171" s="105" t="inlineStr">
        <is>
          <t>GUIDE002170</t>
        </is>
      </c>
      <c r="B2171" s="104" t="n"/>
      <c r="C2171" s="107" t="n"/>
      <c r="D2171" s="107" t="n"/>
      <c r="E2171" s="108" t="n"/>
      <c r="F2171" s="104" t="n"/>
      <c r="G2171" s="104" t="n"/>
      <c r="H2171" s="104" t="n"/>
      <c r="I2171" s="104" t="n"/>
      <c r="J2171" s="104" t="n"/>
      <c r="K2171" s="104" t="n"/>
      <c r="L2171" s="104" t="n"/>
      <c r="M2171" s="104" t="n"/>
      <c r="N2171" s="104" t="n"/>
      <c r="O2171" s="104" t="n"/>
      <c r="P2171" s="104" t="n"/>
      <c r="Q2171" s="104" t="n"/>
      <c r="R2171" s="104" t="n"/>
      <c r="S2171" s="110" t="n"/>
      <c r="T2171" s="110" t="n"/>
      <c r="U2171" s="104" t="n"/>
    </row>
    <row r="2172">
      <c r="A2172" s="104" t="inlineStr">
        <is>
          <t>GUIDE002171</t>
        </is>
      </c>
      <c r="B2172" s="104" t="n"/>
      <c r="C2172" s="107" t="n"/>
      <c r="D2172" s="107" t="n"/>
      <c r="E2172" s="108" t="n"/>
      <c r="F2172" s="104" t="n"/>
      <c r="G2172" s="104" t="n"/>
      <c r="H2172" s="104" t="n"/>
      <c r="I2172" s="104" t="n"/>
      <c r="J2172" s="104" t="n"/>
      <c r="K2172" s="104" t="n"/>
      <c r="L2172" s="104" t="n"/>
      <c r="M2172" s="104" t="n"/>
      <c r="N2172" s="104" t="n"/>
      <c r="O2172" s="104" t="n"/>
      <c r="P2172" s="104" t="n"/>
      <c r="Q2172" s="104" t="n"/>
      <c r="R2172" s="104" t="n"/>
      <c r="S2172" s="110" t="n"/>
      <c r="T2172" s="110" t="n"/>
      <c r="U2172" s="104" t="n"/>
    </row>
    <row r="2173">
      <c r="A2173" s="104" t="inlineStr">
        <is>
          <t>GUIDE002172</t>
        </is>
      </c>
      <c r="B2173" s="104" t="n"/>
      <c r="C2173" s="107" t="n"/>
      <c r="D2173" s="107" t="n"/>
      <c r="E2173" s="108" t="n"/>
      <c r="F2173" s="104" t="n"/>
      <c r="G2173" s="104" t="n"/>
      <c r="H2173" s="104" t="n"/>
      <c r="I2173" s="104" t="n"/>
      <c r="J2173" s="104" t="n"/>
      <c r="K2173" s="104" t="n"/>
      <c r="L2173" s="104" t="n"/>
      <c r="M2173" s="104" t="n"/>
      <c r="N2173" s="104" t="n"/>
      <c r="O2173" s="104" t="n"/>
      <c r="P2173" s="104" t="n"/>
      <c r="Q2173" s="104" t="n"/>
      <c r="R2173" s="104" t="n"/>
      <c r="S2173" s="110" t="n"/>
      <c r="T2173" s="110" t="n"/>
      <c r="U2173" s="104" t="n"/>
    </row>
    <row r="2174">
      <c r="A2174" s="104" t="inlineStr">
        <is>
          <t>GUIDE002173</t>
        </is>
      </c>
      <c r="B2174" s="104" t="n"/>
      <c r="C2174" s="107" t="n"/>
      <c r="D2174" s="107" t="n"/>
      <c r="E2174" s="108" t="n"/>
      <c r="F2174" s="104" t="n"/>
      <c r="G2174" s="104" t="n"/>
      <c r="H2174" s="104" t="n"/>
      <c r="I2174" s="104" t="n"/>
      <c r="J2174" s="104" t="n"/>
      <c r="K2174" s="104" t="n"/>
      <c r="L2174" s="104" t="n"/>
      <c r="M2174" s="104" t="n"/>
      <c r="N2174" s="104" t="n"/>
      <c r="O2174" s="104" t="n"/>
      <c r="P2174" s="104" t="n"/>
      <c r="Q2174" s="104" t="n"/>
      <c r="R2174" s="104" t="n"/>
      <c r="S2174" s="110" t="n"/>
      <c r="T2174" s="110" t="n"/>
      <c r="U2174" s="104" t="n"/>
    </row>
    <row r="2175">
      <c r="A2175" s="105" t="inlineStr">
        <is>
          <t>GUIDE002174</t>
        </is>
      </c>
      <c r="B2175" s="104" t="n"/>
      <c r="C2175" s="107" t="n"/>
      <c r="D2175" s="107" t="n"/>
      <c r="E2175" s="108" t="n"/>
      <c r="F2175" s="104" t="n"/>
      <c r="G2175" s="104" t="n"/>
      <c r="H2175" s="104" t="n"/>
      <c r="I2175" s="104" t="n"/>
      <c r="J2175" s="104" t="n"/>
      <c r="K2175" s="104" t="n"/>
      <c r="L2175" s="104" t="n"/>
      <c r="M2175" s="104" t="n"/>
      <c r="N2175" s="104" t="n"/>
      <c r="O2175" s="104" t="n"/>
      <c r="P2175" s="104" t="n"/>
      <c r="Q2175" s="104" t="n"/>
      <c r="R2175" s="104" t="n"/>
      <c r="S2175" s="110" t="n"/>
      <c r="T2175" s="110" t="n"/>
      <c r="U2175" s="104" t="n"/>
    </row>
    <row r="2176">
      <c r="A2176" s="104" t="inlineStr">
        <is>
          <t>GUIDE002175</t>
        </is>
      </c>
      <c r="B2176" s="104" t="n"/>
      <c r="C2176" s="107" t="n"/>
      <c r="D2176" s="107" t="n"/>
      <c r="E2176" s="108" t="n"/>
      <c r="F2176" s="104" t="n"/>
      <c r="G2176" s="104" t="n"/>
      <c r="H2176" s="104" t="n"/>
      <c r="I2176" s="104" t="n"/>
      <c r="J2176" s="104" t="n"/>
      <c r="K2176" s="104" t="n"/>
      <c r="L2176" s="104" t="n"/>
      <c r="M2176" s="104" t="n"/>
      <c r="N2176" s="104" t="n"/>
      <c r="O2176" s="104" t="n"/>
      <c r="P2176" s="104" t="n"/>
      <c r="Q2176" s="104" t="n"/>
      <c r="R2176" s="104" t="n"/>
      <c r="S2176" s="110" t="n"/>
      <c r="T2176" s="110" t="n"/>
      <c r="U2176" s="104" t="n"/>
    </row>
    <row r="2177">
      <c r="A2177" s="104" t="inlineStr">
        <is>
          <t>GUIDE002176</t>
        </is>
      </c>
      <c r="B2177" s="104" t="n"/>
      <c r="C2177" s="107" t="n"/>
      <c r="D2177" s="107" t="n"/>
      <c r="E2177" s="108" t="n"/>
      <c r="F2177" s="104" t="n"/>
      <c r="G2177" s="104" t="n"/>
      <c r="H2177" s="104" t="n"/>
      <c r="I2177" s="104" t="n"/>
      <c r="J2177" s="104" t="n"/>
      <c r="K2177" s="104" t="n"/>
      <c r="L2177" s="104" t="n"/>
      <c r="M2177" s="104" t="n"/>
      <c r="N2177" s="104" t="n"/>
      <c r="O2177" s="104" t="n"/>
      <c r="P2177" s="104" t="n"/>
      <c r="Q2177" s="104" t="n"/>
      <c r="R2177" s="104" t="n"/>
      <c r="S2177" s="110" t="n"/>
      <c r="T2177" s="110" t="n"/>
      <c r="U2177" s="104" t="n"/>
    </row>
    <row r="2178">
      <c r="A2178" s="104" t="inlineStr">
        <is>
          <t>GUIDE002177</t>
        </is>
      </c>
      <c r="B2178" s="104" t="n"/>
      <c r="C2178" s="107" t="n"/>
      <c r="D2178" s="107" t="n"/>
      <c r="E2178" s="108" t="n"/>
      <c r="F2178" s="104" t="n"/>
      <c r="G2178" s="104" t="n"/>
      <c r="H2178" s="104" t="n"/>
      <c r="I2178" s="104" t="n"/>
      <c r="J2178" s="104" t="n"/>
      <c r="K2178" s="104" t="n"/>
      <c r="L2178" s="104" t="n"/>
      <c r="M2178" s="104" t="n"/>
      <c r="N2178" s="104" t="n"/>
      <c r="O2178" s="104" t="n"/>
      <c r="P2178" s="104" t="n"/>
      <c r="Q2178" s="104" t="n"/>
      <c r="R2178" s="104" t="n"/>
      <c r="S2178" s="110" t="n"/>
      <c r="T2178" s="110" t="n"/>
      <c r="U2178" s="104" t="n"/>
    </row>
    <row r="2179">
      <c r="A2179" s="105" t="inlineStr">
        <is>
          <t>GUIDE002178</t>
        </is>
      </c>
      <c r="B2179" s="104" t="n"/>
      <c r="C2179" s="107" t="n"/>
      <c r="D2179" s="107" t="n"/>
      <c r="E2179" s="108" t="n"/>
      <c r="F2179" s="104" t="n"/>
      <c r="G2179" s="104" t="n"/>
      <c r="H2179" s="104" t="n"/>
      <c r="I2179" s="104" t="n"/>
      <c r="J2179" s="104" t="n"/>
      <c r="K2179" s="104" t="n"/>
      <c r="L2179" s="104" t="n"/>
      <c r="M2179" s="104" t="n"/>
      <c r="N2179" s="104" t="n"/>
      <c r="O2179" s="104" t="n"/>
      <c r="P2179" s="104" t="n"/>
      <c r="Q2179" s="104" t="n"/>
      <c r="R2179" s="104" t="n"/>
      <c r="S2179" s="110" t="n"/>
      <c r="T2179" s="110" t="n"/>
      <c r="U2179" s="104" t="n"/>
    </row>
    <row r="2180">
      <c r="A2180" s="104" t="inlineStr">
        <is>
          <t>GUIDE002179</t>
        </is>
      </c>
      <c r="B2180" s="104" t="n"/>
      <c r="C2180" s="107" t="n"/>
      <c r="D2180" s="107" t="n"/>
      <c r="E2180" s="108" t="n"/>
      <c r="F2180" s="104" t="n"/>
      <c r="G2180" s="104" t="n"/>
      <c r="H2180" s="104" t="n"/>
      <c r="I2180" s="104" t="n"/>
      <c r="J2180" s="104" t="n"/>
      <c r="K2180" s="104" t="n"/>
      <c r="L2180" s="104" t="n"/>
      <c r="M2180" s="104" t="n"/>
      <c r="N2180" s="104" t="n"/>
      <c r="O2180" s="104" t="n"/>
      <c r="P2180" s="104" t="n"/>
      <c r="Q2180" s="104" t="n"/>
      <c r="R2180" s="104" t="n"/>
      <c r="S2180" s="110" t="n"/>
      <c r="T2180" s="110" t="n"/>
      <c r="U2180" s="104" t="n"/>
    </row>
    <row r="2181">
      <c r="A2181" s="104" t="inlineStr">
        <is>
          <t>GUIDE002180</t>
        </is>
      </c>
      <c r="B2181" s="104" t="n"/>
      <c r="C2181" s="107" t="n"/>
      <c r="D2181" s="107" t="n"/>
      <c r="E2181" s="108" t="n"/>
      <c r="F2181" s="104" t="n"/>
      <c r="G2181" s="104" t="n"/>
      <c r="H2181" s="104" t="n"/>
      <c r="I2181" s="104" t="n"/>
      <c r="J2181" s="104" t="n"/>
      <c r="K2181" s="104" t="n"/>
      <c r="L2181" s="104" t="n"/>
      <c r="M2181" s="104" t="n"/>
      <c r="N2181" s="104" t="n"/>
      <c r="O2181" s="104" t="n"/>
      <c r="P2181" s="104" t="n"/>
      <c r="Q2181" s="104" t="n"/>
      <c r="R2181" s="104" t="n"/>
      <c r="S2181" s="110" t="n"/>
      <c r="T2181" s="110" t="n"/>
      <c r="U2181" s="104" t="n"/>
    </row>
    <row r="2182">
      <c r="A2182" s="104" t="inlineStr">
        <is>
          <t>GUIDE002181</t>
        </is>
      </c>
      <c r="B2182" s="104" t="n"/>
      <c r="C2182" s="107" t="n"/>
      <c r="D2182" s="107" t="n"/>
      <c r="E2182" s="108" t="n"/>
      <c r="F2182" s="104" t="n"/>
      <c r="G2182" s="104" t="n"/>
      <c r="H2182" s="104" t="n"/>
      <c r="I2182" s="104" t="n"/>
      <c r="J2182" s="104" t="n"/>
      <c r="K2182" s="104" t="n"/>
      <c r="L2182" s="104" t="n"/>
      <c r="M2182" s="104" t="n"/>
      <c r="N2182" s="104" t="n"/>
      <c r="O2182" s="104" t="n"/>
      <c r="P2182" s="104" t="n"/>
      <c r="Q2182" s="104" t="n"/>
      <c r="R2182" s="104" t="n"/>
      <c r="S2182" s="110" t="n"/>
      <c r="T2182" s="110" t="n"/>
      <c r="U2182" s="104" t="n"/>
    </row>
    <row r="2183">
      <c r="A2183" s="105" t="inlineStr">
        <is>
          <t>GUIDE002182</t>
        </is>
      </c>
      <c r="B2183" s="104" t="n"/>
      <c r="C2183" s="107" t="n"/>
      <c r="D2183" s="107" t="n"/>
      <c r="E2183" s="108" t="n"/>
      <c r="F2183" s="104" t="n"/>
      <c r="G2183" s="104" t="n"/>
      <c r="H2183" s="104" t="n"/>
      <c r="I2183" s="104" t="n"/>
      <c r="J2183" s="104" t="n"/>
      <c r="K2183" s="104" t="n"/>
      <c r="L2183" s="104" t="n"/>
      <c r="M2183" s="104" t="n"/>
      <c r="N2183" s="104" t="n"/>
      <c r="O2183" s="104" t="n"/>
      <c r="P2183" s="104" t="n"/>
      <c r="Q2183" s="104" t="n"/>
      <c r="R2183" s="104" t="n"/>
      <c r="S2183" s="110" t="n"/>
      <c r="T2183" s="110" t="n"/>
      <c r="U2183" s="104" t="n"/>
    </row>
    <row r="2184">
      <c r="A2184" s="104" t="inlineStr">
        <is>
          <t>GUIDE002183</t>
        </is>
      </c>
      <c r="B2184" s="104" t="n"/>
      <c r="C2184" s="107" t="n"/>
      <c r="D2184" s="107" t="n"/>
      <c r="E2184" s="108" t="n"/>
      <c r="F2184" s="104" t="n"/>
      <c r="G2184" s="104" t="n"/>
      <c r="H2184" s="104" t="n"/>
      <c r="I2184" s="104" t="n"/>
      <c r="J2184" s="104" t="n"/>
      <c r="K2184" s="104" t="n"/>
      <c r="L2184" s="104" t="n"/>
      <c r="M2184" s="104" t="n"/>
      <c r="N2184" s="104" t="n"/>
      <c r="O2184" s="104" t="n"/>
      <c r="P2184" s="104" t="n"/>
      <c r="Q2184" s="104" t="n"/>
      <c r="R2184" s="104" t="n"/>
      <c r="S2184" s="110" t="n"/>
      <c r="T2184" s="110" t="n"/>
      <c r="U2184" s="104" t="n"/>
    </row>
    <row r="2185">
      <c r="A2185" s="104" t="inlineStr">
        <is>
          <t>GUIDE002184</t>
        </is>
      </c>
      <c r="B2185" s="104" t="n"/>
      <c r="C2185" s="107" t="n"/>
      <c r="D2185" s="107" t="n"/>
      <c r="E2185" s="108" t="n"/>
      <c r="F2185" s="104" t="n"/>
      <c r="G2185" s="104" t="n"/>
      <c r="H2185" s="104" t="n"/>
      <c r="I2185" s="104" t="n"/>
      <c r="J2185" s="104" t="n"/>
      <c r="K2185" s="104" t="n"/>
      <c r="L2185" s="104" t="n"/>
      <c r="M2185" s="104" t="n"/>
      <c r="N2185" s="104" t="n"/>
      <c r="O2185" s="104" t="n"/>
      <c r="P2185" s="104" t="n"/>
      <c r="Q2185" s="104" t="n"/>
      <c r="R2185" s="104" t="n"/>
      <c r="S2185" s="110" t="n"/>
      <c r="T2185" s="110" t="n"/>
      <c r="U2185" s="104" t="n"/>
    </row>
    <row r="2186">
      <c r="A2186" s="104" t="inlineStr">
        <is>
          <t>GUIDE002185</t>
        </is>
      </c>
      <c r="B2186" s="104" t="n"/>
      <c r="C2186" s="107" t="n"/>
      <c r="D2186" s="107" t="n"/>
      <c r="E2186" s="108" t="n"/>
      <c r="F2186" s="104" t="n"/>
      <c r="G2186" s="104" t="n"/>
      <c r="H2186" s="104" t="n"/>
      <c r="I2186" s="104" t="n"/>
      <c r="J2186" s="104" t="n"/>
      <c r="K2186" s="104" t="n"/>
      <c r="L2186" s="104" t="n"/>
      <c r="M2186" s="104" t="n"/>
      <c r="N2186" s="104" t="n"/>
      <c r="O2186" s="104" t="n"/>
      <c r="P2186" s="104" t="n"/>
      <c r="Q2186" s="104" t="n"/>
      <c r="R2186" s="104" t="n"/>
      <c r="S2186" s="110" t="n"/>
      <c r="T2186" s="110" t="n"/>
      <c r="U2186" s="104" t="n"/>
    </row>
    <row r="2187">
      <c r="A2187" s="105" t="inlineStr">
        <is>
          <t>GUIDE002186</t>
        </is>
      </c>
      <c r="B2187" s="104" t="n"/>
      <c r="C2187" s="107" t="n"/>
      <c r="D2187" s="107" t="n"/>
      <c r="E2187" s="108" t="n"/>
      <c r="F2187" s="104" t="n"/>
      <c r="G2187" s="104" t="n"/>
      <c r="H2187" s="104" t="n"/>
      <c r="I2187" s="104" t="n"/>
      <c r="J2187" s="104" t="n"/>
      <c r="K2187" s="104" t="n"/>
      <c r="L2187" s="104" t="n"/>
      <c r="M2187" s="104" t="n"/>
      <c r="N2187" s="104" t="n"/>
      <c r="O2187" s="104" t="n"/>
      <c r="P2187" s="104" t="n"/>
      <c r="Q2187" s="104" t="n"/>
      <c r="R2187" s="104" t="n"/>
      <c r="S2187" s="110" t="n"/>
      <c r="T2187" s="110" t="n"/>
      <c r="U2187" s="104" t="n"/>
    </row>
    <row r="2188">
      <c r="A2188" s="104" t="inlineStr">
        <is>
          <t>GUIDE002187</t>
        </is>
      </c>
      <c r="B2188" s="104" t="n"/>
      <c r="C2188" s="107" t="n"/>
      <c r="D2188" s="107" t="n"/>
      <c r="E2188" s="108" t="n"/>
      <c r="F2188" s="104" t="n"/>
      <c r="G2188" s="104" t="n"/>
      <c r="H2188" s="104" t="n"/>
      <c r="I2188" s="104" t="n"/>
      <c r="J2188" s="104" t="n"/>
      <c r="K2188" s="104" t="n"/>
      <c r="L2188" s="104" t="n"/>
      <c r="M2188" s="104" t="n"/>
      <c r="N2188" s="104" t="n"/>
      <c r="O2188" s="104" t="n"/>
      <c r="P2188" s="104" t="n"/>
      <c r="Q2188" s="104" t="n"/>
      <c r="R2188" s="104" t="n"/>
      <c r="S2188" s="110" t="n"/>
      <c r="T2188" s="110" t="n"/>
      <c r="U2188" s="104" t="n"/>
    </row>
    <row r="2189">
      <c r="A2189" s="104" t="inlineStr">
        <is>
          <t>GUIDE002188</t>
        </is>
      </c>
      <c r="B2189" s="104" t="n"/>
      <c r="C2189" s="107" t="n"/>
      <c r="D2189" s="107" t="n"/>
      <c r="E2189" s="108" t="n"/>
      <c r="F2189" s="104" t="n"/>
      <c r="G2189" s="104" t="n"/>
      <c r="H2189" s="104" t="n"/>
      <c r="I2189" s="104" t="n"/>
      <c r="J2189" s="104" t="n"/>
      <c r="K2189" s="104" t="n"/>
      <c r="L2189" s="104" t="n"/>
      <c r="M2189" s="104" t="n"/>
      <c r="N2189" s="104" t="n"/>
      <c r="O2189" s="104" t="n"/>
      <c r="P2189" s="104" t="n"/>
      <c r="Q2189" s="104" t="n"/>
      <c r="R2189" s="104" t="n"/>
      <c r="S2189" s="110" t="n"/>
      <c r="T2189" s="110" t="n"/>
      <c r="U2189" s="104" t="n"/>
    </row>
    <row r="2190">
      <c r="A2190" s="104" t="inlineStr">
        <is>
          <t>GUIDE002189</t>
        </is>
      </c>
      <c r="B2190" s="104" t="n"/>
      <c r="C2190" s="107" t="n"/>
      <c r="D2190" s="107" t="n"/>
      <c r="E2190" s="108" t="n"/>
      <c r="F2190" s="104" t="n"/>
      <c r="G2190" s="104" t="n"/>
      <c r="H2190" s="104" t="n"/>
      <c r="I2190" s="104" t="n"/>
      <c r="J2190" s="104" t="n"/>
      <c r="K2190" s="104" t="n"/>
      <c r="L2190" s="104" t="n"/>
      <c r="M2190" s="104" t="n"/>
      <c r="N2190" s="104" t="n"/>
      <c r="O2190" s="104" t="n"/>
      <c r="P2190" s="104" t="n"/>
      <c r="Q2190" s="104" t="n"/>
      <c r="R2190" s="104" t="n"/>
      <c r="S2190" s="110" t="n"/>
      <c r="T2190" s="110" t="n"/>
      <c r="U2190" s="104" t="n"/>
    </row>
    <row r="2191">
      <c r="A2191" s="105" t="inlineStr">
        <is>
          <t>GUIDE002190</t>
        </is>
      </c>
      <c r="B2191" s="104" t="n"/>
      <c r="C2191" s="107" t="n"/>
      <c r="D2191" s="107" t="n"/>
      <c r="E2191" s="108" t="n"/>
      <c r="F2191" s="104" t="n"/>
      <c r="G2191" s="104" t="n"/>
      <c r="H2191" s="104" t="n"/>
      <c r="I2191" s="104" t="n"/>
      <c r="J2191" s="104" t="n"/>
      <c r="K2191" s="104" t="n"/>
      <c r="L2191" s="104" t="n"/>
      <c r="M2191" s="104" t="n"/>
      <c r="N2191" s="104" t="n"/>
      <c r="O2191" s="104" t="n"/>
      <c r="P2191" s="104" t="n"/>
      <c r="Q2191" s="104" t="n"/>
      <c r="R2191" s="104" t="n"/>
      <c r="S2191" s="110" t="n"/>
      <c r="T2191" s="110" t="n"/>
      <c r="U2191" s="104" t="n"/>
    </row>
    <row r="2192">
      <c r="A2192" s="104" t="inlineStr">
        <is>
          <t>GUIDE002191</t>
        </is>
      </c>
      <c r="B2192" s="104" t="n"/>
      <c r="C2192" s="107" t="n"/>
      <c r="D2192" s="107" t="n"/>
      <c r="E2192" s="108" t="n"/>
      <c r="F2192" s="104" t="n"/>
      <c r="G2192" s="104" t="n"/>
      <c r="H2192" s="104" t="n"/>
      <c r="I2192" s="104" t="n"/>
      <c r="J2192" s="104" t="n"/>
      <c r="K2192" s="104" t="n"/>
      <c r="L2192" s="104" t="n"/>
      <c r="M2192" s="104" t="n"/>
      <c r="N2192" s="104" t="n"/>
      <c r="O2192" s="104" t="n"/>
      <c r="P2192" s="104" t="n"/>
      <c r="Q2192" s="104" t="n"/>
      <c r="R2192" s="104" t="n"/>
      <c r="S2192" s="110" t="n"/>
      <c r="T2192" s="110" t="n"/>
      <c r="U2192" s="104" t="n"/>
    </row>
    <row r="2193">
      <c r="A2193" s="104" t="inlineStr">
        <is>
          <t>GUIDE002192</t>
        </is>
      </c>
      <c r="B2193" s="104" t="n"/>
      <c r="C2193" s="107" t="n"/>
      <c r="D2193" s="107" t="n"/>
      <c r="E2193" s="108" t="n"/>
      <c r="F2193" s="104" t="n"/>
      <c r="G2193" s="104" t="n"/>
      <c r="H2193" s="104" t="n"/>
      <c r="I2193" s="104" t="n"/>
      <c r="J2193" s="104" t="n"/>
      <c r="K2193" s="104" t="n"/>
      <c r="L2193" s="104" t="n"/>
      <c r="M2193" s="104" t="n"/>
      <c r="N2193" s="104" t="n"/>
      <c r="O2193" s="104" t="n"/>
      <c r="P2193" s="104" t="n"/>
      <c r="Q2193" s="104" t="n"/>
      <c r="R2193" s="104" t="n"/>
      <c r="S2193" s="110" t="n"/>
      <c r="T2193" s="110" t="n"/>
      <c r="U2193" s="104" t="n"/>
    </row>
    <row r="2194">
      <c r="A2194" s="104" t="inlineStr">
        <is>
          <t>GUIDE002193</t>
        </is>
      </c>
      <c r="B2194" s="104" t="n"/>
      <c r="C2194" s="107" t="n"/>
      <c r="D2194" s="107" t="n"/>
      <c r="E2194" s="108" t="n"/>
      <c r="F2194" s="104" t="n"/>
      <c r="G2194" s="104" t="n"/>
      <c r="H2194" s="104" t="n"/>
      <c r="I2194" s="104" t="n"/>
      <c r="J2194" s="104" t="n"/>
      <c r="K2194" s="104" t="n"/>
      <c r="L2194" s="104" t="n"/>
      <c r="M2194" s="104" t="n"/>
      <c r="N2194" s="104" t="n"/>
      <c r="O2194" s="104" t="n"/>
      <c r="P2194" s="104" t="n"/>
      <c r="Q2194" s="104" t="n"/>
      <c r="R2194" s="104" t="n"/>
      <c r="S2194" s="110" t="n"/>
      <c r="T2194" s="110" t="n"/>
      <c r="U2194" s="104" t="n"/>
    </row>
    <row r="2195">
      <c r="A2195" s="105" t="inlineStr">
        <is>
          <t>GUIDE002194</t>
        </is>
      </c>
      <c r="B2195" s="104" t="n"/>
      <c r="C2195" s="107" t="n"/>
      <c r="D2195" s="107" t="n"/>
      <c r="E2195" s="108" t="n"/>
      <c r="F2195" s="104" t="n"/>
      <c r="G2195" s="104" t="n"/>
      <c r="H2195" s="104" t="n"/>
      <c r="I2195" s="104" t="n"/>
      <c r="J2195" s="104" t="n"/>
      <c r="K2195" s="104" t="n"/>
      <c r="L2195" s="104" t="n"/>
      <c r="M2195" s="104" t="n"/>
      <c r="N2195" s="104" t="n"/>
      <c r="O2195" s="104" t="n"/>
      <c r="P2195" s="104" t="n"/>
      <c r="Q2195" s="104" t="n"/>
      <c r="R2195" s="104" t="n"/>
      <c r="S2195" s="110" t="n"/>
      <c r="T2195" s="110" t="n"/>
      <c r="U2195" s="104" t="n"/>
    </row>
    <row r="2196">
      <c r="A2196" s="104" t="inlineStr">
        <is>
          <t>GUIDE002195</t>
        </is>
      </c>
      <c r="B2196" s="104" t="n"/>
      <c r="C2196" s="107" t="n"/>
      <c r="D2196" s="107" t="n"/>
      <c r="E2196" s="108" t="n"/>
      <c r="F2196" s="104" t="n"/>
      <c r="G2196" s="104" t="n"/>
      <c r="H2196" s="104" t="n"/>
      <c r="I2196" s="104" t="n"/>
      <c r="J2196" s="104" t="n"/>
      <c r="K2196" s="104" t="n"/>
      <c r="L2196" s="104" t="n"/>
      <c r="M2196" s="104" t="n"/>
      <c r="N2196" s="104" t="n"/>
      <c r="O2196" s="104" t="n"/>
      <c r="P2196" s="104" t="n"/>
      <c r="Q2196" s="104" t="n"/>
      <c r="R2196" s="104" t="n"/>
      <c r="S2196" s="110" t="n"/>
      <c r="T2196" s="110" t="n"/>
      <c r="U2196" s="104" t="n"/>
    </row>
    <row r="2197">
      <c r="A2197" s="104" t="inlineStr">
        <is>
          <t>GUIDE002196</t>
        </is>
      </c>
      <c r="B2197" s="104" t="n"/>
      <c r="C2197" s="107" t="n"/>
      <c r="D2197" s="107" t="n"/>
      <c r="E2197" s="108" t="n"/>
      <c r="F2197" s="104" t="n"/>
      <c r="G2197" s="104" t="n"/>
      <c r="H2197" s="104" t="n"/>
      <c r="I2197" s="104" t="n"/>
      <c r="J2197" s="104" t="n"/>
      <c r="K2197" s="104" t="n"/>
      <c r="L2197" s="104" t="n"/>
      <c r="M2197" s="104" t="n"/>
      <c r="N2197" s="104" t="n"/>
      <c r="O2197" s="104" t="n"/>
      <c r="P2197" s="104" t="n"/>
      <c r="Q2197" s="104" t="n"/>
      <c r="R2197" s="104" t="n"/>
      <c r="S2197" s="110" t="n"/>
      <c r="T2197" s="110" t="n"/>
      <c r="U2197" s="104" t="n"/>
    </row>
    <row r="2198">
      <c r="A2198" s="104" t="inlineStr">
        <is>
          <t>GUIDE002197</t>
        </is>
      </c>
      <c r="B2198" s="104" t="n"/>
      <c r="C2198" s="107" t="n"/>
      <c r="D2198" s="107" t="n"/>
      <c r="E2198" s="108" t="n"/>
      <c r="F2198" s="104" t="n"/>
      <c r="G2198" s="104" t="n"/>
      <c r="H2198" s="104" t="n"/>
      <c r="I2198" s="104" t="n"/>
      <c r="J2198" s="104" t="n"/>
      <c r="K2198" s="104" t="n"/>
      <c r="L2198" s="104" t="n"/>
      <c r="M2198" s="104" t="n"/>
      <c r="N2198" s="104" t="n"/>
      <c r="O2198" s="104" t="n"/>
      <c r="P2198" s="104" t="n"/>
      <c r="Q2198" s="104" t="n"/>
      <c r="R2198" s="104" t="n"/>
      <c r="S2198" s="110" t="n"/>
      <c r="T2198" s="110" t="n"/>
      <c r="U2198" s="104" t="n"/>
    </row>
    <row r="2199">
      <c r="A2199" s="105" t="inlineStr">
        <is>
          <t>GUIDE002198</t>
        </is>
      </c>
      <c r="B2199" s="104" t="n"/>
      <c r="C2199" s="107" t="n"/>
      <c r="D2199" s="107" t="n"/>
      <c r="E2199" s="108" t="n"/>
      <c r="F2199" s="104" t="n"/>
      <c r="G2199" s="104" t="n"/>
      <c r="H2199" s="104" t="n"/>
      <c r="I2199" s="104" t="n"/>
      <c r="J2199" s="104" t="n"/>
      <c r="K2199" s="104" t="n"/>
      <c r="L2199" s="104" t="n"/>
      <c r="M2199" s="104" t="n"/>
      <c r="N2199" s="104" t="n"/>
      <c r="O2199" s="104" t="n"/>
      <c r="P2199" s="104" t="n"/>
      <c r="Q2199" s="104" t="n"/>
      <c r="R2199" s="104" t="n"/>
      <c r="S2199" s="110" t="n"/>
      <c r="T2199" s="110" t="n"/>
      <c r="U2199" s="104" t="n"/>
    </row>
    <row r="2200">
      <c r="A2200" s="104" t="inlineStr">
        <is>
          <t>GUIDE002199</t>
        </is>
      </c>
      <c r="B2200" s="104" t="n"/>
      <c r="C2200" s="107" t="n"/>
      <c r="D2200" s="107" t="n"/>
      <c r="E2200" s="108" t="n"/>
      <c r="F2200" s="104" t="n"/>
      <c r="G2200" s="104" t="n"/>
      <c r="H2200" s="104" t="n"/>
      <c r="I2200" s="104" t="n"/>
      <c r="J2200" s="104" t="n"/>
      <c r="K2200" s="104" t="n"/>
      <c r="L2200" s="104" t="n"/>
      <c r="M2200" s="104" t="n"/>
      <c r="N2200" s="104" t="n"/>
      <c r="O2200" s="104" t="n"/>
      <c r="P2200" s="104" t="n"/>
      <c r="Q2200" s="104" t="n"/>
      <c r="R2200" s="104" t="n"/>
      <c r="S2200" s="110" t="n"/>
      <c r="T2200" s="110" t="n"/>
      <c r="U2200" s="104" t="n"/>
    </row>
    <row r="2201">
      <c r="A2201" s="104" t="inlineStr">
        <is>
          <t>GUIDE002200</t>
        </is>
      </c>
      <c r="B2201" s="104" t="n"/>
      <c r="C2201" s="107" t="n"/>
      <c r="D2201" s="107" t="n"/>
      <c r="E2201" s="108" t="n"/>
      <c r="F2201" s="104" t="n"/>
      <c r="G2201" s="104" t="n"/>
      <c r="H2201" s="104" t="n"/>
      <c r="I2201" s="104" t="n"/>
      <c r="J2201" s="104" t="n"/>
      <c r="K2201" s="104" t="n"/>
      <c r="L2201" s="104" t="n"/>
      <c r="M2201" s="104" t="n"/>
      <c r="N2201" s="104" t="n"/>
      <c r="O2201" s="104" t="n"/>
      <c r="P2201" s="104" t="n"/>
      <c r="Q2201" s="104" t="n"/>
      <c r="R2201" s="104" t="n"/>
      <c r="S2201" s="110" t="n"/>
      <c r="T2201" s="110" t="n"/>
      <c r="U2201" s="104" t="n"/>
    </row>
    <row r="2202">
      <c r="A2202" s="104" t="inlineStr">
        <is>
          <t>GUIDE002201</t>
        </is>
      </c>
      <c r="B2202" s="104" t="n"/>
      <c r="C2202" s="107" t="n"/>
      <c r="D2202" s="107" t="n"/>
      <c r="E2202" s="108" t="n"/>
      <c r="F2202" s="104" t="n"/>
      <c r="G2202" s="104" t="n"/>
      <c r="H2202" s="104" t="n"/>
      <c r="I2202" s="104" t="n"/>
      <c r="J2202" s="104" t="n"/>
      <c r="K2202" s="104" t="n"/>
      <c r="L2202" s="104" t="n"/>
      <c r="M2202" s="104" t="n"/>
      <c r="N2202" s="104" t="n"/>
      <c r="O2202" s="104" t="n"/>
      <c r="P2202" s="104" t="n"/>
      <c r="Q2202" s="104" t="n"/>
      <c r="R2202" s="104" t="n"/>
      <c r="S2202" s="110" t="n"/>
      <c r="T2202" s="110" t="n"/>
      <c r="U2202" s="104" t="n"/>
    </row>
    <row r="2203">
      <c r="A2203" s="105" t="inlineStr">
        <is>
          <t>GUIDE002202</t>
        </is>
      </c>
      <c r="B2203" s="104" t="n"/>
      <c r="C2203" s="107" t="n"/>
      <c r="D2203" s="107" t="n"/>
      <c r="E2203" s="108" t="n"/>
      <c r="F2203" s="104" t="n"/>
      <c r="G2203" s="104" t="n"/>
      <c r="H2203" s="104" t="n"/>
      <c r="I2203" s="104" t="n"/>
      <c r="J2203" s="104" t="n"/>
      <c r="K2203" s="104" t="n"/>
      <c r="L2203" s="104" t="n"/>
      <c r="M2203" s="104" t="n"/>
      <c r="N2203" s="104" t="n"/>
      <c r="O2203" s="104" t="n"/>
      <c r="P2203" s="104" t="n"/>
      <c r="Q2203" s="104" t="n"/>
      <c r="R2203" s="104" t="n"/>
      <c r="S2203" s="110" t="n"/>
      <c r="T2203" s="110" t="n"/>
      <c r="U2203" s="104" t="n"/>
    </row>
    <row r="2204">
      <c r="A2204" s="104" t="inlineStr">
        <is>
          <t>GUIDE002203</t>
        </is>
      </c>
      <c r="B2204" s="104" t="n"/>
      <c r="C2204" s="107" t="n"/>
      <c r="D2204" s="107" t="n"/>
      <c r="E2204" s="108" t="n"/>
      <c r="F2204" s="104" t="n"/>
      <c r="G2204" s="104" t="n"/>
      <c r="H2204" s="104" t="n"/>
      <c r="I2204" s="104" t="n"/>
      <c r="J2204" s="104" t="n"/>
      <c r="K2204" s="104" t="n"/>
      <c r="L2204" s="104" t="n"/>
      <c r="M2204" s="104" t="n"/>
      <c r="N2204" s="104" t="n"/>
      <c r="O2204" s="104" t="n"/>
      <c r="P2204" s="104" t="n"/>
      <c r="Q2204" s="104" t="n"/>
      <c r="R2204" s="104" t="n"/>
      <c r="S2204" s="110" t="n"/>
      <c r="T2204" s="110" t="n"/>
      <c r="U2204" s="104" t="n"/>
    </row>
    <row r="2205">
      <c r="A2205" s="104" t="inlineStr">
        <is>
          <t>GUIDE002204</t>
        </is>
      </c>
      <c r="B2205" s="104" t="n"/>
      <c r="C2205" s="107" t="n"/>
      <c r="D2205" s="107" t="n"/>
      <c r="E2205" s="108" t="n"/>
      <c r="F2205" s="104" t="n"/>
      <c r="G2205" s="104" t="n"/>
      <c r="H2205" s="104" t="n"/>
      <c r="I2205" s="104" t="n"/>
      <c r="J2205" s="104" t="n"/>
      <c r="K2205" s="104" t="n"/>
      <c r="L2205" s="104" t="n"/>
      <c r="M2205" s="104" t="n"/>
      <c r="N2205" s="104" t="n"/>
      <c r="O2205" s="104" t="n"/>
      <c r="P2205" s="104" t="n"/>
      <c r="Q2205" s="104" t="n"/>
      <c r="R2205" s="104" t="n"/>
      <c r="S2205" s="110" t="n"/>
      <c r="T2205" s="110" t="n"/>
      <c r="U2205" s="104" t="n"/>
    </row>
    <row r="2206">
      <c r="A2206" s="104" t="inlineStr">
        <is>
          <t>GUIDE002205</t>
        </is>
      </c>
      <c r="B2206" s="104" t="n"/>
      <c r="C2206" s="107" t="n"/>
      <c r="D2206" s="107" t="n"/>
      <c r="E2206" s="108" t="n"/>
      <c r="F2206" s="104" t="n"/>
      <c r="G2206" s="104" t="n"/>
      <c r="H2206" s="104" t="n"/>
      <c r="I2206" s="104" t="n"/>
      <c r="J2206" s="104" t="n"/>
      <c r="K2206" s="104" t="n"/>
      <c r="L2206" s="104" t="n"/>
      <c r="M2206" s="104" t="n"/>
      <c r="N2206" s="104" t="n"/>
      <c r="O2206" s="104" t="n"/>
      <c r="P2206" s="104" t="n"/>
      <c r="Q2206" s="104" t="n"/>
      <c r="R2206" s="104" t="n"/>
      <c r="S2206" s="110" t="n"/>
      <c r="T2206" s="110" t="n"/>
      <c r="U2206" s="104" t="n"/>
    </row>
    <row r="2207">
      <c r="A2207" s="105" t="inlineStr">
        <is>
          <t>GUIDE002206</t>
        </is>
      </c>
      <c r="B2207" s="104" t="n"/>
      <c r="C2207" s="107" t="n"/>
      <c r="D2207" s="107" t="n"/>
      <c r="E2207" s="108" t="n"/>
      <c r="F2207" s="104" t="n"/>
      <c r="G2207" s="104" t="n"/>
      <c r="H2207" s="104" t="n"/>
      <c r="I2207" s="104" t="n"/>
      <c r="J2207" s="104" t="n"/>
      <c r="K2207" s="104" t="n"/>
      <c r="L2207" s="104" t="n"/>
      <c r="M2207" s="104" t="n"/>
      <c r="N2207" s="104" t="n"/>
      <c r="O2207" s="104" t="n"/>
      <c r="P2207" s="104" t="n"/>
      <c r="Q2207" s="104" t="n"/>
      <c r="R2207" s="104" t="n"/>
      <c r="S2207" s="110" t="n"/>
      <c r="T2207" s="110" t="n"/>
      <c r="U2207" s="104" t="n"/>
    </row>
    <row r="2208">
      <c r="A2208" s="104" t="inlineStr">
        <is>
          <t>GUIDE002207</t>
        </is>
      </c>
      <c r="B2208" s="104" t="n"/>
      <c r="C2208" s="107" t="n"/>
      <c r="D2208" s="107" t="n"/>
      <c r="E2208" s="108" t="n"/>
      <c r="F2208" s="104" t="n"/>
      <c r="G2208" s="104" t="n"/>
      <c r="H2208" s="104" t="n"/>
      <c r="I2208" s="104" t="n"/>
      <c r="J2208" s="104" t="n"/>
      <c r="K2208" s="104" t="n"/>
      <c r="L2208" s="104" t="n"/>
      <c r="M2208" s="104" t="n"/>
      <c r="N2208" s="104" t="n"/>
      <c r="O2208" s="104" t="n"/>
      <c r="P2208" s="104" t="n"/>
      <c r="Q2208" s="104" t="n"/>
      <c r="R2208" s="104" t="n"/>
      <c r="S2208" s="110" t="n"/>
      <c r="T2208" s="110" t="n"/>
      <c r="U2208" s="104" t="n"/>
    </row>
    <row r="2209">
      <c r="A2209" s="104" t="inlineStr">
        <is>
          <t>GUIDE002208</t>
        </is>
      </c>
      <c r="B2209" s="104" t="n"/>
      <c r="C2209" s="107" t="n"/>
      <c r="D2209" s="107" t="n"/>
      <c r="E2209" s="108" t="n"/>
      <c r="F2209" s="104" t="n"/>
      <c r="G2209" s="104" t="n"/>
      <c r="H2209" s="104" t="n"/>
      <c r="I2209" s="104" t="n"/>
      <c r="J2209" s="104" t="n"/>
      <c r="K2209" s="104" t="n"/>
      <c r="L2209" s="104" t="n"/>
      <c r="M2209" s="104" t="n"/>
      <c r="N2209" s="104" t="n"/>
      <c r="O2209" s="104" t="n"/>
      <c r="P2209" s="104" t="n"/>
      <c r="Q2209" s="104" t="n"/>
      <c r="R2209" s="104" t="n"/>
      <c r="S2209" s="110" t="n"/>
      <c r="T2209" s="110" t="n"/>
      <c r="U2209" s="104" t="n"/>
    </row>
    <row r="2210">
      <c r="A2210" s="104" t="inlineStr">
        <is>
          <t>GUIDE002209</t>
        </is>
      </c>
      <c r="B2210" s="104" t="n"/>
      <c r="C2210" s="107" t="n"/>
      <c r="D2210" s="107" t="n"/>
      <c r="E2210" s="108" t="n"/>
      <c r="F2210" s="104" t="n"/>
      <c r="G2210" s="104" t="n"/>
      <c r="H2210" s="104" t="n"/>
      <c r="I2210" s="104" t="n"/>
      <c r="J2210" s="104" t="n"/>
      <c r="K2210" s="104" t="n"/>
      <c r="L2210" s="104" t="n"/>
      <c r="M2210" s="104" t="n"/>
      <c r="N2210" s="104" t="n"/>
      <c r="O2210" s="104" t="n"/>
      <c r="P2210" s="104" t="n"/>
      <c r="Q2210" s="104" t="n"/>
      <c r="R2210" s="104" t="n"/>
      <c r="S2210" s="110" t="n"/>
      <c r="T2210" s="110" t="n"/>
      <c r="U2210" s="104" t="n"/>
    </row>
    <row r="2211">
      <c r="A2211" s="105" t="inlineStr">
        <is>
          <t>GUIDE002210</t>
        </is>
      </c>
      <c r="B2211" s="104" t="n"/>
      <c r="C2211" s="107" t="n"/>
      <c r="D2211" s="107" t="n"/>
      <c r="E2211" s="108" t="n"/>
      <c r="F2211" s="104" t="n"/>
      <c r="G2211" s="104" t="n"/>
      <c r="H2211" s="104" t="n"/>
      <c r="I2211" s="104" t="n"/>
      <c r="J2211" s="104" t="n"/>
      <c r="K2211" s="104" t="n"/>
      <c r="L2211" s="104" t="n"/>
      <c r="M2211" s="104" t="n"/>
      <c r="N2211" s="104" t="n"/>
      <c r="O2211" s="104" t="n"/>
      <c r="P2211" s="104" t="n"/>
      <c r="Q2211" s="104" t="n"/>
      <c r="R2211" s="104" t="n"/>
      <c r="S2211" s="110" t="n"/>
      <c r="T2211" s="110" t="n"/>
      <c r="U2211" s="104" t="n"/>
    </row>
    <row r="2212">
      <c r="A2212" s="104" t="inlineStr">
        <is>
          <t>GUIDE002211</t>
        </is>
      </c>
      <c r="B2212" s="104" t="n"/>
      <c r="C2212" s="107" t="n"/>
      <c r="D2212" s="107" t="n"/>
      <c r="E2212" s="108" t="n"/>
      <c r="F2212" s="104" t="n"/>
      <c r="G2212" s="104" t="n"/>
      <c r="H2212" s="104" t="n"/>
      <c r="I2212" s="104" t="n"/>
      <c r="J2212" s="104" t="n"/>
      <c r="K2212" s="104" t="n"/>
      <c r="L2212" s="104" t="n"/>
      <c r="M2212" s="104" t="n"/>
      <c r="N2212" s="104" t="n"/>
      <c r="O2212" s="104" t="n"/>
      <c r="P2212" s="104" t="n"/>
      <c r="Q2212" s="104" t="n"/>
      <c r="R2212" s="104" t="n"/>
      <c r="S2212" s="110" t="n"/>
      <c r="T2212" s="110" t="n"/>
      <c r="U2212" s="104" t="n"/>
    </row>
    <row r="2213">
      <c r="A2213" s="104" t="inlineStr">
        <is>
          <t>GUIDE002212</t>
        </is>
      </c>
      <c r="B2213" s="104" t="n"/>
      <c r="C2213" s="107" t="n"/>
      <c r="D2213" s="107" t="n"/>
      <c r="E2213" s="108" t="n"/>
      <c r="F2213" s="104" t="n"/>
      <c r="G2213" s="104" t="n"/>
      <c r="H2213" s="104" t="n"/>
      <c r="I2213" s="104" t="n"/>
      <c r="J2213" s="104" t="n"/>
      <c r="K2213" s="104" t="n"/>
      <c r="L2213" s="104" t="n"/>
      <c r="M2213" s="104" t="n"/>
      <c r="N2213" s="104" t="n"/>
      <c r="O2213" s="104" t="n"/>
      <c r="P2213" s="104" t="n"/>
      <c r="Q2213" s="104" t="n"/>
      <c r="R2213" s="104" t="n"/>
      <c r="S2213" s="110" t="n"/>
      <c r="T2213" s="110" t="n"/>
      <c r="U2213" s="104" t="n"/>
    </row>
    <row r="2214">
      <c r="A2214" s="104" t="inlineStr">
        <is>
          <t>GUIDE002213</t>
        </is>
      </c>
      <c r="B2214" s="104" t="n"/>
      <c r="C2214" s="107" t="n"/>
      <c r="D2214" s="107" t="n"/>
      <c r="E2214" s="108" t="n"/>
      <c r="F2214" s="104" t="n"/>
      <c r="G2214" s="104" t="n"/>
      <c r="H2214" s="104" t="n"/>
      <c r="I2214" s="104" t="n"/>
      <c r="J2214" s="104" t="n"/>
      <c r="K2214" s="104" t="n"/>
      <c r="L2214" s="104" t="n"/>
      <c r="M2214" s="104" t="n"/>
      <c r="N2214" s="104" t="n"/>
      <c r="O2214" s="104" t="n"/>
      <c r="P2214" s="104" t="n"/>
      <c r="Q2214" s="104" t="n"/>
      <c r="R2214" s="104" t="n"/>
      <c r="S2214" s="110" t="n"/>
      <c r="T2214" s="110" t="n"/>
      <c r="U2214" s="104" t="n"/>
    </row>
    <row r="2215">
      <c r="A2215" s="105" t="inlineStr">
        <is>
          <t>GUIDE002214</t>
        </is>
      </c>
      <c r="B2215" s="104" t="n"/>
      <c r="C2215" s="107" t="n"/>
      <c r="D2215" s="107" t="n"/>
      <c r="E2215" s="108" t="n"/>
      <c r="F2215" s="104" t="n"/>
      <c r="G2215" s="104" t="n"/>
      <c r="H2215" s="104" t="n"/>
      <c r="I2215" s="104" t="n"/>
      <c r="J2215" s="104" t="n"/>
      <c r="K2215" s="104" t="n"/>
      <c r="L2215" s="104" t="n"/>
      <c r="M2215" s="104" t="n"/>
      <c r="N2215" s="104" t="n"/>
      <c r="O2215" s="104" t="n"/>
      <c r="P2215" s="104" t="n"/>
      <c r="Q2215" s="104" t="n"/>
      <c r="R2215" s="104" t="n"/>
      <c r="S2215" s="110" t="n"/>
      <c r="T2215" s="110" t="n"/>
      <c r="U2215" s="104" t="n"/>
    </row>
    <row r="2216">
      <c r="A2216" s="104" t="inlineStr">
        <is>
          <t>GUIDE002215</t>
        </is>
      </c>
      <c r="B2216" s="104" t="n"/>
      <c r="C2216" s="107" t="n"/>
      <c r="D2216" s="107" t="n"/>
      <c r="E2216" s="108" t="n"/>
      <c r="F2216" s="104" t="n"/>
      <c r="G2216" s="104" t="n"/>
      <c r="H2216" s="104" t="n"/>
      <c r="I2216" s="104" t="n"/>
      <c r="J2216" s="104" t="n"/>
      <c r="K2216" s="104" t="n"/>
      <c r="L2216" s="104" t="n"/>
      <c r="M2216" s="104" t="n"/>
      <c r="N2216" s="104" t="n"/>
      <c r="O2216" s="104" t="n"/>
      <c r="P2216" s="104" t="n"/>
      <c r="Q2216" s="104" t="n"/>
      <c r="R2216" s="104" t="n"/>
      <c r="S2216" s="110" t="n"/>
      <c r="T2216" s="110" t="n"/>
      <c r="U2216" s="104" t="n"/>
    </row>
    <row r="2217">
      <c r="A2217" s="104" t="inlineStr">
        <is>
          <t>GUIDE002216</t>
        </is>
      </c>
      <c r="B2217" s="104" t="n"/>
      <c r="C2217" s="107" t="n"/>
      <c r="D2217" s="107" t="n"/>
      <c r="E2217" s="108" t="n"/>
      <c r="F2217" s="104" t="n"/>
      <c r="G2217" s="104" t="n"/>
      <c r="H2217" s="104" t="n"/>
      <c r="I2217" s="104" t="n"/>
      <c r="J2217" s="104" t="n"/>
      <c r="K2217" s="104" t="n"/>
      <c r="L2217" s="104" t="n"/>
      <c r="M2217" s="104" t="n"/>
      <c r="N2217" s="104" t="n"/>
      <c r="O2217" s="104" t="n"/>
      <c r="P2217" s="104" t="n"/>
      <c r="Q2217" s="104" t="n"/>
      <c r="R2217" s="104" t="n"/>
      <c r="S2217" s="110" t="n"/>
      <c r="T2217" s="110" t="n"/>
      <c r="U2217" s="104" t="n"/>
    </row>
    <row r="2218">
      <c r="A2218" s="104" t="inlineStr">
        <is>
          <t>GUIDE002217</t>
        </is>
      </c>
      <c r="B2218" s="104" t="n"/>
      <c r="C2218" s="107" t="n"/>
      <c r="D2218" s="107" t="n"/>
      <c r="E2218" s="108" t="n"/>
      <c r="F2218" s="104" t="n"/>
      <c r="G2218" s="104" t="n"/>
      <c r="H2218" s="104" t="n"/>
      <c r="I2218" s="104" t="n"/>
      <c r="J2218" s="104" t="n"/>
      <c r="K2218" s="104" t="n"/>
      <c r="L2218" s="104" t="n"/>
      <c r="M2218" s="104" t="n"/>
      <c r="N2218" s="104" t="n"/>
      <c r="O2218" s="104" t="n"/>
      <c r="P2218" s="104" t="n"/>
      <c r="Q2218" s="104" t="n"/>
      <c r="R2218" s="104" t="n"/>
      <c r="S2218" s="110" t="n"/>
      <c r="T2218" s="110" t="n"/>
      <c r="U2218" s="104" t="n"/>
    </row>
    <row r="2219">
      <c r="A2219" s="105" t="inlineStr">
        <is>
          <t>GUIDE002218</t>
        </is>
      </c>
      <c r="B2219" s="104" t="n"/>
      <c r="C2219" s="107" t="n"/>
      <c r="D2219" s="107" t="n"/>
      <c r="E2219" s="108" t="n"/>
      <c r="F2219" s="104" t="n"/>
      <c r="G2219" s="104" t="n"/>
      <c r="H2219" s="104" t="n"/>
      <c r="I2219" s="104" t="n"/>
      <c r="J2219" s="104" t="n"/>
      <c r="K2219" s="104" t="n"/>
      <c r="L2219" s="104" t="n"/>
      <c r="M2219" s="104" t="n"/>
      <c r="N2219" s="104" t="n"/>
      <c r="O2219" s="104" t="n"/>
      <c r="P2219" s="104" t="n"/>
      <c r="Q2219" s="104" t="n"/>
      <c r="R2219" s="104" t="n"/>
      <c r="S2219" s="110" t="n"/>
      <c r="T2219" s="110" t="n"/>
      <c r="U2219" s="104" t="n"/>
    </row>
    <row r="2220">
      <c r="A2220" s="104" t="inlineStr">
        <is>
          <t>GUIDE002219</t>
        </is>
      </c>
      <c r="B2220" s="104" t="n"/>
      <c r="C2220" s="107" t="n"/>
      <c r="D2220" s="107" t="n"/>
      <c r="E2220" s="108" t="n"/>
      <c r="F2220" s="104" t="n"/>
      <c r="G2220" s="104" t="n"/>
      <c r="H2220" s="104" t="n"/>
      <c r="I2220" s="104" t="n"/>
      <c r="J2220" s="104" t="n"/>
      <c r="K2220" s="104" t="n"/>
      <c r="L2220" s="104" t="n"/>
      <c r="M2220" s="104" t="n"/>
      <c r="N2220" s="104" t="n"/>
      <c r="O2220" s="104" t="n"/>
      <c r="P2220" s="104" t="n"/>
      <c r="Q2220" s="104" t="n"/>
      <c r="R2220" s="104" t="n"/>
      <c r="S2220" s="110" t="n"/>
      <c r="T2220" s="110" t="n"/>
      <c r="U2220" s="104" t="n"/>
    </row>
    <row r="2221">
      <c r="A2221" s="104" t="inlineStr">
        <is>
          <t>GUIDE002220</t>
        </is>
      </c>
      <c r="B2221" s="104" t="n"/>
      <c r="C2221" s="107" t="n"/>
      <c r="D2221" s="107" t="n"/>
      <c r="E2221" s="108" t="n"/>
      <c r="F2221" s="104" t="n"/>
      <c r="G2221" s="104" t="n"/>
      <c r="H2221" s="104" t="n"/>
      <c r="I2221" s="104" t="n"/>
      <c r="J2221" s="104" t="n"/>
      <c r="K2221" s="104" t="n"/>
      <c r="L2221" s="104" t="n"/>
      <c r="M2221" s="104" t="n"/>
      <c r="N2221" s="104" t="n"/>
      <c r="O2221" s="104" t="n"/>
      <c r="P2221" s="104" t="n"/>
      <c r="Q2221" s="104" t="n"/>
      <c r="R2221" s="104" t="n"/>
      <c r="S2221" s="110" t="n"/>
      <c r="T2221" s="110" t="n"/>
      <c r="U2221" s="104" t="n"/>
    </row>
    <row r="2222">
      <c r="A2222" s="104" t="inlineStr">
        <is>
          <t>GUIDE002221</t>
        </is>
      </c>
      <c r="B2222" s="104" t="n"/>
      <c r="C2222" s="107" t="n"/>
      <c r="D2222" s="107" t="n"/>
      <c r="E2222" s="108" t="n"/>
      <c r="F2222" s="104" t="n"/>
      <c r="G2222" s="104" t="n"/>
      <c r="H2222" s="104" t="n"/>
      <c r="I2222" s="104" t="n"/>
      <c r="J2222" s="104" t="n"/>
      <c r="K2222" s="104" t="n"/>
      <c r="L2222" s="104" t="n"/>
      <c r="M2222" s="104" t="n"/>
      <c r="N2222" s="104" t="n"/>
      <c r="O2222" s="104" t="n"/>
      <c r="P2222" s="104" t="n"/>
      <c r="Q2222" s="104" t="n"/>
      <c r="R2222" s="104" t="n"/>
      <c r="S2222" s="110" t="n"/>
      <c r="T2222" s="110" t="n"/>
      <c r="U2222" s="104" t="n"/>
    </row>
    <row r="2223">
      <c r="A2223" s="105" t="inlineStr">
        <is>
          <t>GUIDE002222</t>
        </is>
      </c>
      <c r="B2223" s="104" t="n"/>
      <c r="C2223" s="107" t="n"/>
      <c r="D2223" s="107" t="n"/>
      <c r="E2223" s="108" t="n"/>
      <c r="F2223" s="104" t="n"/>
      <c r="G2223" s="104" t="n"/>
      <c r="H2223" s="104" t="n"/>
      <c r="I2223" s="104" t="n"/>
      <c r="J2223" s="104" t="n"/>
      <c r="K2223" s="104" t="n"/>
      <c r="L2223" s="104" t="n"/>
      <c r="M2223" s="104" t="n"/>
      <c r="N2223" s="104" t="n"/>
      <c r="O2223" s="104" t="n"/>
      <c r="P2223" s="104" t="n"/>
      <c r="Q2223" s="104" t="n"/>
      <c r="R2223" s="104" t="n"/>
      <c r="S2223" s="110" t="n"/>
      <c r="T2223" s="110" t="n"/>
      <c r="U2223" s="104" t="n"/>
    </row>
    <row r="2224">
      <c r="A2224" s="104" t="inlineStr">
        <is>
          <t>GUIDE002223</t>
        </is>
      </c>
      <c r="B2224" s="104" t="n"/>
      <c r="C2224" s="107" t="n"/>
      <c r="D2224" s="107" t="n"/>
      <c r="E2224" s="108" t="n"/>
      <c r="F2224" s="104" t="n"/>
      <c r="G2224" s="104" t="n"/>
      <c r="H2224" s="104" t="n"/>
      <c r="I2224" s="104" t="n"/>
      <c r="J2224" s="104" t="n"/>
      <c r="K2224" s="104" t="n"/>
      <c r="L2224" s="104" t="n"/>
      <c r="M2224" s="104" t="n"/>
      <c r="N2224" s="104" t="n"/>
      <c r="O2224" s="104" t="n"/>
      <c r="P2224" s="104" t="n"/>
      <c r="Q2224" s="104" t="n"/>
      <c r="R2224" s="104" t="n"/>
      <c r="S2224" s="110" t="n"/>
      <c r="T2224" s="110" t="n"/>
      <c r="U2224" s="104" t="n"/>
    </row>
    <row r="2225">
      <c r="A2225" s="104" t="inlineStr">
        <is>
          <t>GUIDE002224</t>
        </is>
      </c>
      <c r="B2225" s="104" t="n"/>
      <c r="C2225" s="107" t="n"/>
      <c r="D2225" s="107" t="n"/>
      <c r="E2225" s="108" t="n"/>
      <c r="F2225" s="104" t="n"/>
      <c r="G2225" s="104" t="n"/>
      <c r="H2225" s="104" t="n"/>
      <c r="I2225" s="104" t="n"/>
      <c r="J2225" s="104" t="n"/>
      <c r="K2225" s="104" t="n"/>
      <c r="L2225" s="104" t="n"/>
      <c r="M2225" s="104" t="n"/>
      <c r="N2225" s="104" t="n"/>
      <c r="O2225" s="104" t="n"/>
      <c r="P2225" s="104" t="n"/>
      <c r="Q2225" s="104" t="n"/>
      <c r="R2225" s="104" t="n"/>
      <c r="S2225" s="110" t="n"/>
      <c r="T2225" s="110" t="n"/>
      <c r="U2225" s="104" t="n"/>
    </row>
    <row r="2226">
      <c r="A2226" s="104" t="inlineStr">
        <is>
          <t>GUIDE002225</t>
        </is>
      </c>
      <c r="B2226" s="104" t="n"/>
      <c r="C2226" s="107" t="n"/>
      <c r="D2226" s="107" t="n"/>
      <c r="E2226" s="108" t="n"/>
      <c r="F2226" s="104" t="n"/>
      <c r="G2226" s="104" t="n"/>
      <c r="H2226" s="104" t="n"/>
      <c r="I2226" s="104" t="n"/>
      <c r="J2226" s="104" t="n"/>
      <c r="K2226" s="104" t="n"/>
      <c r="L2226" s="104" t="n"/>
      <c r="M2226" s="104" t="n"/>
      <c r="N2226" s="104" t="n"/>
      <c r="O2226" s="104" t="n"/>
      <c r="P2226" s="104" t="n"/>
      <c r="Q2226" s="104" t="n"/>
      <c r="R2226" s="104" t="n"/>
      <c r="S2226" s="110" t="n"/>
      <c r="T2226" s="110" t="n"/>
      <c r="U2226" s="104" t="n"/>
    </row>
    <row r="2227">
      <c r="A2227" s="105" t="inlineStr">
        <is>
          <t>GUIDE002226</t>
        </is>
      </c>
      <c r="B2227" s="104" t="n"/>
      <c r="C2227" s="107" t="n"/>
      <c r="D2227" s="107" t="n"/>
      <c r="E2227" s="108" t="n"/>
      <c r="F2227" s="104" t="n"/>
      <c r="G2227" s="104" t="n"/>
      <c r="H2227" s="104" t="n"/>
      <c r="I2227" s="104" t="n"/>
      <c r="J2227" s="104" t="n"/>
      <c r="K2227" s="104" t="n"/>
      <c r="L2227" s="104" t="n"/>
      <c r="M2227" s="104" t="n"/>
      <c r="N2227" s="104" t="n"/>
      <c r="O2227" s="104" t="n"/>
      <c r="P2227" s="104" t="n"/>
      <c r="Q2227" s="104" t="n"/>
      <c r="R2227" s="104" t="n"/>
      <c r="S2227" s="110" t="n"/>
      <c r="T2227" s="110" t="n"/>
      <c r="U2227" s="104" t="n"/>
    </row>
    <row r="2228">
      <c r="A2228" s="104" t="inlineStr">
        <is>
          <t>GUIDE002227</t>
        </is>
      </c>
      <c r="B2228" s="104" t="n"/>
      <c r="C2228" s="107" t="n"/>
      <c r="D2228" s="107" t="n"/>
      <c r="E2228" s="108" t="n"/>
      <c r="F2228" s="104" t="n"/>
      <c r="G2228" s="104" t="n"/>
      <c r="H2228" s="104" t="n"/>
      <c r="I2228" s="104" t="n"/>
      <c r="J2228" s="104" t="n"/>
      <c r="K2228" s="104" t="n"/>
      <c r="L2228" s="104" t="n"/>
      <c r="M2228" s="104" t="n"/>
      <c r="N2228" s="104" t="n"/>
      <c r="O2228" s="104" t="n"/>
      <c r="P2228" s="104" t="n"/>
      <c r="Q2228" s="104" t="n"/>
      <c r="R2228" s="104" t="n"/>
      <c r="S2228" s="110" t="n"/>
      <c r="T2228" s="110" t="n"/>
      <c r="U2228" s="104" t="n"/>
    </row>
    <row r="2229">
      <c r="A2229" s="104" t="inlineStr">
        <is>
          <t>GUIDE002228</t>
        </is>
      </c>
      <c r="B2229" s="104" t="n"/>
      <c r="C2229" s="107" t="n"/>
      <c r="D2229" s="107" t="n"/>
      <c r="E2229" s="108" t="n"/>
      <c r="F2229" s="104" t="n"/>
      <c r="G2229" s="104" t="n"/>
      <c r="H2229" s="104" t="n"/>
      <c r="I2229" s="104" t="n"/>
      <c r="J2229" s="104" t="n"/>
      <c r="K2229" s="104" t="n"/>
      <c r="L2229" s="104" t="n"/>
      <c r="M2229" s="104" t="n"/>
      <c r="N2229" s="104" t="n"/>
      <c r="O2229" s="104" t="n"/>
      <c r="P2229" s="104" t="n"/>
      <c r="Q2229" s="104" t="n"/>
      <c r="R2229" s="104" t="n"/>
      <c r="S2229" s="110" t="n"/>
      <c r="T2229" s="110" t="n"/>
      <c r="U2229" s="104" t="n"/>
    </row>
    <row r="2230">
      <c r="A2230" s="104" t="inlineStr">
        <is>
          <t>GUIDE002229</t>
        </is>
      </c>
      <c r="B2230" s="104" t="n"/>
      <c r="C2230" s="107" t="n"/>
      <c r="D2230" s="107" t="n"/>
      <c r="E2230" s="108" t="n"/>
      <c r="F2230" s="104" t="n"/>
      <c r="G2230" s="104" t="n"/>
      <c r="H2230" s="104" t="n"/>
      <c r="I2230" s="104" t="n"/>
      <c r="J2230" s="104" t="n"/>
      <c r="K2230" s="104" t="n"/>
      <c r="L2230" s="104" t="n"/>
      <c r="M2230" s="104" t="n"/>
      <c r="N2230" s="104" t="n"/>
      <c r="O2230" s="104" t="n"/>
      <c r="P2230" s="104" t="n"/>
      <c r="Q2230" s="104" t="n"/>
      <c r="R2230" s="104" t="n"/>
      <c r="S2230" s="110" t="n"/>
      <c r="T2230" s="110" t="n"/>
      <c r="U2230" s="104" t="n"/>
    </row>
    <row r="2231">
      <c r="A2231" s="105" t="inlineStr">
        <is>
          <t>GUIDE002230</t>
        </is>
      </c>
      <c r="B2231" s="104" t="n"/>
      <c r="C2231" s="107" t="n"/>
      <c r="D2231" s="107" t="n"/>
      <c r="E2231" s="108" t="n"/>
      <c r="F2231" s="104" t="n"/>
      <c r="G2231" s="104" t="n"/>
      <c r="H2231" s="104" t="n"/>
      <c r="I2231" s="104" t="n"/>
      <c r="J2231" s="104" t="n"/>
      <c r="K2231" s="104" t="n"/>
      <c r="L2231" s="104" t="n"/>
      <c r="M2231" s="104" t="n"/>
      <c r="N2231" s="104" t="n"/>
      <c r="O2231" s="104" t="n"/>
      <c r="P2231" s="104" t="n"/>
      <c r="Q2231" s="104" t="n"/>
      <c r="R2231" s="104" t="n"/>
      <c r="S2231" s="110" t="n"/>
      <c r="T2231" s="110" t="n"/>
      <c r="U2231" s="104" t="n"/>
    </row>
    <row r="2232">
      <c r="A2232" s="104" t="inlineStr">
        <is>
          <t>GUIDE002231</t>
        </is>
      </c>
      <c r="B2232" s="104" t="n"/>
      <c r="C2232" s="107" t="n"/>
      <c r="D2232" s="107" t="n"/>
      <c r="E2232" s="108" t="n"/>
      <c r="F2232" s="104" t="n"/>
      <c r="G2232" s="104" t="n"/>
      <c r="H2232" s="104" t="n"/>
      <c r="I2232" s="104" t="n"/>
      <c r="J2232" s="104" t="n"/>
      <c r="K2232" s="104" t="n"/>
      <c r="L2232" s="104" t="n"/>
      <c r="M2232" s="104" t="n"/>
      <c r="N2232" s="104" t="n"/>
      <c r="O2232" s="104" t="n"/>
      <c r="P2232" s="104" t="n"/>
      <c r="Q2232" s="104" t="n"/>
      <c r="R2232" s="104" t="n"/>
      <c r="S2232" s="110" t="n"/>
      <c r="T2232" s="110" t="n"/>
      <c r="U2232" s="104" t="n"/>
    </row>
    <row r="2233">
      <c r="A2233" s="104" t="inlineStr">
        <is>
          <t>GUIDE002232</t>
        </is>
      </c>
      <c r="B2233" s="104" t="n"/>
      <c r="C2233" s="107" t="n"/>
      <c r="D2233" s="107" t="n"/>
      <c r="E2233" s="108" t="n"/>
      <c r="F2233" s="104" t="n"/>
      <c r="G2233" s="104" t="n"/>
      <c r="H2233" s="104" t="n"/>
      <c r="I2233" s="104" t="n"/>
      <c r="J2233" s="104" t="n"/>
      <c r="K2233" s="104" t="n"/>
      <c r="L2233" s="104" t="n"/>
      <c r="M2233" s="104" t="n"/>
      <c r="N2233" s="104" t="n"/>
      <c r="O2233" s="104" t="n"/>
      <c r="P2233" s="104" t="n"/>
      <c r="Q2233" s="104" t="n"/>
      <c r="R2233" s="104" t="n"/>
      <c r="S2233" s="110" t="n"/>
      <c r="T2233" s="110" t="n"/>
      <c r="U2233" s="104" t="n"/>
    </row>
    <row r="2234">
      <c r="A2234" s="104" t="inlineStr">
        <is>
          <t>GUIDE002233</t>
        </is>
      </c>
      <c r="B2234" s="104" t="n"/>
      <c r="C2234" s="107" t="n"/>
      <c r="D2234" s="107" t="n"/>
      <c r="E2234" s="108" t="n"/>
      <c r="F2234" s="104" t="n"/>
      <c r="G2234" s="104" t="n"/>
      <c r="H2234" s="104" t="n"/>
      <c r="I2234" s="104" t="n"/>
      <c r="J2234" s="104" t="n"/>
      <c r="K2234" s="104" t="n"/>
      <c r="L2234" s="104" t="n"/>
      <c r="M2234" s="104" t="n"/>
      <c r="N2234" s="104" t="n"/>
      <c r="O2234" s="104" t="n"/>
      <c r="P2234" s="104" t="n"/>
      <c r="Q2234" s="104" t="n"/>
      <c r="R2234" s="104" t="n"/>
      <c r="S2234" s="110" t="n"/>
      <c r="T2234" s="110" t="n"/>
      <c r="U2234" s="104" t="n"/>
    </row>
    <row r="2235">
      <c r="A2235" s="105" t="inlineStr">
        <is>
          <t>GUIDE002234</t>
        </is>
      </c>
      <c r="B2235" s="104" t="n"/>
      <c r="C2235" s="107" t="n"/>
      <c r="D2235" s="107" t="n"/>
      <c r="E2235" s="108" t="n"/>
      <c r="F2235" s="104" t="n"/>
      <c r="G2235" s="104" t="n"/>
      <c r="H2235" s="104" t="n"/>
      <c r="I2235" s="104" t="n"/>
      <c r="J2235" s="104" t="n"/>
      <c r="K2235" s="104" t="n"/>
      <c r="L2235" s="104" t="n"/>
      <c r="M2235" s="104" t="n"/>
      <c r="N2235" s="104" t="n"/>
      <c r="O2235" s="104" t="n"/>
      <c r="P2235" s="104" t="n"/>
      <c r="Q2235" s="104" t="n"/>
      <c r="R2235" s="104" t="n"/>
      <c r="S2235" s="110" t="n"/>
      <c r="T2235" s="110" t="n"/>
      <c r="U2235" s="104" t="n"/>
    </row>
    <row r="2236">
      <c r="A2236" s="104" t="inlineStr">
        <is>
          <t>GUIDE002235</t>
        </is>
      </c>
      <c r="B2236" s="104" t="n"/>
      <c r="C2236" s="107" t="n"/>
      <c r="D2236" s="107" t="n"/>
      <c r="E2236" s="108" t="n"/>
      <c r="F2236" s="104" t="n"/>
      <c r="G2236" s="104" t="n"/>
      <c r="H2236" s="104" t="n"/>
      <c r="I2236" s="104" t="n"/>
      <c r="J2236" s="104" t="n"/>
      <c r="K2236" s="104" t="n"/>
      <c r="L2236" s="104" t="n"/>
      <c r="M2236" s="104" t="n"/>
      <c r="N2236" s="104" t="n"/>
      <c r="O2236" s="104" t="n"/>
      <c r="P2236" s="104" t="n"/>
      <c r="Q2236" s="104" t="n"/>
      <c r="R2236" s="104" t="n"/>
      <c r="S2236" s="110" t="n"/>
      <c r="T2236" s="110" t="n"/>
      <c r="U2236" s="104" t="n"/>
    </row>
    <row r="2237">
      <c r="A2237" s="104" t="inlineStr">
        <is>
          <t>GUIDE002236</t>
        </is>
      </c>
      <c r="B2237" s="104" t="n"/>
      <c r="C2237" s="107" t="n"/>
      <c r="D2237" s="107" t="n"/>
      <c r="E2237" s="108" t="n"/>
      <c r="F2237" s="104" t="n"/>
      <c r="G2237" s="104" t="n"/>
      <c r="H2237" s="104" t="n"/>
      <c r="I2237" s="104" t="n"/>
      <c r="J2237" s="104" t="n"/>
      <c r="K2237" s="104" t="n"/>
      <c r="L2237" s="104" t="n"/>
      <c r="M2237" s="104" t="n"/>
      <c r="N2237" s="104" t="n"/>
      <c r="O2237" s="104" t="n"/>
      <c r="P2237" s="104" t="n"/>
      <c r="Q2237" s="104" t="n"/>
      <c r="R2237" s="104" t="n"/>
      <c r="S2237" s="110" t="n"/>
      <c r="T2237" s="110" t="n"/>
      <c r="U2237" s="104" t="n"/>
    </row>
    <row r="2238">
      <c r="A2238" s="104" t="inlineStr">
        <is>
          <t>GUIDE002237</t>
        </is>
      </c>
      <c r="B2238" s="104" t="n"/>
      <c r="C2238" s="107" t="n"/>
      <c r="D2238" s="107" t="n"/>
      <c r="E2238" s="108" t="n"/>
      <c r="F2238" s="104" t="n"/>
      <c r="G2238" s="104" t="n"/>
      <c r="H2238" s="104" t="n"/>
      <c r="I2238" s="104" t="n"/>
      <c r="J2238" s="104" t="n"/>
      <c r="K2238" s="104" t="n"/>
      <c r="L2238" s="104" t="n"/>
      <c r="M2238" s="104" t="n"/>
      <c r="N2238" s="104" t="n"/>
      <c r="O2238" s="104" t="n"/>
      <c r="P2238" s="104" t="n"/>
      <c r="Q2238" s="104" t="n"/>
      <c r="R2238" s="104" t="n"/>
      <c r="S2238" s="110" t="n"/>
      <c r="T2238" s="110" t="n"/>
      <c r="U2238" s="104" t="n"/>
    </row>
    <row r="2239">
      <c r="A2239" s="105" t="inlineStr">
        <is>
          <t>GUIDE002238</t>
        </is>
      </c>
      <c r="B2239" s="104" t="n"/>
      <c r="C2239" s="107" t="n"/>
      <c r="D2239" s="107" t="n"/>
      <c r="E2239" s="108" t="n"/>
      <c r="F2239" s="104" t="n"/>
      <c r="G2239" s="104" t="n"/>
      <c r="H2239" s="104" t="n"/>
      <c r="I2239" s="104" t="n"/>
      <c r="J2239" s="104" t="n"/>
      <c r="K2239" s="104" t="n"/>
      <c r="L2239" s="104" t="n"/>
      <c r="M2239" s="104" t="n"/>
      <c r="N2239" s="104" t="n"/>
      <c r="O2239" s="104" t="n"/>
      <c r="P2239" s="104" t="n"/>
      <c r="Q2239" s="104" t="n"/>
      <c r="R2239" s="104" t="n"/>
      <c r="S2239" s="110" t="n"/>
      <c r="T2239" s="110" t="n"/>
      <c r="U2239" s="104" t="n"/>
    </row>
    <row r="2240">
      <c r="A2240" s="104" t="inlineStr">
        <is>
          <t>GUIDE002239</t>
        </is>
      </c>
      <c r="B2240" s="104" t="n"/>
      <c r="C2240" s="107" t="n"/>
      <c r="D2240" s="107" t="n"/>
      <c r="E2240" s="108" t="n"/>
      <c r="F2240" s="104" t="n"/>
      <c r="G2240" s="104" t="n"/>
      <c r="H2240" s="104" t="n"/>
      <c r="I2240" s="104" t="n"/>
      <c r="J2240" s="104" t="n"/>
      <c r="K2240" s="104" t="n"/>
      <c r="L2240" s="104" t="n"/>
      <c r="M2240" s="104" t="n"/>
      <c r="N2240" s="104" t="n"/>
      <c r="O2240" s="104" t="n"/>
      <c r="P2240" s="104" t="n"/>
      <c r="Q2240" s="104" t="n"/>
      <c r="R2240" s="104" t="n"/>
      <c r="S2240" s="110" t="n"/>
      <c r="T2240" s="110" t="n"/>
      <c r="U2240" s="104" t="n"/>
    </row>
    <row r="2241">
      <c r="A2241" s="104" t="inlineStr">
        <is>
          <t>GUIDE002240</t>
        </is>
      </c>
      <c r="B2241" s="104" t="n"/>
      <c r="C2241" s="107" t="n"/>
      <c r="D2241" s="107" t="n"/>
      <c r="E2241" s="108" t="n"/>
      <c r="F2241" s="104" t="n"/>
      <c r="G2241" s="104" t="n"/>
      <c r="H2241" s="104" t="n"/>
      <c r="I2241" s="104" t="n"/>
      <c r="J2241" s="104" t="n"/>
      <c r="K2241" s="104" t="n"/>
      <c r="L2241" s="104" t="n"/>
      <c r="M2241" s="104" t="n"/>
      <c r="N2241" s="104" t="n"/>
      <c r="O2241" s="104" t="n"/>
      <c r="P2241" s="104" t="n"/>
      <c r="Q2241" s="104" t="n"/>
      <c r="R2241" s="104" t="n"/>
      <c r="S2241" s="110" t="n"/>
      <c r="T2241" s="110" t="n"/>
      <c r="U2241" s="104" t="n"/>
    </row>
    <row r="2242">
      <c r="A2242" s="104" t="inlineStr">
        <is>
          <t>GUIDE002241</t>
        </is>
      </c>
      <c r="B2242" s="104" t="n"/>
      <c r="C2242" s="107" t="n"/>
      <c r="D2242" s="107" t="n"/>
      <c r="E2242" s="108" t="n"/>
      <c r="F2242" s="104" t="n"/>
      <c r="G2242" s="104" t="n"/>
      <c r="H2242" s="104" t="n"/>
      <c r="I2242" s="104" t="n"/>
      <c r="J2242" s="104" t="n"/>
      <c r="K2242" s="104" t="n"/>
      <c r="L2242" s="104" t="n"/>
      <c r="M2242" s="104" t="n"/>
      <c r="N2242" s="104" t="n"/>
      <c r="O2242" s="104" t="n"/>
      <c r="P2242" s="104" t="n"/>
      <c r="Q2242" s="104" t="n"/>
      <c r="R2242" s="104" t="n"/>
      <c r="S2242" s="110" t="n"/>
      <c r="T2242" s="110" t="n"/>
      <c r="U2242" s="104" t="n"/>
    </row>
    <row r="2243">
      <c r="A2243" s="105" t="inlineStr">
        <is>
          <t>GUIDE002242</t>
        </is>
      </c>
      <c r="B2243" s="104" t="n"/>
      <c r="C2243" s="107" t="n"/>
      <c r="D2243" s="107" t="n"/>
      <c r="E2243" s="108" t="n"/>
      <c r="F2243" s="104" t="n"/>
      <c r="G2243" s="104" t="n"/>
      <c r="H2243" s="104" t="n"/>
      <c r="I2243" s="104" t="n"/>
      <c r="J2243" s="104" t="n"/>
      <c r="K2243" s="104" t="n"/>
      <c r="L2243" s="104" t="n"/>
      <c r="M2243" s="104" t="n"/>
      <c r="N2243" s="104" t="n"/>
      <c r="O2243" s="104" t="n"/>
      <c r="P2243" s="104" t="n"/>
      <c r="Q2243" s="104" t="n"/>
      <c r="R2243" s="104" t="n"/>
      <c r="S2243" s="110" t="n"/>
      <c r="T2243" s="110" t="n"/>
      <c r="U2243" s="104" t="n"/>
    </row>
    <row r="2244">
      <c r="A2244" s="104" t="inlineStr">
        <is>
          <t>GUIDE002243</t>
        </is>
      </c>
      <c r="B2244" s="104" t="n"/>
      <c r="C2244" s="107" t="n"/>
      <c r="D2244" s="107" t="n"/>
      <c r="E2244" s="108" t="n"/>
      <c r="F2244" s="104" t="n"/>
      <c r="G2244" s="104" t="n"/>
      <c r="H2244" s="104" t="n"/>
      <c r="I2244" s="104" t="n"/>
      <c r="J2244" s="104" t="n"/>
      <c r="K2244" s="104" t="n"/>
      <c r="L2244" s="104" t="n"/>
      <c r="M2244" s="104" t="n"/>
      <c r="N2244" s="104" t="n"/>
      <c r="O2244" s="104" t="n"/>
      <c r="P2244" s="104" t="n"/>
      <c r="Q2244" s="104" t="n"/>
      <c r="R2244" s="104" t="n"/>
      <c r="S2244" s="110" t="n"/>
      <c r="T2244" s="110" t="n"/>
      <c r="U2244" s="104" t="n"/>
    </row>
    <row r="2245">
      <c r="A2245" s="104" t="inlineStr">
        <is>
          <t>GUIDE002244</t>
        </is>
      </c>
      <c r="B2245" s="104" t="n"/>
      <c r="C2245" s="107" t="n"/>
      <c r="D2245" s="107" t="n"/>
      <c r="E2245" s="108" t="n"/>
      <c r="F2245" s="104" t="n"/>
      <c r="G2245" s="104" t="n"/>
      <c r="H2245" s="104" t="n"/>
      <c r="I2245" s="104" t="n"/>
      <c r="J2245" s="104" t="n"/>
      <c r="K2245" s="104" t="n"/>
      <c r="L2245" s="104" t="n"/>
      <c r="M2245" s="104" t="n"/>
      <c r="N2245" s="104" t="n"/>
      <c r="O2245" s="104" t="n"/>
      <c r="P2245" s="104" t="n"/>
      <c r="Q2245" s="104" t="n"/>
      <c r="R2245" s="104" t="n"/>
      <c r="S2245" s="110" t="n"/>
      <c r="T2245" s="110" t="n"/>
      <c r="U2245" s="104" t="n"/>
    </row>
    <row r="2246">
      <c r="A2246" s="104" t="inlineStr">
        <is>
          <t>GUIDE002245</t>
        </is>
      </c>
      <c r="B2246" s="104" t="n"/>
      <c r="C2246" s="107" t="n"/>
      <c r="D2246" s="107" t="n"/>
      <c r="E2246" s="108" t="n"/>
      <c r="F2246" s="104" t="n"/>
      <c r="G2246" s="104" t="n"/>
      <c r="H2246" s="104" t="n"/>
      <c r="I2246" s="104" t="n"/>
      <c r="J2246" s="104" t="n"/>
      <c r="K2246" s="104" t="n"/>
      <c r="L2246" s="104" t="n"/>
      <c r="M2246" s="104" t="n"/>
      <c r="N2246" s="104" t="n"/>
      <c r="O2246" s="104" t="n"/>
      <c r="P2246" s="104" t="n"/>
      <c r="Q2246" s="104" t="n"/>
      <c r="R2246" s="104" t="n"/>
      <c r="S2246" s="110" t="n"/>
      <c r="T2246" s="110" t="n"/>
      <c r="U2246" s="104" t="n"/>
    </row>
    <row r="2247">
      <c r="A2247" s="105" t="inlineStr">
        <is>
          <t>GUIDE002246</t>
        </is>
      </c>
      <c r="B2247" s="104" t="n"/>
      <c r="C2247" s="107" t="n"/>
      <c r="D2247" s="107" t="n"/>
      <c r="E2247" s="108" t="n"/>
      <c r="F2247" s="104" t="n"/>
      <c r="G2247" s="104" t="n"/>
      <c r="H2247" s="104" t="n"/>
      <c r="I2247" s="104" t="n"/>
      <c r="J2247" s="104" t="n"/>
      <c r="K2247" s="104" t="n"/>
      <c r="L2247" s="104" t="n"/>
      <c r="M2247" s="104" t="n"/>
      <c r="N2247" s="104" t="n"/>
      <c r="O2247" s="104" t="n"/>
      <c r="P2247" s="104" t="n"/>
      <c r="Q2247" s="104" t="n"/>
      <c r="R2247" s="104" t="n"/>
      <c r="S2247" s="110" t="n"/>
      <c r="T2247" s="110" t="n"/>
      <c r="U2247" s="104" t="n"/>
    </row>
    <row r="2248">
      <c r="A2248" s="104" t="inlineStr">
        <is>
          <t>GUIDE002247</t>
        </is>
      </c>
      <c r="B2248" s="104" t="n"/>
      <c r="C2248" s="107" t="n"/>
      <c r="D2248" s="107" t="n"/>
      <c r="E2248" s="108" t="n"/>
      <c r="F2248" s="104" t="n"/>
      <c r="G2248" s="104" t="n"/>
      <c r="H2248" s="104" t="n"/>
      <c r="I2248" s="104" t="n"/>
      <c r="J2248" s="104" t="n"/>
      <c r="K2248" s="104" t="n"/>
      <c r="L2248" s="104" t="n"/>
      <c r="M2248" s="104" t="n"/>
      <c r="N2248" s="104" t="n"/>
      <c r="O2248" s="104" t="n"/>
      <c r="P2248" s="104" t="n"/>
      <c r="Q2248" s="104" t="n"/>
      <c r="R2248" s="104" t="n"/>
      <c r="S2248" s="110" t="n"/>
      <c r="T2248" s="110" t="n"/>
      <c r="U2248" s="104" t="n"/>
    </row>
    <row r="2249">
      <c r="A2249" s="104" t="inlineStr">
        <is>
          <t>GUIDE002248</t>
        </is>
      </c>
      <c r="B2249" s="104" t="n"/>
      <c r="C2249" s="107" t="n"/>
      <c r="D2249" s="107" t="n"/>
      <c r="E2249" s="108" t="n"/>
      <c r="F2249" s="104" t="n"/>
      <c r="G2249" s="104" t="n"/>
      <c r="H2249" s="104" t="n"/>
      <c r="I2249" s="104" t="n"/>
      <c r="J2249" s="104" t="n"/>
      <c r="K2249" s="104" t="n"/>
      <c r="L2249" s="104" t="n"/>
      <c r="M2249" s="104" t="n"/>
      <c r="N2249" s="104" t="n"/>
      <c r="O2249" s="104" t="n"/>
      <c r="P2249" s="104" t="n"/>
      <c r="Q2249" s="104" t="n"/>
      <c r="R2249" s="104" t="n"/>
      <c r="S2249" s="110" t="n"/>
      <c r="T2249" s="110" t="n"/>
      <c r="U2249" s="104" t="n"/>
    </row>
    <row r="2250">
      <c r="A2250" s="104" t="inlineStr">
        <is>
          <t>GUIDE002249</t>
        </is>
      </c>
      <c r="B2250" s="104" t="n"/>
      <c r="C2250" s="107" t="n"/>
      <c r="D2250" s="107" t="n"/>
      <c r="E2250" s="108" t="n"/>
      <c r="F2250" s="104" t="n"/>
      <c r="G2250" s="104" t="n"/>
      <c r="H2250" s="104" t="n"/>
      <c r="I2250" s="104" t="n"/>
      <c r="J2250" s="104" t="n"/>
      <c r="K2250" s="104" t="n"/>
      <c r="L2250" s="104" t="n"/>
      <c r="M2250" s="104" t="n"/>
      <c r="N2250" s="104" t="n"/>
      <c r="O2250" s="104" t="n"/>
      <c r="P2250" s="104" t="n"/>
      <c r="Q2250" s="104" t="n"/>
      <c r="R2250" s="104" t="n"/>
      <c r="S2250" s="110" t="n"/>
      <c r="T2250" s="110" t="n"/>
      <c r="U2250" s="104" t="n"/>
    </row>
    <row r="2251">
      <c r="A2251" s="105" t="inlineStr">
        <is>
          <t>GUIDE002250</t>
        </is>
      </c>
      <c r="B2251" s="104" t="n"/>
      <c r="C2251" s="107" t="n"/>
      <c r="D2251" s="107" t="n"/>
      <c r="E2251" s="108" t="n"/>
      <c r="F2251" s="104" t="n"/>
      <c r="G2251" s="104" t="n"/>
      <c r="H2251" s="104" t="n"/>
      <c r="I2251" s="104" t="n"/>
      <c r="J2251" s="104" t="n"/>
      <c r="K2251" s="104" t="n"/>
      <c r="L2251" s="104" t="n"/>
      <c r="M2251" s="104" t="n"/>
      <c r="N2251" s="104" t="n"/>
      <c r="O2251" s="104" t="n"/>
      <c r="P2251" s="104" t="n"/>
      <c r="Q2251" s="104" t="n"/>
      <c r="R2251" s="104" t="n"/>
      <c r="S2251" s="110" t="n"/>
      <c r="T2251" s="110" t="n"/>
      <c r="U2251" s="104" t="n"/>
    </row>
    <row r="2252">
      <c r="A2252" s="104" t="inlineStr">
        <is>
          <t>GUIDE002251</t>
        </is>
      </c>
      <c r="B2252" s="104" t="n"/>
      <c r="C2252" s="107" t="n"/>
      <c r="D2252" s="107" t="n"/>
      <c r="E2252" s="108" t="n"/>
      <c r="F2252" s="104" t="n"/>
      <c r="G2252" s="104" t="n"/>
      <c r="H2252" s="104" t="n"/>
      <c r="I2252" s="104" t="n"/>
      <c r="J2252" s="104" t="n"/>
      <c r="K2252" s="104" t="n"/>
      <c r="L2252" s="104" t="n"/>
      <c r="M2252" s="104" t="n"/>
      <c r="N2252" s="104" t="n"/>
      <c r="O2252" s="104" t="n"/>
      <c r="P2252" s="104" t="n"/>
      <c r="Q2252" s="104" t="n"/>
      <c r="R2252" s="104" t="n"/>
      <c r="S2252" s="110" t="n"/>
      <c r="T2252" s="110" t="n"/>
      <c r="U2252" s="104" t="n"/>
    </row>
    <row r="2253">
      <c r="A2253" s="104" t="inlineStr">
        <is>
          <t>GUIDE002252</t>
        </is>
      </c>
      <c r="B2253" s="104" t="n"/>
      <c r="C2253" s="107" t="n"/>
      <c r="D2253" s="107" t="n"/>
      <c r="E2253" s="108" t="n"/>
      <c r="F2253" s="104" t="n"/>
      <c r="G2253" s="104" t="n"/>
      <c r="H2253" s="104" t="n"/>
      <c r="I2253" s="104" t="n"/>
      <c r="J2253" s="104" t="n"/>
      <c r="K2253" s="104" t="n"/>
      <c r="L2253" s="104" t="n"/>
      <c r="M2253" s="104" t="n"/>
      <c r="N2253" s="104" t="n"/>
      <c r="O2253" s="104" t="n"/>
      <c r="P2253" s="104" t="n"/>
      <c r="Q2253" s="104" t="n"/>
      <c r="R2253" s="104" t="n"/>
      <c r="S2253" s="110" t="n"/>
      <c r="T2253" s="110" t="n"/>
      <c r="U2253" s="104" t="n"/>
    </row>
    <row r="2254">
      <c r="A2254" s="104" t="inlineStr">
        <is>
          <t>GUIDE002253</t>
        </is>
      </c>
      <c r="B2254" s="104" t="n"/>
      <c r="C2254" s="107" t="n"/>
      <c r="D2254" s="107" t="n"/>
      <c r="E2254" s="108" t="n"/>
      <c r="F2254" s="104" t="n"/>
      <c r="G2254" s="104" t="n"/>
      <c r="H2254" s="104" t="n"/>
      <c r="I2254" s="104" t="n"/>
      <c r="J2254" s="104" t="n"/>
      <c r="K2254" s="104" t="n"/>
      <c r="L2254" s="104" t="n"/>
      <c r="M2254" s="104" t="n"/>
      <c r="N2254" s="104" t="n"/>
      <c r="O2254" s="104" t="n"/>
      <c r="P2254" s="104" t="n"/>
      <c r="Q2254" s="104" t="n"/>
      <c r="R2254" s="104" t="n"/>
      <c r="S2254" s="110" t="n"/>
      <c r="T2254" s="110" t="n"/>
      <c r="U2254" s="104" t="n"/>
    </row>
    <row r="2255">
      <c r="A2255" s="105" t="inlineStr">
        <is>
          <t>GUIDE002254</t>
        </is>
      </c>
      <c r="B2255" s="104" t="n"/>
      <c r="C2255" s="107" t="n"/>
      <c r="D2255" s="107" t="n"/>
      <c r="E2255" s="108" t="n"/>
      <c r="F2255" s="104" t="n"/>
      <c r="G2255" s="104" t="n"/>
      <c r="H2255" s="104" t="n"/>
      <c r="I2255" s="104" t="n"/>
      <c r="J2255" s="104" t="n"/>
      <c r="K2255" s="104" t="n"/>
      <c r="L2255" s="104" t="n"/>
      <c r="M2255" s="104" t="n"/>
      <c r="N2255" s="104" t="n"/>
      <c r="O2255" s="104" t="n"/>
      <c r="P2255" s="104" t="n"/>
      <c r="Q2255" s="104" t="n"/>
      <c r="R2255" s="104" t="n"/>
      <c r="S2255" s="110" t="n"/>
      <c r="T2255" s="110" t="n"/>
      <c r="U2255" s="104" t="n"/>
    </row>
    <row r="2256">
      <c r="A2256" s="104" t="inlineStr">
        <is>
          <t>GUIDE002255</t>
        </is>
      </c>
      <c r="B2256" s="104" t="n"/>
      <c r="C2256" s="107" t="n"/>
      <c r="D2256" s="107" t="n"/>
      <c r="E2256" s="108" t="n"/>
      <c r="F2256" s="104" t="n"/>
      <c r="G2256" s="104" t="n"/>
      <c r="H2256" s="104" t="n"/>
      <c r="I2256" s="104" t="n"/>
      <c r="J2256" s="104" t="n"/>
      <c r="K2256" s="104" t="n"/>
      <c r="L2256" s="104" t="n"/>
      <c r="M2256" s="104" t="n"/>
      <c r="N2256" s="104" t="n"/>
      <c r="O2256" s="104" t="n"/>
      <c r="P2256" s="104" t="n"/>
      <c r="Q2256" s="104" t="n"/>
      <c r="R2256" s="104" t="n"/>
      <c r="S2256" s="110" t="n"/>
      <c r="T2256" s="110" t="n"/>
      <c r="U2256" s="104" t="n"/>
    </row>
    <row r="2257">
      <c r="A2257" s="104" t="inlineStr">
        <is>
          <t>GUIDE002256</t>
        </is>
      </c>
      <c r="B2257" s="104" t="n"/>
      <c r="C2257" s="107" t="n"/>
      <c r="D2257" s="107" t="n"/>
      <c r="E2257" s="108" t="n"/>
      <c r="F2257" s="104" t="n"/>
      <c r="G2257" s="104" t="n"/>
      <c r="H2257" s="104" t="n"/>
      <c r="I2257" s="104" t="n"/>
      <c r="J2257" s="104" t="n"/>
      <c r="K2257" s="104" t="n"/>
      <c r="L2257" s="104" t="n"/>
      <c r="M2257" s="104" t="n"/>
      <c r="N2257" s="104" t="n"/>
      <c r="O2257" s="104" t="n"/>
      <c r="P2257" s="104" t="n"/>
      <c r="Q2257" s="104" t="n"/>
      <c r="R2257" s="104" t="n"/>
      <c r="S2257" s="110" t="n"/>
      <c r="T2257" s="110" t="n"/>
      <c r="U2257" s="104" t="n"/>
    </row>
    <row r="2258">
      <c r="A2258" s="104" t="inlineStr">
        <is>
          <t>GUIDE002257</t>
        </is>
      </c>
      <c r="B2258" s="104" t="n"/>
      <c r="C2258" s="107" t="n"/>
      <c r="D2258" s="107" t="n"/>
      <c r="E2258" s="108" t="n"/>
      <c r="F2258" s="104" t="n"/>
      <c r="G2258" s="104" t="n"/>
      <c r="H2258" s="104" t="n"/>
      <c r="I2258" s="104" t="n"/>
      <c r="J2258" s="104" t="n"/>
      <c r="K2258" s="104" t="n"/>
      <c r="L2258" s="104" t="n"/>
      <c r="M2258" s="104" t="n"/>
      <c r="N2258" s="104" t="n"/>
      <c r="O2258" s="104" t="n"/>
      <c r="P2258" s="104" t="n"/>
      <c r="Q2258" s="104" t="n"/>
      <c r="R2258" s="104" t="n"/>
      <c r="S2258" s="110" t="n"/>
      <c r="T2258" s="110" t="n"/>
      <c r="U2258" s="104" t="n"/>
    </row>
    <row r="2259">
      <c r="A2259" s="105" t="inlineStr">
        <is>
          <t>GUIDE002258</t>
        </is>
      </c>
      <c r="B2259" s="104" t="n"/>
      <c r="C2259" s="107" t="n"/>
      <c r="D2259" s="107" t="n"/>
      <c r="E2259" s="108" t="n"/>
      <c r="F2259" s="104" t="n"/>
      <c r="G2259" s="104" t="n"/>
      <c r="H2259" s="104" t="n"/>
      <c r="I2259" s="104" t="n"/>
      <c r="J2259" s="104" t="n"/>
      <c r="K2259" s="104" t="n"/>
      <c r="L2259" s="104" t="n"/>
      <c r="M2259" s="104" t="n"/>
      <c r="N2259" s="104" t="n"/>
      <c r="O2259" s="104" t="n"/>
      <c r="P2259" s="104" t="n"/>
      <c r="Q2259" s="104" t="n"/>
      <c r="R2259" s="104" t="n"/>
      <c r="S2259" s="110" t="n"/>
      <c r="T2259" s="110" t="n"/>
      <c r="U2259" s="104" t="n"/>
    </row>
    <row r="2260">
      <c r="A2260" s="104" t="inlineStr">
        <is>
          <t>GUIDE002259</t>
        </is>
      </c>
      <c r="B2260" s="104" t="n"/>
      <c r="C2260" s="107" t="n"/>
      <c r="D2260" s="107" t="n"/>
      <c r="E2260" s="108" t="n"/>
      <c r="F2260" s="104" t="n"/>
      <c r="G2260" s="104" t="n"/>
      <c r="H2260" s="104" t="n"/>
      <c r="I2260" s="104" t="n"/>
      <c r="J2260" s="104" t="n"/>
      <c r="K2260" s="104" t="n"/>
      <c r="L2260" s="104" t="n"/>
      <c r="M2260" s="104" t="n"/>
      <c r="N2260" s="104" t="n"/>
      <c r="O2260" s="104" t="n"/>
      <c r="P2260" s="104" t="n"/>
      <c r="Q2260" s="104" t="n"/>
      <c r="R2260" s="104" t="n"/>
      <c r="S2260" s="110" t="n"/>
      <c r="T2260" s="110" t="n"/>
      <c r="U2260" s="104" t="n"/>
    </row>
    <row r="2261">
      <c r="A2261" s="104" t="inlineStr">
        <is>
          <t>GUIDE002260</t>
        </is>
      </c>
      <c r="B2261" s="104" t="n"/>
      <c r="C2261" s="107" t="n"/>
      <c r="D2261" s="107" t="n"/>
      <c r="E2261" s="108" t="n"/>
      <c r="F2261" s="104" t="n"/>
      <c r="G2261" s="104" t="n"/>
      <c r="H2261" s="104" t="n"/>
      <c r="I2261" s="104" t="n"/>
      <c r="J2261" s="104" t="n"/>
      <c r="K2261" s="104" t="n"/>
      <c r="L2261" s="104" t="n"/>
      <c r="M2261" s="104" t="n"/>
      <c r="N2261" s="104" t="n"/>
      <c r="O2261" s="104" t="n"/>
      <c r="P2261" s="104" t="n"/>
      <c r="Q2261" s="104" t="n"/>
      <c r="R2261" s="104" t="n"/>
      <c r="S2261" s="110" t="n"/>
      <c r="T2261" s="110" t="n"/>
      <c r="U2261" s="104" t="n"/>
    </row>
    <row r="2262">
      <c r="A2262" s="104" t="inlineStr">
        <is>
          <t>GUIDE002261</t>
        </is>
      </c>
      <c r="B2262" s="104" t="n"/>
      <c r="C2262" s="107" t="n"/>
      <c r="D2262" s="107" t="n"/>
      <c r="E2262" s="108" t="n"/>
      <c r="F2262" s="104" t="n"/>
      <c r="G2262" s="104" t="n"/>
      <c r="H2262" s="104" t="n"/>
      <c r="I2262" s="104" t="n"/>
      <c r="J2262" s="104" t="n"/>
      <c r="K2262" s="104" t="n"/>
      <c r="L2262" s="104" t="n"/>
      <c r="M2262" s="104" t="n"/>
      <c r="N2262" s="104" t="n"/>
      <c r="O2262" s="104" t="n"/>
      <c r="P2262" s="104" t="n"/>
      <c r="Q2262" s="104" t="n"/>
      <c r="R2262" s="104" t="n"/>
      <c r="S2262" s="110" t="n"/>
      <c r="T2262" s="110" t="n"/>
      <c r="U2262" s="104" t="n"/>
    </row>
    <row r="2263">
      <c r="A2263" s="105" t="inlineStr">
        <is>
          <t>GUIDE002262</t>
        </is>
      </c>
      <c r="B2263" s="104" t="n"/>
      <c r="C2263" s="107" t="n"/>
      <c r="D2263" s="107" t="n"/>
      <c r="E2263" s="108" t="n"/>
      <c r="F2263" s="104" t="n"/>
      <c r="G2263" s="104" t="n"/>
      <c r="H2263" s="104" t="n"/>
      <c r="I2263" s="104" t="n"/>
      <c r="J2263" s="104" t="n"/>
      <c r="K2263" s="104" t="n"/>
      <c r="L2263" s="104" t="n"/>
      <c r="M2263" s="104" t="n"/>
      <c r="N2263" s="104" t="n"/>
      <c r="O2263" s="104" t="n"/>
      <c r="P2263" s="104" t="n"/>
      <c r="Q2263" s="104" t="n"/>
      <c r="R2263" s="104" t="n"/>
      <c r="S2263" s="110" t="n"/>
      <c r="T2263" s="110" t="n"/>
      <c r="U2263" s="104" t="n"/>
    </row>
    <row r="2264">
      <c r="A2264" s="104" t="inlineStr">
        <is>
          <t>GUIDE002263</t>
        </is>
      </c>
      <c r="B2264" s="104" t="n"/>
      <c r="C2264" s="107" t="n"/>
      <c r="D2264" s="107" t="n"/>
      <c r="E2264" s="108" t="n"/>
      <c r="F2264" s="104" t="n"/>
      <c r="G2264" s="104" t="n"/>
      <c r="H2264" s="104" t="n"/>
      <c r="I2264" s="104" t="n"/>
      <c r="J2264" s="104" t="n"/>
      <c r="K2264" s="104" t="n"/>
      <c r="L2264" s="104" t="n"/>
      <c r="M2264" s="104" t="n"/>
      <c r="N2264" s="104" t="n"/>
      <c r="O2264" s="104" t="n"/>
      <c r="P2264" s="104" t="n"/>
      <c r="Q2264" s="104" t="n"/>
      <c r="R2264" s="104" t="n"/>
      <c r="S2264" s="110" t="n"/>
      <c r="T2264" s="110" t="n"/>
      <c r="U2264" s="104" t="n"/>
    </row>
    <row r="2265">
      <c r="A2265" s="104" t="inlineStr">
        <is>
          <t>GUIDE002264</t>
        </is>
      </c>
      <c r="B2265" s="104" t="n"/>
      <c r="C2265" s="107" t="n"/>
      <c r="D2265" s="107" t="n"/>
      <c r="E2265" s="108" t="n"/>
      <c r="F2265" s="104" t="n"/>
      <c r="G2265" s="104" t="n"/>
      <c r="H2265" s="104" t="n"/>
      <c r="I2265" s="104" t="n"/>
      <c r="J2265" s="104" t="n"/>
      <c r="K2265" s="104" t="n"/>
      <c r="L2265" s="104" t="n"/>
      <c r="M2265" s="104" t="n"/>
      <c r="N2265" s="104" t="n"/>
      <c r="O2265" s="104" t="n"/>
      <c r="P2265" s="104" t="n"/>
      <c r="Q2265" s="104" t="n"/>
      <c r="R2265" s="104" t="n"/>
      <c r="S2265" s="110" t="n"/>
      <c r="T2265" s="110" t="n"/>
      <c r="U2265" s="104" t="n"/>
    </row>
    <row r="2266">
      <c r="A2266" s="104" t="inlineStr">
        <is>
          <t>GUIDE002265</t>
        </is>
      </c>
      <c r="B2266" s="104" t="n"/>
      <c r="C2266" s="107" t="n"/>
      <c r="D2266" s="107" t="n"/>
      <c r="E2266" s="108" t="n"/>
      <c r="F2266" s="104" t="n"/>
      <c r="G2266" s="104" t="n"/>
      <c r="H2266" s="104" t="n"/>
      <c r="I2266" s="104" t="n"/>
      <c r="J2266" s="104" t="n"/>
      <c r="K2266" s="104" t="n"/>
      <c r="L2266" s="104" t="n"/>
      <c r="M2266" s="104" t="n"/>
      <c r="N2266" s="104" t="n"/>
      <c r="O2266" s="104" t="n"/>
      <c r="P2266" s="104" t="n"/>
      <c r="Q2266" s="104" t="n"/>
      <c r="R2266" s="104" t="n"/>
      <c r="S2266" s="110" t="n"/>
      <c r="T2266" s="110" t="n"/>
      <c r="U2266" s="104" t="n"/>
    </row>
    <row r="2267">
      <c r="A2267" s="105" t="inlineStr">
        <is>
          <t>GUIDE002266</t>
        </is>
      </c>
      <c r="B2267" s="104" t="n"/>
      <c r="C2267" s="107" t="n"/>
      <c r="D2267" s="107" t="n"/>
      <c r="E2267" s="108" t="n"/>
      <c r="F2267" s="104" t="n"/>
      <c r="G2267" s="104" t="n"/>
      <c r="H2267" s="104" t="n"/>
      <c r="I2267" s="104" t="n"/>
      <c r="J2267" s="104" t="n"/>
      <c r="K2267" s="104" t="n"/>
      <c r="L2267" s="104" t="n"/>
      <c r="M2267" s="104" t="n"/>
      <c r="N2267" s="104" t="n"/>
      <c r="O2267" s="104" t="n"/>
      <c r="P2267" s="104" t="n"/>
      <c r="Q2267" s="104" t="n"/>
      <c r="R2267" s="104" t="n"/>
      <c r="S2267" s="110" t="n"/>
      <c r="T2267" s="110" t="n"/>
      <c r="U2267" s="104" t="n"/>
    </row>
    <row r="2268">
      <c r="A2268" s="104" t="inlineStr">
        <is>
          <t>GUIDE002267</t>
        </is>
      </c>
      <c r="B2268" s="104" t="n"/>
      <c r="C2268" s="107" t="n"/>
      <c r="D2268" s="107" t="n"/>
      <c r="E2268" s="108" t="n"/>
      <c r="F2268" s="104" t="n"/>
      <c r="G2268" s="104" t="n"/>
      <c r="H2268" s="104" t="n"/>
      <c r="I2268" s="104" t="n"/>
      <c r="J2268" s="104" t="n"/>
      <c r="K2268" s="104" t="n"/>
      <c r="L2268" s="104" t="n"/>
      <c r="M2268" s="104" t="n"/>
      <c r="N2268" s="104" t="n"/>
      <c r="O2268" s="104" t="n"/>
      <c r="P2268" s="104" t="n"/>
      <c r="Q2268" s="104" t="n"/>
      <c r="R2268" s="104" t="n"/>
      <c r="S2268" s="110" t="n"/>
      <c r="T2268" s="110" t="n"/>
      <c r="U2268" s="104" t="n"/>
    </row>
    <row r="2269">
      <c r="A2269" s="104" t="inlineStr">
        <is>
          <t>GUIDE002268</t>
        </is>
      </c>
      <c r="B2269" s="104" t="n"/>
      <c r="C2269" s="107" t="n"/>
      <c r="D2269" s="107" t="n"/>
      <c r="E2269" s="108" t="n"/>
      <c r="F2269" s="104" t="n"/>
      <c r="G2269" s="104" t="n"/>
      <c r="H2269" s="104" t="n"/>
      <c r="I2269" s="104" t="n"/>
      <c r="J2269" s="104" t="n"/>
      <c r="K2269" s="104" t="n"/>
      <c r="L2269" s="104" t="n"/>
      <c r="M2269" s="104" t="n"/>
      <c r="N2269" s="104" t="n"/>
      <c r="O2269" s="104" t="n"/>
      <c r="P2269" s="104" t="n"/>
      <c r="Q2269" s="104" t="n"/>
      <c r="R2269" s="104" t="n"/>
      <c r="S2269" s="110" t="n"/>
      <c r="T2269" s="110" t="n"/>
      <c r="U2269" s="104" t="n"/>
    </row>
    <row r="2270">
      <c r="A2270" s="104" t="inlineStr">
        <is>
          <t>GUIDE002269</t>
        </is>
      </c>
      <c r="B2270" s="104" t="n"/>
      <c r="C2270" s="107" t="n"/>
      <c r="D2270" s="107" t="n"/>
      <c r="E2270" s="108" t="n"/>
      <c r="F2270" s="104" t="n"/>
      <c r="G2270" s="104" t="n"/>
      <c r="H2270" s="104" t="n"/>
      <c r="I2270" s="104" t="n"/>
      <c r="J2270" s="104" t="n"/>
      <c r="K2270" s="104" t="n"/>
      <c r="L2270" s="104" t="n"/>
      <c r="M2270" s="104" t="n"/>
      <c r="N2270" s="104" t="n"/>
      <c r="O2270" s="104" t="n"/>
      <c r="P2270" s="104" t="n"/>
      <c r="Q2270" s="104" t="n"/>
      <c r="R2270" s="104" t="n"/>
      <c r="S2270" s="110" t="n"/>
      <c r="T2270" s="110" t="n"/>
      <c r="U2270" s="104" t="n"/>
    </row>
    <row r="2271">
      <c r="A2271" s="105" t="inlineStr">
        <is>
          <t>GUIDE002270</t>
        </is>
      </c>
      <c r="B2271" s="104" t="n"/>
      <c r="C2271" s="107" t="n"/>
      <c r="D2271" s="107" t="n"/>
      <c r="E2271" s="108" t="n"/>
      <c r="F2271" s="104" t="n"/>
      <c r="G2271" s="104" t="n"/>
      <c r="H2271" s="104" t="n"/>
      <c r="I2271" s="104" t="n"/>
      <c r="J2271" s="104" t="n"/>
      <c r="K2271" s="104" t="n"/>
      <c r="L2271" s="104" t="n"/>
      <c r="M2271" s="104" t="n"/>
      <c r="N2271" s="104" t="n"/>
      <c r="O2271" s="104" t="n"/>
      <c r="P2271" s="104" t="n"/>
      <c r="Q2271" s="104" t="n"/>
      <c r="R2271" s="104" t="n"/>
      <c r="S2271" s="110" t="n"/>
      <c r="T2271" s="110" t="n"/>
      <c r="U2271" s="104" t="n"/>
    </row>
    <row r="2272">
      <c r="A2272" s="104" t="inlineStr">
        <is>
          <t>GUIDE002271</t>
        </is>
      </c>
      <c r="B2272" s="104" t="n"/>
      <c r="C2272" s="107" t="n"/>
      <c r="D2272" s="107" t="n"/>
      <c r="E2272" s="108" t="n"/>
      <c r="F2272" s="104" t="n"/>
      <c r="G2272" s="104" t="n"/>
      <c r="H2272" s="104" t="n"/>
      <c r="I2272" s="104" t="n"/>
      <c r="J2272" s="104" t="n"/>
      <c r="K2272" s="104" t="n"/>
      <c r="L2272" s="104" t="n"/>
      <c r="M2272" s="104" t="n"/>
      <c r="N2272" s="104" t="n"/>
      <c r="O2272" s="104" t="n"/>
      <c r="P2272" s="104" t="n"/>
      <c r="Q2272" s="104" t="n"/>
      <c r="R2272" s="104" t="n"/>
      <c r="S2272" s="110" t="n"/>
      <c r="T2272" s="110" t="n"/>
      <c r="U2272" s="104" t="n"/>
    </row>
    <row r="2273">
      <c r="A2273" s="104" t="inlineStr">
        <is>
          <t>GUIDE002272</t>
        </is>
      </c>
      <c r="B2273" s="104" t="n"/>
      <c r="C2273" s="107" t="n"/>
      <c r="D2273" s="107" t="n"/>
      <c r="E2273" s="108" t="n"/>
      <c r="F2273" s="104" t="n"/>
      <c r="G2273" s="104" t="n"/>
      <c r="H2273" s="104" t="n"/>
      <c r="I2273" s="104" t="n"/>
      <c r="J2273" s="104" t="n"/>
      <c r="K2273" s="104" t="n"/>
      <c r="L2273" s="104" t="n"/>
      <c r="M2273" s="104" t="n"/>
      <c r="N2273" s="104" t="n"/>
      <c r="O2273" s="104" t="n"/>
      <c r="P2273" s="104" t="n"/>
      <c r="Q2273" s="104" t="n"/>
      <c r="R2273" s="104" t="n"/>
      <c r="S2273" s="110" t="n"/>
      <c r="T2273" s="110" t="n"/>
      <c r="U2273" s="104" t="n"/>
    </row>
    <row r="2274">
      <c r="A2274" s="104" t="inlineStr">
        <is>
          <t>GUIDE002273</t>
        </is>
      </c>
      <c r="B2274" s="104" t="n"/>
      <c r="C2274" s="107" t="n"/>
      <c r="D2274" s="107" t="n"/>
      <c r="E2274" s="108" t="n"/>
      <c r="F2274" s="104" t="n"/>
      <c r="G2274" s="104" t="n"/>
      <c r="H2274" s="104" t="n"/>
      <c r="I2274" s="104" t="n"/>
      <c r="J2274" s="104" t="n"/>
      <c r="K2274" s="104" t="n"/>
      <c r="L2274" s="104" t="n"/>
      <c r="M2274" s="104" t="n"/>
      <c r="N2274" s="104" t="n"/>
      <c r="O2274" s="104" t="n"/>
      <c r="P2274" s="104" t="n"/>
      <c r="Q2274" s="104" t="n"/>
      <c r="R2274" s="104" t="n"/>
      <c r="S2274" s="110" t="n"/>
      <c r="T2274" s="110" t="n"/>
      <c r="U2274" s="104" t="n"/>
    </row>
    <row r="2275">
      <c r="A2275" s="105" t="inlineStr">
        <is>
          <t>GUIDE002274</t>
        </is>
      </c>
      <c r="B2275" s="104" t="n"/>
      <c r="C2275" s="107" t="n"/>
      <c r="D2275" s="107" t="n"/>
      <c r="E2275" s="108" t="n"/>
      <c r="F2275" s="104" t="n"/>
      <c r="G2275" s="104" t="n"/>
      <c r="H2275" s="104" t="n"/>
      <c r="I2275" s="104" t="n"/>
      <c r="J2275" s="104" t="n"/>
      <c r="K2275" s="104" t="n"/>
      <c r="L2275" s="104" t="n"/>
      <c r="M2275" s="104" t="n"/>
      <c r="N2275" s="104" t="n"/>
      <c r="O2275" s="104" t="n"/>
      <c r="P2275" s="104" t="n"/>
      <c r="Q2275" s="104" t="n"/>
      <c r="R2275" s="104" t="n"/>
      <c r="S2275" s="110" t="n"/>
      <c r="T2275" s="110" t="n"/>
      <c r="U2275" s="104" t="n"/>
    </row>
    <row r="2276">
      <c r="A2276" s="104" t="inlineStr">
        <is>
          <t>GUIDE002275</t>
        </is>
      </c>
      <c r="B2276" s="104" t="n"/>
      <c r="C2276" s="107" t="n"/>
      <c r="D2276" s="107" t="n"/>
      <c r="E2276" s="108" t="n"/>
      <c r="F2276" s="104" t="n"/>
      <c r="G2276" s="104" t="n"/>
      <c r="H2276" s="104" t="n"/>
      <c r="I2276" s="104" t="n"/>
      <c r="J2276" s="104" t="n"/>
      <c r="K2276" s="104" t="n"/>
      <c r="L2276" s="104" t="n"/>
      <c r="M2276" s="104" t="n"/>
      <c r="N2276" s="104" t="n"/>
      <c r="O2276" s="104" t="n"/>
      <c r="P2276" s="104" t="n"/>
      <c r="Q2276" s="104" t="n"/>
      <c r="R2276" s="104" t="n"/>
      <c r="S2276" s="110" t="n"/>
      <c r="T2276" s="110" t="n"/>
      <c r="U2276" s="104" t="n"/>
    </row>
    <row r="2277">
      <c r="A2277" s="104" t="inlineStr">
        <is>
          <t>GUIDE002276</t>
        </is>
      </c>
      <c r="B2277" s="104" t="n"/>
      <c r="C2277" s="107" t="n"/>
      <c r="D2277" s="107" t="n"/>
      <c r="E2277" s="108" t="n"/>
      <c r="F2277" s="104" t="n"/>
      <c r="G2277" s="104" t="n"/>
      <c r="H2277" s="104" t="n"/>
      <c r="I2277" s="104" t="n"/>
      <c r="J2277" s="104" t="n"/>
      <c r="K2277" s="104" t="n"/>
      <c r="L2277" s="104" t="n"/>
      <c r="M2277" s="104" t="n"/>
      <c r="N2277" s="104" t="n"/>
      <c r="O2277" s="104" t="n"/>
      <c r="P2277" s="104" t="n"/>
      <c r="Q2277" s="104" t="n"/>
      <c r="R2277" s="104" t="n"/>
      <c r="S2277" s="110" t="n"/>
      <c r="T2277" s="110" t="n"/>
      <c r="U2277" s="104" t="n"/>
    </row>
    <row r="2278">
      <c r="A2278" s="104" t="inlineStr">
        <is>
          <t>GUIDE002277</t>
        </is>
      </c>
      <c r="B2278" s="104" t="n"/>
      <c r="C2278" s="107" t="n"/>
      <c r="D2278" s="107" t="n"/>
      <c r="E2278" s="108" t="n"/>
      <c r="F2278" s="104" t="n"/>
      <c r="G2278" s="104" t="n"/>
      <c r="H2278" s="104" t="n"/>
      <c r="I2278" s="104" t="n"/>
      <c r="J2278" s="104" t="n"/>
      <c r="K2278" s="104" t="n"/>
      <c r="L2278" s="104" t="n"/>
      <c r="M2278" s="104" t="n"/>
      <c r="N2278" s="104" t="n"/>
      <c r="O2278" s="104" t="n"/>
      <c r="P2278" s="104" t="n"/>
      <c r="Q2278" s="104" t="n"/>
      <c r="R2278" s="104" t="n"/>
      <c r="S2278" s="110" t="n"/>
      <c r="T2278" s="110" t="n"/>
      <c r="U2278" s="104" t="n"/>
    </row>
    <row r="2279">
      <c r="A2279" s="105" t="inlineStr">
        <is>
          <t>GUIDE002278</t>
        </is>
      </c>
      <c r="B2279" s="104" t="n"/>
      <c r="C2279" s="107" t="n"/>
      <c r="D2279" s="107" t="n"/>
      <c r="E2279" s="108" t="n"/>
      <c r="F2279" s="104" t="n"/>
      <c r="G2279" s="104" t="n"/>
      <c r="H2279" s="104" t="n"/>
      <c r="I2279" s="104" t="n"/>
      <c r="J2279" s="104" t="n"/>
      <c r="K2279" s="104" t="n"/>
      <c r="L2279" s="104" t="n"/>
      <c r="M2279" s="104" t="n"/>
      <c r="N2279" s="104" t="n"/>
      <c r="O2279" s="104" t="n"/>
      <c r="P2279" s="104" t="n"/>
      <c r="Q2279" s="104" t="n"/>
      <c r="R2279" s="104" t="n"/>
      <c r="S2279" s="110" t="n"/>
      <c r="T2279" s="110" t="n"/>
      <c r="U2279" s="104" t="n"/>
    </row>
    <row r="2280">
      <c r="A2280" s="104" t="inlineStr">
        <is>
          <t>GUIDE002279</t>
        </is>
      </c>
      <c r="B2280" s="104" t="n"/>
      <c r="C2280" s="107" t="n"/>
      <c r="D2280" s="107" t="n"/>
      <c r="E2280" s="108" t="n"/>
      <c r="F2280" s="104" t="n"/>
      <c r="G2280" s="104" t="n"/>
      <c r="H2280" s="104" t="n"/>
      <c r="I2280" s="104" t="n"/>
      <c r="J2280" s="104" t="n"/>
      <c r="K2280" s="104" t="n"/>
      <c r="L2280" s="104" t="n"/>
      <c r="M2280" s="104" t="n"/>
      <c r="N2280" s="104" t="n"/>
      <c r="O2280" s="104" t="n"/>
      <c r="P2280" s="104" t="n"/>
      <c r="Q2280" s="104" t="n"/>
      <c r="R2280" s="104" t="n"/>
      <c r="S2280" s="110" t="n"/>
      <c r="T2280" s="110" t="n"/>
      <c r="U2280" s="104" t="n"/>
    </row>
    <row r="2281">
      <c r="A2281" s="104" t="inlineStr">
        <is>
          <t>GUIDE002280</t>
        </is>
      </c>
      <c r="B2281" s="104" t="n"/>
      <c r="C2281" s="107" t="n"/>
      <c r="D2281" s="107" t="n"/>
      <c r="E2281" s="108" t="n"/>
      <c r="F2281" s="104" t="n"/>
      <c r="G2281" s="104" t="n"/>
      <c r="H2281" s="104" t="n"/>
      <c r="I2281" s="104" t="n"/>
      <c r="J2281" s="104" t="n"/>
      <c r="K2281" s="104" t="n"/>
      <c r="L2281" s="104" t="n"/>
      <c r="M2281" s="104" t="n"/>
      <c r="N2281" s="104" t="n"/>
      <c r="O2281" s="104" t="n"/>
      <c r="P2281" s="104" t="n"/>
      <c r="Q2281" s="104" t="n"/>
      <c r="R2281" s="104" t="n"/>
      <c r="S2281" s="110" t="n"/>
      <c r="T2281" s="110" t="n"/>
      <c r="U2281" s="104" t="n"/>
    </row>
    <row r="2282">
      <c r="A2282" s="104" t="inlineStr">
        <is>
          <t>GUIDE002281</t>
        </is>
      </c>
      <c r="B2282" s="104" t="n"/>
      <c r="C2282" s="107" t="n"/>
      <c r="D2282" s="107" t="n"/>
      <c r="E2282" s="108" t="n"/>
      <c r="F2282" s="104" t="n"/>
      <c r="G2282" s="104" t="n"/>
      <c r="H2282" s="104" t="n"/>
      <c r="I2282" s="104" t="n"/>
      <c r="J2282" s="104" t="n"/>
      <c r="K2282" s="104" t="n"/>
      <c r="L2282" s="104" t="n"/>
      <c r="M2282" s="104" t="n"/>
      <c r="N2282" s="104" t="n"/>
      <c r="O2282" s="104" t="n"/>
      <c r="P2282" s="104" t="n"/>
      <c r="Q2282" s="104" t="n"/>
      <c r="R2282" s="104" t="n"/>
      <c r="S2282" s="110" t="n"/>
      <c r="T2282" s="110" t="n"/>
      <c r="U2282" s="104" t="n"/>
    </row>
    <row r="2283">
      <c r="A2283" s="105" t="inlineStr">
        <is>
          <t>GUIDE002282</t>
        </is>
      </c>
      <c r="B2283" s="104" t="n"/>
      <c r="C2283" s="107" t="n"/>
      <c r="D2283" s="107" t="n"/>
      <c r="E2283" s="108" t="n"/>
      <c r="F2283" s="104" t="n"/>
      <c r="G2283" s="104" t="n"/>
      <c r="H2283" s="104" t="n"/>
      <c r="I2283" s="104" t="n"/>
      <c r="J2283" s="104" t="n"/>
      <c r="K2283" s="104" t="n"/>
      <c r="L2283" s="104" t="n"/>
      <c r="M2283" s="104" t="n"/>
      <c r="N2283" s="104" t="n"/>
      <c r="O2283" s="104" t="n"/>
      <c r="P2283" s="104" t="n"/>
      <c r="Q2283" s="104" t="n"/>
      <c r="R2283" s="104" t="n"/>
      <c r="S2283" s="110" t="n"/>
      <c r="T2283" s="110" t="n"/>
      <c r="U2283" s="104" t="n"/>
    </row>
    <row r="2284">
      <c r="A2284" s="104" t="inlineStr">
        <is>
          <t>GUIDE002283</t>
        </is>
      </c>
      <c r="B2284" s="104" t="n"/>
      <c r="C2284" s="107" t="n"/>
      <c r="D2284" s="107" t="n"/>
      <c r="E2284" s="108" t="n"/>
      <c r="F2284" s="104" t="n"/>
      <c r="G2284" s="104" t="n"/>
      <c r="H2284" s="104" t="n"/>
      <c r="I2284" s="104" t="n"/>
      <c r="J2284" s="104" t="n"/>
      <c r="K2284" s="104" t="n"/>
      <c r="L2284" s="104" t="n"/>
      <c r="M2284" s="104" t="n"/>
      <c r="N2284" s="104" t="n"/>
      <c r="O2284" s="104" t="n"/>
      <c r="P2284" s="104" t="n"/>
      <c r="Q2284" s="104" t="n"/>
      <c r="R2284" s="104" t="n"/>
      <c r="S2284" s="110" t="n"/>
      <c r="T2284" s="110" t="n"/>
      <c r="U2284" s="104" t="n"/>
    </row>
    <row r="2285">
      <c r="A2285" s="104" t="inlineStr">
        <is>
          <t>GUIDE002284</t>
        </is>
      </c>
      <c r="B2285" s="104" t="n"/>
      <c r="C2285" s="107" t="n"/>
      <c r="D2285" s="107" t="n"/>
      <c r="E2285" s="108" t="n"/>
      <c r="F2285" s="104" t="n"/>
      <c r="G2285" s="104" t="n"/>
      <c r="H2285" s="104" t="n"/>
      <c r="I2285" s="104" t="n"/>
      <c r="J2285" s="104" t="n"/>
      <c r="K2285" s="104" t="n"/>
      <c r="L2285" s="104" t="n"/>
      <c r="M2285" s="104" t="n"/>
      <c r="N2285" s="104" t="n"/>
      <c r="O2285" s="104" t="n"/>
      <c r="P2285" s="104" t="n"/>
      <c r="Q2285" s="104" t="n"/>
      <c r="R2285" s="104" t="n"/>
      <c r="S2285" s="110" t="n"/>
      <c r="T2285" s="110" t="n"/>
      <c r="U2285" s="104" t="n"/>
    </row>
    <row r="2286">
      <c r="A2286" s="104" t="inlineStr">
        <is>
          <t>GUIDE002285</t>
        </is>
      </c>
      <c r="B2286" s="104" t="n"/>
      <c r="C2286" s="107" t="n"/>
      <c r="D2286" s="107" t="n"/>
      <c r="E2286" s="108" t="n"/>
      <c r="F2286" s="104" t="n"/>
      <c r="G2286" s="104" t="n"/>
      <c r="H2286" s="104" t="n"/>
      <c r="I2286" s="104" t="n"/>
      <c r="J2286" s="104" t="n"/>
      <c r="K2286" s="104" t="n"/>
      <c r="L2286" s="104" t="n"/>
      <c r="M2286" s="104" t="n"/>
      <c r="N2286" s="104" t="n"/>
      <c r="O2286" s="104" t="n"/>
      <c r="P2286" s="104" t="n"/>
      <c r="Q2286" s="104" t="n"/>
      <c r="R2286" s="104" t="n"/>
      <c r="S2286" s="110" t="n"/>
      <c r="T2286" s="110" t="n"/>
      <c r="U2286" s="104" t="n"/>
    </row>
    <row r="2287">
      <c r="A2287" s="105" t="inlineStr">
        <is>
          <t>GUIDE002286</t>
        </is>
      </c>
      <c r="B2287" s="104" t="n"/>
      <c r="C2287" s="107" t="n"/>
      <c r="D2287" s="107" t="n"/>
      <c r="E2287" s="108" t="n"/>
      <c r="F2287" s="104" t="n"/>
      <c r="G2287" s="104" t="n"/>
      <c r="H2287" s="104" t="n"/>
      <c r="I2287" s="104" t="n"/>
      <c r="J2287" s="104" t="n"/>
      <c r="K2287" s="104" t="n"/>
      <c r="L2287" s="104" t="n"/>
      <c r="M2287" s="104" t="n"/>
      <c r="N2287" s="104" t="n"/>
      <c r="O2287" s="104" t="n"/>
      <c r="P2287" s="104" t="n"/>
      <c r="Q2287" s="104" t="n"/>
      <c r="R2287" s="104" t="n"/>
      <c r="S2287" s="110" t="n"/>
      <c r="T2287" s="110" t="n"/>
      <c r="U2287" s="104" t="n"/>
    </row>
    <row r="2288">
      <c r="A2288" s="104" t="inlineStr">
        <is>
          <t>GUIDE002287</t>
        </is>
      </c>
      <c r="B2288" s="104" t="n"/>
      <c r="C2288" s="107" t="n"/>
      <c r="D2288" s="107" t="n"/>
      <c r="E2288" s="108" t="n"/>
      <c r="F2288" s="104" t="n"/>
      <c r="G2288" s="104" t="n"/>
      <c r="H2288" s="104" t="n"/>
      <c r="I2288" s="104" t="n"/>
      <c r="J2288" s="104" t="n"/>
      <c r="K2288" s="104" t="n"/>
      <c r="L2288" s="104" t="n"/>
      <c r="M2288" s="104" t="n"/>
      <c r="N2288" s="104" t="n"/>
      <c r="O2288" s="104" t="n"/>
      <c r="P2288" s="104" t="n"/>
      <c r="Q2288" s="104" t="n"/>
      <c r="R2288" s="104" t="n"/>
      <c r="S2288" s="110" t="n"/>
      <c r="T2288" s="110" t="n"/>
      <c r="U2288" s="104" t="n"/>
    </row>
    <row r="2289">
      <c r="A2289" s="104" t="inlineStr">
        <is>
          <t>GUIDE002288</t>
        </is>
      </c>
      <c r="B2289" s="104" t="n"/>
      <c r="C2289" s="107" t="n"/>
      <c r="D2289" s="107" t="n"/>
      <c r="E2289" s="108" t="n"/>
      <c r="F2289" s="104" t="n"/>
      <c r="G2289" s="104" t="n"/>
      <c r="H2289" s="104" t="n"/>
      <c r="I2289" s="104" t="n"/>
      <c r="J2289" s="104" t="n"/>
      <c r="K2289" s="104" t="n"/>
      <c r="L2289" s="104" t="n"/>
      <c r="M2289" s="104" t="n"/>
      <c r="N2289" s="104" t="n"/>
      <c r="O2289" s="104" t="n"/>
      <c r="P2289" s="104" t="n"/>
      <c r="Q2289" s="104" t="n"/>
      <c r="R2289" s="104" t="n"/>
      <c r="S2289" s="110" t="n"/>
      <c r="T2289" s="110" t="n"/>
      <c r="U2289" s="104" t="n"/>
    </row>
    <row r="2290">
      <c r="A2290" s="104" t="inlineStr">
        <is>
          <t>GUIDE002289</t>
        </is>
      </c>
      <c r="B2290" s="104" t="n"/>
      <c r="C2290" s="107" t="n"/>
      <c r="D2290" s="107" t="n"/>
      <c r="E2290" s="108" t="n"/>
      <c r="F2290" s="104" t="n"/>
      <c r="G2290" s="104" t="n"/>
      <c r="H2290" s="104" t="n"/>
      <c r="I2290" s="104" t="n"/>
      <c r="J2290" s="104" t="n"/>
      <c r="K2290" s="104" t="n"/>
      <c r="L2290" s="104" t="n"/>
      <c r="M2290" s="104" t="n"/>
      <c r="N2290" s="104" t="n"/>
      <c r="O2290" s="104" t="n"/>
      <c r="P2290" s="104" t="n"/>
      <c r="Q2290" s="104" t="n"/>
      <c r="R2290" s="104" t="n"/>
      <c r="S2290" s="110" t="n"/>
      <c r="T2290" s="110" t="n"/>
      <c r="U2290" s="104" t="n"/>
    </row>
    <row r="2291">
      <c r="A2291" s="105" t="inlineStr">
        <is>
          <t>GUIDE002290</t>
        </is>
      </c>
      <c r="B2291" s="104" t="n"/>
      <c r="C2291" s="107" t="n"/>
      <c r="D2291" s="107" t="n"/>
      <c r="E2291" s="108" t="n"/>
      <c r="F2291" s="104" t="n"/>
      <c r="G2291" s="104" t="n"/>
      <c r="H2291" s="104" t="n"/>
      <c r="I2291" s="104" t="n"/>
      <c r="J2291" s="104" t="n"/>
      <c r="K2291" s="104" t="n"/>
      <c r="L2291" s="104" t="n"/>
      <c r="M2291" s="104" t="n"/>
      <c r="N2291" s="104" t="n"/>
      <c r="O2291" s="104" t="n"/>
      <c r="P2291" s="104" t="n"/>
      <c r="Q2291" s="104" t="n"/>
      <c r="R2291" s="104" t="n"/>
      <c r="S2291" s="110" t="n"/>
      <c r="T2291" s="110" t="n"/>
      <c r="U2291" s="104" t="n"/>
    </row>
    <row r="2292">
      <c r="A2292" s="104" t="inlineStr">
        <is>
          <t>GUIDE002291</t>
        </is>
      </c>
      <c r="B2292" s="104" t="n"/>
      <c r="C2292" s="107" t="n"/>
      <c r="D2292" s="107" t="n"/>
      <c r="E2292" s="108" t="n"/>
      <c r="F2292" s="104" t="n"/>
      <c r="G2292" s="104" t="n"/>
      <c r="H2292" s="104" t="n"/>
      <c r="I2292" s="104" t="n"/>
      <c r="J2292" s="104" t="n"/>
      <c r="K2292" s="104" t="n"/>
      <c r="L2292" s="104" t="n"/>
      <c r="M2292" s="104" t="n"/>
      <c r="N2292" s="104" t="n"/>
      <c r="O2292" s="104" t="n"/>
      <c r="P2292" s="104" t="n"/>
      <c r="Q2292" s="104" t="n"/>
      <c r="R2292" s="104" t="n"/>
      <c r="S2292" s="110" t="n"/>
      <c r="T2292" s="110" t="n"/>
      <c r="U2292" s="104" t="n"/>
    </row>
    <row r="2293">
      <c r="A2293" s="104" t="inlineStr">
        <is>
          <t>GUIDE002292</t>
        </is>
      </c>
      <c r="B2293" s="104" t="n"/>
      <c r="C2293" s="107" t="n"/>
      <c r="D2293" s="107" t="n"/>
      <c r="E2293" s="108" t="n"/>
      <c r="F2293" s="104" t="n"/>
      <c r="G2293" s="104" t="n"/>
      <c r="H2293" s="104" t="n"/>
      <c r="I2293" s="104" t="n"/>
      <c r="J2293" s="104" t="n"/>
      <c r="K2293" s="104" t="n"/>
      <c r="L2293" s="104" t="n"/>
      <c r="M2293" s="104" t="n"/>
      <c r="N2293" s="104" t="n"/>
      <c r="O2293" s="104" t="n"/>
      <c r="P2293" s="104" t="n"/>
      <c r="Q2293" s="104" t="n"/>
      <c r="R2293" s="104" t="n"/>
      <c r="S2293" s="110" t="n"/>
      <c r="T2293" s="110" t="n"/>
      <c r="U2293" s="104" t="n"/>
    </row>
    <row r="2294">
      <c r="A2294" s="104" t="inlineStr">
        <is>
          <t>GUIDE002293</t>
        </is>
      </c>
      <c r="B2294" s="104" t="n"/>
      <c r="C2294" s="107" t="n"/>
      <c r="D2294" s="107" t="n"/>
      <c r="E2294" s="108" t="n"/>
      <c r="F2294" s="104" t="n"/>
      <c r="G2294" s="104" t="n"/>
      <c r="H2294" s="104" t="n"/>
      <c r="I2294" s="104" t="n"/>
      <c r="J2294" s="104" t="n"/>
      <c r="K2294" s="104" t="n"/>
      <c r="L2294" s="104" t="n"/>
      <c r="M2294" s="104" t="n"/>
      <c r="N2294" s="104" t="n"/>
      <c r="O2294" s="104" t="n"/>
      <c r="P2294" s="104" t="n"/>
      <c r="Q2294" s="104" t="n"/>
      <c r="R2294" s="104" t="n"/>
      <c r="S2294" s="110" t="n"/>
      <c r="T2294" s="110" t="n"/>
      <c r="U2294" s="104" t="n"/>
    </row>
    <row r="2295">
      <c r="A2295" s="105" t="inlineStr">
        <is>
          <t>GUIDE002294</t>
        </is>
      </c>
      <c r="B2295" s="104" t="n"/>
      <c r="C2295" s="107" t="n"/>
      <c r="D2295" s="107" t="n"/>
      <c r="E2295" s="108" t="n"/>
      <c r="F2295" s="104" t="n"/>
      <c r="G2295" s="104" t="n"/>
      <c r="H2295" s="104" t="n"/>
      <c r="I2295" s="104" t="n"/>
      <c r="J2295" s="104" t="n"/>
      <c r="K2295" s="104" t="n"/>
      <c r="L2295" s="104" t="n"/>
      <c r="M2295" s="104" t="n"/>
      <c r="N2295" s="104" t="n"/>
      <c r="O2295" s="104" t="n"/>
      <c r="P2295" s="104" t="n"/>
      <c r="Q2295" s="104" t="n"/>
      <c r="R2295" s="104" t="n"/>
      <c r="S2295" s="110" t="n"/>
      <c r="T2295" s="110" t="n"/>
      <c r="U2295" s="104" t="n"/>
    </row>
    <row r="2296">
      <c r="A2296" s="104" t="inlineStr">
        <is>
          <t>GUIDE002295</t>
        </is>
      </c>
      <c r="B2296" s="104" t="n"/>
      <c r="C2296" s="107" t="n"/>
      <c r="D2296" s="107" t="n"/>
      <c r="E2296" s="108" t="n"/>
      <c r="F2296" s="104" t="n"/>
      <c r="G2296" s="104" t="n"/>
      <c r="H2296" s="104" t="n"/>
      <c r="I2296" s="104" t="n"/>
      <c r="J2296" s="104" t="n"/>
      <c r="K2296" s="104" t="n"/>
      <c r="L2296" s="104" t="n"/>
      <c r="M2296" s="104" t="n"/>
      <c r="N2296" s="104" t="n"/>
      <c r="O2296" s="104" t="n"/>
      <c r="P2296" s="104" t="n"/>
      <c r="Q2296" s="104" t="n"/>
      <c r="R2296" s="104" t="n"/>
      <c r="S2296" s="110" t="n"/>
      <c r="T2296" s="110" t="n"/>
      <c r="U2296" s="104" t="n"/>
    </row>
    <row r="2297">
      <c r="A2297" s="104" t="inlineStr">
        <is>
          <t>GUIDE002296</t>
        </is>
      </c>
      <c r="B2297" s="104" t="n"/>
      <c r="C2297" s="107" t="n"/>
      <c r="D2297" s="107" t="n"/>
      <c r="E2297" s="108" t="n"/>
      <c r="F2297" s="104" t="n"/>
      <c r="G2297" s="104" t="n"/>
      <c r="H2297" s="104" t="n"/>
      <c r="I2297" s="104" t="n"/>
      <c r="J2297" s="104" t="n"/>
      <c r="K2297" s="104" t="n"/>
      <c r="L2297" s="104" t="n"/>
      <c r="M2297" s="104" t="n"/>
      <c r="N2297" s="104" t="n"/>
      <c r="O2297" s="104" t="n"/>
      <c r="P2297" s="104" t="n"/>
      <c r="Q2297" s="104" t="n"/>
      <c r="R2297" s="104" t="n"/>
      <c r="S2297" s="110" t="n"/>
      <c r="T2297" s="110" t="n"/>
      <c r="U2297" s="104" t="n"/>
    </row>
    <row r="2298">
      <c r="A2298" s="104" t="inlineStr">
        <is>
          <t>GUIDE002297</t>
        </is>
      </c>
      <c r="B2298" s="104" t="n"/>
      <c r="C2298" s="107" t="n"/>
      <c r="D2298" s="107" t="n"/>
      <c r="E2298" s="108" t="n"/>
      <c r="F2298" s="104" t="n"/>
      <c r="G2298" s="104" t="n"/>
      <c r="H2298" s="104" t="n"/>
      <c r="I2298" s="104" t="n"/>
      <c r="J2298" s="104" t="n"/>
      <c r="K2298" s="104" t="n"/>
      <c r="L2298" s="104" t="n"/>
      <c r="M2298" s="104" t="n"/>
      <c r="N2298" s="104" t="n"/>
      <c r="O2298" s="104" t="n"/>
      <c r="P2298" s="104" t="n"/>
      <c r="Q2298" s="104" t="n"/>
      <c r="R2298" s="104" t="n"/>
      <c r="S2298" s="110" t="n"/>
      <c r="T2298" s="110" t="n"/>
      <c r="U2298" s="104" t="n"/>
    </row>
    <row r="2299">
      <c r="A2299" s="105" t="inlineStr">
        <is>
          <t>GUIDE002298</t>
        </is>
      </c>
      <c r="B2299" s="104" t="n"/>
      <c r="C2299" s="107" t="n"/>
      <c r="D2299" s="107" t="n"/>
      <c r="E2299" s="108" t="n"/>
      <c r="F2299" s="104" t="n"/>
      <c r="G2299" s="104" t="n"/>
      <c r="H2299" s="104" t="n"/>
      <c r="I2299" s="104" t="n"/>
      <c r="J2299" s="104" t="n"/>
      <c r="K2299" s="104" t="n"/>
      <c r="L2299" s="104" t="n"/>
      <c r="M2299" s="104" t="n"/>
      <c r="N2299" s="104" t="n"/>
      <c r="O2299" s="104" t="n"/>
      <c r="P2299" s="104" t="n"/>
      <c r="Q2299" s="104" t="n"/>
      <c r="R2299" s="104" t="n"/>
      <c r="S2299" s="110" t="n"/>
      <c r="T2299" s="110" t="n"/>
      <c r="U2299" s="104" t="n"/>
    </row>
    <row r="2300">
      <c r="A2300" s="104" t="inlineStr">
        <is>
          <t>GUIDE002299</t>
        </is>
      </c>
      <c r="B2300" s="104" t="n"/>
      <c r="C2300" s="107" t="n"/>
      <c r="D2300" s="107" t="n"/>
      <c r="E2300" s="108" t="n"/>
      <c r="F2300" s="104" t="n"/>
      <c r="G2300" s="104" t="n"/>
      <c r="H2300" s="104" t="n"/>
      <c r="I2300" s="104" t="n"/>
      <c r="J2300" s="104" t="n"/>
      <c r="K2300" s="104" t="n"/>
      <c r="L2300" s="104" t="n"/>
      <c r="M2300" s="104" t="n"/>
      <c r="N2300" s="104" t="n"/>
      <c r="O2300" s="104" t="n"/>
      <c r="P2300" s="104" t="n"/>
      <c r="Q2300" s="104" t="n"/>
      <c r="R2300" s="104" t="n"/>
      <c r="S2300" s="110" t="n"/>
      <c r="T2300" s="110" t="n"/>
      <c r="U2300" s="104" t="n"/>
    </row>
    <row r="2301">
      <c r="A2301" s="104" t="inlineStr">
        <is>
          <t>GUIDE002300</t>
        </is>
      </c>
      <c r="B2301" s="104" t="n"/>
      <c r="C2301" s="107" t="n"/>
      <c r="D2301" s="107" t="n"/>
      <c r="E2301" s="108" t="n"/>
      <c r="F2301" s="104" t="n"/>
      <c r="G2301" s="104" t="n"/>
      <c r="H2301" s="104" t="n"/>
      <c r="I2301" s="104" t="n"/>
      <c r="J2301" s="104" t="n"/>
      <c r="K2301" s="104" t="n"/>
      <c r="L2301" s="104" t="n"/>
      <c r="M2301" s="104" t="n"/>
      <c r="N2301" s="104" t="n"/>
      <c r="O2301" s="104" t="n"/>
      <c r="P2301" s="104" t="n"/>
      <c r="Q2301" s="104" t="n"/>
      <c r="R2301" s="104" t="n"/>
      <c r="S2301" s="110" t="n"/>
      <c r="T2301" s="110" t="n"/>
      <c r="U2301" s="104" t="n"/>
    </row>
    <row r="2302">
      <c r="A2302" s="104" t="inlineStr">
        <is>
          <t>GUIDE002301</t>
        </is>
      </c>
      <c r="B2302" s="104" t="n"/>
      <c r="C2302" s="107" t="n"/>
      <c r="D2302" s="107" t="n"/>
      <c r="E2302" s="108" t="n"/>
      <c r="F2302" s="104" t="n"/>
      <c r="G2302" s="104" t="n"/>
      <c r="H2302" s="104" t="n"/>
      <c r="I2302" s="104" t="n"/>
      <c r="J2302" s="104" t="n"/>
      <c r="K2302" s="104" t="n"/>
      <c r="L2302" s="104" t="n"/>
      <c r="M2302" s="104" t="n"/>
      <c r="N2302" s="104" t="n"/>
      <c r="O2302" s="104" t="n"/>
      <c r="P2302" s="104" t="n"/>
      <c r="Q2302" s="104" t="n"/>
      <c r="R2302" s="104" t="n"/>
      <c r="S2302" s="110" t="n"/>
      <c r="T2302" s="110" t="n"/>
      <c r="U2302" s="104" t="n"/>
    </row>
    <row r="2303">
      <c r="A2303" s="105" t="inlineStr">
        <is>
          <t>GUIDE002302</t>
        </is>
      </c>
      <c r="B2303" s="104" t="n"/>
      <c r="C2303" s="107" t="n"/>
      <c r="D2303" s="107" t="n"/>
      <c r="E2303" s="108" t="n"/>
      <c r="F2303" s="104" t="n"/>
      <c r="G2303" s="104" t="n"/>
      <c r="H2303" s="104" t="n"/>
      <c r="I2303" s="104" t="n"/>
      <c r="J2303" s="104" t="n"/>
      <c r="K2303" s="104" t="n"/>
      <c r="L2303" s="104" t="n"/>
      <c r="M2303" s="104" t="n"/>
      <c r="N2303" s="104" t="n"/>
      <c r="O2303" s="104" t="n"/>
      <c r="P2303" s="104" t="n"/>
      <c r="Q2303" s="104" t="n"/>
      <c r="R2303" s="104" t="n"/>
      <c r="S2303" s="110" t="n"/>
      <c r="T2303" s="110" t="n"/>
      <c r="U2303" s="104" t="n"/>
    </row>
    <row r="2304">
      <c r="A2304" s="104" t="inlineStr">
        <is>
          <t>GUIDE002303</t>
        </is>
      </c>
      <c r="B2304" s="104" t="n"/>
      <c r="C2304" s="107" t="n"/>
      <c r="D2304" s="107" t="n"/>
      <c r="E2304" s="108" t="n"/>
      <c r="F2304" s="104" t="n"/>
      <c r="G2304" s="104" t="n"/>
      <c r="H2304" s="104" t="n"/>
      <c r="I2304" s="104" t="n"/>
      <c r="J2304" s="104" t="n"/>
      <c r="K2304" s="104" t="n"/>
      <c r="L2304" s="104" t="n"/>
      <c r="M2304" s="104" t="n"/>
      <c r="N2304" s="104" t="n"/>
      <c r="O2304" s="104" t="n"/>
      <c r="P2304" s="104" t="n"/>
      <c r="Q2304" s="104" t="n"/>
      <c r="R2304" s="104" t="n"/>
      <c r="S2304" s="110" t="n"/>
      <c r="T2304" s="110" t="n"/>
      <c r="U2304" s="104" t="n"/>
    </row>
    <row r="2305">
      <c r="A2305" s="104" t="inlineStr">
        <is>
          <t>GUIDE002304</t>
        </is>
      </c>
      <c r="B2305" s="104" t="n"/>
      <c r="C2305" s="107" t="n"/>
      <c r="D2305" s="107" t="n"/>
      <c r="E2305" s="108" t="n"/>
      <c r="F2305" s="104" t="n"/>
      <c r="G2305" s="104" t="n"/>
      <c r="H2305" s="104" t="n"/>
      <c r="I2305" s="104" t="n"/>
      <c r="J2305" s="104" t="n"/>
      <c r="K2305" s="104" t="n"/>
      <c r="L2305" s="104" t="n"/>
      <c r="M2305" s="104" t="n"/>
      <c r="N2305" s="104" t="n"/>
      <c r="O2305" s="104" t="n"/>
      <c r="P2305" s="104" t="n"/>
      <c r="Q2305" s="104" t="n"/>
      <c r="R2305" s="104" t="n"/>
      <c r="S2305" s="110" t="n"/>
      <c r="T2305" s="110" t="n"/>
      <c r="U2305" s="104" t="n"/>
    </row>
    <row r="2306">
      <c r="A2306" s="104" t="inlineStr">
        <is>
          <t>GUIDE002305</t>
        </is>
      </c>
      <c r="B2306" s="104" t="n"/>
      <c r="C2306" s="107" t="n"/>
      <c r="D2306" s="107" t="n"/>
      <c r="E2306" s="108" t="n"/>
      <c r="F2306" s="104" t="n"/>
      <c r="G2306" s="104" t="n"/>
      <c r="H2306" s="104" t="n"/>
      <c r="I2306" s="104" t="n"/>
      <c r="J2306" s="104" t="n"/>
      <c r="K2306" s="104" t="n"/>
      <c r="L2306" s="104" t="n"/>
      <c r="M2306" s="104" t="n"/>
      <c r="N2306" s="104" t="n"/>
      <c r="O2306" s="104" t="n"/>
      <c r="P2306" s="104" t="n"/>
      <c r="Q2306" s="104" t="n"/>
      <c r="R2306" s="104" t="n"/>
      <c r="S2306" s="110" t="n"/>
      <c r="T2306" s="110" t="n"/>
      <c r="U2306" s="104" t="n"/>
    </row>
    <row r="2307">
      <c r="A2307" s="105" t="inlineStr">
        <is>
          <t>GUIDE002306</t>
        </is>
      </c>
      <c r="B2307" s="104" t="n"/>
      <c r="C2307" s="107" t="n"/>
      <c r="D2307" s="107" t="n"/>
      <c r="E2307" s="108" t="n"/>
      <c r="F2307" s="104" t="n"/>
      <c r="G2307" s="104" t="n"/>
      <c r="H2307" s="104" t="n"/>
      <c r="I2307" s="104" t="n"/>
      <c r="J2307" s="104" t="n"/>
      <c r="K2307" s="104" t="n"/>
      <c r="L2307" s="104" t="n"/>
      <c r="M2307" s="104" t="n"/>
      <c r="N2307" s="104" t="n"/>
      <c r="O2307" s="104" t="n"/>
      <c r="P2307" s="104" t="n"/>
      <c r="Q2307" s="104" t="n"/>
      <c r="R2307" s="104" t="n"/>
      <c r="S2307" s="110" t="n"/>
      <c r="T2307" s="110" t="n"/>
      <c r="U2307" s="104" t="n"/>
    </row>
    <row r="2308">
      <c r="A2308" s="104" t="inlineStr">
        <is>
          <t>GUIDE002307</t>
        </is>
      </c>
      <c r="B2308" s="104" t="n"/>
      <c r="C2308" s="107" t="n"/>
      <c r="D2308" s="107" t="n"/>
      <c r="E2308" s="108" t="n"/>
      <c r="F2308" s="104" t="n"/>
      <c r="G2308" s="104" t="n"/>
      <c r="H2308" s="104" t="n"/>
      <c r="I2308" s="104" t="n"/>
      <c r="J2308" s="104" t="n"/>
      <c r="K2308" s="104" t="n"/>
      <c r="L2308" s="104" t="n"/>
      <c r="M2308" s="104" t="n"/>
      <c r="N2308" s="104" t="n"/>
      <c r="O2308" s="104" t="n"/>
      <c r="P2308" s="104" t="n"/>
      <c r="Q2308" s="104" t="n"/>
      <c r="R2308" s="104" t="n"/>
      <c r="S2308" s="110" t="n"/>
      <c r="T2308" s="110" t="n"/>
      <c r="U2308" s="104" t="n"/>
    </row>
    <row r="2309">
      <c r="A2309" s="104" t="inlineStr">
        <is>
          <t>GUIDE002308</t>
        </is>
      </c>
      <c r="B2309" s="104" t="n"/>
      <c r="C2309" s="107" t="n"/>
      <c r="D2309" s="107" t="n"/>
      <c r="E2309" s="108" t="n"/>
      <c r="F2309" s="104" t="n"/>
      <c r="G2309" s="104" t="n"/>
      <c r="H2309" s="104" t="n"/>
      <c r="I2309" s="104" t="n"/>
      <c r="J2309" s="104" t="n"/>
      <c r="K2309" s="104" t="n"/>
      <c r="L2309" s="104" t="n"/>
      <c r="M2309" s="104" t="n"/>
      <c r="N2309" s="104" t="n"/>
      <c r="O2309" s="104" t="n"/>
      <c r="P2309" s="104" t="n"/>
      <c r="Q2309" s="104" t="n"/>
      <c r="R2309" s="104" t="n"/>
      <c r="S2309" s="110" t="n"/>
      <c r="T2309" s="110" t="n"/>
      <c r="U2309" s="104" t="n"/>
    </row>
    <row r="2310">
      <c r="A2310" s="104" t="inlineStr">
        <is>
          <t>GUIDE002309</t>
        </is>
      </c>
      <c r="B2310" s="104" t="n"/>
      <c r="C2310" s="107" t="n"/>
      <c r="D2310" s="107" t="n"/>
      <c r="E2310" s="108" t="n"/>
      <c r="F2310" s="104" t="n"/>
      <c r="G2310" s="104" t="n"/>
      <c r="H2310" s="104" t="n"/>
      <c r="I2310" s="104" t="n"/>
      <c r="J2310" s="104" t="n"/>
      <c r="K2310" s="104" t="n"/>
      <c r="L2310" s="104" t="n"/>
      <c r="M2310" s="104" t="n"/>
      <c r="N2310" s="104" t="n"/>
      <c r="O2310" s="104" t="n"/>
      <c r="P2310" s="104" t="n"/>
      <c r="Q2310" s="104" t="n"/>
      <c r="R2310" s="104" t="n"/>
      <c r="S2310" s="110" t="n"/>
      <c r="T2310" s="110" t="n"/>
      <c r="U2310" s="104" t="n"/>
    </row>
    <row r="2311">
      <c r="A2311" s="105" t="inlineStr">
        <is>
          <t>GUIDE002310</t>
        </is>
      </c>
      <c r="B2311" s="104" t="n"/>
      <c r="C2311" s="107" t="n"/>
      <c r="D2311" s="107" t="n"/>
      <c r="E2311" s="108" t="n"/>
      <c r="F2311" s="104" t="n"/>
      <c r="G2311" s="104" t="n"/>
      <c r="H2311" s="104" t="n"/>
      <c r="I2311" s="104" t="n"/>
      <c r="J2311" s="104" t="n"/>
      <c r="K2311" s="104" t="n"/>
      <c r="L2311" s="104" t="n"/>
      <c r="M2311" s="104" t="n"/>
      <c r="N2311" s="104" t="n"/>
      <c r="O2311" s="104" t="n"/>
      <c r="P2311" s="104" t="n"/>
      <c r="Q2311" s="104" t="n"/>
      <c r="R2311" s="104" t="n"/>
      <c r="S2311" s="110" t="n"/>
      <c r="T2311" s="110" t="n"/>
      <c r="U2311" s="104" t="n"/>
    </row>
    <row r="2312">
      <c r="A2312" s="104" t="inlineStr">
        <is>
          <t>GUIDE002311</t>
        </is>
      </c>
      <c r="B2312" s="104" t="n"/>
      <c r="C2312" s="107" t="n"/>
      <c r="D2312" s="107" t="n"/>
      <c r="E2312" s="108" t="n"/>
      <c r="F2312" s="104" t="n"/>
      <c r="G2312" s="104" t="n"/>
      <c r="H2312" s="104" t="n"/>
      <c r="I2312" s="104" t="n"/>
      <c r="J2312" s="104" t="n"/>
      <c r="K2312" s="104" t="n"/>
      <c r="L2312" s="104" t="n"/>
      <c r="M2312" s="104" t="n"/>
      <c r="N2312" s="104" t="n"/>
      <c r="O2312" s="104" t="n"/>
      <c r="P2312" s="104" t="n"/>
      <c r="Q2312" s="104" t="n"/>
      <c r="R2312" s="104" t="n"/>
      <c r="S2312" s="110" t="n"/>
      <c r="T2312" s="110" t="n"/>
      <c r="U2312" s="104" t="n"/>
    </row>
    <row r="2313">
      <c r="A2313" s="104" t="inlineStr">
        <is>
          <t>GUIDE002312</t>
        </is>
      </c>
      <c r="B2313" s="104" t="n"/>
      <c r="C2313" s="107" t="n"/>
      <c r="D2313" s="107" t="n"/>
      <c r="E2313" s="108" t="n"/>
      <c r="F2313" s="104" t="n"/>
      <c r="G2313" s="104" t="n"/>
      <c r="H2313" s="104" t="n"/>
      <c r="I2313" s="104" t="n"/>
      <c r="J2313" s="104" t="n"/>
      <c r="K2313" s="104" t="n"/>
      <c r="L2313" s="104" t="n"/>
      <c r="M2313" s="104" t="n"/>
      <c r="N2313" s="104" t="n"/>
      <c r="O2313" s="104" t="n"/>
      <c r="P2313" s="104" t="n"/>
      <c r="Q2313" s="104" t="n"/>
      <c r="R2313" s="104" t="n"/>
      <c r="S2313" s="110" t="n"/>
      <c r="T2313" s="110" t="n"/>
      <c r="U2313" s="104" t="n"/>
    </row>
    <row r="2314">
      <c r="A2314" s="104" t="inlineStr">
        <is>
          <t>GUIDE002313</t>
        </is>
      </c>
      <c r="B2314" s="104" t="n"/>
      <c r="C2314" s="107" t="n"/>
      <c r="D2314" s="107" t="n"/>
      <c r="E2314" s="108" t="n"/>
      <c r="F2314" s="104" t="n"/>
      <c r="G2314" s="104" t="n"/>
      <c r="H2314" s="104" t="n"/>
      <c r="I2314" s="104" t="n"/>
      <c r="J2314" s="104" t="n"/>
      <c r="K2314" s="104" t="n"/>
      <c r="L2314" s="104" t="n"/>
      <c r="M2314" s="104" t="n"/>
      <c r="N2314" s="104" t="n"/>
      <c r="O2314" s="104" t="n"/>
      <c r="P2314" s="104" t="n"/>
      <c r="Q2314" s="104" t="n"/>
      <c r="R2314" s="104" t="n"/>
      <c r="S2314" s="110" t="n"/>
      <c r="T2314" s="110" t="n"/>
      <c r="U2314" s="104" t="n"/>
    </row>
    <row r="2315">
      <c r="A2315" s="105" t="inlineStr">
        <is>
          <t>GUIDE002314</t>
        </is>
      </c>
      <c r="B2315" s="104" t="n"/>
      <c r="C2315" s="107" t="n"/>
      <c r="D2315" s="107" t="n"/>
      <c r="E2315" s="108" t="n"/>
      <c r="F2315" s="104" t="n"/>
      <c r="G2315" s="104" t="n"/>
      <c r="H2315" s="104" t="n"/>
      <c r="I2315" s="104" t="n"/>
      <c r="J2315" s="104" t="n"/>
      <c r="K2315" s="104" t="n"/>
      <c r="L2315" s="104" t="n"/>
      <c r="M2315" s="104" t="n"/>
      <c r="N2315" s="104" t="n"/>
      <c r="O2315" s="104" t="n"/>
      <c r="P2315" s="104" t="n"/>
      <c r="Q2315" s="104" t="n"/>
      <c r="R2315" s="104" t="n"/>
      <c r="S2315" s="110" t="n"/>
      <c r="T2315" s="110" t="n"/>
      <c r="U2315" s="104" t="n"/>
    </row>
    <row r="2316">
      <c r="A2316" s="104" t="inlineStr">
        <is>
          <t>GUIDE002315</t>
        </is>
      </c>
      <c r="B2316" s="104" t="n"/>
      <c r="C2316" s="107" t="n"/>
      <c r="D2316" s="107" t="n"/>
      <c r="E2316" s="108" t="n"/>
      <c r="F2316" s="104" t="n"/>
      <c r="G2316" s="104" t="n"/>
      <c r="H2316" s="104" t="n"/>
      <c r="I2316" s="104" t="n"/>
      <c r="J2316" s="104" t="n"/>
      <c r="K2316" s="104" t="n"/>
      <c r="L2316" s="104" t="n"/>
      <c r="M2316" s="104" t="n"/>
      <c r="N2316" s="104" t="n"/>
      <c r="O2316" s="104" t="n"/>
      <c r="P2316" s="104" t="n"/>
      <c r="Q2316" s="104" t="n"/>
      <c r="R2316" s="104" t="n"/>
      <c r="S2316" s="110" t="n"/>
      <c r="T2316" s="110" t="n"/>
      <c r="U2316" s="104" t="n"/>
    </row>
    <row r="2317">
      <c r="A2317" s="104" t="inlineStr">
        <is>
          <t>GUIDE002316</t>
        </is>
      </c>
      <c r="B2317" s="104" t="n"/>
      <c r="C2317" s="107" t="n"/>
      <c r="D2317" s="107" t="n"/>
      <c r="E2317" s="108" t="n"/>
      <c r="F2317" s="104" t="n"/>
      <c r="G2317" s="104" t="n"/>
      <c r="H2317" s="104" t="n"/>
      <c r="I2317" s="104" t="n"/>
      <c r="J2317" s="104" t="n"/>
      <c r="K2317" s="104" t="n"/>
      <c r="L2317" s="104" t="n"/>
      <c r="M2317" s="104" t="n"/>
      <c r="N2317" s="104" t="n"/>
      <c r="O2317" s="104" t="n"/>
      <c r="P2317" s="104" t="n"/>
      <c r="Q2317" s="104" t="n"/>
      <c r="R2317" s="104" t="n"/>
      <c r="S2317" s="110" t="n"/>
      <c r="T2317" s="110" t="n"/>
      <c r="U2317" s="104" t="n"/>
    </row>
    <row r="2318">
      <c r="A2318" s="104" t="inlineStr">
        <is>
          <t>GUIDE002317</t>
        </is>
      </c>
      <c r="B2318" s="104" t="n"/>
      <c r="C2318" s="107" t="n"/>
      <c r="D2318" s="107" t="n"/>
      <c r="E2318" s="108" t="n"/>
      <c r="F2318" s="104" t="n"/>
      <c r="G2318" s="104" t="n"/>
      <c r="H2318" s="104" t="n"/>
      <c r="I2318" s="104" t="n"/>
      <c r="J2318" s="104" t="n"/>
      <c r="K2318" s="104" t="n"/>
      <c r="L2318" s="104" t="n"/>
      <c r="M2318" s="104" t="n"/>
      <c r="N2318" s="104" t="n"/>
      <c r="O2318" s="104" t="n"/>
      <c r="P2318" s="104" t="n"/>
      <c r="Q2318" s="104" t="n"/>
      <c r="R2318" s="104" t="n"/>
      <c r="S2318" s="110" t="n"/>
      <c r="T2318" s="110" t="n"/>
      <c r="U2318" s="104" t="n"/>
    </row>
    <row r="2319">
      <c r="A2319" s="105" t="inlineStr">
        <is>
          <t>GUIDE002318</t>
        </is>
      </c>
      <c r="B2319" s="104" t="n"/>
      <c r="C2319" s="107" t="n"/>
      <c r="D2319" s="107" t="n"/>
      <c r="E2319" s="108" t="n"/>
      <c r="F2319" s="104" t="n"/>
      <c r="G2319" s="104" t="n"/>
      <c r="H2319" s="104" t="n"/>
      <c r="I2319" s="104" t="n"/>
      <c r="J2319" s="104" t="n"/>
      <c r="K2319" s="104" t="n"/>
      <c r="L2319" s="104" t="n"/>
      <c r="M2319" s="104" t="n"/>
      <c r="N2319" s="104" t="n"/>
      <c r="O2319" s="104" t="n"/>
      <c r="P2319" s="104" t="n"/>
      <c r="Q2319" s="104" t="n"/>
      <c r="R2319" s="104" t="n"/>
      <c r="S2319" s="110" t="n"/>
      <c r="T2319" s="110" t="n"/>
      <c r="U2319" s="104" t="n"/>
    </row>
    <row r="2320">
      <c r="A2320" s="104" t="inlineStr">
        <is>
          <t>GUIDE002319</t>
        </is>
      </c>
      <c r="B2320" s="104" t="n"/>
      <c r="C2320" s="107" t="n"/>
      <c r="D2320" s="107" t="n"/>
      <c r="E2320" s="108" t="n"/>
      <c r="F2320" s="104" t="n"/>
      <c r="G2320" s="104" t="n"/>
      <c r="H2320" s="104" t="n"/>
      <c r="I2320" s="104" t="n"/>
      <c r="J2320" s="104" t="n"/>
      <c r="K2320" s="104" t="n"/>
      <c r="L2320" s="104" t="n"/>
      <c r="M2320" s="104" t="n"/>
      <c r="N2320" s="104" t="n"/>
      <c r="O2320" s="104" t="n"/>
      <c r="P2320" s="104" t="n"/>
      <c r="Q2320" s="104" t="n"/>
      <c r="R2320" s="104" t="n"/>
      <c r="S2320" s="110" t="n"/>
      <c r="T2320" s="110" t="n"/>
      <c r="U2320" s="104" t="n"/>
    </row>
    <row r="2321">
      <c r="A2321" s="104" t="inlineStr">
        <is>
          <t>GUIDE002320</t>
        </is>
      </c>
      <c r="B2321" s="104" t="n"/>
      <c r="C2321" s="107" t="n"/>
      <c r="D2321" s="107" t="n"/>
      <c r="E2321" s="108" t="n"/>
      <c r="F2321" s="104" t="n"/>
      <c r="G2321" s="104" t="n"/>
      <c r="H2321" s="104" t="n"/>
      <c r="I2321" s="104" t="n"/>
      <c r="J2321" s="104" t="n"/>
      <c r="K2321" s="104" t="n"/>
      <c r="L2321" s="104" t="n"/>
      <c r="M2321" s="104" t="n"/>
      <c r="N2321" s="104" t="n"/>
      <c r="O2321" s="104" t="n"/>
      <c r="P2321" s="104" t="n"/>
      <c r="Q2321" s="104" t="n"/>
      <c r="R2321" s="104" t="n"/>
      <c r="S2321" s="110" t="n"/>
      <c r="T2321" s="110" t="n"/>
      <c r="U2321" s="104" t="n"/>
    </row>
    <row r="2322">
      <c r="A2322" s="104" t="inlineStr">
        <is>
          <t>GUIDE002321</t>
        </is>
      </c>
      <c r="B2322" s="104" t="n"/>
      <c r="C2322" s="107" t="n"/>
      <c r="D2322" s="107" t="n"/>
      <c r="E2322" s="108" t="n"/>
      <c r="F2322" s="104" t="n"/>
      <c r="G2322" s="104" t="n"/>
      <c r="H2322" s="104" t="n"/>
      <c r="I2322" s="104" t="n"/>
      <c r="J2322" s="104" t="n"/>
      <c r="K2322" s="104" t="n"/>
      <c r="L2322" s="104" t="n"/>
      <c r="M2322" s="104" t="n"/>
      <c r="N2322" s="104" t="n"/>
      <c r="O2322" s="104" t="n"/>
      <c r="P2322" s="104" t="n"/>
      <c r="Q2322" s="104" t="n"/>
      <c r="R2322" s="104" t="n"/>
      <c r="S2322" s="110" t="n"/>
      <c r="T2322" s="110" t="n"/>
      <c r="U2322" s="104" t="n"/>
    </row>
    <row r="2323">
      <c r="A2323" s="105" t="inlineStr">
        <is>
          <t>GUIDE002322</t>
        </is>
      </c>
      <c r="B2323" s="104" t="n"/>
      <c r="C2323" s="107" t="n"/>
      <c r="D2323" s="107" t="n"/>
      <c r="E2323" s="108" t="n"/>
      <c r="F2323" s="104" t="n"/>
      <c r="G2323" s="104" t="n"/>
      <c r="H2323" s="104" t="n"/>
      <c r="I2323" s="104" t="n"/>
      <c r="J2323" s="104" t="n"/>
      <c r="K2323" s="104" t="n"/>
      <c r="L2323" s="104" t="n"/>
      <c r="M2323" s="104" t="n"/>
      <c r="N2323" s="104" t="n"/>
      <c r="O2323" s="104" t="n"/>
      <c r="P2323" s="104" t="n"/>
      <c r="Q2323" s="104" t="n"/>
      <c r="R2323" s="104" t="n"/>
      <c r="S2323" s="110" t="n"/>
      <c r="T2323" s="110" t="n"/>
      <c r="U2323" s="104" t="n"/>
    </row>
    <row r="2324">
      <c r="A2324" s="104" t="inlineStr">
        <is>
          <t>GUIDE002323</t>
        </is>
      </c>
      <c r="B2324" s="104" t="n"/>
      <c r="C2324" s="107" t="n"/>
      <c r="D2324" s="107" t="n"/>
      <c r="E2324" s="108" t="n"/>
      <c r="F2324" s="104" t="n"/>
      <c r="G2324" s="104" t="n"/>
      <c r="H2324" s="104" t="n"/>
      <c r="I2324" s="104" t="n"/>
      <c r="J2324" s="104" t="n"/>
      <c r="K2324" s="104" t="n"/>
      <c r="L2324" s="104" t="n"/>
      <c r="M2324" s="104" t="n"/>
      <c r="N2324" s="104" t="n"/>
      <c r="O2324" s="104" t="n"/>
      <c r="P2324" s="104" t="n"/>
      <c r="Q2324" s="104" t="n"/>
      <c r="R2324" s="104" t="n"/>
      <c r="S2324" s="110" t="n"/>
      <c r="T2324" s="110" t="n"/>
      <c r="U2324" s="104" t="n"/>
    </row>
    <row r="2325">
      <c r="A2325" s="104" t="inlineStr">
        <is>
          <t>GUIDE002324</t>
        </is>
      </c>
      <c r="B2325" s="104" t="n"/>
      <c r="C2325" s="107" t="n"/>
      <c r="D2325" s="107" t="n"/>
      <c r="E2325" s="108" t="n"/>
      <c r="F2325" s="104" t="n"/>
      <c r="G2325" s="104" t="n"/>
      <c r="H2325" s="104" t="n"/>
      <c r="I2325" s="104" t="n"/>
      <c r="J2325" s="104" t="n"/>
      <c r="K2325" s="104" t="n"/>
      <c r="L2325" s="104" t="n"/>
      <c r="M2325" s="104" t="n"/>
      <c r="N2325" s="104" t="n"/>
      <c r="O2325" s="104" t="n"/>
      <c r="P2325" s="104" t="n"/>
      <c r="Q2325" s="104" t="n"/>
      <c r="R2325" s="104" t="n"/>
      <c r="S2325" s="110" t="n"/>
      <c r="T2325" s="110" t="n"/>
      <c r="U2325" s="104" t="n"/>
    </row>
    <row r="2326">
      <c r="A2326" s="104" t="inlineStr">
        <is>
          <t>GUIDE002325</t>
        </is>
      </c>
      <c r="B2326" s="104" t="n"/>
      <c r="C2326" s="107" t="n"/>
      <c r="D2326" s="107" t="n"/>
      <c r="E2326" s="108" t="n"/>
      <c r="F2326" s="104" t="n"/>
      <c r="G2326" s="104" t="n"/>
      <c r="H2326" s="104" t="n"/>
      <c r="I2326" s="104" t="n"/>
      <c r="J2326" s="104" t="n"/>
      <c r="K2326" s="104" t="n"/>
      <c r="L2326" s="104" t="n"/>
      <c r="M2326" s="104" t="n"/>
      <c r="N2326" s="104" t="n"/>
      <c r="O2326" s="104" t="n"/>
      <c r="P2326" s="104" t="n"/>
      <c r="Q2326" s="104" t="n"/>
      <c r="R2326" s="104" t="n"/>
      <c r="S2326" s="110" t="n"/>
      <c r="T2326" s="110" t="n"/>
      <c r="U2326" s="104" t="n"/>
    </row>
    <row r="2327">
      <c r="A2327" s="105" t="inlineStr">
        <is>
          <t>GUIDE002326</t>
        </is>
      </c>
      <c r="B2327" s="104" t="n"/>
      <c r="C2327" s="107" t="n"/>
      <c r="D2327" s="107" t="n"/>
      <c r="E2327" s="108" t="n"/>
      <c r="F2327" s="104" t="n"/>
      <c r="G2327" s="104" t="n"/>
      <c r="H2327" s="104" t="n"/>
      <c r="I2327" s="104" t="n"/>
      <c r="J2327" s="104" t="n"/>
      <c r="K2327" s="104" t="n"/>
      <c r="L2327" s="104" t="n"/>
      <c r="M2327" s="104" t="n"/>
      <c r="N2327" s="104" t="n"/>
      <c r="O2327" s="104" t="n"/>
      <c r="P2327" s="104" t="n"/>
      <c r="Q2327" s="104" t="n"/>
      <c r="R2327" s="104" t="n"/>
      <c r="S2327" s="110" t="n"/>
      <c r="T2327" s="110" t="n"/>
      <c r="U2327" s="104" t="n"/>
    </row>
    <row r="2328">
      <c r="A2328" s="104" t="inlineStr">
        <is>
          <t>GUIDE002327</t>
        </is>
      </c>
      <c r="B2328" s="104" t="n"/>
      <c r="C2328" s="107" t="n"/>
      <c r="D2328" s="107" t="n"/>
      <c r="E2328" s="108" t="n"/>
      <c r="F2328" s="104" t="n"/>
      <c r="G2328" s="104" t="n"/>
      <c r="H2328" s="104" t="n"/>
      <c r="I2328" s="104" t="n"/>
      <c r="J2328" s="104" t="n"/>
      <c r="K2328" s="104" t="n"/>
      <c r="L2328" s="104" t="n"/>
      <c r="M2328" s="104" t="n"/>
      <c r="N2328" s="104" t="n"/>
      <c r="O2328" s="104" t="n"/>
      <c r="P2328" s="104" t="n"/>
      <c r="Q2328" s="104" t="n"/>
      <c r="R2328" s="104" t="n"/>
      <c r="S2328" s="110" t="n"/>
      <c r="T2328" s="110" t="n"/>
      <c r="U2328" s="104" t="n"/>
    </row>
    <row r="2329">
      <c r="A2329" s="104" t="inlineStr">
        <is>
          <t>GUIDE002328</t>
        </is>
      </c>
      <c r="B2329" s="104" t="n"/>
      <c r="C2329" s="107" t="n"/>
      <c r="D2329" s="107" t="n"/>
      <c r="E2329" s="108" t="n"/>
      <c r="F2329" s="104" t="n"/>
      <c r="G2329" s="104" t="n"/>
      <c r="H2329" s="104" t="n"/>
      <c r="I2329" s="104" t="n"/>
      <c r="J2329" s="104" t="n"/>
      <c r="K2329" s="104" t="n"/>
      <c r="L2329" s="104" t="n"/>
      <c r="M2329" s="104" t="n"/>
      <c r="N2329" s="104" t="n"/>
      <c r="O2329" s="104" t="n"/>
      <c r="P2329" s="104" t="n"/>
      <c r="Q2329" s="104" t="n"/>
      <c r="R2329" s="104" t="n"/>
      <c r="S2329" s="110" t="n"/>
      <c r="T2329" s="110" t="n"/>
      <c r="U2329" s="104" t="n"/>
    </row>
    <row r="2330">
      <c r="A2330" s="104" t="inlineStr">
        <is>
          <t>GUIDE002329</t>
        </is>
      </c>
      <c r="B2330" s="104" t="n"/>
      <c r="C2330" s="107" t="n"/>
      <c r="D2330" s="107" t="n"/>
      <c r="E2330" s="108" t="n"/>
      <c r="F2330" s="104" t="n"/>
      <c r="G2330" s="104" t="n"/>
      <c r="H2330" s="104" t="n"/>
      <c r="I2330" s="104" t="n"/>
      <c r="J2330" s="104" t="n"/>
      <c r="K2330" s="104" t="n"/>
      <c r="L2330" s="104" t="n"/>
      <c r="M2330" s="104" t="n"/>
      <c r="N2330" s="104" t="n"/>
      <c r="O2330" s="104" t="n"/>
      <c r="P2330" s="104" t="n"/>
      <c r="Q2330" s="104" t="n"/>
      <c r="R2330" s="104" t="n"/>
      <c r="S2330" s="110" t="n"/>
      <c r="T2330" s="110" t="n"/>
      <c r="U2330" s="104" t="n"/>
    </row>
    <row r="2331">
      <c r="A2331" s="105" t="inlineStr">
        <is>
          <t>GUIDE002330</t>
        </is>
      </c>
      <c r="B2331" s="104" t="n"/>
      <c r="C2331" s="107" t="n"/>
      <c r="D2331" s="107" t="n"/>
      <c r="E2331" s="108" t="n"/>
      <c r="F2331" s="104" t="n"/>
      <c r="G2331" s="104" t="n"/>
      <c r="H2331" s="104" t="n"/>
      <c r="I2331" s="104" t="n"/>
      <c r="J2331" s="104" t="n"/>
      <c r="K2331" s="104" t="n"/>
      <c r="L2331" s="104" t="n"/>
      <c r="M2331" s="104" t="n"/>
      <c r="N2331" s="104" t="n"/>
      <c r="O2331" s="104" t="n"/>
      <c r="P2331" s="104" t="n"/>
      <c r="Q2331" s="104" t="n"/>
      <c r="R2331" s="104" t="n"/>
      <c r="S2331" s="110" t="n"/>
      <c r="T2331" s="110" t="n"/>
      <c r="U2331" s="104" t="n"/>
    </row>
    <row r="2332">
      <c r="A2332" s="104" t="inlineStr">
        <is>
          <t>GUIDE002331</t>
        </is>
      </c>
      <c r="B2332" s="104" t="n"/>
      <c r="C2332" s="107" t="n"/>
      <c r="D2332" s="107" t="n"/>
      <c r="E2332" s="108" t="n"/>
      <c r="F2332" s="104" t="n"/>
      <c r="G2332" s="104" t="n"/>
      <c r="H2332" s="104" t="n"/>
      <c r="I2332" s="104" t="n"/>
      <c r="J2332" s="104" t="n"/>
      <c r="K2332" s="104" t="n"/>
      <c r="L2332" s="104" t="n"/>
      <c r="M2332" s="104" t="n"/>
      <c r="N2332" s="104" t="n"/>
      <c r="O2332" s="104" t="n"/>
      <c r="P2332" s="104" t="n"/>
      <c r="Q2332" s="104" t="n"/>
      <c r="R2332" s="104" t="n"/>
      <c r="S2332" s="110" t="n"/>
      <c r="T2332" s="110" t="n"/>
      <c r="U2332" s="104" t="n"/>
    </row>
    <row r="2333">
      <c r="A2333" s="104" t="inlineStr">
        <is>
          <t>GUIDE002332</t>
        </is>
      </c>
      <c r="B2333" s="104" t="n"/>
      <c r="C2333" s="107" t="n"/>
      <c r="D2333" s="107" t="n"/>
      <c r="E2333" s="108" t="n"/>
      <c r="F2333" s="104" t="n"/>
      <c r="G2333" s="104" t="n"/>
      <c r="H2333" s="104" t="n"/>
      <c r="I2333" s="104" t="n"/>
      <c r="J2333" s="104" t="n"/>
      <c r="K2333" s="104" t="n"/>
      <c r="L2333" s="104" t="n"/>
      <c r="M2333" s="104" t="n"/>
      <c r="N2333" s="104" t="n"/>
      <c r="O2333" s="104" t="n"/>
      <c r="P2333" s="104" t="n"/>
      <c r="Q2333" s="104" t="n"/>
      <c r="R2333" s="104" t="n"/>
      <c r="S2333" s="110" t="n"/>
      <c r="T2333" s="110" t="n"/>
      <c r="U2333" s="104" t="n"/>
    </row>
    <row r="2334">
      <c r="A2334" s="104" t="inlineStr">
        <is>
          <t>GUIDE002333</t>
        </is>
      </c>
      <c r="B2334" s="104" t="n"/>
      <c r="C2334" s="107" t="n"/>
      <c r="D2334" s="107" t="n"/>
      <c r="E2334" s="108" t="n"/>
      <c r="F2334" s="104" t="n"/>
      <c r="G2334" s="104" t="n"/>
      <c r="H2334" s="104" t="n"/>
      <c r="I2334" s="104" t="n"/>
      <c r="J2334" s="104" t="n"/>
      <c r="K2334" s="104" t="n"/>
      <c r="L2334" s="104" t="n"/>
      <c r="M2334" s="104" t="n"/>
      <c r="N2334" s="104" t="n"/>
      <c r="O2334" s="104" t="n"/>
      <c r="P2334" s="104" t="n"/>
      <c r="Q2334" s="104" t="n"/>
      <c r="R2334" s="104" t="n"/>
      <c r="S2334" s="110" t="n"/>
      <c r="T2334" s="110" t="n"/>
      <c r="U2334" s="104" t="n"/>
    </row>
    <row r="2335">
      <c r="A2335" s="105" t="inlineStr">
        <is>
          <t>GUIDE002334</t>
        </is>
      </c>
      <c r="B2335" s="104" t="n"/>
      <c r="C2335" s="107" t="n"/>
      <c r="D2335" s="107" t="n"/>
      <c r="E2335" s="108" t="n"/>
      <c r="F2335" s="104" t="n"/>
      <c r="G2335" s="104" t="n"/>
      <c r="H2335" s="104" t="n"/>
      <c r="I2335" s="104" t="n"/>
      <c r="J2335" s="104" t="n"/>
      <c r="K2335" s="104" t="n"/>
      <c r="L2335" s="104" t="n"/>
      <c r="M2335" s="104" t="n"/>
      <c r="N2335" s="104" t="n"/>
      <c r="O2335" s="104" t="n"/>
      <c r="P2335" s="104" t="n"/>
      <c r="Q2335" s="104" t="n"/>
      <c r="R2335" s="104" t="n"/>
      <c r="S2335" s="110" t="n"/>
      <c r="T2335" s="110" t="n"/>
      <c r="U2335" s="104" t="n"/>
    </row>
    <row r="2336">
      <c r="A2336" s="104" t="inlineStr">
        <is>
          <t>GUIDE002335</t>
        </is>
      </c>
      <c r="B2336" s="104" t="n"/>
      <c r="C2336" s="107" t="n"/>
      <c r="D2336" s="107" t="n"/>
      <c r="E2336" s="108" t="n"/>
      <c r="F2336" s="104" t="n"/>
      <c r="G2336" s="104" t="n"/>
      <c r="H2336" s="104" t="n"/>
      <c r="I2336" s="104" t="n"/>
      <c r="J2336" s="104" t="n"/>
      <c r="K2336" s="104" t="n"/>
      <c r="L2336" s="104" t="n"/>
      <c r="M2336" s="104" t="n"/>
      <c r="N2336" s="104" t="n"/>
      <c r="O2336" s="104" t="n"/>
      <c r="P2336" s="104" t="n"/>
      <c r="Q2336" s="104" t="n"/>
      <c r="R2336" s="104" t="n"/>
      <c r="S2336" s="110" t="n"/>
      <c r="T2336" s="110" t="n"/>
      <c r="U2336" s="104" t="n"/>
    </row>
    <row r="2337">
      <c r="A2337" s="104" t="inlineStr">
        <is>
          <t>GUIDE002336</t>
        </is>
      </c>
      <c r="B2337" s="104" t="n"/>
      <c r="C2337" s="107" t="n"/>
      <c r="D2337" s="107" t="n"/>
      <c r="E2337" s="108" t="n"/>
      <c r="F2337" s="104" t="n"/>
      <c r="G2337" s="104" t="n"/>
      <c r="H2337" s="104" t="n"/>
      <c r="I2337" s="104" t="n"/>
      <c r="J2337" s="104" t="n"/>
      <c r="K2337" s="104" t="n"/>
      <c r="L2337" s="104" t="n"/>
      <c r="M2337" s="104" t="n"/>
      <c r="N2337" s="104" t="n"/>
      <c r="O2337" s="104" t="n"/>
      <c r="P2337" s="104" t="n"/>
      <c r="Q2337" s="104" t="n"/>
      <c r="R2337" s="104" t="n"/>
      <c r="S2337" s="110" t="n"/>
      <c r="T2337" s="110" t="n"/>
      <c r="U2337" s="104" t="n"/>
    </row>
    <row r="2338">
      <c r="A2338" s="104" t="inlineStr">
        <is>
          <t>GUIDE002337</t>
        </is>
      </c>
      <c r="B2338" s="104" t="n"/>
      <c r="C2338" s="107" t="n"/>
      <c r="D2338" s="107" t="n"/>
      <c r="E2338" s="108" t="n"/>
      <c r="F2338" s="104" t="n"/>
      <c r="G2338" s="104" t="n"/>
      <c r="H2338" s="104" t="n"/>
      <c r="I2338" s="104" t="n"/>
      <c r="J2338" s="104" t="n"/>
      <c r="K2338" s="104" t="n"/>
      <c r="L2338" s="104" t="n"/>
      <c r="M2338" s="104" t="n"/>
      <c r="N2338" s="104" t="n"/>
      <c r="O2338" s="104" t="n"/>
      <c r="P2338" s="104" t="n"/>
      <c r="Q2338" s="104" t="n"/>
      <c r="R2338" s="104" t="n"/>
      <c r="S2338" s="110" t="n"/>
      <c r="T2338" s="110" t="n"/>
      <c r="U2338" s="104" t="n"/>
    </row>
    <row r="2339">
      <c r="A2339" s="105" t="inlineStr">
        <is>
          <t>GUIDE002338</t>
        </is>
      </c>
      <c r="B2339" s="104" t="n"/>
      <c r="C2339" s="107" t="n"/>
      <c r="D2339" s="107" t="n"/>
      <c r="E2339" s="108" t="n"/>
      <c r="F2339" s="104" t="n"/>
      <c r="G2339" s="104" t="n"/>
      <c r="H2339" s="104" t="n"/>
      <c r="I2339" s="104" t="n"/>
      <c r="J2339" s="104" t="n"/>
      <c r="K2339" s="104" t="n"/>
      <c r="L2339" s="104" t="n"/>
      <c r="M2339" s="104" t="n"/>
      <c r="N2339" s="104" t="n"/>
      <c r="O2339" s="104" t="n"/>
      <c r="P2339" s="104" t="n"/>
      <c r="Q2339" s="104" t="n"/>
      <c r="R2339" s="104" t="n"/>
      <c r="S2339" s="110" t="n"/>
      <c r="T2339" s="110" t="n"/>
      <c r="U2339" s="104" t="n"/>
    </row>
    <row r="2340">
      <c r="A2340" s="104" t="inlineStr">
        <is>
          <t>GUIDE002339</t>
        </is>
      </c>
      <c r="B2340" s="104" t="n"/>
      <c r="C2340" s="107" t="n"/>
      <c r="D2340" s="107" t="n"/>
      <c r="E2340" s="108" t="n"/>
      <c r="F2340" s="104" t="n"/>
      <c r="G2340" s="104" t="n"/>
      <c r="H2340" s="104" t="n"/>
      <c r="I2340" s="104" t="n"/>
      <c r="J2340" s="104" t="n"/>
      <c r="K2340" s="104" t="n"/>
      <c r="L2340" s="104" t="n"/>
      <c r="M2340" s="104" t="n"/>
      <c r="N2340" s="104" t="n"/>
      <c r="O2340" s="104" t="n"/>
      <c r="P2340" s="104" t="n"/>
      <c r="Q2340" s="104" t="n"/>
      <c r="R2340" s="104" t="n"/>
      <c r="S2340" s="110" t="n"/>
      <c r="T2340" s="110" t="n"/>
      <c r="U2340" s="104" t="n"/>
    </row>
    <row r="2341">
      <c r="A2341" s="104" t="inlineStr">
        <is>
          <t>GUIDE002340</t>
        </is>
      </c>
      <c r="B2341" s="104" t="n"/>
      <c r="C2341" s="107" t="n"/>
      <c r="D2341" s="107" t="n"/>
      <c r="E2341" s="108" t="n"/>
      <c r="F2341" s="104" t="n"/>
      <c r="G2341" s="104" t="n"/>
      <c r="H2341" s="104" t="n"/>
      <c r="I2341" s="104" t="n"/>
      <c r="J2341" s="104" t="n"/>
      <c r="K2341" s="104" t="n"/>
      <c r="L2341" s="104" t="n"/>
      <c r="M2341" s="104" t="n"/>
      <c r="N2341" s="104" t="n"/>
      <c r="O2341" s="104" t="n"/>
      <c r="P2341" s="104" t="n"/>
      <c r="Q2341" s="104" t="n"/>
      <c r="R2341" s="104" t="n"/>
      <c r="S2341" s="110" t="n"/>
      <c r="T2341" s="110" t="n"/>
      <c r="U2341" s="104" t="n"/>
    </row>
    <row r="2342">
      <c r="A2342" s="104" t="inlineStr">
        <is>
          <t>GUIDE002341</t>
        </is>
      </c>
      <c r="B2342" s="104" t="n"/>
      <c r="C2342" s="107" t="n"/>
      <c r="D2342" s="107" t="n"/>
      <c r="E2342" s="108" t="n"/>
      <c r="F2342" s="104" t="n"/>
      <c r="G2342" s="104" t="n"/>
      <c r="H2342" s="104" t="n"/>
      <c r="I2342" s="104" t="n"/>
      <c r="J2342" s="104" t="n"/>
      <c r="K2342" s="104" t="n"/>
      <c r="L2342" s="104" t="n"/>
      <c r="M2342" s="104" t="n"/>
      <c r="N2342" s="104" t="n"/>
      <c r="O2342" s="104" t="n"/>
      <c r="P2342" s="104" t="n"/>
      <c r="Q2342" s="104" t="n"/>
      <c r="R2342" s="104" t="n"/>
      <c r="S2342" s="110" t="n"/>
      <c r="T2342" s="110" t="n"/>
      <c r="U2342" s="104" t="n"/>
    </row>
    <row r="2343">
      <c r="A2343" s="105" t="inlineStr">
        <is>
          <t>GUIDE002342</t>
        </is>
      </c>
      <c r="B2343" s="104" t="n"/>
      <c r="C2343" s="107" t="n"/>
      <c r="D2343" s="107" t="n"/>
      <c r="E2343" s="108" t="n"/>
      <c r="F2343" s="104" t="n"/>
      <c r="G2343" s="104" t="n"/>
      <c r="H2343" s="104" t="n"/>
      <c r="I2343" s="104" t="n"/>
      <c r="J2343" s="104" t="n"/>
      <c r="K2343" s="104" t="n"/>
      <c r="L2343" s="104" t="n"/>
      <c r="M2343" s="104" t="n"/>
      <c r="N2343" s="104" t="n"/>
      <c r="O2343" s="104" t="n"/>
      <c r="P2343" s="104" t="n"/>
      <c r="Q2343" s="104" t="n"/>
      <c r="R2343" s="104" t="n"/>
      <c r="S2343" s="110" t="n"/>
      <c r="T2343" s="110" t="n"/>
      <c r="U2343" s="104" t="n"/>
    </row>
    <row r="2344">
      <c r="A2344" s="104" t="inlineStr">
        <is>
          <t>GUIDE002343</t>
        </is>
      </c>
      <c r="B2344" s="104" t="n"/>
      <c r="C2344" s="107" t="n"/>
      <c r="D2344" s="107" t="n"/>
      <c r="E2344" s="108" t="n"/>
      <c r="F2344" s="104" t="n"/>
      <c r="G2344" s="104" t="n"/>
      <c r="H2344" s="104" t="n"/>
      <c r="I2344" s="104" t="n"/>
      <c r="J2344" s="104" t="n"/>
      <c r="K2344" s="104" t="n"/>
      <c r="L2344" s="104" t="n"/>
      <c r="M2344" s="104" t="n"/>
      <c r="N2344" s="104" t="n"/>
      <c r="O2344" s="104" t="n"/>
      <c r="P2344" s="104" t="n"/>
      <c r="Q2344" s="104" t="n"/>
      <c r="R2344" s="104" t="n"/>
      <c r="S2344" s="110" t="n"/>
      <c r="T2344" s="110" t="n"/>
      <c r="U2344" s="104" t="n"/>
    </row>
    <row r="2345">
      <c r="A2345" s="104" t="inlineStr">
        <is>
          <t>GUIDE002344</t>
        </is>
      </c>
      <c r="B2345" s="104" t="n"/>
      <c r="C2345" s="107" t="n"/>
      <c r="D2345" s="107" t="n"/>
      <c r="E2345" s="108" t="n"/>
      <c r="F2345" s="104" t="n"/>
      <c r="G2345" s="104" t="n"/>
      <c r="H2345" s="104" t="n"/>
      <c r="I2345" s="104" t="n"/>
      <c r="J2345" s="104" t="n"/>
      <c r="K2345" s="104" t="n"/>
      <c r="L2345" s="104" t="n"/>
      <c r="M2345" s="104" t="n"/>
      <c r="N2345" s="104" t="n"/>
      <c r="O2345" s="104" t="n"/>
      <c r="P2345" s="104" t="n"/>
      <c r="Q2345" s="104" t="n"/>
      <c r="R2345" s="104" t="n"/>
      <c r="S2345" s="110" t="n"/>
      <c r="T2345" s="110" t="n"/>
      <c r="U2345" s="104" t="n"/>
    </row>
    <row r="2346">
      <c r="A2346" s="104" t="inlineStr">
        <is>
          <t>GUIDE002345</t>
        </is>
      </c>
      <c r="B2346" s="104" t="n"/>
      <c r="C2346" s="107" t="n"/>
      <c r="D2346" s="107" t="n"/>
      <c r="E2346" s="108" t="n"/>
      <c r="F2346" s="104" t="n"/>
      <c r="G2346" s="104" t="n"/>
      <c r="H2346" s="104" t="n"/>
      <c r="I2346" s="104" t="n"/>
      <c r="J2346" s="104" t="n"/>
      <c r="K2346" s="104" t="n"/>
      <c r="L2346" s="104" t="n"/>
      <c r="M2346" s="104" t="n"/>
      <c r="N2346" s="104" t="n"/>
      <c r="O2346" s="104" t="n"/>
      <c r="P2346" s="104" t="n"/>
      <c r="Q2346" s="104" t="n"/>
      <c r="R2346" s="104" t="n"/>
      <c r="S2346" s="110" t="n"/>
      <c r="T2346" s="110" t="n"/>
      <c r="U2346" s="104" t="n"/>
    </row>
    <row r="2347">
      <c r="A2347" s="105" t="inlineStr">
        <is>
          <t>GUIDE002346</t>
        </is>
      </c>
      <c r="B2347" s="104" t="n"/>
      <c r="C2347" s="107" t="n"/>
      <c r="D2347" s="107" t="n"/>
      <c r="E2347" s="108" t="n"/>
      <c r="F2347" s="104" t="n"/>
      <c r="G2347" s="104" t="n"/>
      <c r="H2347" s="104" t="n"/>
      <c r="I2347" s="104" t="n"/>
      <c r="J2347" s="104" t="n"/>
      <c r="K2347" s="104" t="n"/>
      <c r="L2347" s="104" t="n"/>
      <c r="M2347" s="104" t="n"/>
      <c r="N2347" s="104" t="n"/>
      <c r="O2347" s="104" t="n"/>
      <c r="P2347" s="104" t="n"/>
      <c r="Q2347" s="104" t="n"/>
      <c r="R2347" s="104" t="n"/>
      <c r="S2347" s="110" t="n"/>
      <c r="T2347" s="110" t="n"/>
      <c r="U2347" s="104" t="n"/>
    </row>
    <row r="2348">
      <c r="A2348" s="104" t="inlineStr">
        <is>
          <t>GUIDE002347</t>
        </is>
      </c>
      <c r="B2348" s="104" t="n"/>
      <c r="C2348" s="107" t="n"/>
      <c r="D2348" s="107" t="n"/>
      <c r="E2348" s="108" t="n"/>
      <c r="F2348" s="104" t="n"/>
      <c r="G2348" s="104" t="n"/>
      <c r="H2348" s="104" t="n"/>
      <c r="I2348" s="104" t="n"/>
      <c r="J2348" s="104" t="n"/>
      <c r="K2348" s="104" t="n"/>
      <c r="L2348" s="104" t="n"/>
      <c r="M2348" s="104" t="n"/>
      <c r="N2348" s="104" t="n"/>
      <c r="O2348" s="104" t="n"/>
      <c r="P2348" s="104" t="n"/>
      <c r="Q2348" s="104" t="n"/>
      <c r="R2348" s="104" t="n"/>
      <c r="S2348" s="110" t="n"/>
      <c r="T2348" s="110" t="n"/>
      <c r="U2348" s="104" t="n"/>
    </row>
    <row r="2349">
      <c r="A2349" s="104" t="inlineStr">
        <is>
          <t>GUIDE002348</t>
        </is>
      </c>
      <c r="B2349" s="104" t="n"/>
      <c r="C2349" s="107" t="n"/>
      <c r="D2349" s="107" t="n"/>
      <c r="E2349" s="108" t="n"/>
      <c r="F2349" s="104" t="n"/>
      <c r="G2349" s="104" t="n"/>
      <c r="H2349" s="104" t="n"/>
      <c r="I2349" s="104" t="n"/>
      <c r="J2349" s="104" t="n"/>
      <c r="K2349" s="104" t="n"/>
      <c r="L2349" s="104" t="n"/>
      <c r="M2349" s="104" t="n"/>
      <c r="N2349" s="104" t="n"/>
      <c r="O2349" s="104" t="n"/>
      <c r="P2349" s="104" t="n"/>
      <c r="Q2349" s="104" t="n"/>
      <c r="R2349" s="104" t="n"/>
      <c r="S2349" s="110" t="n"/>
      <c r="T2349" s="110" t="n"/>
      <c r="U2349" s="104" t="n"/>
    </row>
    <row r="2350">
      <c r="A2350" s="104" t="inlineStr">
        <is>
          <t>GUIDE002349</t>
        </is>
      </c>
      <c r="B2350" s="104" t="n"/>
      <c r="C2350" s="107" t="n"/>
      <c r="D2350" s="107" t="n"/>
      <c r="E2350" s="108" t="n"/>
      <c r="F2350" s="104" t="n"/>
      <c r="G2350" s="104" t="n"/>
      <c r="H2350" s="104" t="n"/>
      <c r="I2350" s="104" t="n"/>
      <c r="J2350" s="104" t="n"/>
      <c r="K2350" s="104" t="n"/>
      <c r="L2350" s="104" t="n"/>
      <c r="M2350" s="104" t="n"/>
      <c r="N2350" s="104" t="n"/>
      <c r="O2350" s="104" t="n"/>
      <c r="P2350" s="104" t="n"/>
      <c r="Q2350" s="104" t="n"/>
      <c r="R2350" s="104" t="n"/>
      <c r="S2350" s="110" t="n"/>
      <c r="T2350" s="110" t="n"/>
      <c r="U2350" s="104" t="n"/>
    </row>
    <row r="2351">
      <c r="A2351" s="105" t="inlineStr">
        <is>
          <t>GUIDE002350</t>
        </is>
      </c>
      <c r="B2351" s="104" t="n"/>
      <c r="C2351" s="107" t="n"/>
      <c r="D2351" s="107" t="n"/>
      <c r="E2351" s="108" t="n"/>
      <c r="F2351" s="104" t="n"/>
      <c r="G2351" s="104" t="n"/>
      <c r="H2351" s="104" t="n"/>
      <c r="I2351" s="104" t="n"/>
      <c r="J2351" s="104" t="n"/>
      <c r="K2351" s="104" t="n"/>
      <c r="L2351" s="104" t="n"/>
      <c r="M2351" s="104" t="n"/>
      <c r="N2351" s="104" t="n"/>
      <c r="O2351" s="104" t="n"/>
      <c r="P2351" s="104" t="n"/>
      <c r="Q2351" s="104" t="n"/>
      <c r="R2351" s="104" t="n"/>
      <c r="S2351" s="110" t="n"/>
      <c r="T2351" s="110" t="n"/>
      <c r="U2351" s="104" t="n"/>
    </row>
    <row r="2352">
      <c r="A2352" s="104" t="inlineStr">
        <is>
          <t>GUIDE002351</t>
        </is>
      </c>
      <c r="B2352" s="104" t="n"/>
      <c r="C2352" s="107" t="n"/>
      <c r="D2352" s="107" t="n"/>
      <c r="E2352" s="108" t="n"/>
      <c r="F2352" s="104" t="n"/>
      <c r="G2352" s="104" t="n"/>
      <c r="H2352" s="104" t="n"/>
      <c r="I2352" s="104" t="n"/>
      <c r="J2352" s="104" t="n"/>
      <c r="K2352" s="104" t="n"/>
      <c r="L2352" s="104" t="n"/>
      <c r="M2352" s="104" t="n"/>
      <c r="N2352" s="104" t="n"/>
      <c r="O2352" s="104" t="n"/>
      <c r="P2352" s="104" t="n"/>
      <c r="Q2352" s="104" t="n"/>
      <c r="R2352" s="104" t="n"/>
      <c r="S2352" s="110" t="n"/>
      <c r="T2352" s="110" t="n"/>
      <c r="U2352" s="104" t="n"/>
    </row>
    <row r="2353">
      <c r="A2353" s="104" t="inlineStr">
        <is>
          <t>GUIDE002352</t>
        </is>
      </c>
      <c r="B2353" s="104" t="n"/>
      <c r="C2353" s="107" t="n"/>
      <c r="D2353" s="107" t="n"/>
      <c r="E2353" s="108" t="n"/>
      <c r="F2353" s="104" t="n"/>
      <c r="G2353" s="104" t="n"/>
      <c r="H2353" s="104" t="n"/>
      <c r="I2353" s="104" t="n"/>
      <c r="J2353" s="104" t="n"/>
      <c r="K2353" s="104" t="n"/>
      <c r="L2353" s="104" t="n"/>
      <c r="M2353" s="104" t="n"/>
      <c r="N2353" s="104" t="n"/>
      <c r="O2353" s="104" t="n"/>
      <c r="P2353" s="104" t="n"/>
      <c r="Q2353" s="104" t="n"/>
      <c r="R2353" s="104" t="n"/>
      <c r="S2353" s="110" t="n"/>
      <c r="T2353" s="110" t="n"/>
      <c r="U2353" s="104" t="n"/>
    </row>
    <row r="2354">
      <c r="A2354" s="104" t="inlineStr">
        <is>
          <t>GUIDE002353</t>
        </is>
      </c>
      <c r="B2354" s="104" t="n"/>
      <c r="C2354" s="107" t="n"/>
      <c r="D2354" s="107" t="n"/>
      <c r="E2354" s="108" t="n"/>
      <c r="F2354" s="104" t="n"/>
      <c r="G2354" s="104" t="n"/>
      <c r="H2354" s="104" t="n"/>
      <c r="I2354" s="104" t="n"/>
      <c r="J2354" s="104" t="n"/>
      <c r="K2354" s="104" t="n"/>
      <c r="L2354" s="104" t="n"/>
      <c r="M2354" s="104" t="n"/>
      <c r="N2354" s="104" t="n"/>
      <c r="O2354" s="104" t="n"/>
      <c r="P2354" s="104" t="n"/>
      <c r="Q2354" s="104" t="n"/>
      <c r="R2354" s="104" t="n"/>
      <c r="S2354" s="110" t="n"/>
      <c r="T2354" s="110" t="n"/>
      <c r="U2354" s="104" t="n"/>
    </row>
    <row r="2355">
      <c r="A2355" s="105" t="inlineStr">
        <is>
          <t>GUIDE002354</t>
        </is>
      </c>
      <c r="B2355" s="104" t="n"/>
      <c r="C2355" s="107" t="n"/>
      <c r="D2355" s="107" t="n"/>
      <c r="E2355" s="108" t="n"/>
      <c r="F2355" s="104" t="n"/>
      <c r="G2355" s="104" t="n"/>
      <c r="H2355" s="104" t="n"/>
      <c r="I2355" s="104" t="n"/>
      <c r="J2355" s="104" t="n"/>
      <c r="K2355" s="104" t="n"/>
      <c r="L2355" s="104" t="n"/>
      <c r="M2355" s="104" t="n"/>
      <c r="N2355" s="104" t="n"/>
      <c r="O2355" s="104" t="n"/>
      <c r="P2355" s="104" t="n"/>
      <c r="Q2355" s="104" t="n"/>
      <c r="R2355" s="104" t="n"/>
      <c r="S2355" s="110" t="n"/>
      <c r="T2355" s="110" t="n"/>
      <c r="U2355" s="104" t="n"/>
    </row>
    <row r="2356">
      <c r="A2356" s="104" t="inlineStr">
        <is>
          <t>GUIDE002355</t>
        </is>
      </c>
      <c r="B2356" s="104" t="n"/>
      <c r="C2356" s="107" t="n"/>
      <c r="D2356" s="107" t="n"/>
      <c r="E2356" s="108" t="n"/>
      <c r="F2356" s="104" t="n"/>
      <c r="G2356" s="104" t="n"/>
      <c r="H2356" s="104" t="n"/>
      <c r="I2356" s="104" t="n"/>
      <c r="J2356" s="104" t="n"/>
      <c r="K2356" s="104" t="n"/>
      <c r="L2356" s="104" t="n"/>
      <c r="M2356" s="104" t="n"/>
      <c r="N2356" s="104" t="n"/>
      <c r="O2356" s="104" t="n"/>
      <c r="P2356" s="104" t="n"/>
      <c r="Q2356" s="104" t="n"/>
      <c r="R2356" s="104" t="n"/>
      <c r="S2356" s="110" t="n"/>
      <c r="T2356" s="110" t="n"/>
      <c r="U2356" s="104" t="n"/>
    </row>
    <row r="2357">
      <c r="A2357" s="104" t="inlineStr">
        <is>
          <t>GUIDE002356</t>
        </is>
      </c>
      <c r="B2357" s="104" t="n"/>
      <c r="C2357" s="107" t="n"/>
      <c r="D2357" s="107" t="n"/>
      <c r="E2357" s="108" t="n"/>
      <c r="F2357" s="104" t="n"/>
      <c r="G2357" s="104" t="n"/>
      <c r="H2357" s="104" t="n"/>
      <c r="I2357" s="104" t="n"/>
      <c r="J2357" s="104" t="n"/>
      <c r="K2357" s="104" t="n"/>
      <c r="L2357" s="104" t="n"/>
      <c r="M2357" s="104" t="n"/>
      <c r="N2357" s="104" t="n"/>
      <c r="O2357" s="104" t="n"/>
      <c r="P2357" s="104" t="n"/>
      <c r="Q2357" s="104" t="n"/>
      <c r="R2357" s="104" t="n"/>
      <c r="S2357" s="110" t="n"/>
      <c r="T2357" s="110" t="n"/>
      <c r="U2357" s="104" t="n"/>
    </row>
    <row r="2358">
      <c r="A2358" s="104" t="inlineStr">
        <is>
          <t>GUIDE002357</t>
        </is>
      </c>
      <c r="B2358" s="104" t="n"/>
      <c r="C2358" s="107" t="n"/>
      <c r="D2358" s="107" t="n"/>
      <c r="E2358" s="108" t="n"/>
      <c r="F2358" s="104" t="n"/>
      <c r="G2358" s="104" t="n"/>
      <c r="H2358" s="104" t="n"/>
      <c r="I2358" s="104" t="n"/>
      <c r="J2358" s="104" t="n"/>
      <c r="K2358" s="104" t="n"/>
      <c r="L2358" s="104" t="n"/>
      <c r="M2358" s="104" t="n"/>
      <c r="N2358" s="104" t="n"/>
      <c r="O2358" s="104" t="n"/>
      <c r="P2358" s="104" t="n"/>
      <c r="Q2358" s="104" t="n"/>
      <c r="R2358" s="104" t="n"/>
      <c r="S2358" s="110" t="n"/>
      <c r="T2358" s="110" t="n"/>
      <c r="U2358" s="104" t="n"/>
    </row>
    <row r="2359">
      <c r="A2359" s="105" t="inlineStr">
        <is>
          <t>GUIDE002358</t>
        </is>
      </c>
      <c r="B2359" s="104" t="n"/>
      <c r="C2359" s="107" t="n"/>
      <c r="D2359" s="107" t="n"/>
      <c r="E2359" s="108" t="n"/>
      <c r="F2359" s="104" t="n"/>
      <c r="G2359" s="104" t="n"/>
      <c r="H2359" s="104" t="n"/>
      <c r="I2359" s="104" t="n"/>
      <c r="J2359" s="104" t="n"/>
      <c r="K2359" s="104" t="n"/>
      <c r="L2359" s="104" t="n"/>
      <c r="M2359" s="104" t="n"/>
      <c r="N2359" s="104" t="n"/>
      <c r="O2359" s="104" t="n"/>
      <c r="P2359" s="104" t="n"/>
      <c r="Q2359" s="104" t="n"/>
      <c r="R2359" s="104" t="n"/>
      <c r="S2359" s="110" t="n"/>
      <c r="T2359" s="110" t="n"/>
      <c r="U2359" s="104" t="n"/>
    </row>
    <row r="2360">
      <c r="A2360" s="104" t="inlineStr">
        <is>
          <t>GUIDE002359</t>
        </is>
      </c>
      <c r="B2360" s="104" t="n"/>
      <c r="C2360" s="107" t="n"/>
      <c r="D2360" s="107" t="n"/>
      <c r="E2360" s="108" t="n"/>
      <c r="F2360" s="104" t="n"/>
      <c r="G2360" s="104" t="n"/>
      <c r="H2360" s="104" t="n"/>
      <c r="I2360" s="104" t="n"/>
      <c r="J2360" s="104" t="n"/>
      <c r="K2360" s="104" t="n"/>
      <c r="L2360" s="104" t="n"/>
      <c r="M2360" s="104" t="n"/>
      <c r="N2360" s="104" t="n"/>
      <c r="O2360" s="104" t="n"/>
      <c r="P2360" s="104" t="n"/>
      <c r="Q2360" s="104" t="n"/>
      <c r="R2360" s="104" t="n"/>
      <c r="S2360" s="110" t="n"/>
      <c r="T2360" s="110" t="n"/>
      <c r="U2360" s="104" t="n"/>
    </row>
    <row r="2361">
      <c r="A2361" s="104" t="inlineStr">
        <is>
          <t>GUIDE002360</t>
        </is>
      </c>
      <c r="B2361" s="104" t="n"/>
      <c r="C2361" s="107" t="n"/>
      <c r="D2361" s="107" t="n"/>
      <c r="E2361" s="108" t="n"/>
      <c r="F2361" s="104" t="n"/>
      <c r="G2361" s="104" t="n"/>
      <c r="H2361" s="104" t="n"/>
      <c r="I2361" s="104" t="n"/>
      <c r="J2361" s="104" t="n"/>
      <c r="K2361" s="104" t="n"/>
      <c r="L2361" s="104" t="n"/>
      <c r="M2361" s="104" t="n"/>
      <c r="N2361" s="104" t="n"/>
      <c r="O2361" s="104" t="n"/>
      <c r="P2361" s="104" t="n"/>
      <c r="Q2361" s="104" t="n"/>
      <c r="R2361" s="104" t="n"/>
      <c r="S2361" s="110" t="n"/>
      <c r="T2361" s="110" t="n"/>
      <c r="U2361" s="104" t="n"/>
    </row>
    <row r="2362">
      <c r="A2362" s="104" t="inlineStr">
        <is>
          <t>GUIDE002361</t>
        </is>
      </c>
      <c r="B2362" s="104" t="n"/>
      <c r="C2362" s="107" t="n"/>
      <c r="D2362" s="107" t="n"/>
      <c r="E2362" s="108" t="n"/>
      <c r="F2362" s="104" t="n"/>
      <c r="G2362" s="104" t="n"/>
      <c r="H2362" s="104" t="n"/>
      <c r="I2362" s="104" t="n"/>
      <c r="J2362" s="104" t="n"/>
      <c r="K2362" s="104" t="n"/>
      <c r="L2362" s="104" t="n"/>
      <c r="M2362" s="104" t="n"/>
      <c r="N2362" s="104" t="n"/>
      <c r="O2362" s="104" t="n"/>
      <c r="P2362" s="104" t="n"/>
      <c r="Q2362" s="104" t="n"/>
      <c r="R2362" s="104" t="n"/>
      <c r="S2362" s="110" t="n"/>
      <c r="T2362" s="110" t="n"/>
      <c r="U2362" s="104" t="n"/>
    </row>
    <row r="2363">
      <c r="A2363" s="105" t="inlineStr">
        <is>
          <t>GUIDE002362</t>
        </is>
      </c>
      <c r="B2363" s="104" t="n"/>
      <c r="C2363" s="107" t="n"/>
      <c r="D2363" s="107" t="n"/>
      <c r="E2363" s="108" t="n"/>
      <c r="F2363" s="104" t="n"/>
      <c r="G2363" s="104" t="n"/>
      <c r="H2363" s="104" t="n"/>
      <c r="I2363" s="104" t="n"/>
      <c r="J2363" s="104" t="n"/>
      <c r="K2363" s="104" t="n"/>
      <c r="L2363" s="104" t="n"/>
      <c r="M2363" s="104" t="n"/>
      <c r="N2363" s="104" t="n"/>
      <c r="O2363" s="104" t="n"/>
      <c r="P2363" s="104" t="n"/>
      <c r="Q2363" s="104" t="n"/>
      <c r="R2363" s="104" t="n"/>
      <c r="S2363" s="110" t="n"/>
      <c r="T2363" s="110" t="n"/>
      <c r="U2363" s="104" t="n"/>
    </row>
    <row r="2364">
      <c r="A2364" s="104" t="inlineStr">
        <is>
          <t>GUIDE002363</t>
        </is>
      </c>
      <c r="B2364" s="104" t="n"/>
      <c r="C2364" s="107" t="n"/>
      <c r="D2364" s="107" t="n"/>
      <c r="E2364" s="108" t="n"/>
      <c r="F2364" s="104" t="n"/>
      <c r="G2364" s="104" t="n"/>
      <c r="H2364" s="104" t="n"/>
      <c r="I2364" s="104" t="n"/>
      <c r="J2364" s="104" t="n"/>
      <c r="K2364" s="104" t="n"/>
      <c r="L2364" s="104" t="n"/>
      <c r="M2364" s="104" t="n"/>
      <c r="N2364" s="104" t="n"/>
      <c r="O2364" s="104" t="n"/>
      <c r="P2364" s="104" t="n"/>
      <c r="Q2364" s="104" t="n"/>
      <c r="R2364" s="104" t="n"/>
      <c r="S2364" s="110" t="n"/>
      <c r="T2364" s="110" t="n"/>
      <c r="U2364" s="104" t="n"/>
    </row>
    <row r="2365">
      <c r="A2365" s="104" t="inlineStr">
        <is>
          <t>GUIDE002364</t>
        </is>
      </c>
      <c r="B2365" s="104" t="n"/>
      <c r="C2365" s="107" t="n"/>
      <c r="D2365" s="107" t="n"/>
      <c r="E2365" s="108" t="n"/>
      <c r="F2365" s="104" t="n"/>
      <c r="G2365" s="104" t="n"/>
      <c r="H2365" s="104" t="n"/>
      <c r="I2365" s="104" t="n"/>
      <c r="J2365" s="104" t="n"/>
      <c r="K2365" s="104" t="n"/>
      <c r="L2365" s="104" t="n"/>
      <c r="M2365" s="104" t="n"/>
      <c r="N2365" s="104" t="n"/>
      <c r="O2365" s="104" t="n"/>
      <c r="P2365" s="104" t="n"/>
      <c r="Q2365" s="104" t="n"/>
      <c r="R2365" s="104" t="n"/>
      <c r="S2365" s="110" t="n"/>
      <c r="T2365" s="110" t="n"/>
      <c r="U2365" s="104" t="n"/>
    </row>
    <row r="2366">
      <c r="A2366" s="104" t="inlineStr">
        <is>
          <t>GUIDE002365</t>
        </is>
      </c>
      <c r="B2366" s="104" t="n"/>
      <c r="C2366" s="107" t="n"/>
      <c r="D2366" s="107" t="n"/>
      <c r="E2366" s="108" t="n"/>
      <c r="F2366" s="104" t="n"/>
      <c r="G2366" s="104" t="n"/>
      <c r="H2366" s="104" t="n"/>
      <c r="I2366" s="104" t="n"/>
      <c r="J2366" s="104" t="n"/>
      <c r="K2366" s="104" t="n"/>
      <c r="L2366" s="104" t="n"/>
      <c r="M2366" s="104" t="n"/>
      <c r="N2366" s="104" t="n"/>
      <c r="O2366" s="104" t="n"/>
      <c r="P2366" s="104" t="n"/>
      <c r="Q2366" s="104" t="n"/>
      <c r="R2366" s="104" t="n"/>
      <c r="S2366" s="110" t="n"/>
      <c r="T2366" s="110" t="n"/>
      <c r="U2366" s="104" t="n"/>
    </row>
    <row r="2367">
      <c r="A2367" s="105" t="inlineStr">
        <is>
          <t>GUIDE002366</t>
        </is>
      </c>
      <c r="B2367" s="104" t="n"/>
      <c r="C2367" s="107" t="n"/>
      <c r="D2367" s="107" t="n"/>
      <c r="E2367" s="108" t="n"/>
      <c r="F2367" s="104" t="n"/>
      <c r="G2367" s="104" t="n"/>
      <c r="H2367" s="104" t="n"/>
      <c r="I2367" s="104" t="n"/>
      <c r="J2367" s="104" t="n"/>
      <c r="K2367" s="104" t="n"/>
      <c r="L2367" s="104" t="n"/>
      <c r="M2367" s="104" t="n"/>
      <c r="N2367" s="104" t="n"/>
      <c r="O2367" s="104" t="n"/>
      <c r="P2367" s="104" t="n"/>
      <c r="Q2367" s="104" t="n"/>
      <c r="R2367" s="104" t="n"/>
      <c r="S2367" s="110" t="n"/>
      <c r="T2367" s="110" t="n"/>
      <c r="U2367" s="104" t="n"/>
    </row>
    <row r="2368">
      <c r="A2368" s="104" t="inlineStr">
        <is>
          <t>GUIDE002367</t>
        </is>
      </c>
      <c r="B2368" s="104" t="n"/>
      <c r="C2368" s="107" t="n"/>
      <c r="D2368" s="107" t="n"/>
      <c r="E2368" s="108" t="n"/>
      <c r="F2368" s="104" t="n"/>
      <c r="G2368" s="104" t="n"/>
      <c r="H2368" s="104" t="n"/>
      <c r="I2368" s="104" t="n"/>
      <c r="J2368" s="104" t="n"/>
      <c r="K2368" s="104" t="n"/>
      <c r="L2368" s="104" t="n"/>
      <c r="M2368" s="104" t="n"/>
      <c r="N2368" s="104" t="n"/>
      <c r="O2368" s="104" t="n"/>
      <c r="P2368" s="104" t="n"/>
      <c r="Q2368" s="104" t="n"/>
      <c r="R2368" s="104" t="n"/>
      <c r="S2368" s="110" t="n"/>
      <c r="T2368" s="110" t="n"/>
      <c r="U2368" s="104" t="n"/>
    </row>
    <row r="2369">
      <c r="A2369" s="104" t="inlineStr">
        <is>
          <t>GUIDE002368</t>
        </is>
      </c>
      <c r="B2369" s="104" t="n"/>
      <c r="C2369" s="107" t="n"/>
      <c r="D2369" s="107" t="n"/>
      <c r="E2369" s="108" t="n"/>
      <c r="F2369" s="104" t="n"/>
      <c r="G2369" s="104" t="n"/>
      <c r="H2369" s="104" t="n"/>
      <c r="I2369" s="104" t="n"/>
      <c r="J2369" s="104" t="n"/>
      <c r="K2369" s="104" t="n"/>
      <c r="L2369" s="104" t="n"/>
      <c r="M2369" s="104" t="n"/>
      <c r="N2369" s="104" t="n"/>
      <c r="O2369" s="104" t="n"/>
      <c r="P2369" s="104" t="n"/>
      <c r="Q2369" s="104" t="n"/>
      <c r="R2369" s="104" t="n"/>
      <c r="S2369" s="110" t="n"/>
      <c r="T2369" s="110" t="n"/>
      <c r="U2369" s="104" t="n"/>
    </row>
    <row r="2370">
      <c r="A2370" s="104" t="inlineStr">
        <is>
          <t>GUIDE002369</t>
        </is>
      </c>
      <c r="B2370" s="104" t="n"/>
      <c r="C2370" s="107" t="n"/>
      <c r="D2370" s="107" t="n"/>
      <c r="E2370" s="108" t="n"/>
      <c r="F2370" s="104" t="n"/>
      <c r="G2370" s="104" t="n"/>
      <c r="H2370" s="104" t="n"/>
      <c r="I2370" s="104" t="n"/>
      <c r="J2370" s="104" t="n"/>
      <c r="K2370" s="104" t="n"/>
      <c r="L2370" s="104" t="n"/>
      <c r="M2370" s="104" t="n"/>
      <c r="N2370" s="104" t="n"/>
      <c r="O2370" s="104" t="n"/>
      <c r="P2370" s="104" t="n"/>
      <c r="Q2370" s="104" t="n"/>
      <c r="R2370" s="104" t="n"/>
      <c r="S2370" s="110" t="n"/>
      <c r="T2370" s="110" t="n"/>
      <c r="U2370" s="104" t="n"/>
    </row>
    <row r="2371">
      <c r="A2371" s="105" t="inlineStr">
        <is>
          <t>GUIDE002370</t>
        </is>
      </c>
      <c r="B2371" s="104" t="n"/>
      <c r="C2371" s="107" t="n"/>
      <c r="D2371" s="107" t="n"/>
      <c r="E2371" s="108" t="n"/>
      <c r="F2371" s="104" t="n"/>
      <c r="G2371" s="104" t="n"/>
      <c r="H2371" s="104" t="n"/>
      <c r="I2371" s="104" t="n"/>
      <c r="J2371" s="104" t="n"/>
      <c r="K2371" s="104" t="n"/>
      <c r="L2371" s="104" t="n"/>
      <c r="M2371" s="104" t="n"/>
      <c r="N2371" s="104" t="n"/>
      <c r="O2371" s="104" t="n"/>
      <c r="P2371" s="104" t="n"/>
      <c r="Q2371" s="104" t="n"/>
      <c r="R2371" s="104" t="n"/>
      <c r="S2371" s="110" t="n"/>
      <c r="T2371" s="110" t="n"/>
      <c r="U2371" s="104" t="n"/>
    </row>
    <row r="2372">
      <c r="A2372" s="104" t="inlineStr">
        <is>
          <t>GUIDE002371</t>
        </is>
      </c>
      <c r="B2372" s="104" t="n"/>
      <c r="C2372" s="107" t="n"/>
      <c r="D2372" s="107" t="n"/>
      <c r="E2372" s="108" t="n"/>
      <c r="F2372" s="104" t="n"/>
      <c r="G2372" s="104" t="n"/>
      <c r="H2372" s="104" t="n"/>
      <c r="I2372" s="104" t="n"/>
      <c r="J2372" s="104" t="n"/>
      <c r="K2372" s="104" t="n"/>
      <c r="L2372" s="104" t="n"/>
      <c r="M2372" s="104" t="n"/>
      <c r="N2372" s="104" t="n"/>
      <c r="O2372" s="104" t="n"/>
      <c r="P2372" s="104" t="n"/>
      <c r="Q2372" s="104" t="n"/>
      <c r="R2372" s="104" t="n"/>
      <c r="S2372" s="110" t="n"/>
      <c r="T2372" s="110" t="n"/>
      <c r="U2372" s="104" t="n"/>
    </row>
    <row r="2373">
      <c r="A2373" s="104" t="inlineStr">
        <is>
          <t>GUIDE002372</t>
        </is>
      </c>
      <c r="B2373" s="104" t="n"/>
      <c r="C2373" s="107" t="n"/>
      <c r="D2373" s="107" t="n"/>
      <c r="E2373" s="108" t="n"/>
      <c r="F2373" s="104" t="n"/>
      <c r="G2373" s="104" t="n"/>
      <c r="H2373" s="104" t="n"/>
      <c r="I2373" s="104" t="n"/>
      <c r="J2373" s="104" t="n"/>
      <c r="K2373" s="104" t="n"/>
      <c r="L2373" s="104" t="n"/>
      <c r="M2373" s="104" t="n"/>
      <c r="N2373" s="104" t="n"/>
      <c r="O2373" s="104" t="n"/>
      <c r="P2373" s="104" t="n"/>
      <c r="Q2373" s="104" t="n"/>
      <c r="R2373" s="104" t="n"/>
      <c r="S2373" s="110" t="n"/>
      <c r="T2373" s="110" t="n"/>
      <c r="U2373" s="104" t="n"/>
    </row>
    <row r="2374">
      <c r="A2374" s="104" t="inlineStr">
        <is>
          <t>GUIDE002373</t>
        </is>
      </c>
      <c r="B2374" s="104" t="n"/>
      <c r="C2374" s="107" t="n"/>
      <c r="D2374" s="107" t="n"/>
      <c r="E2374" s="108" t="n"/>
      <c r="F2374" s="104" t="n"/>
      <c r="G2374" s="104" t="n"/>
      <c r="H2374" s="104" t="n"/>
      <c r="I2374" s="104" t="n"/>
      <c r="J2374" s="104" t="n"/>
      <c r="K2374" s="104" t="n"/>
      <c r="L2374" s="104" t="n"/>
      <c r="M2374" s="104" t="n"/>
      <c r="N2374" s="104" t="n"/>
      <c r="O2374" s="104" t="n"/>
      <c r="P2374" s="104" t="n"/>
      <c r="Q2374" s="104" t="n"/>
      <c r="R2374" s="104" t="n"/>
      <c r="S2374" s="110" t="n"/>
      <c r="T2374" s="110" t="n"/>
      <c r="U2374" s="104" t="n"/>
    </row>
    <row r="2375">
      <c r="A2375" s="105" t="inlineStr">
        <is>
          <t>GUIDE002374</t>
        </is>
      </c>
      <c r="B2375" s="104" t="n"/>
      <c r="C2375" s="107" t="n"/>
      <c r="D2375" s="107" t="n"/>
      <c r="E2375" s="108" t="n"/>
      <c r="F2375" s="104" t="n"/>
      <c r="G2375" s="104" t="n"/>
      <c r="H2375" s="104" t="n"/>
      <c r="I2375" s="104" t="n"/>
      <c r="J2375" s="104" t="n"/>
      <c r="K2375" s="104" t="n"/>
      <c r="L2375" s="104" t="n"/>
      <c r="M2375" s="104" t="n"/>
      <c r="N2375" s="104" t="n"/>
      <c r="O2375" s="104" t="n"/>
      <c r="P2375" s="104" t="n"/>
      <c r="Q2375" s="104" t="n"/>
      <c r="R2375" s="104" t="n"/>
      <c r="S2375" s="110" t="n"/>
      <c r="T2375" s="110" t="n"/>
      <c r="U2375" s="104" t="n"/>
    </row>
    <row r="2376">
      <c r="A2376" s="104" t="inlineStr">
        <is>
          <t>GUIDE002375</t>
        </is>
      </c>
      <c r="B2376" s="104" t="n"/>
      <c r="C2376" s="107" t="n"/>
      <c r="D2376" s="107" t="n"/>
      <c r="E2376" s="108" t="n"/>
      <c r="F2376" s="104" t="n"/>
      <c r="G2376" s="104" t="n"/>
      <c r="H2376" s="104" t="n"/>
      <c r="I2376" s="104" t="n"/>
      <c r="J2376" s="104" t="n"/>
      <c r="K2376" s="104" t="n"/>
      <c r="L2376" s="104" t="n"/>
      <c r="M2376" s="104" t="n"/>
      <c r="N2376" s="104" t="n"/>
      <c r="O2376" s="104" t="n"/>
      <c r="P2376" s="104" t="n"/>
      <c r="Q2376" s="104" t="n"/>
      <c r="R2376" s="104" t="n"/>
      <c r="S2376" s="110" t="n"/>
      <c r="T2376" s="110" t="n"/>
      <c r="U2376" s="104" t="n"/>
    </row>
    <row r="2377">
      <c r="A2377" s="104" t="inlineStr">
        <is>
          <t>GUIDE002376</t>
        </is>
      </c>
      <c r="B2377" s="104" t="n"/>
      <c r="C2377" s="107" t="n"/>
      <c r="D2377" s="107" t="n"/>
      <c r="E2377" s="108" t="n"/>
      <c r="F2377" s="104" t="n"/>
      <c r="G2377" s="104" t="n"/>
      <c r="H2377" s="104" t="n"/>
      <c r="I2377" s="104" t="n"/>
      <c r="J2377" s="104" t="n"/>
      <c r="K2377" s="104" t="n"/>
      <c r="L2377" s="104" t="n"/>
      <c r="M2377" s="104" t="n"/>
      <c r="N2377" s="104" t="n"/>
      <c r="O2377" s="104" t="n"/>
      <c r="P2377" s="104" t="n"/>
      <c r="Q2377" s="104" t="n"/>
      <c r="R2377" s="104" t="n"/>
      <c r="S2377" s="110" t="n"/>
      <c r="T2377" s="110" t="n"/>
      <c r="U2377" s="104" t="n"/>
    </row>
    <row r="2378">
      <c r="A2378" s="104" t="inlineStr">
        <is>
          <t>GUIDE002377</t>
        </is>
      </c>
      <c r="B2378" s="104" t="n"/>
      <c r="C2378" s="107" t="n"/>
      <c r="D2378" s="107" t="n"/>
      <c r="E2378" s="108" t="n"/>
      <c r="F2378" s="104" t="n"/>
      <c r="G2378" s="104" t="n"/>
      <c r="H2378" s="104" t="n"/>
      <c r="I2378" s="104" t="n"/>
      <c r="J2378" s="104" t="n"/>
      <c r="K2378" s="104" t="n"/>
      <c r="L2378" s="104" t="n"/>
      <c r="M2378" s="104" t="n"/>
      <c r="N2378" s="104" t="n"/>
      <c r="O2378" s="104" t="n"/>
      <c r="P2378" s="104" t="n"/>
      <c r="Q2378" s="104" t="n"/>
      <c r="R2378" s="104" t="n"/>
      <c r="S2378" s="110" t="n"/>
      <c r="T2378" s="110" t="n"/>
      <c r="U2378" s="104" t="n"/>
    </row>
    <row r="2379">
      <c r="A2379" s="105" t="inlineStr">
        <is>
          <t>GUIDE002378</t>
        </is>
      </c>
      <c r="B2379" s="104" t="n"/>
      <c r="C2379" s="107" t="n"/>
      <c r="D2379" s="107" t="n"/>
      <c r="E2379" s="108" t="n"/>
      <c r="F2379" s="104" t="n"/>
      <c r="G2379" s="104" t="n"/>
      <c r="H2379" s="104" t="n"/>
      <c r="I2379" s="104" t="n"/>
      <c r="J2379" s="104" t="n"/>
      <c r="K2379" s="104" t="n"/>
      <c r="L2379" s="104" t="n"/>
      <c r="M2379" s="104" t="n"/>
      <c r="N2379" s="104" t="n"/>
      <c r="O2379" s="104" t="n"/>
      <c r="P2379" s="104" t="n"/>
      <c r="Q2379" s="104" t="n"/>
      <c r="R2379" s="104" t="n"/>
      <c r="S2379" s="110" t="n"/>
      <c r="T2379" s="110" t="n"/>
      <c r="U2379" s="104" t="n"/>
    </row>
    <row r="2380">
      <c r="A2380" s="104" t="inlineStr">
        <is>
          <t>GUIDE002379</t>
        </is>
      </c>
      <c r="B2380" s="104" t="n"/>
      <c r="C2380" s="107" t="n"/>
      <c r="D2380" s="107" t="n"/>
      <c r="E2380" s="108" t="n"/>
      <c r="F2380" s="104" t="n"/>
      <c r="G2380" s="104" t="n"/>
      <c r="H2380" s="104" t="n"/>
      <c r="I2380" s="104" t="n"/>
      <c r="J2380" s="104" t="n"/>
      <c r="K2380" s="104" t="n"/>
      <c r="L2380" s="104" t="n"/>
      <c r="M2380" s="104" t="n"/>
      <c r="N2380" s="104" t="n"/>
      <c r="O2380" s="104" t="n"/>
      <c r="P2380" s="104" t="n"/>
      <c r="Q2380" s="104" t="n"/>
      <c r="R2380" s="104" t="n"/>
      <c r="S2380" s="110" t="n"/>
      <c r="T2380" s="110" t="n"/>
      <c r="U2380" s="104" t="n"/>
    </row>
    <row r="2381">
      <c r="A2381" s="104" t="inlineStr">
        <is>
          <t>GUIDE002380</t>
        </is>
      </c>
      <c r="B2381" s="104" t="n"/>
      <c r="C2381" s="107" t="n"/>
      <c r="D2381" s="107" t="n"/>
      <c r="E2381" s="108" t="n"/>
      <c r="F2381" s="104" t="n"/>
      <c r="G2381" s="104" t="n"/>
      <c r="H2381" s="104" t="n"/>
      <c r="I2381" s="104" t="n"/>
      <c r="J2381" s="104" t="n"/>
      <c r="K2381" s="104" t="n"/>
      <c r="L2381" s="104" t="n"/>
      <c r="M2381" s="104" t="n"/>
      <c r="N2381" s="104" t="n"/>
      <c r="O2381" s="104" t="n"/>
      <c r="P2381" s="104" t="n"/>
      <c r="Q2381" s="104" t="n"/>
      <c r="R2381" s="104" t="n"/>
      <c r="S2381" s="110" t="n"/>
      <c r="T2381" s="110" t="n"/>
      <c r="U2381" s="104" t="n"/>
    </row>
  </sheetData>
  <conditionalFormatting sqref="E2:E53">
    <cfRule type="duplicateValues" priority="37" dxfId="0"/>
  </conditionalFormatting>
  <conditionalFormatting sqref="E54:E105">
    <cfRule type="duplicateValues" priority="36" dxfId="0"/>
  </conditionalFormatting>
  <conditionalFormatting sqref="E106:E157">
    <cfRule type="duplicateValues" priority="35" dxfId="0"/>
  </conditionalFormatting>
  <conditionalFormatting sqref="E158:E209">
    <cfRule type="duplicateValues" priority="34" dxfId="0"/>
  </conditionalFormatting>
  <conditionalFormatting sqref="E210:E261">
    <cfRule type="duplicateValues" priority="33" dxfId="0"/>
  </conditionalFormatting>
  <conditionalFormatting sqref="E262:E313">
    <cfRule type="duplicateValues" priority="32" dxfId="0"/>
  </conditionalFormatting>
  <conditionalFormatting sqref="E314:E365">
    <cfRule type="duplicateValues" priority="31" dxfId="0"/>
  </conditionalFormatting>
  <conditionalFormatting sqref="E366:E417">
    <cfRule type="duplicateValues" priority="30" dxfId="0"/>
  </conditionalFormatting>
  <conditionalFormatting sqref="E418:E469">
    <cfRule type="duplicateValues" priority="29" dxfId="0"/>
  </conditionalFormatting>
  <conditionalFormatting sqref="E470:E521">
    <cfRule type="duplicateValues" priority="28" dxfId="0"/>
  </conditionalFormatting>
  <conditionalFormatting sqref="E522:E573">
    <cfRule type="duplicateValues" priority="27" dxfId="0"/>
  </conditionalFormatting>
  <conditionalFormatting sqref="E574:E625">
    <cfRule type="duplicateValues" priority="26" dxfId="0"/>
  </conditionalFormatting>
  <conditionalFormatting sqref="E626:E677">
    <cfRule type="duplicateValues" priority="25" dxfId="0"/>
  </conditionalFormatting>
  <conditionalFormatting sqref="E678:E729">
    <cfRule type="duplicateValues" priority="24" dxfId="0"/>
  </conditionalFormatting>
  <conditionalFormatting sqref="E730:E781">
    <cfRule type="duplicateValues" priority="23" dxfId="0"/>
  </conditionalFormatting>
  <conditionalFormatting sqref="E782:E833">
    <cfRule type="duplicateValues" priority="22" dxfId="0"/>
  </conditionalFormatting>
  <conditionalFormatting sqref="E834:E885">
    <cfRule type="duplicateValues" priority="21" dxfId="0"/>
  </conditionalFormatting>
  <conditionalFormatting sqref="E886:E937">
    <cfRule type="duplicateValues" priority="20" dxfId="0"/>
  </conditionalFormatting>
  <conditionalFormatting sqref="E938:E989">
    <cfRule type="duplicateValues" priority="19" dxfId="0"/>
  </conditionalFormatting>
  <conditionalFormatting sqref="E990:E1041">
    <cfRule type="duplicateValues" priority="18" dxfId="0"/>
  </conditionalFormatting>
  <conditionalFormatting sqref="E1042:E1093">
    <cfRule type="duplicateValues" priority="17" dxfId="0"/>
  </conditionalFormatting>
  <conditionalFormatting sqref="E1094:E1145">
    <cfRule type="duplicateValues" priority="16" dxfId="0"/>
  </conditionalFormatting>
  <conditionalFormatting sqref="E1146:E1197">
    <cfRule type="duplicateValues" priority="15" dxfId="0"/>
  </conditionalFormatting>
  <conditionalFormatting sqref="E1198:E1249">
    <cfRule type="duplicateValues" priority="14" dxfId="0"/>
  </conditionalFormatting>
  <conditionalFormatting sqref="E1250:E1301">
    <cfRule type="duplicateValues" priority="13" dxfId="0"/>
  </conditionalFormatting>
  <conditionalFormatting sqref="E1302:E1353">
    <cfRule type="duplicateValues" priority="12" dxfId="0"/>
  </conditionalFormatting>
  <conditionalFormatting sqref="E1354:E1405">
    <cfRule type="duplicateValues" priority="11" dxfId="0"/>
  </conditionalFormatting>
  <conditionalFormatting sqref="E1406:E1457">
    <cfRule type="duplicateValues" priority="10" dxfId="0"/>
  </conditionalFormatting>
  <conditionalFormatting sqref="E1458:E1509">
    <cfRule type="duplicateValues" priority="9" dxfId="0"/>
  </conditionalFormatting>
  <conditionalFormatting sqref="E1510:E1561">
    <cfRule type="duplicateValues" priority="8" dxfId="0"/>
  </conditionalFormatting>
  <conditionalFormatting sqref="E1562:E1613">
    <cfRule type="duplicateValues" priority="7" dxfId="0"/>
  </conditionalFormatting>
  <conditionalFormatting sqref="E1614:E1665">
    <cfRule type="duplicateValues" priority="6" dxfId="0"/>
  </conditionalFormatting>
  <conditionalFormatting sqref="E1666:E1717">
    <cfRule type="duplicateValues" priority="5" dxfId="0"/>
  </conditionalFormatting>
  <conditionalFormatting sqref="E1718:E1769">
    <cfRule type="duplicateValues" priority="4" dxfId="0"/>
  </conditionalFormatting>
  <conditionalFormatting sqref="E1770:E1821">
    <cfRule type="duplicateValues" priority="3" dxfId="0"/>
  </conditionalFormatting>
  <conditionalFormatting sqref="E1822:E1873">
    <cfRule type="duplicateValues" priority="2" dxfId="0"/>
  </conditionalFormatting>
  <conditionalFormatting sqref="E1874:E1925">
    <cfRule type="duplicateValues" priority="1" dxfId="0"/>
  </conditionalFormatting>
  <dataValidations count="6">
    <dataValidation sqref="C2:C2381" showDropDown="0" showInputMessage="1" showErrorMessage="1" allowBlank="1" type="list">
      <formula1>Manufacturer_ID</formula1>
    </dataValidation>
    <dataValidation sqref="I2:I2381" showDropDown="0" showInputMessage="1" showErrorMessage="1" allowBlank="1" type="list">
      <formula1>DocType</formula1>
    </dataValidation>
    <dataValidation sqref="T2:T2381" showDropDown="0" showInputMessage="1" showErrorMessage="1" allowBlank="1" type="list">
      <formula1>Guide_Status</formula1>
    </dataValidation>
    <dataValidation sqref="O2:O2381" showDropDown="0" showInputMessage="1" showErrorMessage="1" allowBlank="1" type="list">
      <formula1>Difficulty</formula1>
    </dataValidation>
    <dataValidation sqref="R2:R2381" showDropDown="0" showInputMessage="1" showErrorMessage="1" allowBlank="1" type="list">
      <formula1>T_F</formula1>
    </dataValidation>
    <dataValidation sqref="L2:L2381" showDropDown="0" showInputMessage="1" showErrorMessage="1" allowBlank="1" type="list">
      <formula1>Source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0.xml><?xml version="1.0" encoding="utf-8"?>
<worksheet xmlns="http://schemas.openxmlformats.org/spreadsheetml/2006/main">
  <sheetPr>
    <tabColor theme="5" tint="-0.249977111117893"/>
    <outlinePr summaryBelow="1" summaryRight="1"/>
    <pageSetUpPr/>
  </sheetPr>
  <dimension ref="A2:U2"/>
  <sheetViews>
    <sheetView workbookViewId="0">
      <selection activeCell="A3" sqref="A3"/>
    </sheetView>
  </sheetViews>
  <sheetFormatPr baseColWidth="8" defaultRowHeight="14.5"/>
  <cols>
    <col width="13.1796875" customWidth="1" style="125" min="1" max="1"/>
    <col width="17.08984375" customWidth="1" style="125" min="2" max="2"/>
    <col width="14.90625" customWidth="1" style="125" min="3" max="3"/>
    <col width="10.7265625" customWidth="1" style="125" min="4" max="4"/>
    <col width="13.81640625" customWidth="1" style="125" min="5" max="5"/>
    <col width="14.08984375" customWidth="1" style="125" min="6" max="6"/>
    <col width="14.54296875" customWidth="1" style="125" min="7" max="7"/>
    <col width="11.1796875" customWidth="1" style="125" min="8" max="8"/>
    <col width="14.26953125" customWidth="1" style="125" min="9" max="9"/>
    <col width="12.36328125" customWidth="1" style="125" min="10" max="10"/>
    <col width="15.453125" customWidth="1" style="125" min="11" max="11"/>
    <col width="13.54296875" customWidth="1" style="125" min="12" max="12"/>
    <col width="10.81640625" customWidth="1" style="125" min="13" max="13"/>
    <col width="13.90625" customWidth="1" style="125" min="14" max="14"/>
    <col width="14.6328125" customWidth="1" style="125" min="15" max="15"/>
    <col width="9.08984375" customWidth="1" style="125" min="16" max="16"/>
    <col width="13.1796875" customWidth="1" style="125" min="18" max="18"/>
    <col width="13.7265625" customWidth="1" style="125" min="19" max="19"/>
    <col width="14.453125" customWidth="1" style="125" min="20" max="20"/>
  </cols>
  <sheetData>
    <row r="2">
      <c r="A2" t="inlineStr">
        <is>
          <t>Technical ID</t>
        </is>
      </c>
      <c r="B2" t="inlineStr">
        <is>
          <t>Resource Type ID</t>
        </is>
      </c>
      <c r="C2" t="inlineStr">
        <is>
          <t>Resource Type</t>
        </is>
      </c>
      <c r="D2" t="inlineStr">
        <is>
          <t>Device ID</t>
        </is>
      </c>
      <c r="E2" t="inlineStr">
        <is>
          <t>Device Name</t>
        </is>
      </c>
      <c r="F2" t="inlineStr">
        <is>
          <t>Manufacturer</t>
        </is>
      </c>
      <c r="G2" t="inlineStr">
        <is>
          <t>Device Family</t>
        </is>
      </c>
      <c r="H2" t="inlineStr">
        <is>
          <t>Service ID</t>
        </is>
      </c>
      <c r="I2" t="inlineStr">
        <is>
          <t>Service Name</t>
        </is>
      </c>
      <c r="J2" t="inlineStr">
        <is>
          <t>Category ID</t>
        </is>
      </c>
      <c r="K2" t="inlineStr">
        <is>
          <t>Category Name</t>
        </is>
      </c>
      <c r="L2" t="inlineStr">
        <is>
          <t>Reference ID</t>
        </is>
      </c>
      <c r="M2" t="inlineStr">
        <is>
          <t>Source ID</t>
        </is>
      </c>
      <c r="N2" t="inlineStr">
        <is>
          <t>Source Name</t>
        </is>
      </c>
      <c r="O2" t="inlineStr">
        <is>
          <t>Resource Title</t>
        </is>
      </c>
      <c r="P2" t="inlineStr">
        <is>
          <t>Version</t>
        </is>
      </c>
      <c r="Q2" t="inlineStr">
        <is>
          <t>Active</t>
        </is>
      </c>
      <c r="R2" t="inlineStr">
        <is>
          <t>Last Verified</t>
        </is>
      </c>
      <c r="S2" t="inlineStr">
        <is>
          <t>Created Date</t>
        </is>
      </c>
      <c r="T2" t="inlineStr">
        <is>
          <t>Modified Date</t>
        </is>
      </c>
      <c r="U2" t="inlineStr">
        <is>
          <t>Notes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1.xml><?xml version="1.0" encoding="utf-8"?>
<worksheet xmlns="http://schemas.openxmlformats.org/spreadsheetml/2006/main">
  <sheetPr>
    <tabColor theme="5" tint="0.5999938962981048"/>
    <outlinePr summaryBelow="1" summaryRight="1"/>
    <pageSetUpPr/>
  </sheetPr>
  <dimension ref="A2:R2"/>
  <sheetViews>
    <sheetView workbookViewId="0">
      <selection activeCell="B12" sqref="B12"/>
    </sheetView>
  </sheetViews>
  <sheetFormatPr baseColWidth="8" defaultRowHeight="14.5"/>
  <cols>
    <col width="9.6328125" customWidth="1" style="125" min="1" max="1"/>
    <col width="10.7265625" customWidth="1" style="125" min="2" max="2"/>
    <col width="13.81640625" customWidth="1" style="125" min="3" max="3"/>
    <col width="14.08984375" customWidth="1" style="125" min="4" max="4"/>
    <col width="14.54296875" customWidth="1" style="125" min="5" max="5"/>
    <col width="11.1796875" customWidth="1" style="125" min="6" max="6"/>
    <col width="14.26953125" customWidth="1" style="125" min="7" max="7"/>
    <col width="12.36328125" customWidth="1" style="125" min="8" max="8"/>
    <col width="15.453125" customWidth="1" style="125" min="9" max="9"/>
    <col width="23.81640625" customWidth="1" style="125" min="10" max="10"/>
    <col width="15.36328125" customWidth="1" style="125" min="11" max="11"/>
    <col width="10.6328125" customWidth="1" style="125" min="12" max="12"/>
    <col width="21.54296875" customWidth="1" style="125" min="13" max="13"/>
    <col width="18.1796875" customWidth="1" style="125" min="14" max="14"/>
    <col width="16.90625" customWidth="1" style="125" min="15" max="15"/>
    <col width="13.81640625" customWidth="1" style="125" min="17" max="17"/>
  </cols>
  <sheetData>
    <row r="2">
      <c r="A2" t="inlineStr">
        <is>
          <t>Labor ID</t>
        </is>
      </c>
      <c r="B2" t="inlineStr">
        <is>
          <t>Device ID</t>
        </is>
      </c>
      <c r="C2" t="inlineStr">
        <is>
          <t>Device Name</t>
        </is>
      </c>
      <c r="D2" t="inlineStr">
        <is>
          <t>Manufacturer</t>
        </is>
      </c>
      <c r="E2" t="inlineStr">
        <is>
          <t>Device Family</t>
        </is>
      </c>
      <c r="F2" t="inlineStr">
        <is>
          <t>Service ID</t>
        </is>
      </c>
      <c r="G2" t="inlineStr">
        <is>
          <t>Service Name</t>
        </is>
      </c>
      <c r="H2" t="inlineStr">
        <is>
          <t>Category ID</t>
        </is>
      </c>
      <c r="I2" t="inlineStr">
        <is>
          <t>Category Name</t>
        </is>
      </c>
      <c r="J2" t="inlineStr">
        <is>
          <t>Standard Labor (Minutes)</t>
        </is>
      </c>
      <c r="K2" t="inlineStr">
        <is>
          <t>Difficulty Code</t>
        </is>
      </c>
      <c r="L2" t="inlineStr">
        <is>
          <t>Difficulty</t>
        </is>
      </c>
      <c r="M2" t="inlineStr">
        <is>
          <t>Estimated Repair Time</t>
        </is>
      </c>
      <c r="N2" t="inlineStr">
        <is>
          <t>Repair Complexity</t>
        </is>
      </c>
      <c r="O2" t="inlineStr">
        <is>
          <t>Warranty Eligible</t>
        </is>
      </c>
      <c r="P2" t="inlineStr">
        <is>
          <t>Active</t>
        </is>
      </c>
      <c r="Q2" t="inlineStr">
        <is>
          <t>Last Updated</t>
        </is>
      </c>
      <c r="R2" t="inlineStr">
        <is>
          <t>Notes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2.xml><?xml version="1.0" encoding="utf-8"?>
<worksheet xmlns="http://schemas.openxmlformats.org/spreadsheetml/2006/main">
  <sheetPr>
    <tabColor theme="5" tint="0.5999938962981048"/>
    <outlinePr summaryBelow="1" summaryRight="1"/>
    <pageSetUpPr/>
  </sheetPr>
  <dimension ref="A2:N2"/>
  <sheetViews>
    <sheetView workbookViewId="0">
      <selection activeCell="F3" sqref="F3"/>
    </sheetView>
  </sheetViews>
  <sheetFormatPr baseColWidth="8" defaultRowHeight="14.5"/>
  <cols>
    <col width="11.54296875" customWidth="1" style="125" min="2" max="2"/>
    <col width="16.1796875" customWidth="1" style="125" min="3" max="3"/>
    <col width="14" customWidth="1" style="125" min="4" max="4"/>
    <col width="14.08984375" customWidth="1" style="125" min="5" max="5"/>
    <col width="15" customWidth="1" style="125" min="6" max="6"/>
    <col width="12.54296875" customWidth="1" style="125" min="8" max="8"/>
    <col width="10.6328125" customWidth="1" style="125" min="9" max="9"/>
    <col width="13.453125" customWidth="1" style="125" min="10" max="10"/>
    <col width="20.1796875" customWidth="1" style="125" min="11" max="11"/>
    <col width="14.36328125" customWidth="1" style="125" min="12" max="12"/>
  </cols>
  <sheetData>
    <row r="2">
      <c r="A2" t="inlineStr">
        <is>
          <t>Tool ID</t>
        </is>
      </c>
      <c r="B2" t="inlineStr">
        <is>
          <t>Tool Name</t>
        </is>
      </c>
      <c r="C2" t="inlineStr">
        <is>
          <t>Tool Category ID</t>
        </is>
      </c>
      <c r="D2" t="inlineStr">
        <is>
          <t>Tool Category</t>
        </is>
      </c>
      <c r="E2" t="inlineStr">
        <is>
          <t>Manufacturer</t>
        </is>
      </c>
      <c r="F2" t="inlineStr">
        <is>
          <t>Model Number</t>
        </is>
      </c>
      <c r="G2" t="inlineStr">
        <is>
          <t>Size</t>
        </is>
      </c>
      <c r="H2" t="inlineStr">
        <is>
          <t>Description</t>
        </is>
      </c>
      <c r="I2" t="inlineStr">
        <is>
          <t>Reusable</t>
        </is>
      </c>
      <c r="J2" t="inlineStr">
        <is>
          <t>Consumable</t>
        </is>
      </c>
      <c r="K2" t="inlineStr">
        <is>
          <t>Calibration Required</t>
        </is>
      </c>
      <c r="L2" t="inlineStr">
        <is>
          <t>Purchase URL</t>
        </is>
      </c>
      <c r="M2" t="inlineStr">
        <is>
          <t>Active</t>
        </is>
      </c>
      <c r="N2" t="inlineStr">
        <is>
          <t>Notes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3.xml><?xml version="1.0" encoding="utf-8"?>
<worksheet xmlns="http://schemas.openxmlformats.org/spreadsheetml/2006/main">
  <sheetPr>
    <tabColor theme="5" tint="0.5999938962981048"/>
    <outlinePr summaryBelow="1" summaryRight="1"/>
    <pageSetUpPr/>
  </sheetPr>
  <dimension ref="A2:F2"/>
  <sheetViews>
    <sheetView workbookViewId="0">
      <selection activeCell="A3" sqref="A3"/>
    </sheetView>
  </sheetViews>
  <sheetFormatPr baseColWidth="8" defaultRowHeight="14.5"/>
  <cols>
    <col width="14.26953125" customWidth="1" style="125" min="1" max="1"/>
    <col width="10.7265625" customWidth="1" style="125" min="2" max="2"/>
    <col width="11.1796875" customWidth="1" style="125" min="3" max="3"/>
    <col width="10.453125" customWidth="1" style="125" min="5" max="5"/>
  </cols>
  <sheetData>
    <row r="2">
      <c r="A2" t="inlineStr">
        <is>
          <t>Repair Tool ID</t>
        </is>
      </c>
      <c r="B2" t="inlineStr">
        <is>
          <t>Device ID</t>
        </is>
      </c>
      <c r="C2" t="inlineStr">
        <is>
          <t>Service ID</t>
        </is>
      </c>
      <c r="D2" t="inlineStr">
        <is>
          <t>Tool ID</t>
        </is>
      </c>
      <c r="E2" t="inlineStr">
        <is>
          <t>Required</t>
        </is>
      </c>
      <c r="F2" t="inlineStr">
        <is>
          <t>Notes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4.xml><?xml version="1.0" encoding="utf-8"?>
<worksheet xmlns="http://schemas.openxmlformats.org/spreadsheetml/2006/main">
  <sheetPr>
    <tabColor theme="5" tint="0.5999938962981048"/>
    <outlinePr summaryBelow="1" summaryRight="1"/>
    <pageSetUpPr/>
  </sheetPr>
  <dimension ref="A2:G2"/>
  <sheetViews>
    <sheetView workbookViewId="0">
      <selection activeCell="A3" sqref="A3"/>
    </sheetView>
  </sheetViews>
  <sheetFormatPr baseColWidth="8" defaultRowHeight="14.5"/>
  <cols>
    <col width="14.1796875" customWidth="1" style="125" min="1" max="1"/>
    <col width="10.7265625" customWidth="1" style="125" min="2" max="2"/>
    <col width="11.1796875" customWidth="1" style="125" min="3" max="3"/>
    <col width="9.36328125" customWidth="1" style="125" min="5" max="5"/>
    <col width="10.453125" customWidth="1" style="125" min="6" max="6"/>
  </cols>
  <sheetData>
    <row r="2">
      <c r="A2" t="inlineStr">
        <is>
          <t>Repair Part ID</t>
        </is>
      </c>
      <c r="B2" t="inlineStr">
        <is>
          <t>Device ID</t>
        </is>
      </c>
      <c r="C2" t="inlineStr">
        <is>
          <t>Service ID</t>
        </is>
      </c>
      <c r="D2" t="inlineStr">
        <is>
          <t>Part ID</t>
        </is>
      </c>
      <c r="E2" t="inlineStr">
        <is>
          <t>Quanity</t>
        </is>
      </c>
      <c r="F2" t="inlineStr">
        <is>
          <t>Required</t>
        </is>
      </c>
      <c r="G2" t="inlineStr">
        <is>
          <t>Notes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5.xml><?xml version="1.0" encoding="utf-8"?>
<worksheet xmlns="http://schemas.openxmlformats.org/spreadsheetml/2006/main">
  <sheetPr>
    <tabColor theme="5" tint="0.5999938962981048"/>
    <outlinePr summaryBelow="1" summaryRight="1"/>
    <pageSetUpPr/>
  </sheetPr>
  <dimension ref="A2:V2"/>
  <sheetViews>
    <sheetView workbookViewId="0">
      <selection activeCell="C7" sqref="C7"/>
    </sheetView>
  </sheetViews>
  <sheetFormatPr baseColWidth="8" defaultRowHeight="14.5"/>
  <cols>
    <col width="13.7265625" customWidth="1" style="125" min="1" max="1"/>
    <col width="10.7265625" customWidth="1" style="125" min="2" max="2"/>
    <col width="13.81640625" customWidth="1" style="125" min="3" max="3"/>
    <col width="14.08984375" customWidth="1" style="125" min="4" max="4"/>
    <col width="14.54296875" customWidth="1" style="125" min="5" max="5"/>
    <col width="11.1796875" customWidth="1" style="125" min="6" max="6"/>
    <col width="14.26953125" customWidth="1" style="125" min="7" max="7"/>
    <col width="18" customWidth="1" style="125" min="8" max="8"/>
    <col width="15.81640625" customWidth="1" style="125" min="9" max="9"/>
    <col width="11.1796875" customWidth="1" style="125" min="11" max="11"/>
    <col width="13.453125" customWidth="1" style="125" min="12" max="12"/>
    <col width="10.81640625" customWidth="1" style="125" min="13" max="13"/>
    <col width="13.90625" customWidth="1" style="125" min="14" max="14"/>
    <col width="9.08984375" customWidth="1" style="125" min="15" max="15"/>
    <col width="9.7265625" customWidth="1" style="125" min="16" max="16"/>
    <col width="13.1796875" customWidth="1" style="125" min="19" max="19"/>
    <col width="13.7265625" customWidth="1" style="125" min="20" max="20"/>
    <col width="14.453125" customWidth="1" style="125" min="21" max="21"/>
  </cols>
  <sheetData>
    <row r="2">
      <c r="A2" t="inlineStr">
        <is>
          <t>Document ID</t>
        </is>
      </c>
      <c r="B2" t="inlineStr">
        <is>
          <t>Device ID</t>
        </is>
      </c>
      <c r="C2" t="inlineStr">
        <is>
          <t>Device Name</t>
        </is>
      </c>
      <c r="D2" t="inlineStr">
        <is>
          <t>Manufacturer</t>
        </is>
      </c>
      <c r="E2" t="inlineStr">
        <is>
          <t>Device Family</t>
        </is>
      </c>
      <c r="F2" t="inlineStr">
        <is>
          <t>Service ID</t>
        </is>
      </c>
      <c r="G2" t="inlineStr">
        <is>
          <t>Service Name</t>
        </is>
      </c>
      <c r="H2" t="inlineStr">
        <is>
          <t>Document Type ID</t>
        </is>
      </c>
      <c r="I2" t="inlineStr">
        <is>
          <t>Document Type</t>
        </is>
      </c>
      <c r="J2" t="inlineStr">
        <is>
          <t>Title</t>
        </is>
      </c>
      <c r="K2" t="inlineStr">
        <is>
          <t>File Name</t>
        </is>
      </c>
      <c r="L2" t="inlineStr">
        <is>
          <t>File Location</t>
        </is>
      </c>
      <c r="M2" t="inlineStr">
        <is>
          <t>Source ID</t>
        </is>
      </c>
      <c r="N2" t="inlineStr">
        <is>
          <t>Source Name</t>
        </is>
      </c>
      <c r="O2" t="inlineStr">
        <is>
          <t>Version</t>
        </is>
      </c>
      <c r="P2" t="inlineStr">
        <is>
          <t>File Size</t>
        </is>
      </c>
      <c r="Q2" t="inlineStr">
        <is>
          <t>Pages</t>
        </is>
      </c>
      <c r="R2" t="inlineStr">
        <is>
          <t>Active</t>
        </is>
      </c>
      <c r="S2" t="inlineStr">
        <is>
          <t>Last Verified</t>
        </is>
      </c>
      <c r="T2" t="inlineStr">
        <is>
          <t>Created Date</t>
        </is>
      </c>
      <c r="U2" t="inlineStr">
        <is>
          <t>Modified Date</t>
        </is>
      </c>
      <c r="V2" t="inlineStr">
        <is>
          <t>Notes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6.xml><?xml version="1.0" encoding="utf-8"?>
<worksheet xmlns="http://schemas.openxmlformats.org/spreadsheetml/2006/main">
  <sheetPr>
    <tabColor theme="5" tint="0.5999938962981048"/>
    <outlinePr summaryBelow="1" summaryRight="1"/>
    <pageSetUpPr/>
  </sheetPr>
  <dimension ref="A2:P2"/>
  <sheetViews>
    <sheetView workbookViewId="0">
      <selection activeCell="A3" sqref="A3"/>
    </sheetView>
  </sheetViews>
  <sheetFormatPr baseColWidth="8" defaultRowHeight="14.5"/>
  <cols>
    <col width="10.81640625" customWidth="1" style="125" min="1" max="1"/>
    <col width="10.7265625" customWidth="1" style="125" min="2" max="2"/>
    <col width="13.81640625" customWidth="1" style="125" min="3" max="3"/>
    <col width="11.1796875" customWidth="1" style="125" min="4" max="4"/>
    <col width="14.26953125" customWidth="1" style="125" min="5" max="5"/>
    <col width="12.36328125" customWidth="1" style="125" min="6" max="6"/>
    <col width="12.6328125" customWidth="1" style="125" min="7" max="7"/>
    <col width="18.7265625" customWidth="1" style="125" min="8" max="8"/>
    <col width="11.81640625" customWidth="1" style="125" min="10" max="10"/>
    <col width="9.54296875" customWidth="1" style="125" min="11" max="11"/>
    <col width="11.6328125" customWidth="1" style="125" min="12" max="12"/>
    <col width="13.7265625" customWidth="1" style="125" min="14" max="14"/>
    <col width="14.453125" customWidth="1" style="125" min="15" max="15"/>
  </cols>
  <sheetData>
    <row r="2">
      <c r="A2" t="inlineStr">
        <is>
          <t>Failure ID</t>
        </is>
      </c>
      <c r="B2" t="inlineStr">
        <is>
          <t>Device ID</t>
        </is>
      </c>
      <c r="C2" t="inlineStr">
        <is>
          <t>Device Name</t>
        </is>
      </c>
      <c r="D2" t="inlineStr">
        <is>
          <t>Service ID</t>
        </is>
      </c>
      <c r="E2" t="inlineStr">
        <is>
          <t>Service Name</t>
        </is>
      </c>
      <c r="F2" t="inlineStr">
        <is>
          <t>Category ID</t>
        </is>
      </c>
      <c r="G2" t="inlineStr">
        <is>
          <t>Failure Title</t>
        </is>
      </c>
      <c r="H2" t="inlineStr">
        <is>
          <t>Failure Description</t>
        </is>
      </c>
      <c r="I2" t="inlineStr">
        <is>
          <t>Cause</t>
        </is>
      </c>
      <c r="J2" t="inlineStr">
        <is>
          <t>Prevention</t>
        </is>
      </c>
      <c r="K2" t="inlineStr">
        <is>
          <t>Severity</t>
        </is>
      </c>
      <c r="L2" t="inlineStr">
        <is>
          <t>Frequency</t>
        </is>
      </c>
      <c r="M2" t="inlineStr">
        <is>
          <t>Active</t>
        </is>
      </c>
      <c r="N2" t="inlineStr">
        <is>
          <t>Created Date</t>
        </is>
      </c>
      <c r="O2" t="inlineStr">
        <is>
          <t>Modified Date</t>
        </is>
      </c>
      <c r="P2" t="inlineStr">
        <is>
          <t>Notes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7.xml><?xml version="1.0" encoding="utf-8"?>
<worksheet xmlns="http://schemas.openxmlformats.org/spreadsheetml/2006/main">
  <sheetPr>
    <tabColor theme="5" tint="0.5999938962981048"/>
    <outlinePr summaryBelow="1" summaryRight="1"/>
    <pageSetUpPr/>
  </sheetPr>
  <dimension ref="A2:J2"/>
  <sheetViews>
    <sheetView workbookViewId="0">
      <selection activeCell="C3" sqref="C3"/>
    </sheetView>
  </sheetViews>
  <sheetFormatPr baseColWidth="8" defaultRowHeight="14.5"/>
  <cols>
    <col width="13" customWidth="1" style="125" min="1" max="1"/>
    <col width="10.7265625" customWidth="1" style="125" min="2" max="2"/>
    <col width="11.1796875" customWidth="1" style="125" min="3" max="3"/>
    <col width="16.08984375" customWidth="1" style="125" min="4" max="4"/>
    <col width="13.7265625" customWidth="1" style="125" min="5" max="5"/>
    <col width="15.90625" customWidth="1" style="125" min="6" max="6"/>
    <col width="10.453125" customWidth="1" style="125" min="7" max="7"/>
    <col width="10.54296875" customWidth="1" style="125" min="8" max="8"/>
  </cols>
  <sheetData>
    <row r="2">
      <c r="A2" t="inlineStr">
        <is>
          <t>Checklist ID</t>
        </is>
      </c>
      <c r="B2" t="inlineStr">
        <is>
          <t>Device ID</t>
        </is>
      </c>
      <c r="C2" t="inlineStr">
        <is>
          <t>Service ID</t>
        </is>
      </c>
      <c r="D2" t="inlineStr">
        <is>
          <t>Checklist Name</t>
        </is>
      </c>
      <c r="E2" t="inlineStr">
        <is>
          <t>Step Number</t>
        </is>
      </c>
      <c r="F2" t="inlineStr">
        <is>
          <t>Inspection Item</t>
        </is>
      </c>
      <c r="G2" t="inlineStr">
        <is>
          <t>Required</t>
        </is>
      </c>
      <c r="H2" t="inlineStr">
        <is>
          <t>Pass/Fail</t>
        </is>
      </c>
      <c r="I2" t="inlineStr">
        <is>
          <t>Notes</t>
        </is>
      </c>
      <c r="J2" t="inlineStr">
        <is>
          <t>Active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8.xml><?xml version="1.0" encoding="utf-8"?>
<worksheet xmlns="http://schemas.openxmlformats.org/spreadsheetml/2006/main">
  <sheetPr>
    <tabColor theme="5" tint="0.5999938962981048"/>
    <outlinePr summaryBelow="1" summaryRight="1"/>
    <pageSetUpPr/>
  </sheetPr>
  <dimension ref="A2:M2"/>
  <sheetViews>
    <sheetView workbookViewId="0">
      <selection activeCell="B7" sqref="B7"/>
    </sheetView>
  </sheetViews>
  <sheetFormatPr baseColWidth="8" defaultRowHeight="14.5"/>
  <cols>
    <col width="9.7265625" customWidth="1" style="125" min="1" max="1"/>
    <col width="10.7265625" customWidth="1" style="125" min="2" max="2"/>
    <col width="13.81640625" customWidth="1" style="125" min="3" max="3"/>
    <col width="11.1796875" customWidth="1" style="125" min="4" max="4"/>
    <col width="14.26953125" customWidth="1" style="125" min="5" max="5"/>
    <col width="10.81640625" customWidth="1" style="125" min="6" max="6"/>
    <col width="11.54296875" customWidth="1" style="125" min="7" max="7"/>
    <col width="11.26953125" customWidth="1" style="125" min="8" max="8"/>
    <col width="10.08984375" customWidth="1" style="125" min="9" max="9"/>
    <col width="11.26953125" customWidth="1" style="125" min="10" max="10"/>
    <col width="13.1796875" customWidth="1" style="125" min="12" max="12"/>
  </cols>
  <sheetData>
    <row r="2">
      <c r="A2" t="inlineStr">
        <is>
          <t>Video ID</t>
        </is>
      </c>
      <c r="B2" t="inlineStr">
        <is>
          <t>Device ID</t>
        </is>
      </c>
      <c r="C2" t="inlineStr">
        <is>
          <t>Device Name</t>
        </is>
      </c>
      <c r="D2" t="inlineStr">
        <is>
          <t>Service ID</t>
        </is>
      </c>
      <c r="E2" t="inlineStr">
        <is>
          <t>Service Name</t>
        </is>
      </c>
      <c r="F2" t="inlineStr">
        <is>
          <t>Source ID</t>
        </is>
      </c>
      <c r="G2" t="inlineStr">
        <is>
          <t>Video Title</t>
        </is>
      </c>
      <c r="H2" t="inlineStr">
        <is>
          <t>Video URL</t>
        </is>
      </c>
      <c r="I2" t="inlineStr">
        <is>
          <t>Duration</t>
        </is>
      </c>
      <c r="J2" t="inlineStr">
        <is>
          <t>Skill Level</t>
        </is>
      </c>
      <c r="K2" t="inlineStr">
        <is>
          <t>Active</t>
        </is>
      </c>
      <c r="L2" t="inlineStr">
        <is>
          <t>Last Verified</t>
        </is>
      </c>
      <c r="M2" t="inlineStr">
        <is>
          <t>Notes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9.xml><?xml version="1.0" encoding="utf-8"?>
<worksheet xmlns="http://schemas.openxmlformats.org/spreadsheetml/2006/main">
  <sheetPr>
    <tabColor theme="5" tint="0.5999938962981048"/>
    <outlinePr summaryBelow="1" summaryRight="1"/>
    <pageSetUpPr/>
  </sheetPr>
  <dimension ref="A2:M2"/>
  <sheetViews>
    <sheetView workbookViewId="0">
      <selection activeCell="A3" sqref="A3"/>
    </sheetView>
  </sheetViews>
  <sheetFormatPr baseColWidth="8" defaultRowHeight="14.5"/>
  <cols>
    <col width="8.90625" customWidth="1" style="125" min="1" max="1"/>
    <col width="10.7265625" customWidth="1" style="125" min="2" max="2"/>
    <col width="13.81640625" customWidth="1" style="125" min="3" max="3"/>
    <col width="11.1796875" customWidth="1" style="125" min="4" max="4"/>
    <col width="14.26953125" customWidth="1" style="125" min="5" max="5"/>
    <col width="14.453125" customWidth="1" style="125" min="6" max="6"/>
    <col width="10" customWidth="1" style="125" min="10" max="10"/>
    <col width="13.7265625" customWidth="1" style="125" min="12" max="12"/>
    <col width="14.453125" customWidth="1" style="125" min="13" max="13"/>
  </cols>
  <sheetData>
    <row r="2">
      <c r="A2" t="inlineStr">
        <is>
          <t>Note ID</t>
        </is>
      </c>
      <c r="B2" t="inlineStr">
        <is>
          <t>Device ID</t>
        </is>
      </c>
      <c r="C2" t="inlineStr">
        <is>
          <t>Device Name</t>
        </is>
      </c>
      <c r="D2" t="inlineStr">
        <is>
          <t>Service ID</t>
        </is>
      </c>
      <c r="E2" t="inlineStr">
        <is>
          <t>Service Name</t>
        </is>
      </c>
      <c r="F2" t="inlineStr">
        <is>
          <t>Note Category</t>
        </is>
      </c>
      <c r="G2" t="inlineStr">
        <is>
          <t>Title</t>
        </is>
      </c>
      <c r="H2" t="inlineStr">
        <is>
          <t>Note</t>
        </is>
      </c>
      <c r="I2" t="inlineStr">
        <is>
          <t>Author</t>
        </is>
      </c>
      <c r="J2" t="inlineStr">
        <is>
          <t>Revision</t>
        </is>
      </c>
      <c r="K2" t="inlineStr">
        <is>
          <t>Active</t>
        </is>
      </c>
      <c r="L2" t="inlineStr">
        <is>
          <t>Created Date</t>
        </is>
      </c>
      <c r="M2" t="inlineStr">
        <is>
          <t>Modified Date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0.xml><?xml version="1.0" encoding="utf-8"?>
<worksheet xmlns="http://schemas.openxmlformats.org/spreadsheetml/2006/main">
  <sheetPr>
    <tabColor rgb="FFFF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t="inlineStr">
        <is>
          <t>#DIVIDERPAGE</t>
        </is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>
  <sheetPr>
    <tabColor rgb="FFFFC000"/>
    <outlinePr summaryBelow="1" summaryRight="1"/>
    <pageSetUpPr/>
  </sheetPr>
  <dimension ref="A2:J2"/>
  <sheetViews>
    <sheetView workbookViewId="0">
      <selection activeCell="A3" sqref="A3:J3"/>
    </sheetView>
  </sheetViews>
  <sheetFormatPr baseColWidth="8" defaultRowHeight="14.5"/>
  <cols>
    <col width="16.6328125" bestFit="1" customWidth="1" style="125" min="1" max="1"/>
    <col width="15.36328125" bestFit="1" customWidth="1" style="125" min="2" max="2"/>
    <col width="17.08984375" bestFit="1" customWidth="1" style="125" min="3" max="3"/>
    <col width="16.54296875" bestFit="1" customWidth="1" style="125" min="4" max="4"/>
    <col width="15.81640625" bestFit="1" customWidth="1" style="125" min="5" max="5"/>
    <col width="5.453125" bestFit="1" customWidth="1" style="125" min="6" max="6"/>
    <col width="5.08984375" bestFit="1" customWidth="1" style="125" min="7" max="7"/>
    <col width="9.6328125" bestFit="1" customWidth="1" style="125" min="8" max="8"/>
    <col width="20.81640625" bestFit="1" customWidth="1" style="125" min="9" max="9"/>
    <col width="8.81640625" bestFit="1" customWidth="1" style="125" min="10" max="10"/>
  </cols>
  <sheetData>
    <row r="2">
      <c r="A2" s="58" t="inlineStr">
        <is>
          <t>Manufacturer</t>
        </is>
      </c>
      <c r="B2" s="58" t="inlineStr">
        <is>
          <t>Device Type</t>
        </is>
      </c>
      <c r="C2" s="58" t="inlineStr">
        <is>
          <t>Device Family</t>
        </is>
      </c>
      <c r="D2" s="58" t="inlineStr">
        <is>
          <t>Device Model</t>
        </is>
      </c>
      <c r="E2" s="58" t="inlineStr">
        <is>
          <t>Service Type</t>
        </is>
      </c>
      <c r="F2" s="92" t="inlineStr">
        <is>
          <t>Labor</t>
        </is>
      </c>
      <c r="G2" s="92" t="inlineStr">
        <is>
          <t>Parts</t>
        </is>
      </c>
      <c r="H2" s="92" t="inlineStr">
        <is>
          <t>Final Price</t>
        </is>
      </c>
      <c r="I2" s="58" t="inlineStr">
        <is>
          <t>Square Item Name</t>
        </is>
      </c>
      <c r="J2" s="58" t="inlineStr">
        <is>
          <t>SKU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2.xml><?xml version="1.0" encoding="utf-8"?>
<worksheet xmlns="http://schemas.openxmlformats.org/spreadsheetml/2006/main">
  <sheetPr>
    <tabColor rgb="FFFFC000"/>
    <outlinePr summaryBelow="1" summaryRight="1"/>
    <pageSetUpPr/>
  </sheetPr>
  <dimension ref="A1:A1"/>
  <sheetViews>
    <sheetView workbookViewId="0">
      <selection activeCell="A2" sqref="A2:XFD2"/>
    </sheetView>
  </sheetViews>
  <sheetFormatPr baseColWidth="8" defaultRowHeight="14.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>
  <sheetPr>
    <tabColor rgb="FFFFC000"/>
    <outlinePr summaryBelow="1" summaryRight="1"/>
    <pageSetUpPr/>
  </sheetPr>
  <dimension ref="A2:C11"/>
  <sheetViews>
    <sheetView workbookViewId="0">
      <selection activeCell="A3" sqref="A3:C11"/>
    </sheetView>
  </sheetViews>
  <sheetFormatPr baseColWidth="8" defaultRowHeight="14.5"/>
  <cols>
    <col width="21.26953125" bestFit="1" customWidth="1" style="125" min="2" max="2"/>
    <col width="26.54296875" bestFit="1" customWidth="1" style="125" min="3" max="3"/>
    <col width="10.6328125" bestFit="1" customWidth="1" style="125" min="4" max="4"/>
  </cols>
  <sheetData>
    <row r="2">
      <c r="A2" s="58" t="inlineStr">
        <is>
          <t>Supplier</t>
        </is>
      </c>
      <c r="B2" s="58" t="inlineStr">
        <is>
          <t>Website</t>
        </is>
      </c>
      <c r="C2" s="58" t="inlineStr">
        <is>
          <t>Notes</t>
        </is>
      </c>
    </row>
    <row r="3">
      <c r="A3" s="57" t="inlineStr">
        <is>
          <t>MobileSentrix</t>
        </is>
      </c>
      <c r="B3" s="57" t="inlineStr">
        <is>
          <t>Primary phone/tablet supplier</t>
        </is>
      </c>
      <c r="C3" s="57" t="n"/>
    </row>
    <row r="4">
      <c r="A4" s="57" t="inlineStr">
        <is>
          <t>Injured Gadgets</t>
        </is>
      </c>
      <c r="B4" s="57" t="inlineStr">
        <is>
          <t>Backup supplier</t>
        </is>
      </c>
      <c r="C4" s="57" t="n"/>
    </row>
    <row r="5">
      <c r="A5" s="57" t="inlineStr">
        <is>
          <t>Mobile Defenders</t>
        </is>
      </c>
      <c r="B5" s="57" t="inlineStr">
        <is>
          <t>OEM/Premium parts</t>
        </is>
      </c>
      <c r="C5" s="57" t="n"/>
    </row>
    <row r="6">
      <c r="A6" s="57" t="inlineStr">
        <is>
          <t>Wholesale Gadget Parts</t>
        </is>
      </c>
      <c r="B6" s="57" t="inlineStr">
        <is>
          <t>Secondary supplier</t>
        </is>
      </c>
      <c r="C6" s="57" t="n"/>
    </row>
    <row r="7">
      <c r="A7" s="57" t="inlineStr">
        <is>
          <t>iFixit</t>
        </is>
      </c>
      <c r="B7" s="57" t="inlineStr">
        <is>
          <t>Tools and some parts</t>
        </is>
      </c>
      <c r="C7" s="57" t="n"/>
    </row>
    <row r="8">
      <c r="A8" s="57" t="inlineStr">
        <is>
          <t>Encompass</t>
        </is>
      </c>
      <c r="B8" s="57" t="inlineStr">
        <is>
          <t>OEM computer parts</t>
        </is>
      </c>
      <c r="C8" s="57" t="n"/>
    </row>
    <row r="9">
      <c r="A9" s="57" t="inlineStr">
        <is>
          <t>Lenovo Parts</t>
        </is>
      </c>
      <c r="B9" s="57" t="inlineStr">
        <is>
          <t>OEM laptop parts</t>
        </is>
      </c>
      <c r="C9" s="57" t="n"/>
    </row>
    <row r="10">
      <c r="A10" s="57" t="inlineStr">
        <is>
          <t>Dell Parts</t>
        </is>
      </c>
      <c r="B10" s="57" t="inlineStr">
        <is>
          <t>OEM laptop parts</t>
        </is>
      </c>
      <c r="C10" s="57" t="n"/>
    </row>
    <row r="11">
      <c r="A11" s="57" t="inlineStr">
        <is>
          <t>HP Parts Store</t>
        </is>
      </c>
      <c r="B11" s="57" t="inlineStr">
        <is>
          <t>OEM laptop parts</t>
        </is>
      </c>
      <c r="C11" s="57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4.xml><?xml version="1.0" encoding="utf-8"?>
<worksheet xmlns="http://schemas.openxmlformats.org/spreadsheetml/2006/main">
  <sheetPr>
    <tabColor rgb="FFFFC000"/>
    <outlinePr summaryBelow="1" summaryRight="1"/>
    <pageSetUpPr/>
  </sheetPr>
  <dimension ref="A1:G5"/>
  <sheetViews>
    <sheetView workbookViewId="0">
      <selection activeCell="A2" sqref="A2:XFD2"/>
    </sheetView>
  </sheetViews>
  <sheetFormatPr baseColWidth="8" defaultRowHeight="14.5"/>
  <cols>
    <col width="10.453125" customWidth="1" style="125" min="1" max="7"/>
  </cols>
  <sheetData>
    <row r="1">
      <c r="A1" s="2" t="inlineStr">
        <is>
          <t>⬅ Return to Table of Contents</t>
        </is>
      </c>
    </row>
    <row r="4">
      <c r="A4" t="inlineStr">
        <is>
          <t>tblPurchaseOrders</t>
        </is>
      </c>
    </row>
    <row r="5">
      <c r="A5" t="inlineStr">
        <is>
          <t>Column1</t>
        </is>
      </c>
      <c r="B5" t="inlineStr">
        <is>
          <t>Column2</t>
        </is>
      </c>
      <c r="C5" t="inlineStr">
        <is>
          <t>Column3</t>
        </is>
      </c>
      <c r="D5" t="inlineStr">
        <is>
          <t>Column4</t>
        </is>
      </c>
      <c r="E5" t="inlineStr">
        <is>
          <t>Column5</t>
        </is>
      </c>
      <c r="F5" t="inlineStr">
        <is>
          <t>Column6</t>
        </is>
      </c>
      <c r="G5" t="inlineStr">
        <is>
          <t>Column7</t>
        </is>
      </c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5.xml><?xml version="1.0" encoding="utf-8"?>
<worksheet xmlns="http://schemas.openxmlformats.org/spreadsheetml/2006/main">
  <sheetPr>
    <tabColor rgb="FFFF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t="inlineStr">
        <is>
          <t>#DIVIDERPAGE</t>
        </is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>
  <sheetPr>
    <tabColor rgb="FF00B050"/>
    <outlinePr summaryBelow="1" summaryRight="1"/>
    <pageSetUpPr/>
  </sheetPr>
  <dimension ref="B2:V46"/>
  <sheetViews>
    <sheetView topLeftCell="A26" workbookViewId="0">
      <selection activeCell="M37" sqref="M37:V46"/>
    </sheetView>
  </sheetViews>
  <sheetFormatPr baseColWidth="8" defaultRowHeight="14.5"/>
  <cols>
    <col width="26.1796875" customWidth="1" style="125" min="2" max="2"/>
    <col width="12.08984375" bestFit="1" customWidth="1" style="125" min="3" max="3"/>
    <col width="14.26953125" bestFit="1" customWidth="1" style="125" min="4" max="4"/>
    <col width="15.08984375" bestFit="1" customWidth="1" style="125" min="5" max="5"/>
    <col width="12.54296875" bestFit="1" customWidth="1" style="125" min="6" max="6"/>
    <col width="16.36328125" bestFit="1" customWidth="1" style="125" min="7" max="7"/>
    <col width="16.7265625" bestFit="1" customWidth="1" style="125" min="8" max="8"/>
    <col width="12.6328125" customWidth="1" style="125" min="9" max="9"/>
    <col width="19.36328125" bestFit="1" customWidth="1" style="125" min="10" max="10"/>
    <col width="10.7265625" bestFit="1" customWidth="1" style="125" min="11" max="11"/>
    <col width="14.36328125" customWidth="1" style="125" min="13" max="13"/>
    <col width="14.6328125" customWidth="1" style="125" min="14" max="14"/>
    <col width="24" bestFit="1" customWidth="1" style="125" min="15" max="15"/>
    <col width="10.453125" bestFit="1" customWidth="1" style="125" min="16" max="16"/>
    <col width="14.453125" bestFit="1" customWidth="1" style="125" min="17" max="17"/>
  </cols>
  <sheetData>
    <row r="2">
      <c r="B2" t="inlineStr">
        <is>
          <t>Labor Pricing</t>
        </is>
      </c>
      <c r="M2" s="58" t="n"/>
      <c r="N2" s="58" t="n"/>
      <c r="O2" s="58" t="n"/>
      <c r="P2" s="58" t="n"/>
      <c r="Q2" s="58" t="n"/>
      <c r="R2" s="58" t="n"/>
      <c r="S2" s="58" t="n"/>
      <c r="T2" s="58" t="n"/>
      <c r="U2" s="58" t="n"/>
      <c r="V2" s="58" t="n"/>
    </row>
    <row r="3">
      <c r="B3" s="58" t="inlineStr">
        <is>
          <t>Service Type</t>
        </is>
      </c>
      <c r="C3" s="92" t="inlineStr">
        <is>
          <t>Labor Price</t>
        </is>
      </c>
      <c r="D3" s="92" t="inlineStr">
        <is>
          <t>Estimated Time</t>
        </is>
      </c>
      <c r="M3" s="65" t="n"/>
      <c r="N3" s="65" t="n"/>
      <c r="O3" s="65" t="n"/>
      <c r="P3" s="91" t="n"/>
      <c r="Q3" s="65" t="n"/>
      <c r="R3" s="65" t="n"/>
      <c r="S3" s="65" t="n"/>
      <c r="T3" s="65" t="n"/>
      <c r="U3" s="65" t="n"/>
      <c r="V3" s="65" t="n"/>
    </row>
    <row r="4">
      <c r="B4" s="57" t="inlineStr">
        <is>
          <t>Screen Replacement</t>
        </is>
      </c>
      <c r="C4" s="87" t="n">
        <v>95</v>
      </c>
      <c r="D4" s="87" t="n">
        <v>60</v>
      </c>
    </row>
    <row r="5">
      <c r="B5" s="57" t="inlineStr">
        <is>
          <t>Battery Replacement</t>
        </is>
      </c>
      <c r="C5" s="87" t="n">
        <v>75</v>
      </c>
      <c r="D5" s="87" t="n">
        <v>45</v>
      </c>
    </row>
    <row r="6">
      <c r="B6" s="57" t="inlineStr">
        <is>
          <t>Charging Port Repair</t>
        </is>
      </c>
      <c r="C6" s="87" t="n">
        <v>95</v>
      </c>
      <c r="D6" s="87" t="n">
        <v>60</v>
      </c>
    </row>
    <row r="7">
      <c r="B7" s="57" t="inlineStr">
        <is>
          <t>Rear Camera Replacement</t>
        </is>
      </c>
      <c r="C7" s="87" t="n">
        <v>75</v>
      </c>
      <c r="D7" s="87" t="n">
        <v>45</v>
      </c>
    </row>
    <row r="8">
      <c r="B8" s="57" t="inlineStr">
        <is>
          <t>Front Camera Replacement</t>
        </is>
      </c>
      <c r="C8" s="87" t="n">
        <v>75</v>
      </c>
      <c r="D8" s="87" t="n">
        <v>45</v>
      </c>
    </row>
    <row r="9">
      <c r="B9" s="57" t="inlineStr">
        <is>
          <t>Speaker Replacement</t>
        </is>
      </c>
      <c r="C9" s="87" t="n">
        <v>65</v>
      </c>
      <c r="D9" s="87" t="n">
        <v>45</v>
      </c>
    </row>
    <row r="10">
      <c r="B10" s="57" t="inlineStr">
        <is>
          <t>Water Damage Treatment</t>
        </is>
      </c>
      <c r="C10" s="87" t="n">
        <v>125</v>
      </c>
      <c r="D10" s="87" t="n">
        <v>120</v>
      </c>
    </row>
    <row r="11" ht="19" customHeight="1" s="125">
      <c r="B11" s="57" t="inlineStr">
        <is>
          <t>Diagnostic</t>
        </is>
      </c>
      <c r="C11" s="87" t="n">
        <v>35</v>
      </c>
      <c r="D11" s="87" t="n">
        <v>30</v>
      </c>
    </row>
    <row r="12" ht="19" customHeight="1" s="125">
      <c r="B12" s="57" t="inlineStr">
        <is>
          <t>SSD Upgrade</t>
        </is>
      </c>
      <c r="C12" s="87" t="n">
        <v>65</v>
      </c>
      <c r="D12" s="87" t="n">
        <v>45</v>
      </c>
    </row>
    <row r="13" ht="19" customHeight="1" s="125">
      <c r="B13" s="57" t="inlineStr">
        <is>
          <t>RAM Upgrade</t>
        </is>
      </c>
      <c r="C13" s="87" t="n">
        <v>50</v>
      </c>
      <c r="D13" s="87" t="n">
        <v>30</v>
      </c>
    </row>
    <row r="14" ht="19" customHeight="1" s="125"/>
    <row r="15" ht="19" customHeight="1" s="125"/>
    <row r="16" ht="19" customHeight="1" s="125">
      <c r="B16" t="inlineStr">
        <is>
          <t>Parts Pricing</t>
        </is>
      </c>
    </row>
    <row r="17" ht="19" customHeight="1" s="125">
      <c r="B17" s="52" t="inlineStr">
        <is>
          <t>Manufacturer</t>
        </is>
      </c>
      <c r="C17" s="52" t="inlineStr">
        <is>
          <t>Device Model</t>
        </is>
      </c>
      <c r="D17" s="52" t="inlineStr">
        <is>
          <t>Part</t>
        </is>
      </c>
      <c r="E17" s="66" t="inlineStr">
        <is>
          <t>Cost</t>
        </is>
      </c>
    </row>
    <row r="18">
      <c r="B18" s="65" t="inlineStr">
        <is>
          <t>Apple</t>
        </is>
      </c>
      <c r="C18" s="65" t="inlineStr">
        <is>
          <t>iPhone 15 Pro</t>
        </is>
      </c>
      <c r="D18" s="65" t="inlineStr">
        <is>
          <t>OLED Display</t>
        </is>
      </c>
      <c r="E18" s="91" t="n">
        <v>180</v>
      </c>
    </row>
    <row r="19">
      <c r="B19" s="65" t="n"/>
      <c r="C19" s="65" t="n"/>
      <c r="D19" s="65" t="n"/>
      <c r="E19" s="91" t="n"/>
    </row>
    <row r="20">
      <c r="B20" s="65" t="n"/>
      <c r="C20" s="65" t="n"/>
      <c r="D20" s="65" t="n"/>
      <c r="E20" s="91" t="n"/>
    </row>
    <row r="26">
      <c r="B26" t="inlineStr">
        <is>
          <t>Retail Pricing</t>
        </is>
      </c>
    </row>
    <row r="27">
      <c r="B27" s="52" t="inlineStr">
        <is>
          <t>Service Type</t>
        </is>
      </c>
      <c r="C27" s="52" t="inlineStr">
        <is>
          <t>Labor</t>
        </is>
      </c>
      <c r="D27" s="52" t="inlineStr">
        <is>
          <t>Part</t>
        </is>
      </c>
      <c r="E27" s="52" t="inlineStr">
        <is>
          <t>Processing Fees</t>
        </is>
      </c>
      <c r="F27" s="52" t="inlineStr">
        <is>
          <t>Retail</t>
        </is>
      </c>
    </row>
    <row r="28">
      <c r="B28" s="89" t="n"/>
      <c r="C28" s="88" t="n">
        <v>0</v>
      </c>
      <c r="D28" s="88" t="n">
        <v>0</v>
      </c>
      <c r="E28" s="90" t="n">
        <v>0</v>
      </c>
      <c r="F28" s="88">
        <f>tblRetailPricing[[#This Row],[Labor]]+tblRetailPricing[[#This Row],[Part]]+tblRetailPricing[[#This Row],[Processing Fees]]</f>
        <v/>
      </c>
    </row>
    <row r="29">
      <c r="B29" s="89" t="n"/>
      <c r="C29" s="88" t="n"/>
      <c r="D29" s="88" t="n"/>
      <c r="E29" s="89">
        <f>(tblRetailPricing[[#This Row],[Labor]]+tblRetailPricing[[#This Row],[Part]])*0.05</f>
        <v/>
      </c>
      <c r="F29" s="88">
        <f>tblRetailPricing[[#This Row],[Labor]]+tblRetailPricing[[#This Row],[Part]]+tblRetailPricing[[#This Row],[Processing Fees]]</f>
        <v/>
      </c>
    </row>
    <row r="30">
      <c r="B30" s="89" t="n"/>
      <c r="C30" s="88" t="n"/>
      <c r="D30" s="88" t="n"/>
      <c r="E30" s="89">
        <f>(tblRetailPricing[[#This Row],[Labor]]+tblRetailPricing[[#This Row],[Part]])*0.05</f>
        <v/>
      </c>
      <c r="F30" s="88">
        <f>tblRetailPricing[[#This Row],[Labor]]+tblRetailPricing[[#This Row],[Part]]+tblRetailPricing[[#This Row],[Processing Fees]]</f>
        <v/>
      </c>
    </row>
    <row r="31">
      <c r="B31" s="89" t="n"/>
      <c r="C31" s="88" t="n"/>
      <c r="D31" s="88" t="n"/>
      <c r="E31" s="89">
        <f>(tblRetailPricing[[#This Row],[Labor]]+tblRetailPricing[[#This Row],[Part]])*0.05</f>
        <v/>
      </c>
      <c r="F31" s="88">
        <f>tblRetailPricing[[#This Row],[Labor]]+tblRetailPricing[[#This Row],[Part]]+tblRetailPricing[[#This Row],[Processing Fees]]</f>
        <v/>
      </c>
    </row>
    <row r="32">
      <c r="B32" s="89" t="n"/>
      <c r="C32" s="88" t="n"/>
      <c r="D32" s="88" t="n"/>
      <c r="E32" s="89">
        <f>(tblRetailPricing[[#This Row],[Labor]]+tblRetailPricing[[#This Row],[Part]])*0.05</f>
        <v/>
      </c>
      <c r="F32" s="88">
        <f>tblRetailPricing[[#This Row],[Labor]]+tblRetailPricing[[#This Row],[Part]]+tblRetailPricing[[#This Row],[Processing Fees]]</f>
        <v/>
      </c>
    </row>
    <row r="33">
      <c r="B33" s="89" t="n"/>
      <c r="C33" s="88" t="n"/>
      <c r="D33" s="88" t="n"/>
      <c r="E33" s="89">
        <f>(tblRetailPricing[[#This Row],[Labor]]+tblRetailPricing[[#This Row],[Part]])*0.05</f>
        <v/>
      </c>
      <c r="F33" s="88">
        <f>tblRetailPricing[[#This Row],[Labor]]+tblRetailPricing[[#This Row],[Part]]+tblRetailPricing[[#This Row],[Processing Fees]]</f>
        <v/>
      </c>
    </row>
    <row r="37">
      <c r="M37" s="118" t="inlineStr">
        <is>
          <t>RULE0000001</t>
        </is>
      </c>
      <c r="N37" s="126" t="inlineStr">
        <is>
          <t>Phone Labor Rate</t>
        </is>
      </c>
      <c r="O37" s="119" t="n"/>
      <c r="P37" s="119" t="n"/>
      <c r="Q37" s="127" t="n">
        <v>95</v>
      </c>
      <c r="R37" s="119" t="n"/>
      <c r="S37" s="119" t="n"/>
      <c r="T37" s="119" t="n"/>
      <c r="U37" s="119" t="n"/>
      <c r="V37" s="120" t="n"/>
    </row>
    <row r="38">
      <c r="M38" s="121" t="inlineStr">
        <is>
          <t>RULE0000002</t>
        </is>
      </c>
      <c r="N38" s="128" t="inlineStr">
        <is>
          <t>Tablet Labor Rate</t>
        </is>
      </c>
      <c r="O38" s="122" t="n"/>
      <c r="P38" s="122" t="n"/>
      <c r="Q38" s="129" t="n">
        <v>95</v>
      </c>
      <c r="R38" s="122" t="n"/>
      <c r="S38" s="122" t="n"/>
      <c r="T38" s="122" t="n"/>
      <c r="U38" s="122" t="n"/>
      <c r="V38" s="123" t="n"/>
    </row>
    <row r="39">
      <c r="B39" s="57" t="inlineStr">
        <is>
          <t>Supplier</t>
        </is>
      </c>
      <c r="C39" s="57" t="inlineStr">
        <is>
          <t>Part Name</t>
        </is>
      </c>
      <c r="D39" s="57" t="inlineStr">
        <is>
          <t>Supplier SKU</t>
        </is>
      </c>
      <c r="E39" s="57" t="inlineStr">
        <is>
          <t>Supplier Cost</t>
        </is>
      </c>
      <c r="F39" s="57" t="inlineStr">
        <is>
          <t>Labor Cost</t>
        </is>
      </c>
      <c r="G39" s="57" t="inlineStr">
        <is>
          <t>Processing Fee 1%</t>
        </is>
      </c>
      <c r="H39" s="57" t="inlineStr">
        <is>
          <t>Profit Margin %</t>
        </is>
      </c>
      <c r="I39" s="87" t="inlineStr">
        <is>
          <t>Retail Part Markup</t>
        </is>
      </c>
      <c r="J39" s="57" t="inlineStr">
        <is>
          <t>Final Price</t>
        </is>
      </c>
      <c r="M39" s="118" t="inlineStr">
        <is>
          <t>RULE0000003</t>
        </is>
      </c>
      <c r="N39" s="126" t="inlineStr">
        <is>
          <t>Laptop Labor Rate</t>
        </is>
      </c>
      <c r="O39" s="119" t="n"/>
      <c r="P39" s="119" t="n"/>
      <c r="Q39" s="127" t="n">
        <v>110</v>
      </c>
      <c r="R39" s="119" t="n"/>
      <c r="S39" s="119" t="n"/>
      <c r="T39" s="119" t="n"/>
      <c r="U39" s="119" t="n"/>
      <c r="V39" s="120" t="n"/>
    </row>
    <row r="40">
      <c r="B40" s="83" t="inlineStr">
        <is>
          <t>Master</t>
        </is>
      </c>
      <c r="C40" s="83" t="n"/>
      <c r="D40" s="83" t="n"/>
      <c r="E40" s="83" t="n">
        <v>100</v>
      </c>
      <c r="F40" s="83" t="n">
        <v>50</v>
      </c>
      <c r="G40" s="86" t="n">
        <v>0.01</v>
      </c>
      <c r="H40" s="86" t="n"/>
      <c r="I40" s="83">
        <f>(tblProfitMargin[[#This Row],[Supplier Cost]]+tblProfitMargin[[#This Row],[Labor Cost]])*(1+tblProfitMargin[[#This Row],[Profit Margin %]])</f>
        <v/>
      </c>
      <c r="J40" s="83">
        <f>ROUND(I40+G40,2)</f>
        <v/>
      </c>
      <c r="M40" s="121" t="inlineStr">
        <is>
          <t>RULE0000004</t>
        </is>
      </c>
      <c r="N40" s="128" t="inlineStr">
        <is>
          <t>Desktop Labor Rate</t>
        </is>
      </c>
      <c r="O40" s="122" t="n"/>
      <c r="P40" s="122" t="n"/>
      <c r="Q40" s="129" t="n">
        <v>100</v>
      </c>
      <c r="R40" s="122" t="n"/>
      <c r="S40" s="122" t="n"/>
      <c r="T40" s="122" t="n"/>
      <c r="U40" s="122" t="n"/>
      <c r="V40" s="123" t="n"/>
    </row>
    <row r="41">
      <c r="B41" s="83" t="inlineStr">
        <is>
          <t>Testing</t>
        </is>
      </c>
      <c r="C41" s="83" t="n"/>
      <c r="D41" s="83" t="n"/>
      <c r="E41" s="83" t="n">
        <v>120</v>
      </c>
      <c r="F41" s="83" t="n">
        <v>80</v>
      </c>
      <c r="G41" s="85">
        <f>(tblProfitMargin[[#This Row],[Supplier Cost]]+tblProfitMargin[[#This Row],[Labor Cost]])*3.5%</f>
        <v/>
      </c>
      <c r="H41" s="84" t="n">
        <v>0.25</v>
      </c>
      <c r="I41" s="83">
        <f>(tblProfitMargin[[#This Row],[Supplier Cost]]+tblProfitMargin[[#This Row],[Labor Cost]])*(1+tblProfitMargin[[#This Row],[Profit Margin %]])</f>
        <v/>
      </c>
      <c r="J41" s="83">
        <f>ROUND(I41+G41,2)</f>
        <v/>
      </c>
      <c r="M41" s="118" t="inlineStr">
        <is>
          <t>RULE0000005</t>
        </is>
      </c>
      <c r="N41" s="126" t="inlineStr">
        <is>
          <t>Diagnostic Fee</t>
        </is>
      </c>
      <c r="O41" s="119" t="n"/>
      <c r="P41" s="119" t="n"/>
      <c r="Q41" s="127" t="n">
        <v>35</v>
      </c>
      <c r="R41" s="119" t="n"/>
      <c r="S41" s="119" t="n"/>
      <c r="T41" s="119" t="n"/>
      <c r="U41" s="119" t="n"/>
      <c r="V41" s="120" t="n"/>
    </row>
    <row r="42">
      <c r="M42" s="121" t="inlineStr">
        <is>
          <t>RULE0000006</t>
        </is>
      </c>
      <c r="N42" s="128" t="inlineStr">
        <is>
          <t>Minimum Labor Charge</t>
        </is>
      </c>
      <c r="O42" s="122" t="n"/>
      <c r="P42" s="122" t="n"/>
      <c r="Q42" s="129" t="n">
        <v>25</v>
      </c>
      <c r="R42" s="122" t="n"/>
      <c r="S42" s="122" t="n"/>
      <c r="T42" s="122" t="n"/>
      <c r="U42" s="122" t="n"/>
      <c r="V42" s="123" t="n"/>
    </row>
    <row r="43">
      <c r="M43" s="118" t="inlineStr">
        <is>
          <t>RULE0000007</t>
        </is>
      </c>
      <c r="N43" s="126" t="inlineStr">
        <is>
          <t>Warranty Reserve</t>
        </is>
      </c>
      <c r="O43" s="119" t="n"/>
      <c r="P43" s="119" t="n"/>
      <c r="Q43" s="130" t="n">
        <v>0.03</v>
      </c>
      <c r="R43" s="119" t="n"/>
      <c r="S43" s="119" t="n"/>
      <c r="T43" s="119" t="n"/>
      <c r="U43" s="119" t="n"/>
      <c r="V43" s="120" t="n"/>
    </row>
    <row r="44">
      <c r="M44" s="121" t="inlineStr">
        <is>
          <t>RULE0000008</t>
        </is>
      </c>
      <c r="N44" s="128" t="inlineStr">
        <is>
          <t>Credit Card Processing</t>
        </is>
      </c>
      <c r="O44" s="122" t="n"/>
      <c r="P44" s="122" t="n"/>
      <c r="Q44" s="131" t="n">
        <v>0.03</v>
      </c>
      <c r="R44" s="122" t="n"/>
      <c r="S44" s="122" t="n"/>
      <c r="T44" s="122" t="n"/>
      <c r="U44" s="122" t="n"/>
      <c r="V44" s="123" t="n"/>
    </row>
    <row r="45">
      <c r="M45" s="118" t="inlineStr">
        <is>
          <t>RULE0000009</t>
        </is>
      </c>
      <c r="N45" s="126" t="inlineStr">
        <is>
          <t>Default Profit Margin</t>
        </is>
      </c>
      <c r="O45" s="119" t="n"/>
      <c r="P45" s="119" t="n"/>
      <c r="Q45" s="130" t="n">
        <v>0.4</v>
      </c>
      <c r="R45" s="119" t="n"/>
      <c r="S45" s="119" t="n"/>
      <c r="T45" s="119" t="n"/>
      <c r="U45" s="119" t="n"/>
      <c r="V45" s="120" t="n"/>
    </row>
    <row r="46">
      <c r="M46" s="121" t="inlineStr">
        <is>
          <t>RULE0000010</t>
        </is>
      </c>
      <c r="N46" s="128" t="inlineStr">
        <is>
          <t>Emergency Repair Surcharge</t>
        </is>
      </c>
      <c r="O46" s="122" t="n"/>
      <c r="P46" s="122" t="n"/>
      <c r="Q46" s="131" t="n">
        <v>0.2</v>
      </c>
      <c r="R46" s="122" t="n"/>
      <c r="S46" s="122" t="n"/>
      <c r="T46" s="122" t="n"/>
      <c r="U46" s="122" t="n"/>
      <c r="V46" s="123" t="n"/>
    </row>
  </sheetData>
  <pageMargins left="0.7" right="0.7" top="0.75" bottom="0.75" header="0.3" footer="0.3"/>
  <tableParts count="4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</tableParts>
</worksheet>
</file>

<file path=xl/worksheets/sheet47.xml><?xml version="1.0" encoding="utf-8"?>
<worksheet xmlns="http://schemas.openxmlformats.org/spreadsheetml/2006/main">
  <sheetPr>
    <tabColor rgb="FF00B050"/>
    <outlinePr summaryBelow="1" summaryRight="1"/>
    <pageSetUpPr/>
  </sheetPr>
  <dimension ref="A1:A1"/>
  <sheetViews>
    <sheetView workbookViewId="0">
      <selection activeCell="B18" sqref="B18"/>
    </sheetView>
  </sheetViews>
  <sheetFormatPr baseColWidth="8" defaultRowHeight="14.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>
  <sheetPr>
    <tabColor rgb="FF00B050"/>
    <outlinePr summaryBelow="1" summaryRight="1"/>
    <pageSetUpPr/>
  </sheetPr>
  <dimension ref="A1:E6"/>
  <sheetViews>
    <sheetView workbookViewId="0">
      <selection activeCell="B18" sqref="B18"/>
    </sheetView>
  </sheetViews>
  <sheetFormatPr baseColWidth="8" defaultRowHeight="14.5"/>
  <cols>
    <col width="12.81640625" customWidth="1" style="125" min="1" max="1"/>
    <col width="11.453125" customWidth="1" style="125" min="2" max="2"/>
    <col width="11.1796875" customWidth="1" style="125" min="3" max="3"/>
  </cols>
  <sheetData>
    <row r="1">
      <c r="A1" s="2" t="inlineStr">
        <is>
          <t>⬅ Return to Table of Contents</t>
        </is>
      </c>
    </row>
    <row r="4">
      <c r="A4" t="inlineStr">
        <is>
          <t>tblEstimates</t>
        </is>
      </c>
    </row>
    <row r="5">
      <c r="A5" s="54" t="inlineStr">
        <is>
          <t>CustomerID</t>
        </is>
      </c>
      <c r="B5" s="54" t="inlineStr">
        <is>
          <t>FirstName</t>
        </is>
      </c>
      <c r="C5" s="54" t="inlineStr">
        <is>
          <t>LastName</t>
        </is>
      </c>
      <c r="D5" s="54" t="inlineStr">
        <is>
          <t>Phone</t>
        </is>
      </c>
      <c r="E5" s="54" t="inlineStr">
        <is>
          <t>Email</t>
        </is>
      </c>
    </row>
    <row r="6">
      <c r="A6" s="53" t="n"/>
      <c r="B6" s="53" t="n"/>
      <c r="C6" s="53" t="n"/>
      <c r="D6" s="53" t="n"/>
      <c r="E6" s="53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9.xml><?xml version="1.0" encoding="utf-8"?>
<worksheet xmlns="http://schemas.openxmlformats.org/spreadsheetml/2006/main">
  <sheetPr>
    <tabColor rgb="FF00B050"/>
    <outlinePr summaryBelow="1" summaryRight="1"/>
    <pageSetUpPr/>
  </sheetPr>
  <dimension ref="A1:E7"/>
  <sheetViews>
    <sheetView workbookViewId="0">
      <selection activeCell="B18" sqref="B18"/>
    </sheetView>
  </sheetViews>
  <sheetFormatPr baseColWidth="8" defaultRowHeight="14.5"/>
  <cols>
    <col width="12.81640625" customWidth="1" style="125" min="1" max="1"/>
    <col width="11.453125" customWidth="1" style="125" min="2" max="2"/>
    <col width="11.1796875" customWidth="1" style="125" min="3" max="3"/>
  </cols>
  <sheetData>
    <row r="1">
      <c r="A1" s="2" t="inlineStr">
        <is>
          <t>⬅ Return to Table of Contents</t>
        </is>
      </c>
    </row>
    <row r="5">
      <c r="A5" t="inlineStr">
        <is>
          <t>tblInvoices</t>
        </is>
      </c>
    </row>
    <row r="6">
      <c r="A6" s="54" t="inlineStr">
        <is>
          <t>CustomerID</t>
        </is>
      </c>
      <c r="B6" s="54" t="inlineStr">
        <is>
          <t>FirstName</t>
        </is>
      </c>
      <c r="C6" s="54" t="inlineStr">
        <is>
          <t>LastName</t>
        </is>
      </c>
      <c r="D6" s="54" t="inlineStr">
        <is>
          <t>Phone</t>
        </is>
      </c>
      <c r="E6" s="54" t="inlineStr">
        <is>
          <t>Email</t>
        </is>
      </c>
    </row>
    <row r="7">
      <c r="A7" s="53" t="n"/>
      <c r="B7" s="53" t="n"/>
      <c r="C7" s="53" t="n"/>
      <c r="D7" s="53" t="n"/>
      <c r="E7" s="53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0.xml><?xml version="1.0" encoding="utf-8"?>
<worksheet xmlns="http://schemas.openxmlformats.org/spreadsheetml/2006/main">
  <sheetPr>
    <tabColor rgb="FF00B050"/>
    <outlinePr summaryBelow="1" summaryRight="1"/>
    <pageSetUpPr/>
  </sheetPr>
  <dimension ref="A1:E6"/>
  <sheetViews>
    <sheetView workbookViewId="0">
      <selection activeCell="B18" sqref="B18"/>
    </sheetView>
  </sheetViews>
  <sheetFormatPr baseColWidth="8" defaultRowHeight="14.5"/>
  <cols>
    <col width="12.81640625" customWidth="1" style="125" min="1" max="1"/>
    <col width="11.453125" customWidth="1" style="125" min="2" max="2"/>
    <col width="11.1796875" customWidth="1" style="125" min="3" max="3"/>
  </cols>
  <sheetData>
    <row r="1">
      <c r="A1" s="2" t="inlineStr">
        <is>
          <t>⬅ Return to Table of Contents</t>
        </is>
      </c>
    </row>
    <row r="4">
      <c r="A4" t="inlineStr">
        <is>
          <t>tblPayments</t>
        </is>
      </c>
    </row>
    <row r="5">
      <c r="A5" s="54" t="inlineStr">
        <is>
          <t>CustomerID</t>
        </is>
      </c>
      <c r="B5" s="54" t="inlineStr">
        <is>
          <t>FirstName</t>
        </is>
      </c>
      <c r="C5" s="54" t="inlineStr">
        <is>
          <t>LastName</t>
        </is>
      </c>
      <c r="D5" s="54" t="inlineStr">
        <is>
          <t>Phone</t>
        </is>
      </c>
      <c r="E5" s="54" t="inlineStr">
        <is>
          <t>Email</t>
        </is>
      </c>
    </row>
    <row r="6">
      <c r="A6" s="53" t="n"/>
      <c r="B6" s="53" t="n"/>
      <c r="C6" s="53" t="n"/>
      <c r="D6" s="53" t="n"/>
      <c r="E6" s="53" t="n"/>
    </row>
  </sheetData>
  <hyperlinks>
    <hyperlink ref="A1" location="'TOC - Table of Contents'!A5" display="⬅ Return to Table of Contents"/>
  </hyperlink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1.xml><?xml version="1.0" encoding="utf-8"?>
<worksheet xmlns="http://schemas.openxmlformats.org/spreadsheetml/2006/main">
  <sheetPr>
    <tabColor rgb="FFFF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t="inlineStr">
        <is>
          <t>#DIVIDERPAGE</t>
        </is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>
  <sheetPr>
    <tabColor theme="8" tint="0.3999755851924192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s="2" t="inlineStr">
        <is>
          <t>⬅ Return to Table of Contents</t>
        </is>
      </c>
    </row>
  </sheetData>
  <hyperlinks>
    <hyperlink ref="A1" location="'TOC - Table of Contents'!A5" display="⬅ Return to Table of Contents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>
  <sheetPr>
    <tabColor theme="8" tint="0.3999755851924192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s="2" t="inlineStr">
        <is>
          <t>⬅ Return to Table of Contents</t>
        </is>
      </c>
    </row>
  </sheetData>
  <hyperlinks>
    <hyperlink ref="A1" location="'TOC - Table of Contents'!A5" display="⬅ Return to Table of Contents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>
  <sheetPr>
    <tabColor theme="8" tint="0.3999755851924192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s="2" t="inlineStr">
        <is>
          <t>⬅ Return to Table of Contents</t>
        </is>
      </c>
    </row>
  </sheetData>
  <hyperlinks>
    <hyperlink ref="A1" location="'TOC - Table of Contents'!A5" display="⬅ Return to Table of Contents"/>
  </hyperlinks>
  <pageMargins left="0.7" right="0.7" top="0.75" bottom="0.75" header="0.3" footer="0.3"/>
</worksheet>
</file>

<file path=xl/worksheets/sheet55.xml><?xml version="1.0" encoding="utf-8"?>
<worksheet xmlns="http://schemas.openxmlformats.org/spreadsheetml/2006/main">
  <sheetPr>
    <tabColor theme="8" tint="0.3999755851924192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s="2" t="inlineStr">
        <is>
          <t>⬅ Return to Table of Contents</t>
        </is>
      </c>
    </row>
  </sheetData>
  <hyperlinks>
    <hyperlink ref="A1" location="'TOC - Table of Contents'!A5" display="⬅ Return to Table of Contents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>
  <sheetPr>
    <tabColor theme="8" tint="0.3999755851924192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>
    <row r="1">
      <c r="A1" s="2" t="inlineStr">
        <is>
          <t>⬅ Return to Table of Contents</t>
        </is>
      </c>
    </row>
  </sheetData>
  <hyperlinks>
    <hyperlink ref="A1" location="'TOC - Table of Contents'!A5" display="⬅ Return to Table of Contents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>
  <sheetPr>
    <tabColor rgb="FFFF000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>
  <sheetPr>
    <tabColor rgb="FF00B050"/>
    <outlinePr summaryBelow="1" summaryRight="1"/>
    <pageSetUpPr/>
  </sheetPr>
  <dimension ref="O2:P12"/>
  <sheetViews>
    <sheetView workbookViewId="0">
      <selection activeCell="A1" sqref="A1:J1048576"/>
    </sheetView>
  </sheetViews>
  <sheetFormatPr baseColWidth="8" defaultRowHeight="14.5"/>
  <cols>
    <col width="22" customWidth="1" style="125" min="1" max="1"/>
    <col width="24.08984375" bestFit="1" customWidth="1" style="125" min="2" max="2"/>
    <col width="14.36328125" customWidth="1" style="125" min="3" max="3"/>
    <col width="16.7265625" customWidth="1" style="125" min="4" max="4"/>
    <col width="10.6328125" customWidth="1" style="125" min="5" max="5"/>
    <col width="11.81640625" customWidth="1" style="125" min="6" max="6"/>
    <col width="11.36328125" customWidth="1" style="125" min="7" max="7"/>
    <col width="14.453125" customWidth="1" style="125" min="8" max="8"/>
    <col width="8.453125" bestFit="1" customWidth="1" style="125" min="15" max="15"/>
  </cols>
  <sheetData>
    <row r="2">
      <c r="O2" s="58" t="n"/>
      <c r="P2" s="66" t="n"/>
    </row>
    <row r="3">
      <c r="O3" s="57" t="n"/>
      <c r="P3" s="91" t="n"/>
    </row>
    <row r="4">
      <c r="O4" s="57" t="n"/>
      <c r="P4" s="91" t="n"/>
    </row>
    <row r="5">
      <c r="O5" s="57" t="n"/>
      <c r="P5" s="91" t="n"/>
    </row>
    <row r="6">
      <c r="O6" s="57" t="n"/>
      <c r="P6" s="91" t="n"/>
    </row>
    <row r="7">
      <c r="O7" s="57" t="n"/>
      <c r="P7" s="91" t="n"/>
    </row>
    <row r="8">
      <c r="O8" s="57" t="n"/>
      <c r="P8" s="91" t="n"/>
    </row>
    <row r="9">
      <c r="O9" s="57" t="n"/>
      <c r="P9" s="124" t="n"/>
    </row>
    <row r="10">
      <c r="O10" s="57" t="n"/>
      <c r="P10" s="124" t="n"/>
    </row>
    <row r="11">
      <c r="O11" s="57" t="n"/>
      <c r="P11" s="124" t="n"/>
    </row>
    <row r="12">
      <c r="O12" s="57" t="n"/>
      <c r="P12" s="124" t="n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>
  <sheetPr>
    <tabColor rgb="FF00B050"/>
    <outlinePr summaryBelow="1" summaryRight="1"/>
    <pageSetUpPr/>
  </sheetPr>
  <dimension ref="A2:G2"/>
  <sheetViews>
    <sheetView workbookViewId="0">
      <selection activeCell="A3" sqref="A3"/>
    </sheetView>
  </sheetViews>
  <sheetFormatPr baseColWidth="8" defaultRowHeight="14.5"/>
  <cols>
    <col width="13.81640625" customWidth="1" style="125" min="1" max="1"/>
    <col width="16" customWidth="1" style="125" min="2" max="2"/>
    <col width="14.54296875" customWidth="1" style="125" min="3" max="3"/>
    <col width="12.453125" customWidth="1" style="125" min="4" max="4"/>
    <col width="14.453125" customWidth="1" style="125" min="5" max="5"/>
  </cols>
  <sheetData>
    <row r="2">
      <c r="A2" t="inlineStr">
        <is>
          <t>Labor Rate ID</t>
        </is>
      </c>
      <c r="B2" t="inlineStr">
        <is>
          <t>Repair Category</t>
        </is>
      </c>
      <c r="C2" t="inlineStr">
        <is>
          <t>Device Family</t>
        </is>
      </c>
      <c r="D2" t="inlineStr">
        <is>
          <t>Hourly Rate</t>
        </is>
      </c>
      <c r="E2" t="inlineStr">
        <is>
          <t>Effective Date</t>
        </is>
      </c>
      <c r="F2" t="inlineStr">
        <is>
          <t>Active</t>
        </is>
      </c>
      <c r="G2" t="inlineStr">
        <is>
          <t>Notes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0.xml><?xml version="1.0" encoding="utf-8"?>
<worksheet xmlns="http://schemas.openxmlformats.org/spreadsheetml/2006/main">
  <sheetPr>
    <tabColor rgb="FF00B050"/>
    <outlinePr summaryBelow="1" summaryRight="1"/>
    <pageSetUpPr/>
  </sheetPr>
  <dimension ref="A2:J2"/>
  <sheetViews>
    <sheetView workbookViewId="0">
      <selection activeCell="B5" sqref="B5"/>
    </sheetView>
  </sheetViews>
  <sheetFormatPr baseColWidth="8" defaultRowHeight="14.5"/>
  <sheetData>
    <row r="2">
      <c r="A2" t="inlineStr">
        <is>
          <t>Rule ID</t>
        </is>
      </c>
      <c r="B2" t="inlineStr">
        <is>
          <t>Rule Name</t>
        </is>
      </c>
      <c r="C2" t="inlineStr">
        <is>
          <t>Rule Category</t>
        </is>
      </c>
      <c r="D2" t="inlineStr">
        <is>
          <t>Rule Description</t>
        </is>
      </c>
      <c r="E2" t="inlineStr">
        <is>
          <t>Rule alue</t>
        </is>
      </c>
      <c r="F2" t="inlineStr">
        <is>
          <t>Value Type</t>
        </is>
      </c>
      <c r="G2" t="inlineStr">
        <is>
          <t>Applies To</t>
        </is>
      </c>
      <c r="H2" t="inlineStr">
        <is>
          <t>Effective Date</t>
        </is>
      </c>
      <c r="I2" t="inlineStr">
        <is>
          <t>Active</t>
        </is>
      </c>
      <c r="J2" t="inlineStr">
        <is>
          <t>Notes</t>
        </is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>
  <sheetPr>
    <tabColor rgb="FF00B050"/>
    <outlinePr summaryBelow="1" summaryRight="1"/>
    <pageSetUpPr/>
  </sheetPr>
  <dimension ref="A2:J2"/>
  <sheetViews>
    <sheetView workbookViewId="0">
      <selection activeCell="B5" sqref="B5"/>
    </sheetView>
  </sheetViews>
  <sheetFormatPr baseColWidth="8" defaultRowHeight="14.5"/>
  <sheetData>
    <row r="2">
      <c r="A2" t="inlineStr">
        <is>
          <t>Rule ID</t>
        </is>
      </c>
      <c r="B2" t="inlineStr">
        <is>
          <t>Rule Name</t>
        </is>
      </c>
      <c r="C2" t="inlineStr">
        <is>
          <t>Rule Category</t>
        </is>
      </c>
      <c r="D2" t="inlineStr">
        <is>
          <t>Rule Description</t>
        </is>
      </c>
      <c r="E2" t="inlineStr">
        <is>
          <t>Rule alue</t>
        </is>
      </c>
      <c r="F2" t="inlineStr">
        <is>
          <t>Value Type</t>
        </is>
      </c>
      <c r="G2" t="inlineStr">
        <is>
          <t>Applies To</t>
        </is>
      </c>
      <c r="H2" t="inlineStr">
        <is>
          <t>Effective Date</t>
        </is>
      </c>
      <c r="I2" t="inlineStr">
        <is>
          <t>Active</t>
        </is>
      </c>
      <c r="J2" t="inlineStr">
        <is>
          <t>Notes</t>
        </is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>
  <sheetPr>
    <tabColor rgb="FF00B050"/>
    <outlinePr summaryBelow="1" summaryRight="1"/>
    <pageSetUpPr/>
  </sheetPr>
  <dimension ref="A2:J2"/>
  <sheetViews>
    <sheetView workbookViewId="0">
      <selection activeCell="B5" sqref="B5"/>
    </sheetView>
  </sheetViews>
  <sheetFormatPr baseColWidth="8" defaultRowHeight="14.5"/>
  <sheetData>
    <row r="2">
      <c r="A2" t="inlineStr">
        <is>
          <t>Rule ID</t>
        </is>
      </c>
      <c r="B2" t="inlineStr">
        <is>
          <t>Rule Name</t>
        </is>
      </c>
      <c r="C2" t="inlineStr">
        <is>
          <t>Rule Category</t>
        </is>
      </c>
      <c r="D2" t="inlineStr">
        <is>
          <t>Rule Description</t>
        </is>
      </c>
      <c r="E2" t="inlineStr">
        <is>
          <t>Rule alue</t>
        </is>
      </c>
      <c r="F2" t="inlineStr">
        <is>
          <t>Value Type</t>
        </is>
      </c>
      <c r="G2" t="inlineStr">
        <is>
          <t>Applies To</t>
        </is>
      </c>
      <c r="H2" t="inlineStr">
        <is>
          <t>Effective Date</t>
        </is>
      </c>
      <c r="I2" t="inlineStr">
        <is>
          <t>Active</t>
        </is>
      </c>
      <c r="J2" t="inlineStr">
        <is>
          <t>Notes</t>
        </is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>
  <sheetPr>
    <tabColor rgb="FF00B050"/>
    <outlinePr summaryBelow="1" summaryRight="1"/>
    <pageSetUpPr/>
  </sheetPr>
  <dimension ref="A2:J2"/>
  <sheetViews>
    <sheetView workbookViewId="0">
      <selection activeCell="B5" sqref="B5"/>
    </sheetView>
  </sheetViews>
  <sheetFormatPr baseColWidth="8" defaultRowHeight="14.5"/>
  <sheetData>
    <row r="2">
      <c r="A2" t="inlineStr">
        <is>
          <t>Rule ID</t>
        </is>
      </c>
      <c r="B2" t="inlineStr">
        <is>
          <t>Rule Name</t>
        </is>
      </c>
      <c r="C2" t="inlineStr">
        <is>
          <t>Rule Category</t>
        </is>
      </c>
      <c r="D2" t="inlineStr">
        <is>
          <t>Rule Description</t>
        </is>
      </c>
      <c r="E2" t="inlineStr">
        <is>
          <t>Rule alue</t>
        </is>
      </c>
      <c r="F2" t="inlineStr">
        <is>
          <t>Value Type</t>
        </is>
      </c>
      <c r="G2" t="inlineStr">
        <is>
          <t>Applies To</t>
        </is>
      </c>
      <c r="H2" t="inlineStr">
        <is>
          <t>Effective Date</t>
        </is>
      </c>
      <c r="I2" t="inlineStr">
        <is>
          <t>Active</t>
        </is>
      </c>
      <c r="J2" t="inlineStr">
        <is>
          <t>Notes</t>
        </is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>
  <sheetPr>
    <tabColor rgb="FF00B050"/>
    <outlinePr summaryBelow="1" summaryRight="1"/>
    <pageSetUpPr/>
  </sheetPr>
  <dimension ref="A2:J2"/>
  <sheetViews>
    <sheetView workbookViewId="0">
      <selection activeCell="B5" sqref="B5"/>
    </sheetView>
  </sheetViews>
  <sheetFormatPr baseColWidth="8" defaultRowHeight="14.5"/>
  <sheetData>
    <row r="2">
      <c r="A2" t="inlineStr">
        <is>
          <t>Rule ID</t>
        </is>
      </c>
      <c r="B2" t="inlineStr">
        <is>
          <t>Rule Name</t>
        </is>
      </c>
      <c r="C2" t="inlineStr">
        <is>
          <t>Rule Category</t>
        </is>
      </c>
      <c r="D2" t="inlineStr">
        <is>
          <t>Rule Description</t>
        </is>
      </c>
      <c r="E2" t="inlineStr">
        <is>
          <t>Rule alue</t>
        </is>
      </c>
      <c r="F2" t="inlineStr">
        <is>
          <t>Value Type</t>
        </is>
      </c>
      <c r="G2" t="inlineStr">
        <is>
          <t>Applies To</t>
        </is>
      </c>
      <c r="H2" t="inlineStr">
        <is>
          <t>Effective Date</t>
        </is>
      </c>
      <c r="I2" t="inlineStr">
        <is>
          <t>Active</t>
        </is>
      </c>
      <c r="J2" t="inlineStr">
        <is>
          <t>Notes</t>
        </is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>
  <sheetPr>
    <tabColor rgb="FF00B050"/>
    <outlinePr summaryBelow="1" summaryRight="1"/>
    <pageSetUpPr/>
  </sheetPr>
  <dimension ref="A2:J2"/>
  <sheetViews>
    <sheetView workbookViewId="0">
      <selection activeCell="B5" sqref="B5"/>
    </sheetView>
  </sheetViews>
  <sheetFormatPr baseColWidth="8" defaultRowHeight="14.5"/>
  <sheetData>
    <row r="2">
      <c r="A2" t="inlineStr">
        <is>
          <t>Rule ID</t>
        </is>
      </c>
      <c r="B2" t="inlineStr">
        <is>
          <t>Rule Name</t>
        </is>
      </c>
      <c r="C2" t="inlineStr">
        <is>
          <t>Rule Category</t>
        </is>
      </c>
      <c r="D2" t="inlineStr">
        <is>
          <t>Rule Description</t>
        </is>
      </c>
      <c r="E2" t="inlineStr">
        <is>
          <t>Rule alue</t>
        </is>
      </c>
      <c r="F2" t="inlineStr">
        <is>
          <t>Value Type</t>
        </is>
      </c>
      <c r="G2" t="inlineStr">
        <is>
          <t>Applies To</t>
        </is>
      </c>
      <c r="H2" t="inlineStr">
        <is>
          <t>Effective Date</t>
        </is>
      </c>
      <c r="I2" t="inlineStr">
        <is>
          <t>Active</t>
        </is>
      </c>
      <c r="J2" t="inlineStr">
        <is>
          <t>Notes</t>
        </is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>
  <sheetPr>
    <tabColor rgb="FF00B050"/>
    <outlinePr summaryBelow="1" summaryRight="1"/>
    <pageSetUpPr/>
  </sheetPr>
  <dimension ref="A2:J2"/>
  <sheetViews>
    <sheetView workbookViewId="0">
      <selection activeCell="B5" sqref="B5"/>
    </sheetView>
  </sheetViews>
  <sheetFormatPr baseColWidth="8" defaultRowHeight="14.5"/>
  <sheetData>
    <row r="2">
      <c r="A2" t="inlineStr">
        <is>
          <t>Rule ID</t>
        </is>
      </c>
      <c r="B2" t="inlineStr">
        <is>
          <t>Rule Name</t>
        </is>
      </c>
      <c r="C2" t="inlineStr">
        <is>
          <t>Rule Category</t>
        </is>
      </c>
      <c r="D2" t="inlineStr">
        <is>
          <t>Rule Description</t>
        </is>
      </c>
      <c r="E2" t="inlineStr">
        <is>
          <t>Rule alue</t>
        </is>
      </c>
      <c r="F2" t="inlineStr">
        <is>
          <t>Value Type</t>
        </is>
      </c>
      <c r="G2" t="inlineStr">
        <is>
          <t>Applies To</t>
        </is>
      </c>
      <c r="H2" t="inlineStr">
        <is>
          <t>Effective Date</t>
        </is>
      </c>
      <c r="I2" t="inlineStr">
        <is>
          <t>Active</t>
        </is>
      </c>
      <c r="J2" t="inlineStr">
        <is>
          <t>Notes</t>
        </is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>
  <sheetPr>
    <tabColor rgb="FF00B050"/>
    <outlinePr summaryBelow="1" summaryRight="1"/>
    <pageSetUpPr/>
  </sheetPr>
  <dimension ref="A2:J2"/>
  <sheetViews>
    <sheetView workbookViewId="0">
      <selection activeCell="B5" sqref="B5"/>
    </sheetView>
  </sheetViews>
  <sheetFormatPr baseColWidth="8" defaultRowHeight="14.5"/>
  <sheetData>
    <row r="2">
      <c r="A2" t="inlineStr">
        <is>
          <t>Rule ID</t>
        </is>
      </c>
      <c r="B2" t="inlineStr">
        <is>
          <t>Rule Name</t>
        </is>
      </c>
      <c r="C2" t="inlineStr">
        <is>
          <t>Rule Category</t>
        </is>
      </c>
      <c r="D2" t="inlineStr">
        <is>
          <t>Rule Description</t>
        </is>
      </c>
      <c r="E2" t="inlineStr">
        <is>
          <t>Rule alue</t>
        </is>
      </c>
      <c r="F2" t="inlineStr">
        <is>
          <t>Value Type</t>
        </is>
      </c>
      <c r="G2" t="inlineStr">
        <is>
          <t>Applies To</t>
        </is>
      </c>
      <c r="H2" t="inlineStr">
        <is>
          <t>Effective Date</t>
        </is>
      </c>
      <c r="I2" t="inlineStr">
        <is>
          <t>Active</t>
        </is>
      </c>
      <c r="J2" t="inlineStr">
        <is>
          <t>Notes</t>
        </is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>
  <sheetPr>
    <outlinePr summaryBelow="1" summaryRight="1"/>
    <pageSetUpPr/>
  </sheetPr>
  <dimension ref="A1:I37"/>
  <sheetViews>
    <sheetView workbookViewId="0">
      <selection activeCell="I1" sqref="I1:I4"/>
    </sheetView>
  </sheetViews>
  <sheetFormatPr baseColWidth="8" defaultRowHeight="14.5"/>
  <cols>
    <col width="10.1796875" bestFit="1" customWidth="1" style="125" min="1" max="1"/>
    <col width="24.08984375" bestFit="1" customWidth="1" style="125" min="2" max="2"/>
    <col width="12.453125" bestFit="1" customWidth="1" style="125" min="3" max="3"/>
    <col width="16.453125" bestFit="1" customWidth="1" style="125" min="7" max="7"/>
    <col width="12" bestFit="1" customWidth="1" style="125" min="8" max="8"/>
  </cols>
  <sheetData>
    <row r="1">
      <c r="A1" s="115" t="inlineStr">
        <is>
          <t>SVC000001</t>
        </is>
      </c>
      <c r="B1" s="115" t="inlineStr">
        <is>
          <t>Screen Replacement</t>
        </is>
      </c>
      <c r="C1" s="115" t="inlineStr">
        <is>
          <t>Display</t>
        </is>
      </c>
      <c r="E1" s="114" t="inlineStr">
        <is>
          <t>iFixit</t>
        </is>
      </c>
      <c r="F1" t="b">
        <v>1</v>
      </c>
      <c r="G1" t="inlineStr">
        <is>
          <t>D1 - BEGINNER</t>
        </is>
      </c>
      <c r="H1" t="inlineStr">
        <is>
          <t>Draft</t>
        </is>
      </c>
      <c r="I1" t="inlineStr">
        <is>
          <t>PDF</t>
        </is>
      </c>
    </row>
    <row r="2">
      <c r="A2" s="112" t="inlineStr">
        <is>
          <t>SVC000003</t>
        </is>
      </c>
      <c r="B2" s="112" t="inlineStr">
        <is>
          <t>LCD Replacement</t>
        </is>
      </c>
      <c r="C2" s="112" t="inlineStr">
        <is>
          <t>Display</t>
        </is>
      </c>
      <c r="E2" s="57" t="inlineStr">
        <is>
          <t>Apple</t>
        </is>
      </c>
      <c r="F2" t="b">
        <v>0</v>
      </c>
      <c r="G2" t="inlineStr">
        <is>
          <t>D2 - EASY</t>
        </is>
      </c>
      <c r="H2" t="inlineStr">
        <is>
          <t>Verified</t>
        </is>
      </c>
      <c r="I2" t="inlineStr">
        <is>
          <t>Embed</t>
        </is>
      </c>
    </row>
    <row r="3">
      <c r="A3" s="113" t="inlineStr">
        <is>
          <t>SVC000005</t>
        </is>
      </c>
      <c r="B3" s="113" t="inlineStr">
        <is>
          <t>Back Glass Replacement</t>
        </is>
      </c>
      <c r="C3" s="113" t="inlineStr">
        <is>
          <t>Display</t>
        </is>
      </c>
      <c r="E3" s="57" t="inlineStr">
        <is>
          <t>Samsung</t>
        </is>
      </c>
      <c r="G3" t="inlineStr">
        <is>
          <t>D3 - INTERMEDIATE</t>
        </is>
      </c>
      <c r="H3" t="inlineStr">
        <is>
          <t>Needs Review</t>
        </is>
      </c>
      <c r="I3" t="inlineStr">
        <is>
          <t>TXT</t>
        </is>
      </c>
    </row>
    <row r="4">
      <c r="A4" s="112" t="inlineStr">
        <is>
          <t>SVC000006</t>
        </is>
      </c>
      <c r="B4" s="112" t="inlineStr">
        <is>
          <t>Glass Only Repair</t>
        </is>
      </c>
      <c r="C4" s="112" t="inlineStr">
        <is>
          <t>Display</t>
        </is>
      </c>
      <c r="E4" s="57" t="inlineStr">
        <is>
          <t>Nocturnix</t>
        </is>
      </c>
      <c r="G4" t="inlineStr">
        <is>
          <t>D4 - ADVANCED</t>
        </is>
      </c>
      <c r="H4" t="inlineStr">
        <is>
          <t>Archived</t>
        </is>
      </c>
      <c r="I4" t="inlineStr">
        <is>
          <t>Other</t>
        </is>
      </c>
    </row>
    <row r="5">
      <c r="A5" s="113" t="inlineStr">
        <is>
          <t>SVC000007</t>
        </is>
      </c>
      <c r="B5" s="113" t="inlineStr">
        <is>
          <t>Battery Replacement</t>
        </is>
      </c>
      <c r="C5" s="113" t="inlineStr">
        <is>
          <t>Battery</t>
        </is>
      </c>
      <c r="E5" s="57" t="inlineStr">
        <is>
          <t>OEM</t>
        </is>
      </c>
      <c r="G5" t="inlineStr">
        <is>
          <t>D5 - EXPERT</t>
        </is>
      </c>
    </row>
    <row r="6">
      <c r="A6" s="112" t="inlineStr">
        <is>
          <t>SVC000008</t>
        </is>
      </c>
      <c r="B6" s="112" t="inlineStr">
        <is>
          <t>Battery Diagnostic</t>
        </is>
      </c>
      <c r="C6" s="112" t="inlineStr">
        <is>
          <t>Battery</t>
        </is>
      </c>
      <c r="E6" s="57" t="inlineStr">
        <is>
          <t>Other</t>
        </is>
      </c>
    </row>
    <row r="7">
      <c r="A7" s="113" t="inlineStr">
        <is>
          <t>SVC000010</t>
        </is>
      </c>
      <c r="B7" s="113" t="inlineStr">
        <is>
          <t>Charging Port Replacement</t>
        </is>
      </c>
      <c r="C7" s="113" t="inlineStr">
        <is>
          <t>Charging</t>
        </is>
      </c>
    </row>
    <row r="8">
      <c r="A8" s="112" t="inlineStr">
        <is>
          <t>SVC000011</t>
        </is>
      </c>
      <c r="B8" s="112" t="inlineStr">
        <is>
          <t>Charging Port Cleaning</t>
        </is>
      </c>
      <c r="C8" s="112" t="inlineStr">
        <is>
          <t>Charging</t>
        </is>
      </c>
    </row>
    <row r="9">
      <c r="A9" s="113" t="inlineStr">
        <is>
          <t>SVC000012</t>
        </is>
      </c>
      <c r="B9" s="113" t="inlineStr">
        <is>
          <t>Wireless Charging Repair</t>
        </is>
      </c>
      <c r="C9" s="113" t="inlineStr">
        <is>
          <t>Charging</t>
        </is>
      </c>
    </row>
    <row r="10">
      <c r="A10" s="112" t="inlineStr">
        <is>
          <t>SVC000013</t>
        </is>
      </c>
      <c r="B10" s="112" t="inlineStr">
        <is>
          <t>Rear Camera Replacement</t>
        </is>
      </c>
      <c r="C10" s="112" t="inlineStr">
        <is>
          <t>Camera</t>
        </is>
      </c>
    </row>
    <row r="11">
      <c r="A11" s="113" t="inlineStr">
        <is>
          <t>SVC000014</t>
        </is>
      </c>
      <c r="B11" s="113" t="inlineStr">
        <is>
          <t>Front Camera Replacement</t>
        </is>
      </c>
      <c r="C11" s="113" t="inlineStr">
        <is>
          <t>Camera</t>
        </is>
      </c>
    </row>
    <row r="12">
      <c r="A12" s="112" t="inlineStr">
        <is>
          <t>SVC000015</t>
        </is>
      </c>
      <c r="B12" s="112" t="inlineStr">
        <is>
          <t>Camera Lens Replacement</t>
        </is>
      </c>
      <c r="C12" s="112" t="inlineStr">
        <is>
          <t>Camera</t>
        </is>
      </c>
    </row>
    <row r="13">
      <c r="A13" s="113" t="inlineStr">
        <is>
          <t>SVC000016</t>
        </is>
      </c>
      <c r="B13" s="113" t="inlineStr">
        <is>
          <t>Camera Calibration</t>
        </is>
      </c>
      <c r="C13" s="113" t="inlineStr">
        <is>
          <t>Camera</t>
        </is>
      </c>
    </row>
    <row r="14">
      <c r="A14" s="112" t="inlineStr">
        <is>
          <t>SVC000017</t>
        </is>
      </c>
      <c r="B14" s="112" t="inlineStr">
        <is>
          <t>Speaker Replacement</t>
        </is>
      </c>
      <c r="C14" s="112" t="inlineStr">
        <is>
          <t>Audio</t>
        </is>
      </c>
    </row>
    <row r="15">
      <c r="A15" s="113" t="inlineStr">
        <is>
          <t>SVC000018</t>
        </is>
      </c>
      <c r="B15" s="113" t="inlineStr">
        <is>
          <t>Microphone Replacement</t>
        </is>
      </c>
      <c r="C15" s="113" t="inlineStr">
        <is>
          <t>Audio</t>
        </is>
      </c>
    </row>
    <row r="16">
      <c r="A16" s="112" t="inlineStr">
        <is>
          <t>SVC000019</t>
        </is>
      </c>
      <c r="B16" s="112" t="inlineStr">
        <is>
          <t>Earpiece Replacement</t>
        </is>
      </c>
      <c r="C16" s="112" t="inlineStr">
        <is>
          <t>Audio</t>
        </is>
      </c>
    </row>
    <row r="17">
      <c r="A17" s="113" t="inlineStr">
        <is>
          <t>SVC000020</t>
        </is>
      </c>
      <c r="B17" s="113" t="inlineStr">
        <is>
          <t>Headphone Jack Repair</t>
        </is>
      </c>
      <c r="C17" s="113" t="inlineStr">
        <is>
          <t>Audio</t>
        </is>
      </c>
    </row>
    <row r="18">
      <c r="A18" s="112" t="inlineStr">
        <is>
          <t>SVC000021</t>
        </is>
      </c>
      <c r="B18" s="112" t="inlineStr">
        <is>
          <t>Power Button Repair</t>
        </is>
      </c>
      <c r="C18" s="112" t="inlineStr">
        <is>
          <t>Buttons</t>
        </is>
      </c>
    </row>
    <row r="19">
      <c r="A19" s="113" t="inlineStr">
        <is>
          <t>SVC000022</t>
        </is>
      </c>
      <c r="B19" s="113" t="inlineStr">
        <is>
          <t>Volume Button Repair</t>
        </is>
      </c>
      <c r="C19" s="113" t="inlineStr">
        <is>
          <t>Buttons</t>
        </is>
      </c>
    </row>
    <row r="20">
      <c r="A20" s="112" t="inlineStr">
        <is>
          <t>SVC000023</t>
        </is>
      </c>
      <c r="B20" s="112" t="inlineStr">
        <is>
          <t>Home Button Repair</t>
        </is>
      </c>
      <c r="C20" s="112" t="inlineStr">
        <is>
          <t>Buttons</t>
        </is>
      </c>
    </row>
    <row r="21">
      <c r="A21" s="113" t="inlineStr">
        <is>
          <t>SVC000024</t>
        </is>
      </c>
      <c r="B21" s="113" t="inlineStr">
        <is>
          <t>Mute Switch Repair</t>
        </is>
      </c>
      <c r="C21" s="113" t="inlineStr">
        <is>
          <t>Buttons</t>
        </is>
      </c>
    </row>
    <row r="22">
      <c r="A22" s="112" t="inlineStr">
        <is>
          <t>SVC000025</t>
        </is>
      </c>
      <c r="B22" s="112" t="inlineStr">
        <is>
          <t>Frame Replacement</t>
        </is>
      </c>
      <c r="C22" s="112" t="inlineStr">
        <is>
          <t>Housing</t>
        </is>
      </c>
    </row>
    <row r="23">
      <c r="A23" s="113" t="inlineStr">
        <is>
          <t>SVC000026</t>
        </is>
      </c>
      <c r="B23" s="113" t="inlineStr">
        <is>
          <t>Housing Replacement</t>
        </is>
      </c>
      <c r="C23" s="113" t="inlineStr">
        <is>
          <t>Housing</t>
        </is>
      </c>
    </row>
    <row r="24">
      <c r="A24" s="112" t="inlineStr">
        <is>
          <t>SVC000027</t>
        </is>
      </c>
      <c r="B24" s="112" t="inlineStr">
        <is>
          <t>Rear Housing Repair</t>
        </is>
      </c>
      <c r="C24" s="112" t="inlineStr">
        <is>
          <t>Housing</t>
        </is>
      </c>
    </row>
    <row r="25">
      <c r="A25" s="113" t="inlineStr">
        <is>
          <t>SVC000030</t>
        </is>
      </c>
      <c r="B25" s="113" t="inlineStr">
        <is>
          <t>Board Diagnosis</t>
        </is>
      </c>
      <c r="C25" s="113" t="inlineStr">
        <is>
          <t>Motherboard</t>
        </is>
      </c>
    </row>
    <row r="26">
      <c r="A26" s="112" t="inlineStr">
        <is>
          <t>SVC000034</t>
        </is>
      </c>
      <c r="B26" s="112" t="inlineStr">
        <is>
          <t>Software Repair</t>
        </is>
      </c>
      <c r="C26" s="112" t="inlineStr">
        <is>
          <t>Software</t>
        </is>
      </c>
    </row>
    <row r="27">
      <c r="A27" s="113" t="inlineStr">
        <is>
          <t>SVC000035</t>
        </is>
      </c>
      <c r="B27" s="113" t="inlineStr">
        <is>
          <t>Firmware Flash</t>
        </is>
      </c>
      <c r="C27" s="113" t="inlineStr">
        <is>
          <t>Software</t>
        </is>
      </c>
    </row>
    <row r="28">
      <c r="A28" s="112" t="inlineStr">
        <is>
          <t>SVC000036</t>
        </is>
      </c>
      <c r="B28" s="112" t="inlineStr">
        <is>
          <t>Device Setup</t>
        </is>
      </c>
      <c r="C28" s="112" t="inlineStr">
        <is>
          <t>Software</t>
        </is>
      </c>
    </row>
    <row r="29">
      <c r="A29" s="113" t="inlineStr">
        <is>
          <t>SVC000037</t>
        </is>
      </c>
      <c r="B29" s="113" t="inlineStr">
        <is>
          <t>Data Transfer</t>
        </is>
      </c>
      <c r="C29" s="113" t="inlineStr">
        <is>
          <t>Software</t>
        </is>
      </c>
    </row>
    <row r="30">
      <c r="A30" s="112" t="inlineStr">
        <is>
          <t>SVC000038</t>
        </is>
      </c>
      <c r="B30" s="112" t="inlineStr">
        <is>
          <t>Account Recovery</t>
        </is>
      </c>
      <c r="C30" s="112" t="inlineStr">
        <is>
          <t>Software</t>
        </is>
      </c>
    </row>
    <row r="31">
      <c r="A31" s="113" t="inlineStr">
        <is>
          <t>SVC000059</t>
        </is>
      </c>
      <c r="B31" s="113" t="inlineStr">
        <is>
          <t>Bluetooth Repair</t>
        </is>
      </c>
      <c r="C31" s="113" t="inlineStr">
        <is>
          <t>Connectivity</t>
        </is>
      </c>
    </row>
    <row r="32">
      <c r="A32" s="112" t="inlineStr">
        <is>
          <t>SVC000060</t>
        </is>
      </c>
      <c r="B32" s="112" t="inlineStr">
        <is>
          <t>Antenna Repair</t>
        </is>
      </c>
      <c r="C32" s="112" t="inlineStr">
        <is>
          <t>Connectivity</t>
        </is>
      </c>
    </row>
    <row r="33">
      <c r="A33" s="113" t="inlineStr">
        <is>
          <t>SVC000061</t>
        </is>
      </c>
      <c r="B33" s="113" t="inlineStr">
        <is>
          <t>SIM Reader Repair</t>
        </is>
      </c>
      <c r="C33" s="113" t="inlineStr">
        <is>
          <t>Connectivity</t>
        </is>
      </c>
    </row>
    <row r="34">
      <c r="A34" s="112" t="inlineStr">
        <is>
          <t>SVC000062</t>
        </is>
      </c>
      <c r="B34" s="112" t="inlineStr">
        <is>
          <t>SD Card Reader Repair</t>
        </is>
      </c>
      <c r="C34" s="112" t="inlineStr">
        <is>
          <t>Connectivity</t>
        </is>
      </c>
    </row>
    <row r="35">
      <c r="A35" s="113" t="inlineStr">
        <is>
          <t>SVC000065</t>
        </is>
      </c>
      <c r="B35" s="113" t="inlineStr">
        <is>
          <t>USB-C Port Repair</t>
        </is>
      </c>
      <c r="C35" s="113" t="inlineStr">
        <is>
          <t>Ports</t>
        </is>
      </c>
    </row>
    <row r="36">
      <c r="A36" s="113" t="inlineStr">
        <is>
          <t>SVC000073</t>
        </is>
      </c>
      <c r="B36" s="113" t="inlineStr">
        <is>
          <t>Screen Protector Installation</t>
        </is>
      </c>
      <c r="C36" s="113" t="inlineStr">
        <is>
          <t>Accessories</t>
        </is>
      </c>
    </row>
    <row r="37">
      <c r="A37" s="112" t="inlineStr">
        <is>
          <t>SVC000074</t>
        </is>
      </c>
      <c r="B37" s="112" t="inlineStr">
        <is>
          <t>Case Installation</t>
        </is>
      </c>
      <c r="C37" s="112" t="inlineStr">
        <is>
          <t>Accessories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Ryan Brown</dc:creator>
  <dcterms:created xsi:type="dcterms:W3CDTF">2026-07-19T02:48:38Z</dcterms:created>
  <dcterms:modified xsi:type="dcterms:W3CDTF">2026-08-08T21:00:17Z</dcterms:modified>
  <cp:lastModifiedBy>Ryan Brown</cp:lastModifiedBy>
</cp:coreProperties>
</file>