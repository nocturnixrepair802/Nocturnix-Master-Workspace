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comments1.xml" ContentType="application/vnd.openxmlformats-officedocument.spreadsheetml.comments+xml"/>
  <Override PartName="/xl/tables/table72.xml" ContentType="application/vnd.openxmlformats-officedocument.spreadsheetml.table+xml"/>
  <Override PartName="/xl/comments2.xml" ContentType="application/vnd.openxmlformats-officedocument.spreadsheetml.comments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s\Nocturnix Repair Platform\Data\"/>
    </mc:Choice>
  </mc:AlternateContent>
  <xr:revisionPtr revIDLastSave="0" documentId="13_ncr:1_{1F0B74E9-4A64-4E17-AE6C-3B2AFED9E03F}" xr6:coauthVersionLast="47" xr6:coauthVersionMax="47" xr10:uidLastSave="{00000000-0000-0000-0000-000000000000}"/>
  <bookViews>
    <workbookView xWindow="30612" yWindow="2916" windowWidth="23256" windowHeight="12456" tabRatio="780" firstSheet="5" activeTab="11" xr2:uid="{81A830C4-8AF6-4047-B4C8-B44DBD8DBE87}"/>
  </bookViews>
  <sheets>
    <sheet name="Table of Contents" sheetId="35" r:id="rId1"/>
    <sheet name="00 Dashboard" sheetId="2" r:id="rId2"/>
    <sheet name="01 Documentation" sheetId="1" r:id="rId3"/>
    <sheet name="02 Configuration" sheetId="3" r:id="rId4"/>
    <sheet name="03 Lookup Lists" sheetId="5" r:id="rId5"/>
    <sheet name="Customer System" sheetId="6" r:id="rId6"/>
    <sheet name="10 Customers" sheetId="7" r:id="rId7"/>
    <sheet name="11 Customer Devices" sheetId="8" r:id="rId8"/>
    <sheet name="12 Addresses" sheetId="9" r:id="rId9"/>
    <sheet name="13 Communications" sheetId="10" r:id="rId10"/>
    <sheet name="Repair System" sheetId="11" r:id="rId11"/>
    <sheet name="20 Repair Tickets" sheetId="12" r:id="rId12"/>
    <sheet name="21 Diagnostics" sheetId="13" r:id="rId13"/>
    <sheet name="22 Repair Notes" sheetId="14" r:id="rId14"/>
    <sheet name="23 Parts Used" sheetId="15" r:id="rId15"/>
    <sheet name="24 Quality Control" sheetId="16" r:id="rId16"/>
    <sheet name="25 Repair Timeline" sheetId="17" r:id="rId17"/>
    <sheet name="Catalog System" sheetId="18" r:id="rId18"/>
    <sheet name="30 Manufacturers" sheetId="25" r:id="rId19"/>
    <sheet name="31 Device Families" sheetId="26" r:id="rId20"/>
    <sheet name="32 Devices" sheetId="21" r:id="rId21"/>
    <sheet name="33 Service Types" sheetId="22" r:id="rId22"/>
    <sheet name="34 Master Services" sheetId="23" r:id="rId23"/>
    <sheet name="35 Compatibility Matrix" sheetId="24" r:id="rId24"/>
    <sheet name="Inventory" sheetId="34" r:id="rId25"/>
    <sheet name="40 Parts" sheetId="36" r:id="rId26"/>
    <sheet name="41 Inventory" sheetId="37" r:id="rId27"/>
    <sheet name="42 Suppliers" sheetId="27" r:id="rId28"/>
    <sheet name="43 Purchase Orders" sheetId="38" r:id="rId29"/>
    <sheet name="Financial" sheetId="28" r:id="rId30"/>
    <sheet name="50 Pricing" sheetId="29" r:id="rId31"/>
    <sheet name="51 Labor" sheetId="30" r:id="rId32"/>
    <sheet name="52 Estimates" sheetId="31" r:id="rId33"/>
    <sheet name="53 Invoices" sheetId="32" r:id="rId34"/>
    <sheet name="54 Payments" sheetId="33" r:id="rId35"/>
    <sheet name="Reports" sheetId="39" r:id="rId36"/>
    <sheet name="60.1 Business Analytics" sheetId="41" r:id="rId37"/>
    <sheet name="60.2 Customer Analytics" sheetId="42" r:id="rId38"/>
    <sheet name="61.1 Business Reports" sheetId="43" r:id="rId39"/>
    <sheet name="61.2 Financial Reports" sheetId="44" r:id="rId40"/>
    <sheet name="62 Repair Statistics" sheetId="45" r:id="rId41"/>
  </sheets>
  <externalReferences>
    <externalReference r:id="rId42"/>
    <externalReference r:id="rId43"/>
  </externalReferences>
  <definedNames>
    <definedName name="_xlnm._FilterDatabase" localSheetId="1" hidden="1">'00 Dashboard'!$A$1:$L$1</definedName>
    <definedName name="Audio" localSheetId="25">#REF!</definedName>
    <definedName name="Audio" localSheetId="26">#REF!</definedName>
    <definedName name="Audio" localSheetId="27">#REF!</definedName>
    <definedName name="Battery" localSheetId="25">#REF!</definedName>
    <definedName name="Battery" localSheetId="26">#REF!</definedName>
    <definedName name="Battery" localSheetId="27">#REF!</definedName>
    <definedName name="Buttons" localSheetId="25">#REF!</definedName>
    <definedName name="Buttons" localSheetId="26">#REF!</definedName>
    <definedName name="Buttons" localSheetId="27">#REF!</definedName>
    <definedName name="Camera" localSheetId="25">#REF!</definedName>
    <definedName name="Camera" localSheetId="26">#REF!</definedName>
    <definedName name="Camera" localSheetId="27">#REF!</definedName>
    <definedName name="Charging" localSheetId="25">#REF!</definedName>
    <definedName name="Charging" localSheetId="26">#REF!</definedName>
    <definedName name="Charging" localSheetId="27">#REF!</definedName>
    <definedName name="Cleaning" localSheetId="25">#REF!</definedName>
    <definedName name="Cleaning" localSheetId="26">#REF!</definedName>
    <definedName name="Cleaning" localSheetId="27">#REF!</definedName>
    <definedName name="Data_Recovery" localSheetId="25">#REF!</definedName>
    <definedName name="Data_Recovery" localSheetId="26">#REF!</definedName>
    <definedName name="Data_Recovery" localSheetId="27">#REF!</definedName>
    <definedName name="Device_Family_Code" localSheetId="25">[1]!tblDeviceFamiliesV2[Device Family]</definedName>
    <definedName name="Device_Family_Code" localSheetId="26">[1]!tblDeviceFamiliesV2[Device Family]</definedName>
    <definedName name="Device_Family_Code" localSheetId="27">[1]!tblDeviceFamiliesV2[Device Family]</definedName>
    <definedName name="Device_Family_Code" localSheetId="28">[1]!tblDeviceFamiliesV2[Device Family]</definedName>
    <definedName name="Device_Family_Code" localSheetId="30">[1]!tblDeviceFamiliesV2[Device Family]</definedName>
    <definedName name="Device_Family_Code" localSheetId="32">[1]!tblDeviceFamiliesV2[Device Family]</definedName>
    <definedName name="Device_Family_Code" localSheetId="33">[1]!tblDeviceFamiliesV2[Device Family]</definedName>
    <definedName name="Device_Family_Code" localSheetId="34">[1]!tblDeviceFamiliesV2[Device Family]</definedName>
    <definedName name="Device_Family_Code" localSheetId="38">[1]!tblDeviceFamiliesV2[Device Family]</definedName>
    <definedName name="Device_Family_Code" localSheetId="39">[1]!tblDeviceFamiliesV2[Device Family]</definedName>
    <definedName name="Device_Family_Code" localSheetId="40">[1]!tblDeviceFamiliesV2[Device Family]</definedName>
    <definedName name="Device_Family_Code">tblDeviceCatalog[Device Family]</definedName>
    <definedName name="Device_Family_Code_New">[1]!tblDeviceFamiliesV2[Device Family]</definedName>
    <definedName name="Diagnostics" localSheetId="25">#REF!</definedName>
    <definedName name="Diagnostics" localSheetId="26">#REF!</definedName>
    <definedName name="Diagnostics" localSheetId="27">#REF!</definedName>
    <definedName name="Display" localSheetId="25">#REF!</definedName>
    <definedName name="Display" localSheetId="26">#REF!</definedName>
    <definedName name="Display" localSheetId="27">#REF!</definedName>
    <definedName name="Housing" localSheetId="25">#REF!</definedName>
    <definedName name="Housing" localSheetId="26">#REF!</definedName>
    <definedName name="Housing" localSheetId="27">#REF!</definedName>
    <definedName name="IstBoolean" localSheetId="25">#REF!</definedName>
    <definedName name="IstBoolean" localSheetId="26">#REF!</definedName>
    <definedName name="IstBoolean" localSheetId="27">#REF!</definedName>
    <definedName name="IstBoolean">'[2]120.Helper'!$A$8:$A$9</definedName>
    <definedName name="IstDeviceFamilies" localSheetId="25">[1]!tblDeviceFamiliesV2[Device Family Code]</definedName>
    <definedName name="IstDeviceFamilies" localSheetId="26">[1]!tblDeviceFamiliesV2[Device Family Code]</definedName>
    <definedName name="IstDeviceFamilies" localSheetId="27">[1]!tblDeviceFamiliesV2[Device Family Code]</definedName>
    <definedName name="IstDeviceFamilies" localSheetId="28">[1]!tblDeviceFamiliesV2[Device Family Code]</definedName>
    <definedName name="IstDeviceFamilies" localSheetId="30">[1]!tblDeviceFamiliesV2[Device Family Code]</definedName>
    <definedName name="IstDeviceFamilies" localSheetId="32">[1]!tblDeviceFamiliesV2[Device Family Code]</definedName>
    <definedName name="IstDeviceFamilies" localSheetId="33">[1]!tblDeviceFamiliesV2[Device Family Code]</definedName>
    <definedName name="IstDeviceFamilies" localSheetId="34">[1]!tblDeviceFamiliesV2[Device Family Code]</definedName>
    <definedName name="IstDeviceFamilies" localSheetId="38">[1]!tblDeviceFamiliesV2[Device Family Code]</definedName>
    <definedName name="IstDeviceFamilies" localSheetId="39">[1]!tblDeviceFamiliesV2[Device Family Code]</definedName>
    <definedName name="IstDeviceFamilies" localSheetId="40">[1]!tblDeviceFamiliesV2[Device Family Code]</definedName>
    <definedName name="IstDeviceFamilies">tblDeviceCatalog[Device Family Code]</definedName>
    <definedName name="IstServiceCategories" localSheetId="25">#REF!</definedName>
    <definedName name="IstServiceCategories" localSheetId="26">#REF!</definedName>
    <definedName name="IstServiceCategories" localSheetId="27">#REF!</definedName>
    <definedName name="IstServiceNames" localSheetId="25">#REF!</definedName>
    <definedName name="IstServiceNames" localSheetId="26">#REF!</definedName>
    <definedName name="IstServiceNames" localSheetId="27">#REF!</definedName>
    <definedName name="IstServiceNames">#REF!</definedName>
    <definedName name="LookupGroupIDs">tblLookupCatalogID[LookupGroupID]</definedName>
    <definedName name="Manufacturer_ID" localSheetId="19">[1]!tblManufacturersV1[[#All],[Manufacturer ID]]</definedName>
    <definedName name="Manufacturer_ID" localSheetId="25">[1]!tblManufacturersV1[[#All],[Manufacturer ID]]</definedName>
    <definedName name="Manufacturer_ID" localSheetId="27">[1]!tblManufacturersV1[[#All],[Manufacturer ID]]</definedName>
    <definedName name="Manufacturer_ID">tblManufacturerCatalog[[#All],[Manufacturer ID]]</definedName>
    <definedName name="Motherboard" localSheetId="25">#REF!</definedName>
    <definedName name="Motherboard" localSheetId="26">#REF!</definedName>
    <definedName name="Motherboard" localSheetId="27">#REF!</definedName>
    <definedName name="Repair_Type" localSheetId="25">#REF!</definedName>
    <definedName name="Repair_Type" localSheetId="26">#REF!</definedName>
    <definedName name="Repair_Type" localSheetId="27">#REF!</definedName>
    <definedName name="Service_ID" localSheetId="18">[1]!tblMasterServicesV2[Service ID]</definedName>
    <definedName name="Service_ID" localSheetId="19">[1]!tblMasterServicesV2[Service ID]</definedName>
    <definedName name="Service_ID" localSheetId="23">[1]!tblMasterServicesV2[Service ID]</definedName>
    <definedName name="Service_ID" localSheetId="25">[1]!tblMasterServicesV2[Service ID]</definedName>
    <definedName name="Service_ID" localSheetId="26">[1]!tblMasterServicesV2[Service ID]</definedName>
    <definedName name="Service_ID" localSheetId="27">[1]!tblMasterServicesV2[Service ID]</definedName>
    <definedName name="Service_ID" localSheetId="28">[1]!tblMasterServicesV2[Service ID]</definedName>
    <definedName name="Service_ID" localSheetId="30">[1]!tblMasterServicesV2[Service ID]</definedName>
    <definedName name="Service_ID" localSheetId="32">[1]!tblMasterServicesV2[Service ID]</definedName>
    <definedName name="Service_ID" localSheetId="33">[1]!tblMasterServicesV2[Service ID]</definedName>
    <definedName name="Service_ID" localSheetId="34">[1]!tblMasterServicesV2[Service ID]</definedName>
    <definedName name="Service_ID" localSheetId="38">[1]!tblMasterServicesV2[Service ID]</definedName>
    <definedName name="Service_ID" localSheetId="39">[1]!tblMasterServicesV2[Service ID]</definedName>
    <definedName name="Service_ID" localSheetId="40">[1]!tblMasterServicesV2[Service ID]</definedName>
    <definedName name="Service_ID">tblMasterServices[Service ID]</definedName>
    <definedName name="Service_Type" localSheetId="25">#REF!</definedName>
    <definedName name="Service_Type" localSheetId="26">#REF!</definedName>
    <definedName name="Service_Type" localSheetId="27">#REF!</definedName>
    <definedName name="Software" localSheetId="25">#REF!</definedName>
    <definedName name="Software" localSheetId="26">#REF!</definedName>
    <definedName name="Software" localSheetId="27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28" i="29" l="1"/>
  <c r="E29" i="29"/>
  <c r="F29" i="29" s="1"/>
  <c r="E30" i="29"/>
  <c r="F30" i="29" s="1"/>
  <c r="E31" i="29"/>
  <c r="F31" i="29" s="1"/>
  <c r="E32" i="29"/>
  <c r="F32" i="29" s="1"/>
  <c r="E33" i="29"/>
  <c r="F33" i="29" s="1"/>
  <c r="I40" i="29"/>
  <c r="J40" i="29" s="1"/>
  <c r="G41" i="29"/>
  <c r="I41" i="29"/>
  <c r="G84" i="24"/>
  <c r="G83" i="24"/>
  <c r="G82" i="24"/>
  <c r="G81" i="24"/>
  <c r="G80" i="24"/>
  <c r="G79" i="24"/>
  <c r="G78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F838" i="21"/>
  <c r="E838" i="21"/>
  <c r="F837" i="21"/>
  <c r="E837" i="21"/>
  <c r="F836" i="21"/>
  <c r="E836" i="21"/>
  <c r="F835" i="21"/>
  <c r="E835" i="21"/>
  <c r="F834" i="21"/>
  <c r="E834" i="21"/>
  <c r="F833" i="21"/>
  <c r="E833" i="21"/>
  <c r="F832" i="21"/>
  <c r="E832" i="21"/>
  <c r="F831" i="21"/>
  <c r="E831" i="21"/>
  <c r="F830" i="21"/>
  <c r="E830" i="21"/>
  <c r="F829" i="21"/>
  <c r="E829" i="21"/>
  <c r="F828" i="21"/>
  <c r="E828" i="21"/>
  <c r="F827" i="21"/>
  <c r="E827" i="21"/>
  <c r="F826" i="21"/>
  <c r="E826" i="21"/>
  <c r="F825" i="21"/>
  <c r="E825" i="21"/>
  <c r="F824" i="21"/>
  <c r="E824" i="21"/>
  <c r="F823" i="21"/>
  <c r="E823" i="21"/>
  <c r="F822" i="21"/>
  <c r="E822" i="21"/>
  <c r="F821" i="21"/>
  <c r="E821" i="21"/>
  <c r="F820" i="21"/>
  <c r="E820" i="21"/>
  <c r="F819" i="21"/>
  <c r="E819" i="21"/>
  <c r="F818" i="21"/>
  <c r="E818" i="21"/>
  <c r="F817" i="21"/>
  <c r="E817" i="21"/>
  <c r="F816" i="21"/>
  <c r="E816" i="21"/>
  <c r="F815" i="21"/>
  <c r="E815" i="21"/>
  <c r="F814" i="21"/>
  <c r="E814" i="21"/>
  <c r="F813" i="21"/>
  <c r="E813" i="21"/>
  <c r="F812" i="21"/>
  <c r="E812" i="21"/>
  <c r="F811" i="21"/>
  <c r="E811" i="21"/>
  <c r="F810" i="21"/>
  <c r="E810" i="21"/>
  <c r="F809" i="21"/>
  <c r="E809" i="21"/>
  <c r="F808" i="21"/>
  <c r="E808" i="21"/>
  <c r="F807" i="21"/>
  <c r="E807" i="21"/>
  <c r="F806" i="21"/>
  <c r="E806" i="21"/>
  <c r="F805" i="21"/>
  <c r="E805" i="21"/>
  <c r="F804" i="21"/>
  <c r="E804" i="21"/>
  <c r="F803" i="21"/>
  <c r="E803" i="21"/>
  <c r="F802" i="21"/>
  <c r="E802" i="21"/>
  <c r="F801" i="21"/>
  <c r="E801" i="21"/>
  <c r="F800" i="21"/>
  <c r="E800" i="21"/>
  <c r="F799" i="21"/>
  <c r="E799" i="21"/>
  <c r="F798" i="21"/>
  <c r="E798" i="21"/>
  <c r="F797" i="21"/>
  <c r="E797" i="21"/>
  <c r="F796" i="21"/>
  <c r="E796" i="21"/>
  <c r="F795" i="21"/>
  <c r="E795" i="21"/>
  <c r="F794" i="21"/>
  <c r="E794" i="21"/>
  <c r="F793" i="21"/>
  <c r="E793" i="21"/>
  <c r="F792" i="21"/>
  <c r="E792" i="21"/>
  <c r="F791" i="21"/>
  <c r="E791" i="21"/>
  <c r="F790" i="21"/>
  <c r="E790" i="21"/>
  <c r="F789" i="21"/>
  <c r="E789" i="21"/>
  <c r="F788" i="21"/>
  <c r="E788" i="21"/>
  <c r="F787" i="21"/>
  <c r="E787" i="21"/>
  <c r="F786" i="21"/>
  <c r="E786" i="21"/>
  <c r="F785" i="21"/>
  <c r="E785" i="21"/>
  <c r="F784" i="21"/>
  <c r="E784" i="21"/>
  <c r="F783" i="21"/>
  <c r="E783" i="21"/>
  <c r="F782" i="21"/>
  <c r="E782" i="21"/>
  <c r="F781" i="21"/>
  <c r="E781" i="21"/>
  <c r="F780" i="21"/>
  <c r="E780" i="21"/>
  <c r="F779" i="21"/>
  <c r="E779" i="21"/>
  <c r="F778" i="21"/>
  <c r="E778" i="21"/>
  <c r="F777" i="21"/>
  <c r="E777" i="21"/>
  <c r="F776" i="21"/>
  <c r="E776" i="21"/>
  <c r="F775" i="21"/>
  <c r="E775" i="21"/>
  <c r="F774" i="21"/>
  <c r="E774" i="21"/>
  <c r="F773" i="21"/>
  <c r="E773" i="21"/>
  <c r="F772" i="21"/>
  <c r="E772" i="21"/>
  <c r="F771" i="21"/>
  <c r="E771" i="21"/>
  <c r="F770" i="21"/>
  <c r="E770" i="21"/>
  <c r="F769" i="21"/>
  <c r="E769" i="21"/>
  <c r="F768" i="21"/>
  <c r="E768" i="21"/>
  <c r="F767" i="21"/>
  <c r="E767" i="21"/>
  <c r="F766" i="21"/>
  <c r="E766" i="21"/>
  <c r="F765" i="21"/>
  <c r="E765" i="21"/>
  <c r="F764" i="21"/>
  <c r="E764" i="21"/>
  <c r="F763" i="21"/>
  <c r="E763" i="21"/>
  <c r="F762" i="21"/>
  <c r="E762" i="21"/>
  <c r="F761" i="21"/>
  <c r="E761" i="21"/>
  <c r="F760" i="21"/>
  <c r="E760" i="21"/>
  <c r="F759" i="21"/>
  <c r="E759" i="21"/>
  <c r="F758" i="21"/>
  <c r="E758" i="21"/>
  <c r="F757" i="21"/>
  <c r="E757" i="21"/>
  <c r="F756" i="21"/>
  <c r="E756" i="21"/>
  <c r="F755" i="21"/>
  <c r="E755" i="21"/>
  <c r="F754" i="21"/>
  <c r="E754" i="21"/>
  <c r="F753" i="21"/>
  <c r="E753" i="21"/>
  <c r="F752" i="21"/>
  <c r="E752" i="21"/>
  <c r="F751" i="21"/>
  <c r="E751" i="21"/>
  <c r="F750" i="21"/>
  <c r="E750" i="21"/>
  <c r="F749" i="21"/>
  <c r="E749" i="21"/>
  <c r="F748" i="21"/>
  <c r="E748" i="21"/>
  <c r="F747" i="21"/>
  <c r="E747" i="21"/>
  <c r="F746" i="21"/>
  <c r="E746" i="21"/>
  <c r="F745" i="21"/>
  <c r="E745" i="21"/>
  <c r="F744" i="21"/>
  <c r="E744" i="21"/>
  <c r="F743" i="21"/>
  <c r="E743" i="21"/>
  <c r="F742" i="21"/>
  <c r="E742" i="21"/>
  <c r="F741" i="21"/>
  <c r="E741" i="21"/>
  <c r="F740" i="21"/>
  <c r="E740" i="21"/>
  <c r="F739" i="21"/>
  <c r="E739" i="21"/>
  <c r="F738" i="21"/>
  <c r="E738" i="21"/>
  <c r="F737" i="21"/>
  <c r="E737" i="21"/>
  <c r="F736" i="21"/>
  <c r="E736" i="21"/>
  <c r="F735" i="21"/>
  <c r="E735" i="21"/>
  <c r="F734" i="21"/>
  <c r="E734" i="21"/>
  <c r="F733" i="21"/>
  <c r="E733" i="21"/>
  <c r="F732" i="21"/>
  <c r="E732" i="21"/>
  <c r="F731" i="21"/>
  <c r="E731" i="21"/>
  <c r="F730" i="21"/>
  <c r="E730" i="21"/>
  <c r="F729" i="21"/>
  <c r="E729" i="21"/>
  <c r="F728" i="21"/>
  <c r="E728" i="21"/>
  <c r="F727" i="21"/>
  <c r="E727" i="21"/>
  <c r="F726" i="21"/>
  <c r="E726" i="21"/>
  <c r="F725" i="21"/>
  <c r="E725" i="21"/>
  <c r="F724" i="21"/>
  <c r="E724" i="21"/>
  <c r="F723" i="21"/>
  <c r="E723" i="21"/>
  <c r="F722" i="21"/>
  <c r="E722" i="21"/>
  <c r="F721" i="21"/>
  <c r="E721" i="21"/>
  <c r="F720" i="21"/>
  <c r="E720" i="21"/>
  <c r="F719" i="21"/>
  <c r="E719" i="21"/>
  <c r="F718" i="21"/>
  <c r="E718" i="21"/>
  <c r="F717" i="21"/>
  <c r="E717" i="21"/>
  <c r="F716" i="21"/>
  <c r="E716" i="21"/>
  <c r="F715" i="21"/>
  <c r="E715" i="21"/>
  <c r="F714" i="21"/>
  <c r="E714" i="21"/>
  <c r="F713" i="21"/>
  <c r="E713" i="21"/>
  <c r="F712" i="21"/>
  <c r="E712" i="21"/>
  <c r="F711" i="21"/>
  <c r="E711" i="21"/>
  <c r="F710" i="21"/>
  <c r="E710" i="21"/>
  <c r="F709" i="21"/>
  <c r="E709" i="21"/>
  <c r="F708" i="21"/>
  <c r="E708" i="21"/>
  <c r="F707" i="21"/>
  <c r="E707" i="21"/>
  <c r="F706" i="21"/>
  <c r="E706" i="21"/>
  <c r="F705" i="21"/>
  <c r="E705" i="21"/>
  <c r="F704" i="21"/>
  <c r="E704" i="21"/>
  <c r="F703" i="21"/>
  <c r="E703" i="21"/>
  <c r="F702" i="21"/>
  <c r="E702" i="21"/>
  <c r="F701" i="21"/>
  <c r="E701" i="21"/>
  <c r="F700" i="21"/>
  <c r="E700" i="21"/>
  <c r="F699" i="21"/>
  <c r="E699" i="21"/>
  <c r="F698" i="21"/>
  <c r="E698" i="21"/>
  <c r="F697" i="21"/>
  <c r="E697" i="21"/>
  <c r="F696" i="21"/>
  <c r="E696" i="21"/>
  <c r="F695" i="21"/>
  <c r="E695" i="21"/>
  <c r="F694" i="21"/>
  <c r="E694" i="21"/>
  <c r="F693" i="21"/>
  <c r="E693" i="21"/>
  <c r="F692" i="21"/>
  <c r="E692" i="21"/>
  <c r="F691" i="21"/>
  <c r="E691" i="21"/>
  <c r="F690" i="21"/>
  <c r="E690" i="21"/>
  <c r="F689" i="21"/>
  <c r="E689" i="21"/>
  <c r="F688" i="21"/>
  <c r="E688" i="21"/>
  <c r="F687" i="21"/>
  <c r="E687" i="21"/>
  <c r="F686" i="21"/>
  <c r="E686" i="21"/>
  <c r="F685" i="21"/>
  <c r="E685" i="21"/>
  <c r="F684" i="21"/>
  <c r="E684" i="21"/>
  <c r="F683" i="21"/>
  <c r="E683" i="21"/>
  <c r="F682" i="21"/>
  <c r="E682" i="21"/>
  <c r="F681" i="21"/>
  <c r="E681" i="21"/>
  <c r="F680" i="21"/>
  <c r="E680" i="21"/>
  <c r="F679" i="21"/>
  <c r="E679" i="21"/>
  <c r="F678" i="21"/>
  <c r="E678" i="21"/>
  <c r="F677" i="21"/>
  <c r="E677" i="21"/>
  <c r="F676" i="21"/>
  <c r="E676" i="21"/>
  <c r="F675" i="21"/>
  <c r="E675" i="21"/>
  <c r="F674" i="21"/>
  <c r="E674" i="21"/>
  <c r="F673" i="21"/>
  <c r="E673" i="21"/>
  <c r="F672" i="21"/>
  <c r="E672" i="21"/>
  <c r="F671" i="21"/>
  <c r="E671" i="21"/>
  <c r="F670" i="21"/>
  <c r="E670" i="21"/>
  <c r="F669" i="21"/>
  <c r="E669" i="21"/>
  <c r="F668" i="21"/>
  <c r="E668" i="21"/>
  <c r="F667" i="21"/>
  <c r="E667" i="21"/>
  <c r="F666" i="21"/>
  <c r="E666" i="21"/>
  <c r="F665" i="21"/>
  <c r="E665" i="21"/>
  <c r="F664" i="21"/>
  <c r="E664" i="21"/>
  <c r="F663" i="21"/>
  <c r="E663" i="21"/>
  <c r="F662" i="21"/>
  <c r="E662" i="21"/>
  <c r="F661" i="21"/>
  <c r="E661" i="21"/>
  <c r="F660" i="21"/>
  <c r="E660" i="21"/>
  <c r="F659" i="21"/>
  <c r="E659" i="21"/>
  <c r="F658" i="21"/>
  <c r="E658" i="21"/>
  <c r="F657" i="21"/>
  <c r="E657" i="21"/>
  <c r="F656" i="21"/>
  <c r="E656" i="21"/>
  <c r="F655" i="21"/>
  <c r="E655" i="21"/>
  <c r="F654" i="21"/>
  <c r="E654" i="21"/>
  <c r="F653" i="21"/>
  <c r="E653" i="21"/>
  <c r="F652" i="21"/>
  <c r="E652" i="21"/>
  <c r="F651" i="21"/>
  <c r="E651" i="21"/>
  <c r="F650" i="21"/>
  <c r="E650" i="21"/>
  <c r="F649" i="21"/>
  <c r="E649" i="21"/>
  <c r="F648" i="21"/>
  <c r="E648" i="21"/>
  <c r="F647" i="21"/>
  <c r="E647" i="21"/>
  <c r="F646" i="21"/>
  <c r="E646" i="21"/>
  <c r="F645" i="21"/>
  <c r="E645" i="21"/>
  <c r="F644" i="21"/>
  <c r="E644" i="21"/>
  <c r="F643" i="21"/>
  <c r="E643" i="21"/>
  <c r="F642" i="21"/>
  <c r="E642" i="21"/>
  <c r="F641" i="21"/>
  <c r="E641" i="21"/>
  <c r="F640" i="21"/>
  <c r="E640" i="21"/>
  <c r="F639" i="21"/>
  <c r="E639" i="21"/>
  <c r="F638" i="21"/>
  <c r="E638" i="21"/>
  <c r="F637" i="21"/>
  <c r="E637" i="21"/>
  <c r="F636" i="21"/>
  <c r="E636" i="21"/>
  <c r="F635" i="21"/>
  <c r="E635" i="21"/>
  <c r="F634" i="21"/>
  <c r="E634" i="21"/>
  <c r="F633" i="21"/>
  <c r="E633" i="21"/>
  <c r="F632" i="21"/>
  <c r="E632" i="21"/>
  <c r="F631" i="21"/>
  <c r="E631" i="21"/>
  <c r="F630" i="21"/>
  <c r="E630" i="21"/>
  <c r="F629" i="21"/>
  <c r="E629" i="21"/>
  <c r="F628" i="21"/>
  <c r="E628" i="21"/>
  <c r="F627" i="21"/>
  <c r="E627" i="21"/>
  <c r="F626" i="21"/>
  <c r="E626" i="21"/>
  <c r="F625" i="21"/>
  <c r="E625" i="21"/>
  <c r="F624" i="21"/>
  <c r="E624" i="21"/>
  <c r="F623" i="21"/>
  <c r="E623" i="21"/>
  <c r="F622" i="21"/>
  <c r="E622" i="21"/>
  <c r="F621" i="21"/>
  <c r="E621" i="21"/>
  <c r="F620" i="21"/>
  <c r="E620" i="21"/>
  <c r="F619" i="21"/>
  <c r="E619" i="21"/>
  <c r="F618" i="21"/>
  <c r="E618" i="21"/>
  <c r="F617" i="21"/>
  <c r="E617" i="21"/>
  <c r="F616" i="21"/>
  <c r="E616" i="21"/>
  <c r="F615" i="21"/>
  <c r="E615" i="21"/>
  <c r="F614" i="21"/>
  <c r="E614" i="21"/>
  <c r="F613" i="21"/>
  <c r="E613" i="21"/>
  <c r="F612" i="21"/>
  <c r="E612" i="21"/>
  <c r="F611" i="21"/>
  <c r="E611" i="21"/>
  <c r="F610" i="21"/>
  <c r="E610" i="21"/>
  <c r="F609" i="21"/>
  <c r="E609" i="21"/>
  <c r="F608" i="21"/>
  <c r="E608" i="21"/>
  <c r="F607" i="21"/>
  <c r="E607" i="21"/>
  <c r="F606" i="21"/>
  <c r="E606" i="21"/>
  <c r="F605" i="21"/>
  <c r="E605" i="21"/>
  <c r="F604" i="21"/>
  <c r="E604" i="21"/>
  <c r="F603" i="21"/>
  <c r="E603" i="21"/>
  <c r="F602" i="21"/>
  <c r="E602" i="21"/>
  <c r="F601" i="21"/>
  <c r="E601" i="21"/>
  <c r="F600" i="21"/>
  <c r="E600" i="21"/>
  <c r="F599" i="21"/>
  <c r="E599" i="21"/>
  <c r="F598" i="21"/>
  <c r="E598" i="21"/>
  <c r="F597" i="21"/>
  <c r="E597" i="21"/>
  <c r="F596" i="21"/>
  <c r="E596" i="21"/>
  <c r="F595" i="21"/>
  <c r="E595" i="21"/>
  <c r="F594" i="21"/>
  <c r="E594" i="21"/>
  <c r="F593" i="21"/>
  <c r="E593" i="21"/>
  <c r="F592" i="21"/>
  <c r="E592" i="21"/>
  <c r="F591" i="21"/>
  <c r="E591" i="21"/>
  <c r="F590" i="21"/>
  <c r="E590" i="21"/>
  <c r="F589" i="21"/>
  <c r="E589" i="21"/>
  <c r="F588" i="21"/>
  <c r="E588" i="21"/>
  <c r="F587" i="21"/>
  <c r="E587" i="21"/>
  <c r="F586" i="21"/>
  <c r="E586" i="21"/>
  <c r="F585" i="21"/>
  <c r="E585" i="21"/>
  <c r="F584" i="21"/>
  <c r="E584" i="21"/>
  <c r="F583" i="21"/>
  <c r="E583" i="21"/>
  <c r="F582" i="21"/>
  <c r="E582" i="21"/>
  <c r="F581" i="21"/>
  <c r="E581" i="21"/>
  <c r="F580" i="21"/>
  <c r="E580" i="21"/>
  <c r="F579" i="21"/>
  <c r="E579" i="21"/>
  <c r="F578" i="21"/>
  <c r="E578" i="21"/>
  <c r="F577" i="21"/>
  <c r="E577" i="21"/>
  <c r="F576" i="21"/>
  <c r="E576" i="21"/>
  <c r="F575" i="21"/>
  <c r="E575" i="21"/>
  <c r="F574" i="21"/>
  <c r="E574" i="21"/>
  <c r="F573" i="21"/>
  <c r="E573" i="21"/>
  <c r="F572" i="21"/>
  <c r="E572" i="21"/>
  <c r="F571" i="21"/>
  <c r="E571" i="21"/>
  <c r="F570" i="21"/>
  <c r="E570" i="21"/>
  <c r="F569" i="21"/>
  <c r="E569" i="21"/>
  <c r="F568" i="21"/>
  <c r="E568" i="21"/>
  <c r="F567" i="21"/>
  <c r="E567" i="21"/>
  <c r="F566" i="21"/>
  <c r="E566" i="21"/>
  <c r="F565" i="21"/>
  <c r="E565" i="21"/>
  <c r="F564" i="21"/>
  <c r="E564" i="21"/>
  <c r="F563" i="21"/>
  <c r="E563" i="21"/>
  <c r="F562" i="21"/>
  <c r="E562" i="21"/>
  <c r="F561" i="21"/>
  <c r="E561" i="21"/>
  <c r="F560" i="21"/>
  <c r="E560" i="21"/>
  <c r="F559" i="21"/>
  <c r="E559" i="21"/>
  <c r="F558" i="21"/>
  <c r="E558" i="21"/>
  <c r="F557" i="21"/>
  <c r="E557" i="21"/>
  <c r="F556" i="21"/>
  <c r="E556" i="21"/>
  <c r="F555" i="21"/>
  <c r="E555" i="21"/>
  <c r="F554" i="21"/>
  <c r="E554" i="21"/>
  <c r="F553" i="21"/>
  <c r="E553" i="21"/>
  <c r="F552" i="21"/>
  <c r="E552" i="21"/>
  <c r="F551" i="21"/>
  <c r="E551" i="21"/>
  <c r="F550" i="21"/>
  <c r="E550" i="21"/>
  <c r="F549" i="21"/>
  <c r="E549" i="21"/>
  <c r="F548" i="21"/>
  <c r="E548" i="21"/>
  <c r="F547" i="21"/>
  <c r="E547" i="21"/>
  <c r="F546" i="21"/>
  <c r="E546" i="21"/>
  <c r="F545" i="21"/>
  <c r="E545" i="21"/>
  <c r="F544" i="21"/>
  <c r="E544" i="21"/>
  <c r="F543" i="21"/>
  <c r="E543" i="21"/>
  <c r="F542" i="21"/>
  <c r="E542" i="21"/>
  <c r="F541" i="21"/>
  <c r="E541" i="21"/>
  <c r="F540" i="21"/>
  <c r="E540" i="21"/>
  <c r="F539" i="21"/>
  <c r="E539" i="21"/>
  <c r="F538" i="21"/>
  <c r="E538" i="21"/>
  <c r="F537" i="21"/>
  <c r="E537" i="21"/>
  <c r="F536" i="21"/>
  <c r="E536" i="21"/>
  <c r="F535" i="21"/>
  <c r="E535" i="21"/>
  <c r="F534" i="21"/>
  <c r="E534" i="21"/>
  <c r="F533" i="21"/>
  <c r="E533" i="21"/>
  <c r="F532" i="21"/>
  <c r="E532" i="21"/>
  <c r="F531" i="21"/>
  <c r="E531" i="21"/>
  <c r="F530" i="21"/>
  <c r="E530" i="21"/>
  <c r="F529" i="21"/>
  <c r="E529" i="21"/>
  <c r="F528" i="21"/>
  <c r="E528" i="21"/>
  <c r="F527" i="21"/>
  <c r="E527" i="21"/>
  <c r="F526" i="21"/>
  <c r="E526" i="21"/>
  <c r="F525" i="21"/>
  <c r="E525" i="21"/>
  <c r="F524" i="21"/>
  <c r="E524" i="21"/>
  <c r="F523" i="21"/>
  <c r="E523" i="21"/>
  <c r="F522" i="21"/>
  <c r="E522" i="21"/>
  <c r="F521" i="21"/>
  <c r="E521" i="21"/>
  <c r="F520" i="21"/>
  <c r="E520" i="21"/>
  <c r="F519" i="21"/>
  <c r="E519" i="21"/>
  <c r="F518" i="21"/>
  <c r="E518" i="21"/>
  <c r="F517" i="21"/>
  <c r="E517" i="21"/>
  <c r="F516" i="21"/>
  <c r="E516" i="21"/>
  <c r="F515" i="21"/>
  <c r="E515" i="21"/>
  <c r="F514" i="21"/>
  <c r="E514" i="21"/>
  <c r="F513" i="21"/>
  <c r="E513" i="21"/>
  <c r="F512" i="21"/>
  <c r="E512" i="21"/>
  <c r="F511" i="21"/>
  <c r="E511" i="21"/>
  <c r="F510" i="21"/>
  <c r="E510" i="21"/>
  <c r="F509" i="21"/>
  <c r="E509" i="21"/>
  <c r="F508" i="21"/>
  <c r="E508" i="21"/>
  <c r="F507" i="21"/>
  <c r="E507" i="21"/>
  <c r="F506" i="21"/>
  <c r="E506" i="21"/>
  <c r="F505" i="21"/>
  <c r="E505" i="21"/>
  <c r="F504" i="21"/>
  <c r="E504" i="21"/>
  <c r="F503" i="21"/>
  <c r="E503" i="21"/>
  <c r="F502" i="21"/>
  <c r="E502" i="21"/>
  <c r="F501" i="21"/>
  <c r="E501" i="21"/>
  <c r="F500" i="21"/>
  <c r="E500" i="21"/>
  <c r="F499" i="21"/>
  <c r="E499" i="21"/>
  <c r="F498" i="21"/>
  <c r="E498" i="21"/>
  <c r="F497" i="21"/>
  <c r="E497" i="21"/>
  <c r="F496" i="21"/>
  <c r="E496" i="21"/>
  <c r="F495" i="21"/>
  <c r="E495" i="21"/>
  <c r="F494" i="21"/>
  <c r="E494" i="21"/>
  <c r="F493" i="21"/>
  <c r="E493" i="21"/>
  <c r="F492" i="21"/>
  <c r="E492" i="21"/>
  <c r="F491" i="21"/>
  <c r="E491" i="21"/>
  <c r="F490" i="21"/>
  <c r="E490" i="21"/>
  <c r="F489" i="21"/>
  <c r="E489" i="21"/>
  <c r="F488" i="21"/>
  <c r="E488" i="21"/>
  <c r="F487" i="21"/>
  <c r="E487" i="21"/>
  <c r="F486" i="21"/>
  <c r="E486" i="21"/>
  <c r="F485" i="21"/>
  <c r="E485" i="21"/>
  <c r="F484" i="21"/>
  <c r="E484" i="21"/>
  <c r="F483" i="21"/>
  <c r="E483" i="21"/>
  <c r="F482" i="21"/>
  <c r="E482" i="21"/>
  <c r="F481" i="21"/>
  <c r="E481" i="21"/>
  <c r="F480" i="21"/>
  <c r="E480" i="21"/>
  <c r="F479" i="21"/>
  <c r="E479" i="21"/>
  <c r="F478" i="21"/>
  <c r="E478" i="21"/>
  <c r="F477" i="21"/>
  <c r="E477" i="21"/>
  <c r="F476" i="21"/>
  <c r="E476" i="21"/>
  <c r="F475" i="21"/>
  <c r="E475" i="21"/>
  <c r="F474" i="21"/>
  <c r="E474" i="21"/>
  <c r="F473" i="21"/>
  <c r="E473" i="21"/>
  <c r="F472" i="21"/>
  <c r="E472" i="21"/>
  <c r="F471" i="21"/>
  <c r="E471" i="21"/>
  <c r="F470" i="21"/>
  <c r="E470" i="21"/>
  <c r="F469" i="21"/>
  <c r="E469" i="21"/>
  <c r="F468" i="21"/>
  <c r="E468" i="21"/>
  <c r="F467" i="21"/>
  <c r="E467" i="21"/>
  <c r="F466" i="21"/>
  <c r="E466" i="21"/>
  <c r="F465" i="21"/>
  <c r="E465" i="21"/>
  <c r="F464" i="21"/>
  <c r="E464" i="21"/>
  <c r="F463" i="21"/>
  <c r="E463" i="21"/>
  <c r="F462" i="21"/>
  <c r="E462" i="21"/>
  <c r="F461" i="21"/>
  <c r="E461" i="21"/>
  <c r="F460" i="21"/>
  <c r="E460" i="21"/>
  <c r="H459" i="21"/>
  <c r="F459" i="21"/>
  <c r="E459" i="21"/>
  <c r="F458" i="21"/>
  <c r="E458" i="21"/>
  <c r="F457" i="21"/>
  <c r="E457" i="21"/>
  <c r="F456" i="21"/>
  <c r="E456" i="21"/>
  <c r="F455" i="21"/>
  <c r="E455" i="21"/>
  <c r="F454" i="21"/>
  <c r="E454" i="21"/>
  <c r="F453" i="21"/>
  <c r="E453" i="21"/>
  <c r="F452" i="21"/>
  <c r="E452" i="21"/>
  <c r="F451" i="21"/>
  <c r="E451" i="21"/>
  <c r="F450" i="21"/>
  <c r="E450" i="21"/>
  <c r="F449" i="21"/>
  <c r="E449" i="21"/>
  <c r="F448" i="21"/>
  <c r="E448" i="21"/>
  <c r="F447" i="21"/>
  <c r="E447" i="21"/>
  <c r="F446" i="21"/>
  <c r="E446" i="21"/>
  <c r="F445" i="21"/>
  <c r="E445" i="21"/>
  <c r="F444" i="21"/>
  <c r="E444" i="21"/>
  <c r="F443" i="21"/>
  <c r="E443" i="21"/>
  <c r="F442" i="21"/>
  <c r="E442" i="21"/>
  <c r="F441" i="21"/>
  <c r="E441" i="21"/>
  <c r="F440" i="21"/>
  <c r="E440" i="21"/>
  <c r="F439" i="21"/>
  <c r="E439" i="21"/>
  <c r="F438" i="21"/>
  <c r="E438" i="21"/>
  <c r="F437" i="21"/>
  <c r="E437" i="21"/>
  <c r="F436" i="21"/>
  <c r="E436" i="21"/>
  <c r="F435" i="21"/>
  <c r="E435" i="21"/>
  <c r="F434" i="21"/>
  <c r="E434" i="21"/>
  <c r="F433" i="21"/>
  <c r="E433" i="21"/>
  <c r="F432" i="21"/>
  <c r="E432" i="21"/>
  <c r="F431" i="21"/>
  <c r="E431" i="21"/>
  <c r="F430" i="21"/>
  <c r="E430" i="21"/>
  <c r="F429" i="21"/>
  <c r="E429" i="21"/>
  <c r="F428" i="21"/>
  <c r="E428" i="21"/>
  <c r="F427" i="21"/>
  <c r="E427" i="21"/>
  <c r="F426" i="21"/>
  <c r="E426" i="21"/>
  <c r="F425" i="21"/>
  <c r="E425" i="21"/>
  <c r="F424" i="21"/>
  <c r="E424" i="21"/>
  <c r="F423" i="21"/>
  <c r="E423" i="21"/>
  <c r="F422" i="21"/>
  <c r="E422" i="21"/>
  <c r="F421" i="21"/>
  <c r="E421" i="21"/>
  <c r="F420" i="21"/>
  <c r="E420" i="21"/>
  <c r="F419" i="21"/>
  <c r="E419" i="21"/>
  <c r="F418" i="21"/>
  <c r="E418" i="21"/>
  <c r="F417" i="21"/>
  <c r="E417" i="21"/>
  <c r="F416" i="21"/>
  <c r="E416" i="21"/>
  <c r="F415" i="21"/>
  <c r="E415" i="21"/>
  <c r="F414" i="21"/>
  <c r="E414" i="21"/>
  <c r="F413" i="21"/>
  <c r="E413" i="21"/>
  <c r="F412" i="21"/>
  <c r="E412" i="21"/>
  <c r="F411" i="21"/>
  <c r="E411" i="21"/>
  <c r="F410" i="21"/>
  <c r="E410" i="21"/>
  <c r="F409" i="21"/>
  <c r="E409" i="21"/>
  <c r="F408" i="21"/>
  <c r="E408" i="21"/>
  <c r="F407" i="21"/>
  <c r="E407" i="21"/>
  <c r="F406" i="21"/>
  <c r="E406" i="21"/>
  <c r="F405" i="21"/>
  <c r="E405" i="21"/>
  <c r="F404" i="21"/>
  <c r="E404" i="21"/>
  <c r="F403" i="21"/>
  <c r="E403" i="21"/>
  <c r="F402" i="21"/>
  <c r="E402" i="21"/>
  <c r="F401" i="21"/>
  <c r="E401" i="21"/>
  <c r="F400" i="21"/>
  <c r="E400" i="21"/>
  <c r="F399" i="21"/>
  <c r="E399" i="21"/>
  <c r="F398" i="21"/>
  <c r="E398" i="21"/>
  <c r="F397" i="21"/>
  <c r="E397" i="21"/>
  <c r="F396" i="21"/>
  <c r="E396" i="21"/>
  <c r="F395" i="21"/>
  <c r="E395" i="21"/>
  <c r="F394" i="21"/>
  <c r="E394" i="21"/>
  <c r="F393" i="21"/>
  <c r="E393" i="21"/>
  <c r="F392" i="21"/>
  <c r="E392" i="21"/>
  <c r="F391" i="21"/>
  <c r="E391" i="21"/>
  <c r="F390" i="21"/>
  <c r="E390" i="21"/>
  <c r="F389" i="21"/>
  <c r="E389" i="21"/>
  <c r="F388" i="21"/>
  <c r="E388" i="21"/>
  <c r="F387" i="21"/>
  <c r="E387" i="21"/>
  <c r="F386" i="21"/>
  <c r="E386" i="21"/>
  <c r="F385" i="21"/>
  <c r="E385" i="21"/>
  <c r="F384" i="21"/>
  <c r="E384" i="21"/>
  <c r="F383" i="21"/>
  <c r="E383" i="21"/>
  <c r="F382" i="21"/>
  <c r="E382" i="21"/>
  <c r="F381" i="21"/>
  <c r="E381" i="21"/>
  <c r="F380" i="21"/>
  <c r="E380" i="21"/>
  <c r="F379" i="21"/>
  <c r="E379" i="21"/>
  <c r="F378" i="21"/>
  <c r="E378" i="21"/>
  <c r="F377" i="21"/>
  <c r="E377" i="21"/>
  <c r="F376" i="21"/>
  <c r="E376" i="21"/>
  <c r="F375" i="21"/>
  <c r="E375" i="21"/>
  <c r="F374" i="21"/>
  <c r="E374" i="21"/>
  <c r="F373" i="21"/>
  <c r="E373" i="21"/>
  <c r="F372" i="21"/>
  <c r="E372" i="21"/>
  <c r="F371" i="21"/>
  <c r="E371" i="21"/>
  <c r="F370" i="21"/>
  <c r="E370" i="21"/>
  <c r="F369" i="21"/>
  <c r="E369" i="21"/>
  <c r="F368" i="21"/>
  <c r="E368" i="21"/>
  <c r="F367" i="21"/>
  <c r="E367" i="21"/>
  <c r="F366" i="21"/>
  <c r="E366" i="21"/>
  <c r="F365" i="21"/>
  <c r="E365" i="21"/>
  <c r="F364" i="21"/>
  <c r="E364" i="21"/>
  <c r="F363" i="21"/>
  <c r="E363" i="21"/>
  <c r="F362" i="21"/>
  <c r="E362" i="21"/>
  <c r="F361" i="21"/>
  <c r="E361" i="21"/>
  <c r="F360" i="21"/>
  <c r="E360" i="21"/>
  <c r="F359" i="21"/>
  <c r="E359" i="21"/>
  <c r="F358" i="21"/>
  <c r="E358" i="21"/>
  <c r="F357" i="21"/>
  <c r="E357" i="21"/>
  <c r="F356" i="21"/>
  <c r="E356" i="21"/>
  <c r="F355" i="21"/>
  <c r="E355" i="21"/>
  <c r="F354" i="21"/>
  <c r="E354" i="21"/>
  <c r="F353" i="21"/>
  <c r="E353" i="21"/>
  <c r="F352" i="21"/>
  <c r="E352" i="21"/>
  <c r="F351" i="21"/>
  <c r="E351" i="21"/>
  <c r="F350" i="21"/>
  <c r="E350" i="21"/>
  <c r="F349" i="21"/>
  <c r="E349" i="21"/>
  <c r="F348" i="21"/>
  <c r="E348" i="21"/>
  <c r="F347" i="21"/>
  <c r="E347" i="21"/>
  <c r="F346" i="21"/>
  <c r="E346" i="21"/>
  <c r="F345" i="21"/>
  <c r="E345" i="21"/>
  <c r="F344" i="21"/>
  <c r="E344" i="21"/>
  <c r="F343" i="21"/>
  <c r="E343" i="21"/>
  <c r="F342" i="21"/>
  <c r="E342" i="21"/>
  <c r="F341" i="21"/>
  <c r="E341" i="21"/>
  <c r="F340" i="21"/>
  <c r="E340" i="21"/>
  <c r="F339" i="21"/>
  <c r="E339" i="21"/>
  <c r="F338" i="21"/>
  <c r="E338" i="21"/>
  <c r="F337" i="21"/>
  <c r="E337" i="21"/>
  <c r="F336" i="21"/>
  <c r="E336" i="21"/>
  <c r="F335" i="21"/>
  <c r="E335" i="21"/>
  <c r="F334" i="21"/>
  <c r="E334" i="21"/>
  <c r="F333" i="21"/>
  <c r="E333" i="21"/>
  <c r="F332" i="21"/>
  <c r="E332" i="21"/>
  <c r="F331" i="21"/>
  <c r="E331" i="21"/>
  <c r="F330" i="21"/>
  <c r="E330" i="21"/>
  <c r="F329" i="21"/>
  <c r="E329" i="21"/>
  <c r="F328" i="21"/>
  <c r="E328" i="21"/>
  <c r="F327" i="21"/>
  <c r="E327" i="21"/>
  <c r="F326" i="21"/>
  <c r="E326" i="21"/>
  <c r="F325" i="21"/>
  <c r="E325" i="21"/>
  <c r="F324" i="21"/>
  <c r="E324" i="21"/>
  <c r="F323" i="21"/>
  <c r="E323" i="21"/>
  <c r="F322" i="21"/>
  <c r="E322" i="21"/>
  <c r="F321" i="21"/>
  <c r="E321" i="21"/>
  <c r="F320" i="21"/>
  <c r="E320" i="21"/>
  <c r="F319" i="21"/>
  <c r="E319" i="21"/>
  <c r="F318" i="21"/>
  <c r="E318" i="21"/>
  <c r="F317" i="21"/>
  <c r="E317" i="21"/>
  <c r="F316" i="21"/>
  <c r="E316" i="21"/>
  <c r="F315" i="21"/>
  <c r="E315" i="21"/>
  <c r="F314" i="21"/>
  <c r="E314" i="21"/>
  <c r="F313" i="21"/>
  <c r="E313" i="21"/>
  <c r="F312" i="21"/>
  <c r="E312" i="21"/>
  <c r="F311" i="21"/>
  <c r="E311" i="21"/>
  <c r="F310" i="21"/>
  <c r="E310" i="21"/>
  <c r="F309" i="21"/>
  <c r="E309" i="21"/>
  <c r="F308" i="21"/>
  <c r="E308" i="21"/>
  <c r="F307" i="21"/>
  <c r="E307" i="21"/>
  <c r="F306" i="21"/>
  <c r="E306" i="21"/>
  <c r="F305" i="21"/>
  <c r="E305" i="21"/>
  <c r="F304" i="21"/>
  <c r="E304" i="21"/>
  <c r="F303" i="21"/>
  <c r="E303" i="21"/>
  <c r="F302" i="21"/>
  <c r="E302" i="21"/>
  <c r="F301" i="21"/>
  <c r="E301" i="21"/>
  <c r="F300" i="21"/>
  <c r="E300" i="21"/>
  <c r="F299" i="21"/>
  <c r="E299" i="21"/>
  <c r="F298" i="21"/>
  <c r="E298" i="21"/>
  <c r="F297" i="21"/>
  <c r="E297" i="21"/>
  <c r="F296" i="21"/>
  <c r="E296" i="21"/>
  <c r="F295" i="21"/>
  <c r="E295" i="21"/>
  <c r="F294" i="21"/>
  <c r="E294" i="21"/>
  <c r="F293" i="21"/>
  <c r="E293" i="21"/>
  <c r="F292" i="21"/>
  <c r="E292" i="21"/>
  <c r="F291" i="21"/>
  <c r="E291" i="21"/>
  <c r="F290" i="21"/>
  <c r="E290" i="21"/>
  <c r="F289" i="21"/>
  <c r="E289" i="21"/>
  <c r="F288" i="21"/>
  <c r="E288" i="21"/>
  <c r="F287" i="21"/>
  <c r="E287" i="21"/>
  <c r="F286" i="21"/>
  <c r="E286" i="21"/>
  <c r="F285" i="21"/>
  <c r="E285" i="21"/>
  <c r="F284" i="21"/>
  <c r="E284" i="21"/>
  <c r="F283" i="21"/>
  <c r="E283" i="21"/>
  <c r="F282" i="21"/>
  <c r="E282" i="21"/>
  <c r="F281" i="21"/>
  <c r="E281" i="21"/>
  <c r="F280" i="21"/>
  <c r="E280" i="21"/>
  <c r="F279" i="21"/>
  <c r="E279" i="21"/>
  <c r="F278" i="21"/>
  <c r="E278" i="21"/>
  <c r="F277" i="21"/>
  <c r="E277" i="21"/>
  <c r="F276" i="21"/>
  <c r="E276" i="21"/>
  <c r="F275" i="21"/>
  <c r="E275" i="21"/>
  <c r="F274" i="21"/>
  <c r="E274" i="21"/>
  <c r="F273" i="21"/>
  <c r="E273" i="21"/>
  <c r="F272" i="21"/>
  <c r="E272" i="21"/>
  <c r="F271" i="21"/>
  <c r="E271" i="21"/>
  <c r="F270" i="21"/>
  <c r="E270" i="21"/>
  <c r="F269" i="21"/>
  <c r="E269" i="21"/>
  <c r="F268" i="21"/>
  <c r="E268" i="21"/>
  <c r="F267" i="21"/>
  <c r="E267" i="21"/>
  <c r="F266" i="21"/>
  <c r="E266" i="21"/>
  <c r="F265" i="21"/>
  <c r="E265" i="21"/>
  <c r="F264" i="21"/>
  <c r="E264" i="21"/>
  <c r="F263" i="21"/>
  <c r="E263" i="21"/>
  <c r="F262" i="21"/>
  <c r="E262" i="21"/>
  <c r="F261" i="21"/>
  <c r="E261" i="21"/>
  <c r="F260" i="21"/>
  <c r="E260" i="21"/>
  <c r="F259" i="21"/>
  <c r="E259" i="21"/>
  <c r="F258" i="21"/>
  <c r="E258" i="21"/>
  <c r="F257" i="21"/>
  <c r="E257" i="21"/>
  <c r="F256" i="21"/>
  <c r="E256" i="21"/>
  <c r="F255" i="21"/>
  <c r="E255" i="21"/>
  <c r="F254" i="21"/>
  <c r="E254" i="21"/>
  <c r="F253" i="21"/>
  <c r="E253" i="21"/>
  <c r="F252" i="21"/>
  <c r="E252" i="21"/>
  <c r="F251" i="21"/>
  <c r="E251" i="21"/>
  <c r="F250" i="21"/>
  <c r="E250" i="21"/>
  <c r="F249" i="21"/>
  <c r="E249" i="21"/>
  <c r="F248" i="21"/>
  <c r="E248" i="21"/>
  <c r="F247" i="21"/>
  <c r="E247" i="21"/>
  <c r="F246" i="21"/>
  <c r="E246" i="21"/>
  <c r="F245" i="21"/>
  <c r="E245" i="21"/>
  <c r="F244" i="21"/>
  <c r="E244" i="21"/>
  <c r="F243" i="21"/>
  <c r="E243" i="21"/>
  <c r="F242" i="21"/>
  <c r="E242" i="21"/>
  <c r="F241" i="21"/>
  <c r="E241" i="21"/>
  <c r="F240" i="21"/>
  <c r="E240" i="21"/>
  <c r="F239" i="21"/>
  <c r="E239" i="21"/>
  <c r="F238" i="21"/>
  <c r="E238" i="21"/>
  <c r="F237" i="21"/>
  <c r="E237" i="21"/>
  <c r="F236" i="21"/>
  <c r="E236" i="21"/>
  <c r="F235" i="21"/>
  <c r="E235" i="21"/>
  <c r="F234" i="21"/>
  <c r="E234" i="21"/>
  <c r="F233" i="21"/>
  <c r="E233" i="21"/>
  <c r="F232" i="21"/>
  <c r="E232" i="21"/>
  <c r="F231" i="21"/>
  <c r="E231" i="21"/>
  <c r="F230" i="21"/>
  <c r="E230" i="21"/>
  <c r="F229" i="21"/>
  <c r="E229" i="21"/>
  <c r="F228" i="21"/>
  <c r="E228" i="21"/>
  <c r="F227" i="21"/>
  <c r="E227" i="21"/>
  <c r="F226" i="21"/>
  <c r="E226" i="21"/>
  <c r="F225" i="21"/>
  <c r="E225" i="21"/>
  <c r="F224" i="21"/>
  <c r="E224" i="21"/>
  <c r="F223" i="21"/>
  <c r="E223" i="21"/>
  <c r="F222" i="21"/>
  <c r="E222" i="21"/>
  <c r="F221" i="21"/>
  <c r="E221" i="21"/>
  <c r="F220" i="21"/>
  <c r="E220" i="21"/>
  <c r="F219" i="21"/>
  <c r="E219" i="21"/>
  <c r="F218" i="21"/>
  <c r="E218" i="21"/>
  <c r="F217" i="21"/>
  <c r="E217" i="21"/>
  <c r="F216" i="21"/>
  <c r="E216" i="21"/>
  <c r="F215" i="21"/>
  <c r="E215" i="21"/>
  <c r="F214" i="21"/>
  <c r="E214" i="21"/>
  <c r="F213" i="21"/>
  <c r="E213" i="21"/>
  <c r="F212" i="21"/>
  <c r="E212" i="21"/>
  <c r="F211" i="21"/>
  <c r="E211" i="21"/>
  <c r="F210" i="21"/>
  <c r="E210" i="21"/>
  <c r="F209" i="21"/>
  <c r="E209" i="21"/>
  <c r="F208" i="21"/>
  <c r="E208" i="21"/>
  <c r="F207" i="21"/>
  <c r="E207" i="21"/>
  <c r="F206" i="21"/>
  <c r="E206" i="21"/>
  <c r="F205" i="21"/>
  <c r="E205" i="21"/>
  <c r="F204" i="21"/>
  <c r="E204" i="21"/>
  <c r="F203" i="21"/>
  <c r="E203" i="21"/>
  <c r="F202" i="21"/>
  <c r="E202" i="21"/>
  <c r="F201" i="21"/>
  <c r="E201" i="21"/>
  <c r="F200" i="21"/>
  <c r="E200" i="21"/>
  <c r="F199" i="21"/>
  <c r="E199" i="21"/>
  <c r="F198" i="21"/>
  <c r="E198" i="21"/>
  <c r="F197" i="21"/>
  <c r="E197" i="21"/>
  <c r="F196" i="21"/>
  <c r="E196" i="21"/>
  <c r="F195" i="21"/>
  <c r="E195" i="21"/>
  <c r="F194" i="21"/>
  <c r="E194" i="21"/>
  <c r="F193" i="21"/>
  <c r="E193" i="21"/>
  <c r="F192" i="21"/>
  <c r="E192" i="21"/>
  <c r="F191" i="21"/>
  <c r="E191" i="21"/>
  <c r="F190" i="21"/>
  <c r="E190" i="21"/>
  <c r="F189" i="21"/>
  <c r="E189" i="21"/>
  <c r="F188" i="21"/>
  <c r="E188" i="21"/>
  <c r="F187" i="21"/>
  <c r="E187" i="21"/>
  <c r="F186" i="21"/>
  <c r="E186" i="21"/>
  <c r="F185" i="21"/>
  <c r="E185" i="21"/>
  <c r="F184" i="21"/>
  <c r="E184" i="21"/>
  <c r="F183" i="21"/>
  <c r="E183" i="21"/>
  <c r="F182" i="21"/>
  <c r="E182" i="21"/>
  <c r="F181" i="21"/>
  <c r="E181" i="21"/>
  <c r="F180" i="21"/>
  <c r="E180" i="21"/>
  <c r="F179" i="21"/>
  <c r="E179" i="21"/>
  <c r="F178" i="21"/>
  <c r="E178" i="21"/>
  <c r="F177" i="21"/>
  <c r="E177" i="21"/>
  <c r="F176" i="21"/>
  <c r="E176" i="21"/>
  <c r="F175" i="21"/>
  <c r="E175" i="21"/>
  <c r="F174" i="21"/>
  <c r="E174" i="21"/>
  <c r="F173" i="21"/>
  <c r="E173" i="21"/>
  <c r="F172" i="21"/>
  <c r="E172" i="21"/>
  <c r="F171" i="21"/>
  <c r="E171" i="21"/>
  <c r="F170" i="21"/>
  <c r="E170" i="21"/>
  <c r="F169" i="21"/>
  <c r="E169" i="21"/>
  <c r="F168" i="21"/>
  <c r="E168" i="21"/>
  <c r="F167" i="21"/>
  <c r="E167" i="21"/>
  <c r="F166" i="21"/>
  <c r="E166" i="21"/>
  <c r="F165" i="21"/>
  <c r="E165" i="21"/>
  <c r="F164" i="21"/>
  <c r="E164" i="21"/>
  <c r="F163" i="21"/>
  <c r="E163" i="21"/>
  <c r="F162" i="21"/>
  <c r="E162" i="21"/>
  <c r="F161" i="21"/>
  <c r="E161" i="21"/>
  <c r="F160" i="21"/>
  <c r="E160" i="21"/>
  <c r="F159" i="21"/>
  <c r="E159" i="21"/>
  <c r="F158" i="21"/>
  <c r="E158" i="21"/>
  <c r="F157" i="21"/>
  <c r="E157" i="21"/>
  <c r="F156" i="21"/>
  <c r="E156" i="21"/>
  <c r="F155" i="21"/>
  <c r="E155" i="21"/>
  <c r="F154" i="21"/>
  <c r="E154" i="21"/>
  <c r="F153" i="21"/>
  <c r="E153" i="21"/>
  <c r="F152" i="21"/>
  <c r="E152" i="21"/>
  <c r="F151" i="21"/>
  <c r="E151" i="21"/>
  <c r="F150" i="21"/>
  <c r="E150" i="21"/>
  <c r="F149" i="21"/>
  <c r="E149" i="21"/>
  <c r="F148" i="21"/>
  <c r="E148" i="21"/>
  <c r="F147" i="21"/>
  <c r="E147" i="21"/>
  <c r="F146" i="21"/>
  <c r="E146" i="21"/>
  <c r="F145" i="21"/>
  <c r="E145" i="21"/>
  <c r="F144" i="21"/>
  <c r="E144" i="21"/>
  <c r="F143" i="21"/>
  <c r="E143" i="21"/>
  <c r="F142" i="21"/>
  <c r="E142" i="21"/>
  <c r="F141" i="21"/>
  <c r="E141" i="21"/>
  <c r="F140" i="21"/>
  <c r="E140" i="21"/>
  <c r="F139" i="21"/>
  <c r="E139" i="21"/>
  <c r="F138" i="21"/>
  <c r="E138" i="21"/>
  <c r="F137" i="21"/>
  <c r="E137" i="21"/>
  <c r="F136" i="21"/>
  <c r="E136" i="21"/>
  <c r="F135" i="21"/>
  <c r="E135" i="21"/>
  <c r="F134" i="21"/>
  <c r="E134" i="21"/>
  <c r="F133" i="21"/>
  <c r="E133" i="21"/>
  <c r="F132" i="21"/>
  <c r="E132" i="21"/>
  <c r="F131" i="21"/>
  <c r="E131" i="21"/>
  <c r="F130" i="21"/>
  <c r="E130" i="21"/>
  <c r="F129" i="21"/>
  <c r="E129" i="21"/>
  <c r="F128" i="21"/>
  <c r="E128" i="21"/>
  <c r="F127" i="21"/>
  <c r="E127" i="21"/>
  <c r="F126" i="21"/>
  <c r="E126" i="21"/>
  <c r="F125" i="21"/>
  <c r="E125" i="21"/>
  <c r="F124" i="21"/>
  <c r="E124" i="21"/>
  <c r="F123" i="21"/>
  <c r="E123" i="21"/>
  <c r="F122" i="21"/>
  <c r="E122" i="21"/>
  <c r="F121" i="21"/>
  <c r="E121" i="21"/>
  <c r="F120" i="21"/>
  <c r="E120" i="21"/>
  <c r="F119" i="21"/>
  <c r="E119" i="21"/>
  <c r="F118" i="21"/>
  <c r="E118" i="21"/>
  <c r="F117" i="21"/>
  <c r="E117" i="21"/>
  <c r="F116" i="21"/>
  <c r="E116" i="21"/>
  <c r="F115" i="21"/>
  <c r="E115" i="21"/>
  <c r="F114" i="21"/>
  <c r="E114" i="21"/>
  <c r="F113" i="21"/>
  <c r="E113" i="21"/>
  <c r="F112" i="21"/>
  <c r="E112" i="21"/>
  <c r="F111" i="21"/>
  <c r="E111" i="21"/>
  <c r="F110" i="21"/>
  <c r="E110" i="21"/>
  <c r="F109" i="21"/>
  <c r="E109" i="21"/>
  <c r="F108" i="21"/>
  <c r="E108" i="21"/>
  <c r="F107" i="21"/>
  <c r="E107" i="21"/>
  <c r="F106" i="21"/>
  <c r="E106" i="21"/>
  <c r="F105" i="21"/>
  <c r="E105" i="21"/>
  <c r="F104" i="21"/>
  <c r="E104" i="21"/>
  <c r="F103" i="21"/>
  <c r="E103" i="21"/>
  <c r="F102" i="21"/>
  <c r="E102" i="21"/>
  <c r="F101" i="21"/>
  <c r="E101" i="21"/>
  <c r="F100" i="21"/>
  <c r="E100" i="21"/>
  <c r="F99" i="21"/>
  <c r="E99" i="21"/>
  <c r="F98" i="21"/>
  <c r="E98" i="21"/>
  <c r="F97" i="21"/>
  <c r="E97" i="21"/>
  <c r="F96" i="21"/>
  <c r="E96" i="21"/>
  <c r="F95" i="21"/>
  <c r="E95" i="21"/>
  <c r="F94" i="21"/>
  <c r="E94" i="21"/>
  <c r="F93" i="21"/>
  <c r="E93" i="21"/>
  <c r="F92" i="21"/>
  <c r="E92" i="21"/>
  <c r="F91" i="21"/>
  <c r="E91" i="21"/>
  <c r="F90" i="21"/>
  <c r="E90" i="21"/>
  <c r="F89" i="21"/>
  <c r="E89" i="21"/>
  <c r="F88" i="21"/>
  <c r="E88" i="21"/>
  <c r="F87" i="21"/>
  <c r="E87" i="21"/>
  <c r="F86" i="21"/>
  <c r="E86" i="21"/>
  <c r="F85" i="21"/>
  <c r="E85" i="21"/>
  <c r="F84" i="21"/>
  <c r="E84" i="21"/>
  <c r="F83" i="21"/>
  <c r="E83" i="21"/>
  <c r="F82" i="21"/>
  <c r="E82" i="21"/>
  <c r="F81" i="21"/>
  <c r="E81" i="21"/>
  <c r="F80" i="21"/>
  <c r="E80" i="21"/>
  <c r="F79" i="21"/>
  <c r="E79" i="21"/>
  <c r="F78" i="21"/>
  <c r="E78" i="21"/>
  <c r="F77" i="21"/>
  <c r="E77" i="21"/>
  <c r="F76" i="21"/>
  <c r="E76" i="21"/>
  <c r="F75" i="21"/>
  <c r="E75" i="21"/>
  <c r="F74" i="21"/>
  <c r="E74" i="21"/>
  <c r="F73" i="21"/>
  <c r="E73" i="21"/>
  <c r="F72" i="21"/>
  <c r="E72" i="21"/>
  <c r="F71" i="21"/>
  <c r="E71" i="21"/>
  <c r="F70" i="21"/>
  <c r="E70" i="21"/>
  <c r="F69" i="21"/>
  <c r="E69" i="21"/>
  <c r="F68" i="21"/>
  <c r="E68" i="21"/>
  <c r="F67" i="21"/>
  <c r="E67" i="21"/>
  <c r="F66" i="21"/>
  <c r="E66" i="21"/>
  <c r="F65" i="21"/>
  <c r="E65" i="21"/>
  <c r="F64" i="21"/>
  <c r="E64" i="21"/>
  <c r="F63" i="21"/>
  <c r="E63" i="21"/>
  <c r="F62" i="21"/>
  <c r="E62" i="21"/>
  <c r="F61" i="21"/>
  <c r="E61" i="21"/>
  <c r="F60" i="21"/>
  <c r="E60" i="21"/>
  <c r="F59" i="21"/>
  <c r="E59" i="21"/>
  <c r="F58" i="21"/>
  <c r="E58" i="21"/>
  <c r="F57" i="21"/>
  <c r="E57" i="21"/>
  <c r="F56" i="21"/>
  <c r="E56" i="21"/>
  <c r="F55" i="21"/>
  <c r="E55" i="21"/>
  <c r="F54" i="21"/>
  <c r="E54" i="21"/>
  <c r="F53" i="21"/>
  <c r="E53" i="21"/>
  <c r="F52" i="21"/>
  <c r="E52" i="21"/>
  <c r="F51" i="21"/>
  <c r="E51" i="21"/>
  <c r="F50" i="21"/>
  <c r="E50" i="21"/>
  <c r="F49" i="21"/>
  <c r="E49" i="21"/>
  <c r="F48" i="21"/>
  <c r="E48" i="21"/>
  <c r="F47" i="21"/>
  <c r="E47" i="21"/>
  <c r="F46" i="21"/>
  <c r="E46" i="21"/>
  <c r="F45" i="21"/>
  <c r="E45" i="21"/>
  <c r="F44" i="21"/>
  <c r="E44" i="21"/>
  <c r="F43" i="21"/>
  <c r="E43" i="21"/>
  <c r="F42" i="21"/>
  <c r="E42" i="21"/>
  <c r="F41" i="21"/>
  <c r="E41" i="21"/>
  <c r="F40" i="21"/>
  <c r="E40" i="21"/>
  <c r="F39" i="21"/>
  <c r="E39" i="21"/>
  <c r="F38" i="21"/>
  <c r="E38" i="21"/>
  <c r="F37" i="21"/>
  <c r="E37" i="21"/>
  <c r="F36" i="21"/>
  <c r="E36" i="21"/>
  <c r="F35" i="21"/>
  <c r="E35" i="21"/>
  <c r="F34" i="21"/>
  <c r="E34" i="21"/>
  <c r="F33" i="21"/>
  <c r="E33" i="21"/>
  <c r="F32" i="21"/>
  <c r="E32" i="21"/>
  <c r="F31" i="21"/>
  <c r="E31" i="21"/>
  <c r="F30" i="21"/>
  <c r="E30" i="21"/>
  <c r="F29" i="21"/>
  <c r="E29" i="21"/>
  <c r="F28" i="21"/>
  <c r="E28" i="21"/>
  <c r="F27" i="21"/>
  <c r="E27" i="21"/>
  <c r="F26" i="21"/>
  <c r="E26" i="21"/>
  <c r="F25" i="21"/>
  <c r="E25" i="21"/>
  <c r="F24" i="21"/>
  <c r="E24" i="21"/>
  <c r="F23" i="21"/>
  <c r="E23" i="21"/>
  <c r="F22" i="21"/>
  <c r="E22" i="21"/>
  <c r="F21" i="21"/>
  <c r="E21" i="21"/>
  <c r="F20" i="21"/>
  <c r="E20" i="21"/>
  <c r="F19" i="21"/>
  <c r="E19" i="21"/>
  <c r="F18" i="21"/>
  <c r="E18" i="21"/>
  <c r="F17" i="21"/>
  <c r="E17" i="21"/>
  <c r="F16" i="21"/>
  <c r="E16" i="21"/>
  <c r="F15" i="21"/>
  <c r="E15" i="21"/>
  <c r="F14" i="21"/>
  <c r="E14" i="21"/>
  <c r="F13" i="21"/>
  <c r="E13" i="21"/>
  <c r="F12" i="21"/>
  <c r="E12" i="21"/>
  <c r="F11" i="21"/>
  <c r="E11" i="21"/>
  <c r="F10" i="21"/>
  <c r="E10" i="21"/>
  <c r="F9" i="21"/>
  <c r="E9" i="21"/>
  <c r="F8" i="21"/>
  <c r="E8" i="21"/>
  <c r="F7" i="21"/>
  <c r="E7" i="21"/>
  <c r="F6" i="21"/>
  <c r="E6" i="21"/>
  <c r="F5" i="21"/>
  <c r="E5" i="21"/>
  <c r="F4" i="21"/>
  <c r="E4" i="21"/>
  <c r="F3" i="21"/>
  <c r="E3" i="21"/>
  <c r="F2" i="21"/>
  <c r="E2" i="21"/>
  <c r="C18" i="5"/>
  <c r="L18" i="5" a="1"/>
  <c r="L18" i="5" s="1"/>
  <c r="C19" i="5"/>
  <c r="L19" i="5" a="1"/>
  <c r="L19" i="5" s="1"/>
  <c r="C20" i="5"/>
  <c r="L20" i="5" a="1"/>
  <c r="L20" i="5" s="1"/>
  <c r="C21" i="5"/>
  <c r="L21" i="5" a="1"/>
  <c r="L21" i="5" s="1"/>
  <c r="C22" i="5"/>
  <c r="L22" i="5" a="1"/>
  <c r="L22" i="5" s="1"/>
  <c r="C23" i="5"/>
  <c r="L23" i="5" a="1"/>
  <c r="L23" i="5" s="1"/>
  <c r="C24" i="5"/>
  <c r="L24" i="5" a="1"/>
  <c r="L24" i="5" s="1"/>
  <c r="C25" i="5"/>
  <c r="L25" i="5" a="1"/>
  <c r="L25" i="5" s="1"/>
  <c r="C26" i="5"/>
  <c r="L26" i="5" a="1"/>
  <c r="L26" i="5" s="1"/>
  <c r="C27" i="5"/>
  <c r="L27" i="5" a="1"/>
  <c r="L27" i="5" s="1"/>
  <c r="C28" i="5"/>
  <c r="L28" i="5" a="1"/>
  <c r="L28" i="5" s="1"/>
  <c r="C29" i="5"/>
  <c r="L29" i="5" a="1"/>
  <c r="L29" i="5" s="1"/>
  <c r="C30" i="5"/>
  <c r="L30" i="5" a="1"/>
  <c r="L30" i="5" s="1"/>
  <c r="C31" i="5"/>
  <c r="L31" i="5" a="1"/>
  <c r="L31" i="5" s="1"/>
  <c r="C32" i="5"/>
  <c r="L32" i="5" a="1"/>
  <c r="L32" i="5" s="1"/>
  <c r="C33" i="5"/>
  <c r="L33" i="5" a="1"/>
  <c r="L33" i="5" s="1"/>
  <c r="C34" i="5"/>
  <c r="L34" i="5" a="1"/>
  <c r="L34" i="5" s="1"/>
  <c r="C35" i="5"/>
  <c r="L35" i="5" a="1"/>
  <c r="L35" i="5" s="1"/>
  <c r="C36" i="5"/>
  <c r="L36" i="5" a="1"/>
  <c r="L36" i="5" s="1"/>
  <c r="C37" i="5"/>
  <c r="L37" i="5" a="1"/>
  <c r="L37" i="5" s="1"/>
  <c r="C38" i="5"/>
  <c r="L38" i="5" a="1"/>
  <c r="L38" i="5" s="1"/>
  <c r="C39" i="5"/>
  <c r="L39" i="5" a="1"/>
  <c r="L39" i="5" s="1"/>
  <c r="C40" i="5"/>
  <c r="L40" i="5" a="1"/>
  <c r="L40" i="5" s="1"/>
  <c r="C41" i="5"/>
  <c r="L41" i="5" a="1"/>
  <c r="L41" i="5" s="1"/>
  <c r="C42" i="5"/>
  <c r="L42" i="5" a="1"/>
  <c r="L42" i="5" s="1"/>
  <c r="C43" i="5"/>
  <c r="L43" i="5" a="1"/>
  <c r="L43" i="5" s="1"/>
  <c r="C44" i="5"/>
  <c r="L44" i="5" a="1"/>
  <c r="L44" i="5" s="1"/>
  <c r="C45" i="5"/>
  <c r="L45" i="5" a="1"/>
  <c r="L45" i="5" s="1"/>
  <c r="C46" i="5"/>
  <c r="L46" i="5" a="1"/>
  <c r="L46" i="5" s="1"/>
  <c r="C47" i="5"/>
  <c r="L47" i="5" a="1"/>
  <c r="L47" i="5" s="1"/>
  <c r="C48" i="5"/>
  <c r="L48" i="5" a="1"/>
  <c r="L48" i="5" s="1"/>
  <c r="C49" i="5"/>
  <c r="L49" i="5" a="1"/>
  <c r="L49" i="5" s="1"/>
  <c r="C50" i="5"/>
  <c r="L50" i="5" a="1"/>
  <c r="L50" i="5" s="1"/>
  <c r="C51" i="5"/>
  <c r="L51" i="5" a="1"/>
  <c r="L51" i="5" s="1"/>
  <c r="C52" i="5"/>
  <c r="L52" i="5" a="1"/>
  <c r="L52" i="5" s="1"/>
  <c r="C53" i="5"/>
  <c r="L53" i="5" a="1"/>
  <c r="L53" i="5" s="1"/>
  <c r="C54" i="5"/>
  <c r="L54" i="5" a="1"/>
  <c r="L54" i="5" s="1"/>
  <c r="C55" i="5"/>
  <c r="L55" i="5" a="1"/>
  <c r="L55" i="5" s="1"/>
  <c r="C56" i="5"/>
  <c r="L56" i="5" a="1"/>
  <c r="L56" i="5" s="1"/>
  <c r="C57" i="5"/>
  <c r="L57" i="5" a="1"/>
  <c r="L57" i="5" s="1"/>
  <c r="C58" i="5"/>
  <c r="L58" i="5" a="1"/>
  <c r="L58" i="5" s="1"/>
  <c r="C59" i="5"/>
  <c r="L59" i="5" a="1"/>
  <c r="L59" i="5" s="1"/>
  <c r="C60" i="5"/>
  <c r="L60" i="5" a="1"/>
  <c r="L60" i="5" s="1"/>
  <c r="C61" i="5"/>
  <c r="L61" i="5" a="1"/>
  <c r="L61" i="5" s="1"/>
  <c r="C62" i="5"/>
  <c r="L62" i="5" a="1"/>
  <c r="L62" i="5" s="1"/>
  <c r="C63" i="5"/>
  <c r="L63" i="5" a="1"/>
  <c r="L63" i="5" s="1"/>
  <c r="C64" i="5"/>
  <c r="L64" i="5" a="1"/>
  <c r="L64" i="5" s="1"/>
  <c r="C65" i="5"/>
  <c r="L65" i="5" a="1"/>
  <c r="L65" i="5" s="1"/>
  <c r="C66" i="5"/>
  <c r="L66" i="5" a="1"/>
  <c r="L66" i="5" s="1"/>
  <c r="C67" i="5"/>
  <c r="L67" i="5" a="1"/>
  <c r="L67" i="5" s="1"/>
  <c r="C68" i="5"/>
  <c r="L68" i="5" a="1"/>
  <c r="L68" i="5" s="1"/>
  <c r="C69" i="5"/>
  <c r="L69" i="5" a="1"/>
  <c r="L69" i="5" s="1"/>
  <c r="C70" i="5"/>
  <c r="L70" i="5" a="1"/>
  <c r="L70" i="5" s="1"/>
  <c r="C71" i="5"/>
  <c r="L71" i="5" a="1"/>
  <c r="L71" i="5" s="1"/>
  <c r="C72" i="5"/>
  <c r="L72" i="5" a="1"/>
  <c r="L72" i="5" s="1"/>
  <c r="C73" i="5"/>
  <c r="L73" i="5" a="1"/>
  <c r="L73" i="5" s="1"/>
  <c r="J41" i="2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L4" authorId="0" shapeId="0" xr:uid="{0A2A42A7-0763-40EF-8A1D-D8E46FCBD527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Hardware, Software, Diagnostics, etc.</t>
        </r>
      </text>
    </comment>
    <comment ref="M4" authorId="0" shapeId="0" xr:uid="{BC78F69B-E7D7-4BBC-923C-59AB703CF4A5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Screen Replacement, Battery Replacement, etc.</t>
        </r>
      </text>
    </comment>
    <comment ref="N4" authorId="0" shapeId="0" xr:uid="{0A747670-F793-4297-8225-842FA600048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Customer-friendly description</t>
        </r>
      </text>
    </comment>
    <comment ref="O4" authorId="0" shapeId="0" xr:uid="{5912B1D6-D761-4C16-AEA4-01DF4565B2F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Phone, Tablet, Computer, Gaming, Wearable, or All</t>
        </r>
      </text>
    </comment>
    <comment ref="P4" authorId="0" shapeId="0" xr:uid="{9D181CFD-7E0F-48F8-8060-5EAA508A519E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Repair Time
</t>
        </r>
      </text>
    </comment>
    <comment ref="Q4" authorId="0" shapeId="0" xr:uid="{7B43E590-0C77-4D48-A019-7F15975DD21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Warranty Length
</t>
        </r>
      </text>
    </comment>
    <comment ref="T4" authorId="0" shapeId="0" xr:uid="{0B003560-F36C-4BCD-A396-2777897156DB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Technician Notes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Brown</author>
  </authors>
  <commentList>
    <comment ref="E1" authorId="0" shapeId="0" xr:uid="{7E04190B-6F39-445A-ACF8-856760DC5E60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
</t>
        </r>
      </text>
    </comment>
    <comment ref="F1" authorId="0" shapeId="0" xr:uid="{33640889-A3F2-42E5-A74D-2F1BC45F372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  <comment ref="H1" authorId="0" shapeId="0" xr:uid="{8DB71630-F342-4880-9673-2C8D9151A811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True, Set FALSE for Diagnostics, cleaning, data recovery</t>
        </r>
      </text>
    </comment>
    <comment ref="J1" authorId="0" shapeId="0" xr:uid="{117AC1C3-05F2-48EE-A499-9192E13EAE5C}">
      <text>
        <r>
          <rPr>
            <b/>
            <sz val="9"/>
            <color indexed="81"/>
            <rFont val="Tahoma"/>
            <family val="2"/>
          </rPr>
          <t>Ryan Brown:</t>
        </r>
        <r>
          <rPr>
            <sz val="9"/>
            <color indexed="81"/>
            <rFont val="Tahoma"/>
            <family val="2"/>
          </rPr>
          <t xml:space="preserve">
Default - True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<sst xmlns="http://schemas.openxmlformats.org/spreadsheetml/2006/main" count="11514" uniqueCount="5387">
  <si>
    <t>Active</t>
  </si>
  <si>
    <t>Warranty</t>
  </si>
  <si>
    <t>Difficulty</t>
  </si>
  <si>
    <t>Estimated Labor (Minutes)</t>
  </si>
  <si>
    <t xml:space="preserve">Part Required </t>
  </si>
  <si>
    <t>Service Name</t>
  </si>
  <si>
    <t>Service Category</t>
  </si>
  <si>
    <t>Model</t>
  </si>
  <si>
    <t>Device Family</t>
  </si>
  <si>
    <t>Manufacturer</t>
  </si>
  <si>
    <t>Device Type</t>
  </si>
  <si>
    <t>Service ID</t>
  </si>
  <si>
    <t>⬅ Return to Table of Contents</t>
  </si>
  <si>
    <t>Pacific/Honolulu</t>
  </si>
  <si>
    <t>Hawaii</t>
  </si>
  <si>
    <t>TMZ-000006</t>
  </si>
  <si>
    <t>America/Anchorage</t>
  </si>
  <si>
    <t>Alaska</t>
  </si>
  <si>
    <t>TMZ-000005</t>
  </si>
  <si>
    <t>America/Los_Angeles</t>
  </si>
  <si>
    <t>Pacific</t>
  </si>
  <si>
    <t>TMZ-000004</t>
  </si>
  <si>
    <t>America/Denver</t>
  </si>
  <si>
    <t>Mountain</t>
  </si>
  <si>
    <t>TMZ-000003</t>
  </si>
  <si>
    <t>America/Chicago</t>
  </si>
  <si>
    <t>Central</t>
  </si>
  <si>
    <t>TMZ-000002</t>
  </si>
  <si>
    <t>America/New_York</t>
  </si>
  <si>
    <t>Eastern</t>
  </si>
  <si>
    <t>TMZ-000001</t>
  </si>
  <si>
    <t>DisplayOrder</t>
  </si>
  <si>
    <t>Description</t>
  </si>
  <si>
    <t>Name</t>
  </si>
  <si>
    <t>ID</t>
  </si>
  <si>
    <t>tblTimeZones</t>
  </si>
  <si>
    <t>SK</t>
  </si>
  <si>
    <t>Saskatchewan</t>
  </si>
  <si>
    <t>STA-000060</t>
  </si>
  <si>
    <t>QC</t>
  </si>
  <si>
    <t>Quebec</t>
  </si>
  <si>
    <t>STA-000059</t>
  </si>
  <si>
    <t>PE</t>
  </si>
  <si>
    <t>Prince Edward Island</t>
  </si>
  <si>
    <t>STA-000058</t>
  </si>
  <si>
    <t>ON</t>
  </si>
  <si>
    <t>Ontario</t>
  </si>
  <si>
    <t>STA-000057</t>
  </si>
  <si>
    <t>NS</t>
  </si>
  <si>
    <t>Nova Scotia</t>
  </si>
  <si>
    <t>STA-000056</t>
  </si>
  <si>
    <t>NL</t>
  </si>
  <si>
    <t>Newfoundland and Labrador</t>
  </si>
  <si>
    <t>STA-000055</t>
  </si>
  <si>
    <t>NB</t>
  </si>
  <si>
    <t>New Brunswick</t>
  </si>
  <si>
    <t>STA-000054</t>
  </si>
  <si>
    <t>MB</t>
  </si>
  <si>
    <t>Manitoba</t>
  </si>
  <si>
    <t>STA-000053</t>
  </si>
  <si>
    <t>BC</t>
  </si>
  <si>
    <t>British Columbia</t>
  </si>
  <si>
    <t>STA-000052</t>
  </si>
  <si>
    <t>AB</t>
  </si>
  <si>
    <t>Alberta</t>
  </si>
  <si>
    <t>STA-000051</t>
  </si>
  <si>
    <t>WY</t>
  </si>
  <si>
    <t>Wyoming</t>
  </si>
  <si>
    <t>STA-000050</t>
  </si>
  <si>
    <t>WI</t>
  </si>
  <si>
    <t>Wisconsin</t>
  </si>
  <si>
    <t>STA-000049</t>
  </si>
  <si>
    <t>WV</t>
  </si>
  <si>
    <t>West Virginia</t>
  </si>
  <si>
    <t>STA-000048</t>
  </si>
  <si>
    <t>WA</t>
  </si>
  <si>
    <t>Washington</t>
  </si>
  <si>
    <t>STA-000047</t>
  </si>
  <si>
    <t>VA</t>
  </si>
  <si>
    <t>Virginia</t>
  </si>
  <si>
    <t>STA-000046</t>
  </si>
  <si>
    <t>VT</t>
  </si>
  <si>
    <t>Vermont</t>
  </si>
  <si>
    <t>STA-000045</t>
  </si>
  <si>
    <t>UT</t>
  </si>
  <si>
    <t>Utah</t>
  </si>
  <si>
    <t>STA-000044</t>
  </si>
  <si>
    <t>TX</t>
  </si>
  <si>
    <t>Texas</t>
  </si>
  <si>
    <t>STA-000043</t>
  </si>
  <si>
    <t>TN</t>
  </si>
  <si>
    <t>Tennessee</t>
  </si>
  <si>
    <t>STA-000042</t>
  </si>
  <si>
    <t>SD</t>
  </si>
  <si>
    <t>South Dakota</t>
  </si>
  <si>
    <t>STA-000041</t>
  </si>
  <si>
    <t>SC</t>
  </si>
  <si>
    <t>South Carolina</t>
  </si>
  <si>
    <t>STA-000040</t>
  </si>
  <si>
    <t>RI</t>
  </si>
  <si>
    <t>Rhode Island</t>
  </si>
  <si>
    <t>STA-000039</t>
  </si>
  <si>
    <t>PA</t>
  </si>
  <si>
    <t>Pennsylvania</t>
  </si>
  <si>
    <t>STA-000038</t>
  </si>
  <si>
    <t>OR</t>
  </si>
  <si>
    <t>Oregon</t>
  </si>
  <si>
    <t>STA-000037</t>
  </si>
  <si>
    <t>OK</t>
  </si>
  <si>
    <t>Oklahoma</t>
  </si>
  <si>
    <t>STA-000036</t>
  </si>
  <si>
    <t>OH</t>
  </si>
  <si>
    <t>Ohio</t>
  </si>
  <si>
    <t>STA-000035</t>
  </si>
  <si>
    <t>ND</t>
  </si>
  <si>
    <t>North Dakota</t>
  </si>
  <si>
    <t>STA-000034</t>
  </si>
  <si>
    <t>NC</t>
  </si>
  <si>
    <t>North Carolina</t>
  </si>
  <si>
    <t>STA-000033</t>
  </si>
  <si>
    <t>NY</t>
  </si>
  <si>
    <t>New York</t>
  </si>
  <si>
    <t>STA-000032</t>
  </si>
  <si>
    <t>NM</t>
  </si>
  <si>
    <t>New Mexico</t>
  </si>
  <si>
    <t>STA-000031</t>
  </si>
  <si>
    <t>NJ</t>
  </si>
  <si>
    <t>New Jersey</t>
  </si>
  <si>
    <t>STA-000030</t>
  </si>
  <si>
    <t>NH</t>
  </si>
  <si>
    <t>New Hampshire</t>
  </si>
  <si>
    <t>STA-000029</t>
  </si>
  <si>
    <t>NV</t>
  </si>
  <si>
    <t>Nevada</t>
  </si>
  <si>
    <t>STA-000028</t>
  </si>
  <si>
    <t>NE</t>
  </si>
  <si>
    <t>Nebraska</t>
  </si>
  <si>
    <t>STA-000027</t>
  </si>
  <si>
    <t>MT</t>
  </si>
  <si>
    <t>Montana</t>
  </si>
  <si>
    <t>STA-000026</t>
  </si>
  <si>
    <t>MO</t>
  </si>
  <si>
    <t>Missouri</t>
  </si>
  <si>
    <t>STA-000025</t>
  </si>
  <si>
    <t>MS</t>
  </si>
  <si>
    <t>Mississippi</t>
  </si>
  <si>
    <t>STA-000024</t>
  </si>
  <si>
    <t>MN</t>
  </si>
  <si>
    <t>Minnesota</t>
  </si>
  <si>
    <t>STA-000023</t>
  </si>
  <si>
    <t>MI</t>
  </si>
  <si>
    <t>Michigan</t>
  </si>
  <si>
    <t>STA-000022</t>
  </si>
  <si>
    <t>MA</t>
  </si>
  <si>
    <t>Massachusetts</t>
  </si>
  <si>
    <t>STA-000021</t>
  </si>
  <si>
    <t>MD</t>
  </si>
  <si>
    <t>Maryland</t>
  </si>
  <si>
    <t>STA-000020</t>
  </si>
  <si>
    <t>ME</t>
  </si>
  <si>
    <t>Maine</t>
  </si>
  <si>
    <t>STA-000019</t>
  </si>
  <si>
    <t>LA</t>
  </si>
  <si>
    <t>Louisiana</t>
  </si>
  <si>
    <t>STA-000018</t>
  </si>
  <si>
    <t>KY</t>
  </si>
  <si>
    <t>Kentucky</t>
  </si>
  <si>
    <t>STA-000017</t>
  </si>
  <si>
    <t>KS</t>
  </si>
  <si>
    <t>Kansas</t>
  </si>
  <si>
    <t>STA-000016</t>
  </si>
  <si>
    <t>IA</t>
  </si>
  <si>
    <t>Iowa</t>
  </si>
  <si>
    <t>STA-000015</t>
  </si>
  <si>
    <t>IN</t>
  </si>
  <si>
    <t>Indiana</t>
  </si>
  <si>
    <t>STA-000014</t>
  </si>
  <si>
    <t>IL</t>
  </si>
  <si>
    <t>Illinois</t>
  </si>
  <si>
    <t>STA-000013</t>
  </si>
  <si>
    <t>Idaho</t>
  </si>
  <si>
    <t>STA-000012</t>
  </si>
  <si>
    <t>HI</t>
  </si>
  <si>
    <t>STA-000011</t>
  </si>
  <si>
    <t>GA</t>
  </si>
  <si>
    <t>Georgia</t>
  </si>
  <si>
    <t>STA-000010</t>
  </si>
  <si>
    <t>FL</t>
  </si>
  <si>
    <t>Florida</t>
  </si>
  <si>
    <t>STA-000009</t>
  </si>
  <si>
    <t>DE</t>
  </si>
  <si>
    <t>Delaware</t>
  </si>
  <si>
    <t>STA-000008</t>
  </si>
  <si>
    <t>CT</t>
  </si>
  <si>
    <t>Connecticut</t>
  </si>
  <si>
    <t>STA-000007</t>
  </si>
  <si>
    <t>CO</t>
  </si>
  <si>
    <t>Colorado</t>
  </si>
  <si>
    <t>STA-000006</t>
  </si>
  <si>
    <t>CA</t>
  </si>
  <si>
    <t>California</t>
  </si>
  <si>
    <t>STA-000005</t>
  </si>
  <si>
    <t>AR</t>
  </si>
  <si>
    <t>Arkansas</t>
  </si>
  <si>
    <t>STA-000004</t>
  </si>
  <si>
    <t>AZ</t>
  </si>
  <si>
    <t>Arizona</t>
  </si>
  <si>
    <t>STA-000003</t>
  </si>
  <si>
    <t>AK</t>
  </si>
  <si>
    <t>STA-000002</t>
  </si>
  <si>
    <t>AL</t>
  </si>
  <si>
    <t>Alabama</t>
  </si>
  <si>
    <t>STA-000001</t>
  </si>
  <si>
    <t>tblStatesProvinces</t>
  </si>
  <si>
    <t>AE</t>
  </si>
  <si>
    <t>United Arab Emirates</t>
  </si>
  <si>
    <t>CNT-000020</t>
  </si>
  <si>
    <t>ZA</t>
  </si>
  <si>
    <t>South Africa</t>
  </si>
  <si>
    <t>CNT-000019</t>
  </si>
  <si>
    <t>Yes</t>
  </si>
  <si>
    <t>CFI-Y1001</t>
  </si>
  <si>
    <t>PlayStation Portal</t>
  </si>
  <si>
    <t>DT-004</t>
  </si>
  <si>
    <t>DF-450</t>
  </si>
  <si>
    <t>MFG-045</t>
  </si>
  <si>
    <t>MOD-000632</t>
  </si>
  <si>
    <t>Argentina</t>
  </si>
  <si>
    <t>CNT-000018</t>
  </si>
  <si>
    <t>83E1</t>
  </si>
  <si>
    <t>Lenovo Legion Go</t>
  </si>
  <si>
    <t>DF-342</t>
  </si>
  <si>
    <t>MFG-034</t>
  </si>
  <si>
    <t>MOD-000631</t>
  </si>
  <si>
    <t>BR</t>
  </si>
  <si>
    <t>Brazil</t>
  </si>
  <si>
    <t>CNT-000017</t>
  </si>
  <si>
    <t>RC72LA</t>
  </si>
  <si>
    <t>ROG Ally X</t>
  </si>
  <si>
    <t>DF-081</t>
  </si>
  <si>
    <t>MFG-008</t>
  </si>
  <si>
    <t>MOD-000630</t>
  </si>
  <si>
    <t>SG</t>
  </si>
  <si>
    <t>Singapore</t>
  </si>
  <si>
    <t>CNT-000016</t>
  </si>
  <si>
    <t>1030</t>
  </si>
  <si>
    <t>Steam Deck OLED</t>
  </si>
  <si>
    <t>DF-440</t>
  </si>
  <si>
    <t>MFG-044</t>
  </si>
  <si>
    <t>MOD-000629</t>
  </si>
  <si>
    <t>India</t>
  </si>
  <si>
    <t>CNT-000015</t>
  </si>
  <si>
    <t>HEG-001</t>
  </si>
  <si>
    <t>Nintendo Switch OLED</t>
  </si>
  <si>
    <t>DF-430</t>
  </si>
  <si>
    <t>MFG-043</t>
  </si>
  <si>
    <t>MOD-000628</t>
  </si>
  <si>
    <t>TW</t>
  </si>
  <si>
    <t>Taiwan</t>
  </si>
  <si>
    <t>CNT-000014</t>
  </si>
  <si>
    <t>2023</t>
  </si>
  <si>
    <t>Surface Laptop Studio 2</t>
  </si>
  <si>
    <t>DT-003</t>
  </si>
  <si>
    <t>DF-312</t>
  </si>
  <si>
    <t>MFG-031</t>
  </si>
  <si>
    <t>MOD-000627</t>
  </si>
  <si>
    <t>CN</t>
  </si>
  <si>
    <t>China</t>
  </si>
  <si>
    <t>CNT-000013</t>
  </si>
  <si>
    <t>2037</t>
  </si>
  <si>
    <t>Surface Laptop 7</t>
  </si>
  <si>
    <t>DF-311</t>
  </si>
  <si>
    <t>MOD-000626</t>
  </si>
  <si>
    <t>KR</t>
  </si>
  <si>
    <t>South Korea</t>
  </si>
  <si>
    <t>CNT-000012</t>
  </si>
  <si>
    <t>Blade16</t>
  </si>
  <si>
    <t>Razer Blade 16</t>
  </si>
  <si>
    <t>DF-420</t>
  </si>
  <si>
    <t>MFG-042</t>
  </si>
  <si>
    <t>MOD-000625</t>
  </si>
  <si>
    <t>JP</t>
  </si>
  <si>
    <t>Japan</t>
  </si>
  <si>
    <t>CNT-000011</t>
  </si>
  <si>
    <t>m16R2</t>
  </si>
  <si>
    <t>Alienware m16 R2</t>
  </si>
  <si>
    <t>DF-410</t>
  </si>
  <si>
    <t>MFG-041</t>
  </si>
  <si>
    <t>MOD-000624</t>
  </si>
  <si>
    <t>NZ</t>
  </si>
  <si>
    <t>New Zealand</t>
  </si>
  <si>
    <t>CNT-000010</t>
  </si>
  <si>
    <t>FW13</t>
  </si>
  <si>
    <t>Framework Laptop 13</t>
  </si>
  <si>
    <t>DF-400</t>
  </si>
  <si>
    <t>MFG-040</t>
  </si>
  <si>
    <t>MOD-000623</t>
  </si>
  <si>
    <t>AU</t>
  </si>
  <si>
    <t>Australia</t>
  </si>
  <si>
    <t>CNT-000009</t>
  </si>
  <si>
    <t>16Z90S</t>
  </si>
  <si>
    <t>LG Gram 16</t>
  </si>
  <si>
    <t>DF-390</t>
  </si>
  <si>
    <t>MFG-039</t>
  </si>
  <si>
    <t>MOD-000622</t>
  </si>
  <si>
    <t>ES</t>
  </si>
  <si>
    <t>Spain</t>
  </si>
  <si>
    <t>CNT-000008</t>
  </si>
  <si>
    <t>NP940XGK</t>
  </si>
  <si>
    <t>Samsung Galaxy Book4 Pro</t>
  </si>
  <si>
    <t>DF-380</t>
  </si>
  <si>
    <t>MFG-038</t>
  </si>
  <si>
    <t>MOD-000621</t>
  </si>
  <si>
    <t>IT</t>
  </si>
  <si>
    <t>Italy</t>
  </si>
  <si>
    <t>CNT-000007</t>
  </si>
  <si>
    <t>A1V</t>
  </si>
  <si>
    <t>MSI Stealth 16 AI</t>
  </si>
  <si>
    <t>DF-370</t>
  </si>
  <si>
    <t>MFG-037</t>
  </si>
  <si>
    <t>MOD-000620</t>
  </si>
  <si>
    <t>Germany</t>
  </si>
  <si>
    <t>CNT-000006</t>
  </si>
  <si>
    <t>SFG14</t>
  </si>
  <si>
    <t>Acer Swift Go 14</t>
  </si>
  <si>
    <t>DF-360</t>
  </si>
  <si>
    <t>MFG-036</t>
  </si>
  <si>
    <t>MOD-000619</t>
  </si>
  <si>
    <t>FR</t>
  </si>
  <si>
    <t>France</t>
  </si>
  <si>
    <t>CNT-000005</t>
  </si>
  <si>
    <t>UX3405</t>
  </si>
  <si>
    <t>ASUS Zenbook 14 OLED</t>
  </si>
  <si>
    <t>DF-350</t>
  </si>
  <si>
    <t>MFG-035</t>
  </si>
  <si>
    <t>MOD-000618</t>
  </si>
  <si>
    <t>GB</t>
  </si>
  <si>
    <t>United Kingdom</t>
  </si>
  <si>
    <t>CNT-000004</t>
  </si>
  <si>
    <t>83AC</t>
  </si>
  <si>
    <t>Lenovo Yoga 9i Gen9</t>
  </si>
  <si>
    <t>DF-341</t>
  </si>
  <si>
    <t>MOD-000617</t>
  </si>
  <si>
    <t>MX</t>
  </si>
  <si>
    <t>Mexico</t>
  </si>
  <si>
    <t>CNT-000003</t>
  </si>
  <si>
    <t>14-fa</t>
  </si>
  <si>
    <t>HP Envy x360 14</t>
  </si>
  <si>
    <t>DF-332</t>
  </si>
  <si>
    <t>MFG-033</t>
  </si>
  <si>
    <t>MOD-000616</t>
  </si>
  <si>
    <t>Canada</t>
  </si>
  <si>
    <t>CNT-000002</t>
  </si>
  <si>
    <t>840 G11</t>
  </si>
  <si>
    <t>HP EliteBook 840 G11</t>
  </si>
  <si>
    <t>DF-331</t>
  </si>
  <si>
    <t>MOD-000615</t>
  </si>
  <si>
    <t>US</t>
  </si>
  <si>
    <t>United States</t>
  </si>
  <si>
    <t>CNT-000001</t>
  </si>
  <si>
    <t>3591</t>
  </si>
  <si>
    <t>Dell Precision 3591</t>
  </si>
  <si>
    <t>DF-322</t>
  </si>
  <si>
    <t>MFG-032</t>
  </si>
  <si>
    <t>MOD-000614</t>
  </si>
  <si>
    <t>7450</t>
  </si>
  <si>
    <t>Dell Latitude 7450</t>
  </si>
  <si>
    <t>DF-321</t>
  </si>
  <si>
    <t>MOD-000613</t>
  </si>
  <si>
    <t>tblCountries</t>
  </si>
  <si>
    <t>21KC</t>
  </si>
  <si>
    <t>Lenovo ThinkPad X1 Carbon Gen12</t>
  </si>
  <si>
    <t>DF-340</t>
  </si>
  <si>
    <t>MOD-000612</t>
  </si>
  <si>
    <t>14-eu</t>
  </si>
  <si>
    <t>HP Spectre x360 14</t>
  </si>
  <si>
    <t>DF-330</t>
  </si>
  <si>
    <t>MOD-000611</t>
  </si>
  <si>
    <t xml:space="preserve"> -------------------------------------------------------------------------------------------------------------------------------</t>
  </si>
  <si>
    <t>9350</t>
  </si>
  <si>
    <t>Dell XPS 13 9350</t>
  </si>
  <si>
    <t>DF-320</t>
  </si>
  <si>
    <t>MOD-000610</t>
  </si>
  <si>
    <t xml:space="preserve"> GEOGRAPHIC LOOKUPS</t>
  </si>
  <si>
    <t>2076</t>
  </si>
  <si>
    <t>Surface Pro 11</t>
  </si>
  <si>
    <t>DT-002</t>
  </si>
  <si>
    <t>DF-310</t>
  </si>
  <si>
    <t>MOD-000609</t>
  </si>
  <si>
    <t>TB370FU</t>
  </si>
  <si>
    <t>Lenovo Tab P12</t>
  </si>
  <si>
    <t>DF-300</t>
  </si>
  <si>
    <t>MFG-030</t>
  </si>
  <si>
    <t>MOD-000608</t>
  </si>
  <si>
    <t>Fire OS</t>
  </si>
  <si>
    <t>Amazon Fire Max 11</t>
  </si>
  <si>
    <t>DF-290</t>
  </si>
  <si>
    <t>MFG-029</t>
  </si>
  <si>
    <t>MOD-000607</t>
  </si>
  <si>
    <t>Terminated</t>
  </si>
  <si>
    <t>EMP-000004</t>
  </si>
  <si>
    <t>M481Q</t>
  </si>
  <si>
    <t>Meizu 21 Pro</t>
  </si>
  <si>
    <t>DT-001</t>
  </si>
  <si>
    <t>DF-280</t>
  </si>
  <si>
    <t>MFG-028</t>
  </si>
  <si>
    <t>MOD-000606</t>
  </si>
  <si>
    <t>Inactive</t>
  </si>
  <si>
    <t>EMP-000003</t>
  </si>
  <si>
    <t>SH-R9</t>
  </si>
  <si>
    <t>Sharp Aquos R9</t>
  </si>
  <si>
    <t>DF-270</t>
  </si>
  <si>
    <t>MFG-027</t>
  </si>
  <si>
    <t>MOD-000605</t>
  </si>
  <si>
    <t>On Leave</t>
  </si>
  <si>
    <t>EMP-000002</t>
  </si>
  <si>
    <t>G9</t>
  </si>
  <si>
    <t>UMIDIGI G9</t>
  </si>
  <si>
    <t>DF-260</t>
  </si>
  <si>
    <t>MFG-026</t>
  </si>
  <si>
    <t>MOD-000604</t>
  </si>
  <si>
    <t>EMP-000001</t>
  </si>
  <si>
    <t>Armor24</t>
  </si>
  <si>
    <t>Ulefone Armor 24</t>
  </si>
  <si>
    <t>DF-250</t>
  </si>
  <si>
    <t>MFG-025</t>
  </si>
  <si>
    <t>MOD-000603</t>
  </si>
  <si>
    <t>V Max</t>
  </si>
  <si>
    <t>Doogee V Max</t>
  </si>
  <si>
    <t>DF-240</t>
  </si>
  <si>
    <t>MFG-024</t>
  </si>
  <si>
    <t>MOD-000602</t>
  </si>
  <si>
    <t>tblEmployeeStatus</t>
  </si>
  <si>
    <t>BV9300</t>
  </si>
  <si>
    <t>Blackview BV9300</t>
  </si>
  <si>
    <t>DF-230</t>
  </si>
  <si>
    <t>MFG-023</t>
  </si>
  <si>
    <t>MOD-000601</t>
  </si>
  <si>
    <t>FP5</t>
  </si>
  <si>
    <t>Fairphone 5</t>
  </si>
  <si>
    <t>DF-220</t>
  </si>
  <si>
    <t>MFG-022</t>
  </si>
  <si>
    <t>MOD-000600</t>
  </si>
  <si>
    <t>Bookkeeper</t>
  </si>
  <si>
    <t>ROL-000008</t>
  </si>
  <si>
    <t>S75</t>
  </si>
  <si>
    <t>CAT S75</t>
  </si>
  <si>
    <t>DF-210</t>
  </si>
  <si>
    <t>MFG-021</t>
  </si>
  <si>
    <t>MOD-000599</t>
  </si>
  <si>
    <t>Sales</t>
  </si>
  <si>
    <t>ROL-000007</t>
  </si>
  <si>
    <t>E7200</t>
  </si>
  <si>
    <t>Kyocera DuraForce Pro 3</t>
  </si>
  <si>
    <t>DF-200</t>
  </si>
  <si>
    <t>MFG-020</t>
  </si>
  <si>
    <t>MOD-000598</t>
  </si>
  <si>
    <t>Inventory</t>
  </si>
  <si>
    <t>ROL-000006</t>
  </si>
  <si>
    <t>G0930WW</t>
  </si>
  <si>
    <t>BLU G93</t>
  </si>
  <si>
    <t>DF-190</t>
  </si>
  <si>
    <t>MFG-019</t>
  </si>
  <si>
    <t>MOD-000597</t>
  </si>
  <si>
    <t>Front Desk</t>
  </si>
  <si>
    <t>ROL-000005</t>
  </si>
  <si>
    <t>T608DL</t>
  </si>
  <si>
    <t>TCL 40 XL</t>
  </si>
  <si>
    <t>DF-180</t>
  </si>
  <si>
    <t>MFG-018</t>
  </si>
  <si>
    <t>MOD-000596</t>
  </si>
  <si>
    <t>Technician</t>
  </si>
  <si>
    <t>ROL-000004</t>
  </si>
  <si>
    <t>T810H</t>
  </si>
  <si>
    <t>TCL 50 Pro NXTPAPER</t>
  </si>
  <si>
    <t>MOD-000595</t>
  </si>
  <si>
    <t>Lead Technician</t>
  </si>
  <si>
    <t>ROL-000003</t>
  </si>
  <si>
    <t>A015</t>
  </si>
  <si>
    <t>CMF Phone 1</t>
  </si>
  <si>
    <t>DF-171</t>
  </si>
  <si>
    <t>MFG-017</t>
  </si>
  <si>
    <t>MOD-000594</t>
  </si>
  <si>
    <t>Manager</t>
  </si>
  <si>
    <t>ROL-000002</t>
  </si>
  <si>
    <t>A110</t>
  </si>
  <si>
    <t>Nothing Phone (3a)</t>
  </si>
  <si>
    <t>DF-170</t>
  </si>
  <si>
    <t>MOD-000593</t>
  </si>
  <si>
    <t>Owner</t>
  </si>
  <si>
    <t>ROL-000001</t>
  </si>
  <si>
    <t>A142</t>
  </si>
  <si>
    <t>Nothing Phone (2a)</t>
  </si>
  <si>
    <t>MOD-000592</t>
  </si>
  <si>
    <t>A065</t>
  </si>
  <si>
    <t>Nothing Phone (2)</t>
  </si>
  <si>
    <t>MOD-000591</t>
  </si>
  <si>
    <t>tblEmployeeRoles</t>
  </si>
  <si>
    <t>NX721J</t>
  </si>
  <si>
    <t>nubia Z60 Ultra</t>
  </si>
  <si>
    <t>DF-161</t>
  </si>
  <si>
    <t>MFG-016</t>
  </si>
  <si>
    <t>MOD-000590</t>
  </si>
  <si>
    <t>A2024</t>
  </si>
  <si>
    <t>ZTE Axon 50 Ultra</t>
  </si>
  <si>
    <t>DF-160</t>
  </si>
  <si>
    <t>MOD-000589</t>
  </si>
  <si>
    <t>TGR-W09</t>
  </si>
  <si>
    <t>Huawei MatePad 11.5 S</t>
  </si>
  <si>
    <t>DF-153</t>
  </si>
  <si>
    <t>MFG-015</t>
  </si>
  <si>
    <t>MOD-000588</t>
  </si>
  <si>
    <t xml:space="preserve"> EMPLOYEE LOOKUPS</t>
  </si>
  <si>
    <t>FIN-AL60</t>
  </si>
  <si>
    <t>Huawei Nova 12</t>
  </si>
  <si>
    <t>DF-152</t>
  </si>
  <si>
    <t>MOD-000587</t>
  </si>
  <si>
    <t>HBN-AL80</t>
  </si>
  <si>
    <t>Huawei Pura 70 Ultra</t>
  </si>
  <si>
    <t>DF-151</t>
  </si>
  <si>
    <t>MOD-000586</t>
  </si>
  <si>
    <t>MNA-AL00</t>
  </si>
  <si>
    <t>Huawei P60 Pro</t>
  </si>
  <si>
    <t>MOD-000585</t>
  </si>
  <si>
    <t>Standard</t>
  </si>
  <si>
    <t>TAX-000011</t>
  </si>
  <si>
    <t>ALT-AL10</t>
  </si>
  <si>
    <t>Huawei Mate X5</t>
  </si>
  <si>
    <t>DF-150</t>
  </si>
  <si>
    <t>MOD-000584</t>
  </si>
  <si>
    <t>TAX-000010</t>
  </si>
  <si>
    <t>ALN-AL10</t>
  </si>
  <si>
    <t>Huawei Mate 60 Pro</t>
  </si>
  <si>
    <t>MOD-000583</t>
  </si>
  <si>
    <t>TAX-000009</t>
  </si>
  <si>
    <t>ALI-NX1</t>
  </si>
  <si>
    <t>HONOR X9b</t>
  </si>
  <si>
    <t>DF-142</t>
  </si>
  <si>
    <t>MFG-014</t>
  </si>
  <si>
    <t>MOD-000582</t>
  </si>
  <si>
    <t>TAX-000008</t>
  </si>
  <si>
    <t>ELP-AN00</t>
  </si>
  <si>
    <t>HONOR 200</t>
  </si>
  <si>
    <t>DF-141</t>
  </si>
  <si>
    <t>MOD-000581</t>
  </si>
  <si>
    <t>TAX-000007</t>
  </si>
  <si>
    <t>FCP-AN10</t>
  </si>
  <si>
    <t>HONOR Magic V3</t>
  </si>
  <si>
    <t>DF-140</t>
  </si>
  <si>
    <t>MOD-000580</t>
  </si>
  <si>
    <t>TAX-000006</t>
  </si>
  <si>
    <t>VER-AN10</t>
  </si>
  <si>
    <t>HONOR Magic V2</t>
  </si>
  <si>
    <t>MOD-000579</t>
  </si>
  <si>
    <t>TAX-000005</t>
  </si>
  <si>
    <t>BVL-AN16</t>
  </si>
  <si>
    <t>HONOR Magic6 Pro</t>
  </si>
  <si>
    <t>MOD-000578</t>
  </si>
  <si>
    <t>TAX-000004</t>
  </si>
  <si>
    <t>BVL-AN00</t>
  </si>
  <si>
    <t>HONOR Magic6</t>
  </si>
  <si>
    <t>MOD-000577</t>
  </si>
  <si>
    <t>TAX-000003</t>
  </si>
  <si>
    <t>RMX3910</t>
  </si>
  <si>
    <t>realme C65</t>
  </si>
  <si>
    <t>DF-133</t>
  </si>
  <si>
    <t>MFG-013</t>
  </si>
  <si>
    <t>MOD-000576</t>
  </si>
  <si>
    <t>Local Option Tax</t>
  </si>
  <si>
    <t>TAX-000002</t>
  </si>
  <si>
    <t>RMX3890</t>
  </si>
  <si>
    <t>realme C67</t>
  </si>
  <si>
    <t>MOD-000575</t>
  </si>
  <si>
    <t>Tax Exempt</t>
  </si>
  <si>
    <t>TAX-000001</t>
  </si>
  <si>
    <t>RMX3842</t>
  </si>
  <si>
    <t>realme 12 Pro</t>
  </si>
  <si>
    <t>DF-131</t>
  </si>
  <si>
    <t>MOD-000574</t>
  </si>
  <si>
    <t>RMX3852</t>
  </si>
  <si>
    <t>realme GT Neo 6</t>
  </si>
  <si>
    <t>DF-130</t>
  </si>
  <si>
    <t>MOD-000573</t>
  </si>
  <si>
    <t>tblTaxRates</t>
  </si>
  <si>
    <t>RMX3868</t>
  </si>
  <si>
    <t>realme Narzo 70 Pro</t>
  </si>
  <si>
    <t>DF-132</t>
  </si>
  <si>
    <t>MOD-000572</t>
  </si>
  <si>
    <t>RMX3840</t>
  </si>
  <si>
    <t>realme 12 Pro+</t>
  </si>
  <si>
    <t>MOD-000571</t>
  </si>
  <si>
    <t>RMX3853</t>
  </si>
  <si>
    <t>realme GT 6T</t>
  </si>
  <si>
    <t>MOD-000570</t>
  </si>
  <si>
    <t>Damaged</t>
  </si>
  <si>
    <t>SPS-000011</t>
  </si>
  <si>
    <t>RMX3851</t>
  </si>
  <si>
    <t>realme GT 6</t>
  </si>
  <si>
    <t>MOD-000569</t>
  </si>
  <si>
    <t>Lost</t>
  </si>
  <si>
    <t>SPS-000010</t>
  </si>
  <si>
    <t>I2303</t>
  </si>
  <si>
    <t>iQOO 12 Pro</t>
  </si>
  <si>
    <t>DF-122</t>
  </si>
  <si>
    <t>MFG-012</t>
  </si>
  <si>
    <t>MOD-000568</t>
  </si>
  <si>
    <t>Returned</t>
  </si>
  <si>
    <t>SPS-000009</t>
  </si>
  <si>
    <t>V2336</t>
  </si>
  <si>
    <t>vivo Y200</t>
  </si>
  <si>
    <t>DF-121</t>
  </si>
  <si>
    <t>MOD-000567</t>
  </si>
  <si>
    <t>Delivery Failed</t>
  </si>
  <si>
    <t>SPS-000008</t>
  </si>
  <si>
    <t>V2348</t>
  </si>
  <si>
    <t>vivo V40</t>
  </si>
  <si>
    <t>MOD-000566</t>
  </si>
  <si>
    <t>Delivered</t>
  </si>
  <si>
    <t>SPS-000007</t>
  </si>
  <si>
    <t>V2406</t>
  </si>
  <si>
    <t>vivo X200 Pro</t>
  </si>
  <si>
    <t>DF-120</t>
  </si>
  <si>
    <t>MOD-000565</t>
  </si>
  <si>
    <t>Out for Delivery</t>
  </si>
  <si>
    <t>SPS-000006</t>
  </si>
  <si>
    <t>V2405</t>
  </si>
  <si>
    <t>vivo X200</t>
  </si>
  <si>
    <t>MOD-000564</t>
  </si>
  <si>
    <t>In Transit</t>
  </si>
  <si>
    <t>SPS-000005</t>
  </si>
  <si>
    <t>V2366</t>
  </si>
  <si>
    <t>vivo X100 Ultra</t>
  </si>
  <si>
    <t>MOD-000563</t>
  </si>
  <si>
    <t>Picked Up</t>
  </si>
  <si>
    <t>SPS-000004</t>
  </si>
  <si>
    <t>I2302</t>
  </si>
  <si>
    <t>iQOO 12</t>
  </si>
  <si>
    <t>MOD-000562</t>
  </si>
  <si>
    <t>Label Created</t>
  </si>
  <si>
    <t>SPS-000003</t>
  </si>
  <si>
    <t>V2318</t>
  </si>
  <si>
    <t>vivo V30</t>
  </si>
  <si>
    <t>MOD-000561</t>
  </si>
  <si>
    <t>Packed</t>
  </si>
  <si>
    <t>SPS-000002</t>
  </si>
  <si>
    <t>V2309A</t>
  </si>
  <si>
    <t>vivo X100 Pro</t>
  </si>
  <si>
    <t>MOD-000560</t>
  </si>
  <si>
    <t>Preparing Shipment</t>
  </si>
  <si>
    <t>SPS-000001</t>
  </si>
  <si>
    <t>V2309</t>
  </si>
  <si>
    <t>vivo X100</t>
  </si>
  <si>
    <t>MOD-000559</t>
  </si>
  <si>
    <t>CPH2483</t>
  </si>
  <si>
    <t>OPPO A78 5G</t>
  </si>
  <si>
    <t>DF-112</t>
  </si>
  <si>
    <t>MFG-011</t>
  </si>
  <si>
    <t>MOD-000558</t>
  </si>
  <si>
    <t>tblShippingStatus</t>
  </si>
  <si>
    <t>CPH2577</t>
  </si>
  <si>
    <t>OPPO A58</t>
  </si>
  <si>
    <t>MOD-000557</t>
  </si>
  <si>
    <t>CPH2607</t>
  </si>
  <si>
    <t>OPPO Reno11 Pro</t>
  </si>
  <si>
    <t>DF-111</t>
  </si>
  <si>
    <t>MOD-000556</t>
  </si>
  <si>
    <t>Courier</t>
  </si>
  <si>
    <t>SHP-000006</t>
  </si>
  <si>
    <t>CPH2599</t>
  </si>
  <si>
    <t>OPPO Reno11</t>
  </si>
  <si>
    <t>MOD-000555</t>
  </si>
  <si>
    <t>Pickup</t>
  </si>
  <si>
    <t>Local Pickup</t>
  </si>
  <si>
    <t>SHP-000005</t>
  </si>
  <si>
    <t>OPD2202</t>
  </si>
  <si>
    <t>OPPO Pad 2</t>
  </si>
  <si>
    <t>DF-114</t>
  </si>
  <si>
    <t>MOD-000554</t>
  </si>
  <si>
    <t>DHL</t>
  </si>
  <si>
    <t>SHP-000004</t>
  </si>
  <si>
    <t>PHT110</t>
  </si>
  <si>
    <t>OPPO Find N3 Flip</t>
  </si>
  <si>
    <t>DF-113</t>
  </si>
  <si>
    <t>MOD-000553</t>
  </si>
  <si>
    <t>FedEx</t>
  </si>
  <si>
    <t>SHP-000003</t>
  </si>
  <si>
    <t>CPH2499</t>
  </si>
  <si>
    <t>OPPO Find N3</t>
  </si>
  <si>
    <t>MOD-000552</t>
  </si>
  <si>
    <t>UPS</t>
  </si>
  <si>
    <t>SHP-000002</t>
  </si>
  <si>
    <t>CPH2631</t>
  </si>
  <si>
    <t>OPPO A60</t>
  </si>
  <si>
    <t>MOD-000551</t>
  </si>
  <si>
    <t>Postal</t>
  </si>
  <si>
    <t>USPS</t>
  </si>
  <si>
    <t>SHP-000001</t>
  </si>
  <si>
    <t>CPH2553</t>
  </si>
  <si>
    <t>OPPO A79 5G</t>
  </si>
  <si>
    <t>MOD-000550</t>
  </si>
  <si>
    <t>CPH2529</t>
  </si>
  <si>
    <t>OPPO A98 5G</t>
  </si>
  <si>
    <t>MOD-000549</t>
  </si>
  <si>
    <t>tblShippingMethods</t>
  </si>
  <si>
    <t>CPH2629</t>
  </si>
  <si>
    <t>OPPO Reno12 Pro</t>
  </si>
  <si>
    <t>MOD-000548</t>
  </si>
  <si>
    <t>CPH2625</t>
  </si>
  <si>
    <t>OPPO Reno12</t>
  </si>
  <si>
    <t>MOD-000547</t>
  </si>
  <si>
    <t>Written Off</t>
  </si>
  <si>
    <t>PYS-000011</t>
  </si>
  <si>
    <t>PHY110</t>
  </si>
  <si>
    <t>OPPO Find X7 Ultra</t>
  </si>
  <si>
    <t>DF-110</t>
  </si>
  <si>
    <t>MOD-000546</t>
  </si>
  <si>
    <t>Failed</t>
  </si>
  <si>
    <t>PYS-000010</t>
  </si>
  <si>
    <t>PHZ110</t>
  </si>
  <si>
    <t>OPPO Find X7</t>
  </si>
  <si>
    <t>MOD-000545</t>
  </si>
  <si>
    <t>Chargeback</t>
  </si>
  <si>
    <t>PYS-000009</t>
  </si>
  <si>
    <t>PKC110</t>
  </si>
  <si>
    <t>OPPO Find X8 Pro</t>
  </si>
  <si>
    <t>MOD-000544</t>
  </si>
  <si>
    <t>Cancelled</t>
  </si>
  <si>
    <t>PYS-000008</t>
  </si>
  <si>
    <t>24018RPACC</t>
  </si>
  <si>
    <t>Xiaomi Pad 6S Pro</t>
  </si>
  <si>
    <t>DF-106</t>
  </si>
  <si>
    <t>MFG-010</t>
  </si>
  <si>
    <t>MOD-000543</t>
  </si>
  <si>
    <t>Voided</t>
  </si>
  <si>
    <t>PYS-000007</t>
  </si>
  <si>
    <t>2312FPCA6G</t>
  </si>
  <si>
    <t>POCO M6 Pro</t>
  </si>
  <si>
    <t>DF-105</t>
  </si>
  <si>
    <t>MOD-000542</t>
  </si>
  <si>
    <t>Partially Refunded</t>
  </si>
  <si>
    <t>PYS-000006</t>
  </si>
  <si>
    <t>2311DRK48G</t>
  </si>
  <si>
    <t>POCO X6 Pro</t>
  </si>
  <si>
    <t>DF-104</t>
  </si>
  <si>
    <t>MOD-000541</t>
  </si>
  <si>
    <t>Refunded</t>
  </si>
  <si>
    <t>PYS-000005</t>
  </si>
  <si>
    <t>23113RKC6G</t>
  </si>
  <si>
    <t>POCO F6 Pro</t>
  </si>
  <si>
    <t>DF-103</t>
  </si>
  <si>
    <t>MOD-000540</t>
  </si>
  <si>
    <t>Paid</t>
  </si>
  <si>
    <t>PYS-000004</t>
  </si>
  <si>
    <t>23117RK66C</t>
  </si>
  <si>
    <t>Redmi K70</t>
  </si>
  <si>
    <t>DF-102</t>
  </si>
  <si>
    <t>MOD-000539</t>
  </si>
  <si>
    <t>Partially Paid</t>
  </si>
  <si>
    <t>PYS-000003</t>
  </si>
  <si>
    <t>24090RA29G</t>
  </si>
  <si>
    <t>Redmi Note 14 Pro+</t>
  </si>
  <si>
    <t>DF-101</t>
  </si>
  <si>
    <t>MOD-000538</t>
  </si>
  <si>
    <t>Authorized</t>
  </si>
  <si>
    <t>PYS-000002</t>
  </si>
  <si>
    <t>2312DRA50G</t>
  </si>
  <si>
    <t>Redmi Note 13 Pro 5G</t>
  </si>
  <si>
    <t>MOD-000537</t>
  </si>
  <si>
    <t>Pending</t>
  </si>
  <si>
    <t>PYS-000001</t>
  </si>
  <si>
    <t>24129PN74C</t>
  </si>
  <si>
    <t>Xiaomi 15 Pro</t>
  </si>
  <si>
    <t>DF-100</t>
  </si>
  <si>
    <t>MOD-000536</t>
  </si>
  <si>
    <t>24129PN74G</t>
  </si>
  <si>
    <t>Xiaomi 15</t>
  </si>
  <si>
    <t>MOD-000535</t>
  </si>
  <si>
    <t>tblPaymentStatus</t>
  </si>
  <si>
    <t>24030PN60G</t>
  </si>
  <si>
    <t>Xiaomi 14 Ultra</t>
  </si>
  <si>
    <t>MOD-000534</t>
  </si>
  <si>
    <t>22101316G</t>
  </si>
  <si>
    <t>Redmi Note 12 Pro 5G</t>
  </si>
  <si>
    <t>MOD-000533</t>
  </si>
  <si>
    <t>ACH</t>
  </si>
  <si>
    <t>Bank Transfer</t>
  </si>
  <si>
    <t>PAY-000008</t>
  </si>
  <si>
    <t>2201117TG</t>
  </si>
  <si>
    <t>Redmi Note 11</t>
  </si>
  <si>
    <t>MOD-000532</t>
  </si>
  <si>
    <t>PayPal</t>
  </si>
  <si>
    <t>PAY-000007</t>
  </si>
  <si>
    <t>M2101K7AG</t>
  </si>
  <si>
    <t>Redmi Note 10</t>
  </si>
  <si>
    <t>MOD-000531</t>
  </si>
  <si>
    <t>Google</t>
  </si>
  <si>
    <t>Google Pay</t>
  </si>
  <si>
    <t>PAY-000006</t>
  </si>
  <si>
    <t>23127PN0CG</t>
  </si>
  <si>
    <t>Xiaomi 14</t>
  </si>
  <si>
    <t>MOD-000530</t>
  </si>
  <si>
    <t>Apple</t>
  </si>
  <si>
    <t>Apple Pay</t>
  </si>
  <si>
    <t>PAY-000005</t>
  </si>
  <si>
    <t>2211133G</t>
  </si>
  <si>
    <t>Xiaomi 13</t>
  </si>
  <si>
    <t>MOD-000529</t>
  </si>
  <si>
    <t>Square POS</t>
  </si>
  <si>
    <t>Square</t>
  </si>
  <si>
    <t>PAY-000004</t>
  </si>
  <si>
    <t>2201123G</t>
  </si>
  <si>
    <t>Xiaomi 12</t>
  </si>
  <si>
    <t>MOD-000528</t>
  </si>
  <si>
    <t>Debit</t>
  </si>
  <si>
    <t>Debit Card</t>
  </si>
  <si>
    <t>PAY-000003</t>
  </si>
  <si>
    <t>M2011K2G</t>
  </si>
  <si>
    <t>Mi 11</t>
  </si>
  <si>
    <t>MOD-000527</t>
  </si>
  <si>
    <t>Credit</t>
  </si>
  <si>
    <t>Credit Card</t>
  </si>
  <si>
    <t>PAY-000002</t>
  </si>
  <si>
    <t>M2001J2G</t>
  </si>
  <si>
    <t>Mi 10</t>
  </si>
  <si>
    <t>MOD-000526</t>
  </si>
  <si>
    <t>Cash</t>
  </si>
  <si>
    <t>PAY-000001</t>
  </si>
  <si>
    <t>M1902F1G</t>
  </si>
  <si>
    <t>Mi 9</t>
  </si>
  <si>
    <t>MOD-000525</t>
  </si>
  <si>
    <t>M1803E1A</t>
  </si>
  <si>
    <t>Mi 8</t>
  </si>
  <si>
    <t>MOD-000524</t>
  </si>
  <si>
    <t>tblPaymentMethods</t>
  </si>
  <si>
    <t>OPD2404</t>
  </si>
  <si>
    <t>OnePlus Pad 2</t>
  </si>
  <si>
    <t>DF-093</t>
  </si>
  <si>
    <t>MFG-009</t>
  </si>
  <si>
    <t>MOD-000523</t>
  </si>
  <si>
    <t>OPD2203</t>
  </si>
  <si>
    <t>OnePlus Pad</t>
  </si>
  <si>
    <t>MOD-000522</t>
  </si>
  <si>
    <t>CPH2551</t>
  </si>
  <si>
    <t>OnePlus Open</t>
  </si>
  <si>
    <t>DF-092</t>
  </si>
  <si>
    <t>MOD-000521</t>
  </si>
  <si>
    <t xml:space="preserve"> BUSINESS LOOKUPS</t>
  </si>
  <si>
    <t>CPH2513</t>
  </si>
  <si>
    <t>OnePlus Nord N30 5G</t>
  </si>
  <si>
    <t>DF-091</t>
  </si>
  <si>
    <t>MOD-000520</t>
  </si>
  <si>
    <t>CPH2465</t>
  </si>
  <si>
    <t>OnePlus Nord CE 3 Lite</t>
  </si>
  <si>
    <t>MOD-000519</t>
  </si>
  <si>
    <t>AC2003</t>
  </si>
  <si>
    <t>OnePlus Nord</t>
  </si>
  <si>
    <t>MOD-000518</t>
  </si>
  <si>
    <t>Allstate</t>
  </si>
  <si>
    <t>WPR-000006</t>
  </si>
  <si>
    <t>PJZ110</t>
  </si>
  <si>
    <t>OnePlus 13</t>
  </si>
  <si>
    <t>DF-090</t>
  </si>
  <si>
    <t>MOD-000517</t>
  </si>
  <si>
    <t>SquareTrade</t>
  </si>
  <si>
    <t>WPR-000005</t>
  </si>
  <si>
    <t>CPH2611</t>
  </si>
  <si>
    <t>OnePlus 12R</t>
  </si>
  <si>
    <t>MOD-000516</t>
  </si>
  <si>
    <t>Asurion</t>
  </si>
  <si>
    <t>WPR-000004</t>
  </si>
  <si>
    <t>CPH2583</t>
  </si>
  <si>
    <t>OnePlus 12</t>
  </si>
  <si>
    <t>MOD-000515</t>
  </si>
  <si>
    <t>Samsung</t>
  </si>
  <si>
    <t>WPR-000003</t>
  </si>
  <si>
    <t>CPH2449</t>
  </si>
  <si>
    <t>OnePlus 11</t>
  </si>
  <si>
    <t>MOD-000514</t>
  </si>
  <si>
    <t>WPR-000002</t>
  </si>
  <si>
    <t>CPH2415</t>
  </si>
  <si>
    <t>OnePlus 10T</t>
  </si>
  <si>
    <t>MOD-000513</t>
  </si>
  <si>
    <t>Nocturnix</t>
  </si>
  <si>
    <t>WPR-000001</t>
  </si>
  <si>
    <t>NE2215</t>
  </si>
  <si>
    <t>OnePlus 10 Pro</t>
  </si>
  <si>
    <t>MOD-000512</t>
  </si>
  <si>
    <t>LE2101</t>
  </si>
  <si>
    <t>OnePlus 9R</t>
  </si>
  <si>
    <t>MOD-000511</t>
  </si>
  <si>
    <t>tblWarrantyProviders</t>
  </si>
  <si>
    <t>LE2125</t>
  </si>
  <si>
    <t>OnePlus 9 Pro</t>
  </si>
  <si>
    <t>MOD-000510</t>
  </si>
  <si>
    <t>LE2115</t>
  </si>
  <si>
    <t>OnePlus 9</t>
  </si>
  <si>
    <t>MOD-000509</t>
  </si>
  <si>
    <t>Pending Review</t>
  </si>
  <si>
    <t>WST-000004</t>
  </si>
  <si>
    <t>KB2005</t>
  </si>
  <si>
    <t>OnePlus 8T</t>
  </si>
  <si>
    <t>MOD-000508</t>
  </si>
  <si>
    <t>WST-000003</t>
  </si>
  <si>
    <t>IN2025</t>
  </si>
  <si>
    <t>OnePlus 8 Pro</t>
  </si>
  <si>
    <t>MOD-000507</t>
  </si>
  <si>
    <t>Expired</t>
  </si>
  <si>
    <t>WST-000002</t>
  </si>
  <si>
    <t>IN2015</t>
  </si>
  <si>
    <t>OnePlus 8</t>
  </si>
  <si>
    <t>MOD-000506</t>
  </si>
  <si>
    <t>Valid</t>
  </si>
  <si>
    <t>WST-000001</t>
  </si>
  <si>
    <t>HD1913</t>
  </si>
  <si>
    <t>OnePlus 7T Pro</t>
  </si>
  <si>
    <t>MOD-000505</t>
  </si>
  <si>
    <t>HD1905</t>
  </si>
  <si>
    <t>OnePlus 7T</t>
  </si>
  <si>
    <t>MOD-000504</t>
  </si>
  <si>
    <t>tblWarrantyStatus</t>
  </si>
  <si>
    <t>GM1917</t>
  </si>
  <si>
    <t>OnePlus 7 Pro</t>
  </si>
  <si>
    <t>MOD-000503</t>
  </si>
  <si>
    <t>GM1900</t>
  </si>
  <si>
    <t>OnePlus 7</t>
  </si>
  <si>
    <t>MOD-000502</t>
  </si>
  <si>
    <t>Manufacturer Warranty</t>
  </si>
  <si>
    <t>WAR-000008</t>
  </si>
  <si>
    <t>A6013</t>
  </si>
  <si>
    <t>OnePlus 6T</t>
  </si>
  <si>
    <t>MOD-000501</t>
  </si>
  <si>
    <t>Lifetime Limited</t>
  </si>
  <si>
    <t>WAR-000007</t>
  </si>
  <si>
    <t>A6003</t>
  </si>
  <si>
    <t>OnePlus 6</t>
  </si>
  <si>
    <t>MOD-000500</t>
  </si>
  <si>
    <t>2 Year Limited</t>
  </si>
  <si>
    <t>1 Year Limited</t>
  </si>
  <si>
    <t>WAR-000006</t>
  </si>
  <si>
    <t>A5010</t>
  </si>
  <si>
    <t>OnePlus 5T</t>
  </si>
  <si>
    <t>MOD-000499</t>
  </si>
  <si>
    <t>180 Days Limited</t>
  </si>
  <si>
    <t>WAR-000005</t>
  </si>
  <si>
    <t>A5000</t>
  </si>
  <si>
    <t>OnePlus 5</t>
  </si>
  <si>
    <t>MOD-000498</t>
  </si>
  <si>
    <t>90 Days Limited</t>
  </si>
  <si>
    <t>WAR-000004</t>
  </si>
  <si>
    <t>A3010</t>
  </si>
  <si>
    <t>OnePlus 3T</t>
  </si>
  <si>
    <t>MOD-000497</t>
  </si>
  <si>
    <t>60 Days Limited</t>
  </si>
  <si>
    <t>WAR-000003</t>
  </si>
  <si>
    <t>A3000</t>
  </si>
  <si>
    <t>OnePlus 3</t>
  </si>
  <si>
    <t>MOD-000496</t>
  </si>
  <si>
    <t>30 Days Limited</t>
  </si>
  <si>
    <t>WAR-000002</t>
  </si>
  <si>
    <t>A2001</t>
  </si>
  <si>
    <t>OnePlus 2</t>
  </si>
  <si>
    <t>MOD-000495</t>
  </si>
  <si>
    <t>No Warranty</t>
  </si>
  <si>
    <t>WAR-000001</t>
  </si>
  <si>
    <t>A0001</t>
  </si>
  <si>
    <t>OnePlus One</t>
  </si>
  <si>
    <t>MOD-000494</t>
  </si>
  <si>
    <t>GZ301</t>
  </si>
  <si>
    <t>ROG Flow Z13</t>
  </si>
  <si>
    <t>DF-082</t>
  </si>
  <si>
    <t>MOD-000493</t>
  </si>
  <si>
    <t>tblWarrantyTypes</t>
  </si>
  <si>
    <t>Z500M</t>
  </si>
  <si>
    <t>ZenPad 3S 10</t>
  </si>
  <si>
    <t>MOD-000492</t>
  </si>
  <si>
    <t>AI2401</t>
  </si>
  <si>
    <t>Zenfone 11 Ultra</t>
  </si>
  <si>
    <t>DF-080</t>
  </si>
  <si>
    <t>MOD-000491</t>
  </si>
  <si>
    <t>ROG Phone 8</t>
  </si>
  <si>
    <t>MOD-000490</t>
  </si>
  <si>
    <t xml:space="preserve"> WARRANTY LOOKUPS</t>
  </si>
  <si>
    <t>AI2205</t>
  </si>
  <si>
    <t>ROG Phone 7 Ultimate</t>
  </si>
  <si>
    <t>MOD-000489</t>
  </si>
  <si>
    <t>ROG Phone 7</t>
  </si>
  <si>
    <t>MOD-000488</t>
  </si>
  <si>
    <t>AI2201</t>
  </si>
  <si>
    <t>ROG Phone 6 Pro</t>
  </si>
  <si>
    <t>MOD-000487</t>
  </si>
  <si>
    <t>ROG Phone 6</t>
  </si>
  <si>
    <t>MOD-000486</t>
  </si>
  <si>
    <t>Awaiting Inspection</t>
  </si>
  <si>
    <t>INV-000006</t>
  </si>
  <si>
    <t>ZS676KS</t>
  </si>
  <si>
    <t>ROG Phone 5s</t>
  </si>
  <si>
    <t>MOD-000485</t>
  </si>
  <si>
    <t>INV-000005</t>
  </si>
  <si>
    <t>ZS661KS</t>
  </si>
  <si>
    <t>ROG Phone 3</t>
  </si>
  <si>
    <t>MOD-000484</t>
  </si>
  <si>
    <t>INV-000004</t>
  </si>
  <si>
    <t>ROG Phone 8 Pro</t>
  </si>
  <si>
    <t>MOD-000483</t>
  </si>
  <si>
    <t>Consumed</t>
  </si>
  <si>
    <t>INV-000003</t>
  </si>
  <si>
    <t>ZS673KS</t>
  </si>
  <si>
    <t>ROG Phone 5</t>
  </si>
  <si>
    <t>MOD-000482</t>
  </si>
  <si>
    <t>Allocated</t>
  </si>
  <si>
    <t>INV-000002</t>
  </si>
  <si>
    <t>ZS660KL</t>
  </si>
  <si>
    <t>ROG Phone II</t>
  </si>
  <si>
    <t>MOD-000481</t>
  </si>
  <si>
    <t>Available</t>
  </si>
  <si>
    <t>INV-000001</t>
  </si>
  <si>
    <t>ZS600KL</t>
  </si>
  <si>
    <t>ROG Phone</t>
  </si>
  <si>
    <t>MOD-000480</t>
  </si>
  <si>
    <t>AI2302</t>
  </si>
  <si>
    <t>Zenfone 10</t>
  </si>
  <si>
    <t>MOD-000479</t>
  </si>
  <si>
    <t>tblInventoryStatus</t>
  </si>
  <si>
    <t>AI2202</t>
  </si>
  <si>
    <t>Zenfone 9</t>
  </si>
  <si>
    <t>MOD-000478</t>
  </si>
  <si>
    <t>ZS590KS</t>
  </si>
  <si>
    <t>Zenfone 8</t>
  </si>
  <si>
    <t>MOD-000477</t>
  </si>
  <si>
    <t>Safe</t>
  </si>
  <si>
    <t>LOC-000008</t>
  </si>
  <si>
    <t>ZS670KS</t>
  </si>
  <si>
    <t>Zenfone 7</t>
  </si>
  <si>
    <t>MOD-000476</t>
  </si>
  <si>
    <t>Returns</t>
  </si>
  <si>
    <t>LOC-000007</t>
  </si>
  <si>
    <t>ZS630KL</t>
  </si>
  <si>
    <t>Zenfone 6</t>
  </si>
  <si>
    <t>MOD-000475</t>
  </si>
  <si>
    <t>Receiving</t>
  </si>
  <si>
    <t>LOC-000006</t>
  </si>
  <si>
    <t>ZE620KL</t>
  </si>
  <si>
    <t>Zenfone 5</t>
  </si>
  <si>
    <t>MOD-000474</t>
  </si>
  <si>
    <t>Warehouse</t>
  </si>
  <si>
    <t>LOC-000005</t>
  </si>
  <si>
    <t>TA-1688</t>
  </si>
  <si>
    <t>HMD Skyline</t>
  </si>
  <si>
    <t>DF-076</t>
  </si>
  <si>
    <t>MFG-007</t>
  </si>
  <si>
    <t>MOD-000473</t>
  </si>
  <si>
    <t>Stock Room</t>
  </si>
  <si>
    <t>LOC-000004</t>
  </si>
  <si>
    <t>TA-1495</t>
  </si>
  <si>
    <t>Nokia T21</t>
  </si>
  <si>
    <t>DF-075</t>
  </si>
  <si>
    <t>MOD-000472</t>
  </si>
  <si>
    <t>Repair Bench 2</t>
  </si>
  <si>
    <t>LOC-000003</t>
  </si>
  <si>
    <t>TA-1462</t>
  </si>
  <si>
    <t>Nokia T10</t>
  </si>
  <si>
    <t>MOD-000471</t>
  </si>
  <si>
    <t>Repair Bench 1</t>
  </si>
  <si>
    <t>LOC-000002</t>
  </si>
  <si>
    <t>TA-1536</t>
  </si>
  <si>
    <t>Nokia G310 5G</t>
  </si>
  <si>
    <t>DF-071</t>
  </si>
  <si>
    <t>MOD-000470</t>
  </si>
  <si>
    <t>Front Counter</t>
  </si>
  <si>
    <t>LOC-000001</t>
  </si>
  <si>
    <t>TA-1481</t>
  </si>
  <si>
    <t>Nokia G60 5G</t>
  </si>
  <si>
    <t>MOD-000469</t>
  </si>
  <si>
    <t>TA-1491</t>
  </si>
  <si>
    <t>Nokia C32</t>
  </si>
  <si>
    <t>DF-074</t>
  </si>
  <si>
    <t>MOD-000468</t>
  </si>
  <si>
    <t>tblInventoryLocations</t>
  </si>
  <si>
    <t>TA-1387</t>
  </si>
  <si>
    <t>Nokia C21</t>
  </si>
  <si>
    <t>MOD-000467</t>
  </si>
  <si>
    <t>TA-1450</t>
  </si>
  <si>
    <t>Nokia X30 5G</t>
  </si>
  <si>
    <t>DF-073</t>
  </si>
  <si>
    <t>MOD-000466</t>
  </si>
  <si>
    <t>TA-1341</t>
  </si>
  <si>
    <t>Nokia X20</t>
  </si>
  <si>
    <t>MOD-000465</t>
  </si>
  <si>
    <t>INVENTORY LOOKUPS</t>
  </si>
  <si>
    <t>TA-1332</t>
  </si>
  <si>
    <t>Nokia X10</t>
  </si>
  <si>
    <t>MOD-000464</t>
  </si>
  <si>
    <t>TA-1486</t>
  </si>
  <si>
    <t>Nokia XR21</t>
  </si>
  <si>
    <t>DF-072</t>
  </si>
  <si>
    <t>MOD-000463</t>
  </si>
  <si>
    <t>TA-1368</t>
  </si>
  <si>
    <t>Nokia XR20</t>
  </si>
  <si>
    <t>MOD-000462</t>
  </si>
  <si>
    <t>C-02</t>
  </si>
  <si>
    <t>SHF-000006</t>
  </si>
  <si>
    <t>TA-1591</t>
  </si>
  <si>
    <t>Nokia G42 5G</t>
  </si>
  <si>
    <t>MOD-000461</t>
  </si>
  <si>
    <t>C-01</t>
  </si>
  <si>
    <t>SHF-000005</t>
  </si>
  <si>
    <t>TA-1418</t>
  </si>
  <si>
    <t>Nokia G21</t>
  </si>
  <si>
    <t>MOD-000460</t>
  </si>
  <si>
    <t>B-02</t>
  </si>
  <si>
    <t>SHF-000004</t>
  </si>
  <si>
    <t>TA-1365</t>
  </si>
  <si>
    <t>Nokia G20</t>
  </si>
  <si>
    <t>MOD-000459</t>
  </si>
  <si>
    <t>B-01</t>
  </si>
  <si>
    <t>SHF-000003</t>
  </si>
  <si>
    <t>TA-1243</t>
  </si>
  <si>
    <t>Nokia 8.3 5G</t>
  </si>
  <si>
    <t>DF-070</t>
  </si>
  <si>
    <t>MOD-000458</t>
  </si>
  <si>
    <t>A-02</t>
  </si>
  <si>
    <t>SHF-000002</t>
  </si>
  <si>
    <t>TA-1196</t>
  </si>
  <si>
    <t>Nokia 7.2</t>
  </si>
  <si>
    <t>MOD-000457</t>
  </si>
  <si>
    <t>A-01</t>
  </si>
  <si>
    <t>SHF-000001</t>
  </si>
  <si>
    <t>TA-1046</t>
  </si>
  <si>
    <t>Nokia 7 Plus</t>
  </si>
  <si>
    <t>MOD-000456</t>
  </si>
  <si>
    <t>TA-1043</t>
  </si>
  <si>
    <t>Nokia 6.1</t>
  </si>
  <si>
    <t>MOD-000455</t>
  </si>
  <si>
    <t>tblShelfLocations</t>
  </si>
  <si>
    <t>TA-1000</t>
  </si>
  <si>
    <t>Nokia 6</t>
  </si>
  <si>
    <t>MOD-000454</t>
  </si>
  <si>
    <t>SO-53C</t>
  </si>
  <si>
    <t>Xperia Ace III</t>
  </si>
  <si>
    <t>DF-064</t>
  </si>
  <si>
    <t>MFG-006</t>
  </si>
  <si>
    <t>MOD-000453</t>
  </si>
  <si>
    <t>PSL-000010</t>
  </si>
  <si>
    <t>SO-41B</t>
  </si>
  <si>
    <t>Xperia Ace II</t>
  </si>
  <si>
    <t>MOD-000452</t>
  </si>
  <si>
    <t>PSL-000009</t>
  </si>
  <si>
    <t>SO-02L</t>
  </si>
  <si>
    <t>Xperia Ace</t>
  </si>
  <si>
    <t>MOD-000451</t>
  </si>
  <si>
    <t>PSL-000008</t>
  </si>
  <si>
    <t>XQ-BE62</t>
  </si>
  <si>
    <t>Xperia PRO-I</t>
  </si>
  <si>
    <t>DF-063</t>
  </si>
  <si>
    <t>MOD-000450</t>
  </si>
  <si>
    <t>PSL-000007</t>
  </si>
  <si>
    <t>XQ-AQ62</t>
  </si>
  <si>
    <t>Xperia PRO</t>
  </si>
  <si>
    <t>MOD-000449</t>
  </si>
  <si>
    <t>PSL-000006</t>
  </si>
  <si>
    <t>XQ-DC72</t>
  </si>
  <si>
    <t>Xperia 10 V</t>
  </si>
  <si>
    <t>DF-062</t>
  </si>
  <si>
    <t>MOD-000448</t>
  </si>
  <si>
    <t>PSL-000005</t>
  </si>
  <si>
    <t>XQ-BT52</t>
  </si>
  <si>
    <t>Xperia 10 III</t>
  </si>
  <si>
    <t>MOD-000447</t>
  </si>
  <si>
    <t>PSL-000004</t>
  </si>
  <si>
    <t>XQ-BQ72</t>
  </si>
  <si>
    <t>Xperia 5 III</t>
  </si>
  <si>
    <t>MOD-000446</t>
  </si>
  <si>
    <t>PSL-000003</t>
  </si>
  <si>
    <t>XQ-AS52</t>
  </si>
  <si>
    <t>Xperia 5 II</t>
  </si>
  <si>
    <t>MOD-000445</t>
  </si>
  <si>
    <t>PSL-000002</t>
  </si>
  <si>
    <t>J9210</t>
  </si>
  <si>
    <t>Xperia 5</t>
  </si>
  <si>
    <t>MOD-000444</t>
  </si>
  <si>
    <t>PSL-000001</t>
  </si>
  <si>
    <t>XQ-DE72</t>
  </si>
  <si>
    <t>Xperia 5 V</t>
  </si>
  <si>
    <t>MOD-000443</t>
  </si>
  <si>
    <t>XQ-DQ72</t>
  </si>
  <si>
    <t>Xperia 1 V</t>
  </si>
  <si>
    <t>DF-061</t>
  </si>
  <si>
    <t>MOD-000442</t>
  </si>
  <si>
    <t>tblPartSuppliers</t>
  </si>
  <si>
    <t>XQ-BC52</t>
  </si>
  <si>
    <t>Xperia 1 III</t>
  </si>
  <si>
    <t>MOD-000441</t>
  </si>
  <si>
    <t>XQ-AT51</t>
  </si>
  <si>
    <t>Xperia 1 II</t>
  </si>
  <si>
    <t>MOD-000440</t>
  </si>
  <si>
    <t>Samsung Display</t>
  </si>
  <si>
    <t>PMF-000023</t>
  </si>
  <si>
    <t>J8110</t>
  </si>
  <si>
    <t>Xperia 1</t>
  </si>
  <si>
    <t>MOD-000439</t>
  </si>
  <si>
    <t>LG Display</t>
  </si>
  <si>
    <t>PMF-000022</t>
  </si>
  <si>
    <t>H8266</t>
  </si>
  <si>
    <t>Xperia XZ2</t>
  </si>
  <si>
    <t>DF-060</t>
  </si>
  <si>
    <t>MOD-000438</t>
  </si>
  <si>
    <t>BOE</t>
  </si>
  <si>
    <t>PMF-000021</t>
  </si>
  <si>
    <t>G8341</t>
  </si>
  <si>
    <t>Xperia XZ1</t>
  </si>
  <si>
    <t>MOD-000437</t>
  </si>
  <si>
    <t>Corning</t>
  </si>
  <si>
    <t>PMF-000020</t>
  </si>
  <si>
    <t>F8331</t>
  </si>
  <si>
    <t>Xperia XZ</t>
  </si>
  <si>
    <t>MOD-000436</t>
  </si>
  <si>
    <t>Foxconn</t>
  </si>
  <si>
    <t>PMF-000019</t>
  </si>
  <si>
    <t>E6653</t>
  </si>
  <si>
    <t>Xperia Z5</t>
  </si>
  <si>
    <t>MOD-000435</t>
  </si>
  <si>
    <t>Texas Instruments</t>
  </si>
  <si>
    <t>PMF-000018</t>
  </si>
  <si>
    <t>D6603</t>
  </si>
  <si>
    <t>Xperia Z3</t>
  </si>
  <si>
    <t>MOD-000434</t>
  </si>
  <si>
    <t>MediaTek</t>
  </si>
  <si>
    <t>PMF-000017</t>
  </si>
  <si>
    <t>LM-K920</t>
  </si>
  <si>
    <t>LG K92 5G</t>
  </si>
  <si>
    <t>DF-056</t>
  </si>
  <si>
    <t>MFG-005</t>
  </si>
  <si>
    <t>MOD-000433</t>
  </si>
  <si>
    <t>Qualcomm</t>
  </si>
  <si>
    <t>PMF-000016</t>
  </si>
  <si>
    <t>LM-Q920</t>
  </si>
  <si>
    <t>LG Q92 5G</t>
  </si>
  <si>
    <t>MOD-000432</t>
  </si>
  <si>
    <t>AMD</t>
  </si>
  <si>
    <t>PMF-000015</t>
  </si>
  <si>
    <t>LM-X525</t>
  </si>
  <si>
    <t>LG Q60</t>
  </si>
  <si>
    <t>MOD-000431</t>
  </si>
  <si>
    <t>Intel</t>
  </si>
  <si>
    <t>PMF-000014</t>
  </si>
  <si>
    <t>LM-Q630</t>
  </si>
  <si>
    <t>LG K61</t>
  </si>
  <si>
    <t>DF-055</t>
  </si>
  <si>
    <t>MOD-000430</t>
  </si>
  <si>
    <t>Lenovo</t>
  </si>
  <si>
    <t>PMF-000013</t>
  </si>
  <si>
    <t>LM-K500</t>
  </si>
  <si>
    <t>LG K51</t>
  </si>
  <si>
    <t>MOD-000429</t>
  </si>
  <si>
    <t>HP</t>
  </si>
  <si>
    <t>PMF-000012</t>
  </si>
  <si>
    <t>LM-Q740</t>
  </si>
  <si>
    <t>LG Stylo 7</t>
  </si>
  <si>
    <t>DF-054</t>
  </si>
  <si>
    <t>MOD-000428</t>
  </si>
  <si>
    <t>Dell</t>
  </si>
  <si>
    <t>PMF-000011</t>
  </si>
  <si>
    <t>LM-Q730</t>
  </si>
  <si>
    <t>LG Stylo 6</t>
  </si>
  <si>
    <t>MOD-000427</t>
  </si>
  <si>
    <t>ASUS</t>
  </si>
  <si>
    <t>PMF-000010</t>
  </si>
  <si>
    <t>LM-Q720</t>
  </si>
  <si>
    <t>LG Stylo 5</t>
  </si>
  <si>
    <t>MOD-000426</t>
  </si>
  <si>
    <t>Xiaomi</t>
  </si>
  <si>
    <t>PMF-000009</t>
  </si>
  <si>
    <t>LM-F100</t>
  </si>
  <si>
    <t>LG Wing</t>
  </si>
  <si>
    <t>DF-053</t>
  </si>
  <si>
    <t>MOD-000425</t>
  </si>
  <si>
    <t>Huawei</t>
  </si>
  <si>
    <t>PMF-000008</t>
  </si>
  <si>
    <t>LM-G900</t>
  </si>
  <si>
    <t>LG Velvet</t>
  </si>
  <si>
    <t>DF-052</t>
  </si>
  <si>
    <t>MOD-000424</t>
  </si>
  <si>
    <t>OnePlus</t>
  </si>
  <si>
    <t>PMF-000007</t>
  </si>
  <si>
    <t>LM-V600</t>
  </si>
  <si>
    <t>LG V60 ThinQ 5G</t>
  </si>
  <si>
    <t>DF-051</t>
  </si>
  <si>
    <t>MOD-000423</t>
  </si>
  <si>
    <t>LG</t>
  </si>
  <si>
    <t>PMF-000006</t>
  </si>
  <si>
    <t>H932</t>
  </si>
  <si>
    <t>LG V30</t>
  </si>
  <si>
    <t>MOD-000422</t>
  </si>
  <si>
    <t>Sony</t>
  </si>
  <si>
    <t>PMF-000005</t>
  </si>
  <si>
    <t>H910</t>
  </si>
  <si>
    <t>LG V20</t>
  </si>
  <si>
    <t>MOD-000421</t>
  </si>
  <si>
    <t>Motorola</t>
  </si>
  <si>
    <t>PMF-000004</t>
  </si>
  <si>
    <t>LM-G820</t>
  </si>
  <si>
    <t>LG G8 ThinQ</t>
  </si>
  <si>
    <t>DF-050</t>
  </si>
  <si>
    <t>MOD-000420</t>
  </si>
  <si>
    <t>PMF-000003</t>
  </si>
  <si>
    <t>LM-G710</t>
  </si>
  <si>
    <t>LG G7 ThinQ</t>
  </si>
  <si>
    <t>MOD-000419</t>
  </si>
  <si>
    <t>PMF-000002</t>
  </si>
  <si>
    <t>H870</t>
  </si>
  <si>
    <t>LG G6</t>
  </si>
  <si>
    <t>MOD-000418</t>
  </si>
  <si>
    <t>PMF-000001</t>
  </si>
  <si>
    <t>H830</t>
  </si>
  <si>
    <t>LG G5</t>
  </si>
  <si>
    <t>MOD-000417</t>
  </si>
  <si>
    <t>H815</t>
  </si>
  <si>
    <t>LG G4</t>
  </si>
  <si>
    <t>MOD-000416</t>
  </si>
  <si>
    <t>tblPartManufacturers</t>
  </si>
  <si>
    <t>D850</t>
  </si>
  <si>
    <t>LG G3</t>
  </si>
  <si>
    <t>MOD-000415</t>
  </si>
  <si>
    <t>D800</t>
  </si>
  <si>
    <t>LG G2</t>
  </si>
  <si>
    <t>MOD-000414</t>
  </si>
  <si>
    <t>Defective</t>
  </si>
  <si>
    <t>PST-000007</t>
  </si>
  <si>
    <t>XT2445</t>
  </si>
  <si>
    <t>ThinkPhone 25</t>
  </si>
  <si>
    <t>DF-045</t>
  </si>
  <si>
    <t>MFG-004</t>
  </si>
  <si>
    <t>MOD-000413</t>
  </si>
  <si>
    <t>Discontinued</t>
  </si>
  <si>
    <t>PST-000006</t>
  </si>
  <si>
    <t>XT2309</t>
  </si>
  <si>
    <t>ThinkPhone</t>
  </si>
  <si>
    <t>MOD-000412</t>
  </si>
  <si>
    <t>On Order</t>
  </si>
  <si>
    <t>PST-000005</t>
  </si>
  <si>
    <t>XT2451</t>
  </si>
  <si>
    <t>Motorola Razr+ (2024)</t>
  </si>
  <si>
    <t>DF-044</t>
  </si>
  <si>
    <t>MOD-000411</t>
  </si>
  <si>
    <t>Reserved</t>
  </si>
  <si>
    <t>PST-000004</t>
  </si>
  <si>
    <t>XT2401</t>
  </si>
  <si>
    <t>Motorola Edge 50 Ultra</t>
  </si>
  <si>
    <t>DF-043</t>
  </si>
  <si>
    <t>MOD-000410</t>
  </si>
  <si>
    <t>Out of Stock</t>
  </si>
  <si>
    <t>PST-000003</t>
  </si>
  <si>
    <t>XT2403</t>
  </si>
  <si>
    <t>Motorola Edge 50 Pro</t>
  </si>
  <si>
    <t>MOD-000409</t>
  </si>
  <si>
    <t>Low Stock</t>
  </si>
  <si>
    <t>PST-000002</t>
  </si>
  <si>
    <t>XT2301</t>
  </si>
  <si>
    <t>Motorola Edge 40 Pro</t>
  </si>
  <si>
    <t>MOD-000408</t>
  </si>
  <si>
    <t>In Stock</t>
  </si>
  <si>
    <t>PST-000001</t>
  </si>
  <si>
    <t>XT2303</t>
  </si>
  <si>
    <t>Motorola Edge 40</t>
  </si>
  <si>
    <t>MOD-000407</t>
  </si>
  <si>
    <t>XT2427</t>
  </si>
  <si>
    <t>Moto G85 5G</t>
  </si>
  <si>
    <t>DF-040</t>
  </si>
  <si>
    <t>MOD-000406</t>
  </si>
  <si>
    <t>tblPartStatus</t>
  </si>
  <si>
    <t>XT2347</t>
  </si>
  <si>
    <t>Moto G84 5G</t>
  </si>
  <si>
    <t>MOD-000405</t>
  </si>
  <si>
    <t>XT2343</t>
  </si>
  <si>
    <t>Moto G54 5G</t>
  </si>
  <si>
    <t>MOD-000404</t>
  </si>
  <si>
    <t>Parts only</t>
  </si>
  <si>
    <t>For Parts</t>
  </si>
  <si>
    <t>PCN-000007</t>
  </si>
  <si>
    <t>XT2323</t>
  </si>
  <si>
    <t>Motorola Razr 2023</t>
  </si>
  <si>
    <t>MOD-000403</t>
  </si>
  <si>
    <t>Used</t>
  </si>
  <si>
    <t>PCN-000006</t>
  </si>
  <si>
    <t>XT2071</t>
  </si>
  <si>
    <t>Motorola Razr 5G</t>
  </si>
  <si>
    <t>MOD-000402</t>
  </si>
  <si>
    <t>Refurbished</t>
  </si>
  <si>
    <t>PCN-000005</t>
  </si>
  <si>
    <t>XT2061</t>
  </si>
  <si>
    <t>Motorola Edge+</t>
  </si>
  <si>
    <t>MOD-000401</t>
  </si>
  <si>
    <t>Standard aftermarket</t>
  </si>
  <si>
    <t>Aftermarket</t>
  </si>
  <si>
    <t>PCN-000004</t>
  </si>
  <si>
    <t>XT2063</t>
  </si>
  <si>
    <t>Motorola Edge</t>
  </si>
  <si>
    <t>MOD-000400</t>
  </si>
  <si>
    <t>High quality</t>
  </si>
  <si>
    <t>Premium Aftermarket</t>
  </si>
  <si>
    <t>PCN-000003</t>
  </si>
  <si>
    <t>XT2075</t>
  </si>
  <si>
    <t>Motorola One 5G</t>
  </si>
  <si>
    <t>DF-042</t>
  </si>
  <si>
    <t>MOD-000399</t>
  </si>
  <si>
    <t>Pulled OEM</t>
  </si>
  <si>
    <t>OEM Pull</t>
  </si>
  <si>
    <t>PCN-000002</t>
  </si>
  <si>
    <t>XT2345</t>
  </si>
  <si>
    <t>Moto E13</t>
  </si>
  <si>
    <t>DF-041</t>
  </si>
  <si>
    <t>MOD-000398</t>
  </si>
  <si>
    <t>OEM new</t>
  </si>
  <si>
    <t>New OEM</t>
  </si>
  <si>
    <t>PCN-000001</t>
  </si>
  <si>
    <t>XT2095</t>
  </si>
  <si>
    <t>Moto E7</t>
  </si>
  <si>
    <t>MOD-000397</t>
  </si>
  <si>
    <t>XT2131</t>
  </si>
  <si>
    <t>Moto G Stylus 5G</t>
  </si>
  <si>
    <t>MOD-000396</t>
  </si>
  <si>
    <t>tblPartConditions</t>
  </si>
  <si>
    <t>XT2117</t>
  </si>
  <si>
    <t>Moto G Power (2021)</t>
  </si>
  <si>
    <t>MOD-000395</t>
  </si>
  <si>
    <t>XT2113</t>
  </si>
  <si>
    <t>Moto G 5G</t>
  </si>
  <si>
    <t>MOD-000394</t>
  </si>
  <si>
    <t>Remanufactured</t>
  </si>
  <si>
    <t>PTY-000007</t>
  </si>
  <si>
    <t>XT2043</t>
  </si>
  <si>
    <t>Moto G Stylus</t>
  </si>
  <si>
    <t>MOD-000393</t>
  </si>
  <si>
    <t>PTY-000006</t>
  </si>
  <si>
    <t>XT2041</t>
  </si>
  <si>
    <t>Moto G Power</t>
  </si>
  <si>
    <t>MOD-000392</t>
  </si>
  <si>
    <t>PTY-000005</t>
  </si>
  <si>
    <t>XT1962</t>
  </si>
  <si>
    <t>Moto G7</t>
  </si>
  <si>
    <t>MOD-000391</t>
  </si>
  <si>
    <t>PTY-000004</t>
  </si>
  <si>
    <t>XT1925</t>
  </si>
  <si>
    <t>Moto G6</t>
  </si>
  <si>
    <t>MOD-000390</t>
  </si>
  <si>
    <t>PTY-000003</t>
  </si>
  <si>
    <t>XT1670</t>
  </si>
  <si>
    <t>Moto G5</t>
  </si>
  <si>
    <t>MOD-000389</t>
  </si>
  <si>
    <t>Used OEM</t>
  </si>
  <si>
    <t>PTY-000002</t>
  </si>
  <si>
    <t>XT1625</t>
  </si>
  <si>
    <t>Moto G4</t>
  </si>
  <si>
    <t>MOD-000388</t>
  </si>
  <si>
    <t>Original manufacturer</t>
  </si>
  <si>
    <t>OEM</t>
  </si>
  <si>
    <t>PTY-000001</t>
  </si>
  <si>
    <t>XT1540</t>
  </si>
  <si>
    <t>Moto G3</t>
  </si>
  <si>
    <t>MOD-000387</t>
  </si>
  <si>
    <t>XT1063</t>
  </si>
  <si>
    <t>Moto G (2nd Gen)</t>
  </si>
  <si>
    <t>MOD-000386</t>
  </si>
  <si>
    <t>tblPartTypes</t>
  </si>
  <si>
    <t>XT1032</t>
  </si>
  <si>
    <t>Moto G</t>
  </si>
  <si>
    <t>MOD-000385</t>
  </si>
  <si>
    <t>GXQ96</t>
  </si>
  <si>
    <t>Pixel 9a</t>
  </si>
  <si>
    <t>DF-032</t>
  </si>
  <si>
    <t>MFG-003</t>
  </si>
  <si>
    <t>MOD-000384</t>
  </si>
  <si>
    <t>Accessories</t>
  </si>
  <si>
    <t>Accessory</t>
  </si>
  <si>
    <t>PCT-000010</t>
  </si>
  <si>
    <t>GGH2X</t>
  </si>
  <si>
    <t>Pixel 9 Pro Fold</t>
  </si>
  <si>
    <t>MOD-000383</t>
  </si>
  <si>
    <t>Internal flex cables</t>
  </si>
  <si>
    <t>Flex Cable</t>
  </si>
  <si>
    <t>PCT-000009</t>
  </si>
  <si>
    <t>GZC4K</t>
  </si>
  <si>
    <t>Pixel 9 Pro XL</t>
  </si>
  <si>
    <t>MOD-000382</t>
  </si>
  <si>
    <t>Logic boards</t>
  </si>
  <si>
    <t>Board</t>
  </si>
  <si>
    <t>PCT-000008</t>
  </si>
  <si>
    <t>GGX8B</t>
  </si>
  <si>
    <t>Pixel 9 Pro</t>
  </si>
  <si>
    <t>MOD-000381</t>
  </si>
  <si>
    <t>Power/volume/home</t>
  </si>
  <si>
    <t>Buttons</t>
  </si>
  <si>
    <t>PCT-000007</t>
  </si>
  <si>
    <t>GR83Y</t>
  </si>
  <si>
    <t>Pixel 9</t>
  </si>
  <si>
    <t>MOD-000380</t>
  </si>
  <si>
    <t>Speakers/microphones</t>
  </si>
  <si>
    <t>Audio</t>
  </si>
  <si>
    <t>PCT-000006</t>
  </si>
  <si>
    <t>G8HNN</t>
  </si>
  <si>
    <t>Pixel 8a</t>
  </si>
  <si>
    <t>MOD-000379</t>
  </si>
  <si>
    <t>Frames and housings</t>
  </si>
  <si>
    <t>Housing</t>
  </si>
  <si>
    <t>PCT-000005</t>
  </si>
  <si>
    <t>GC3HQ</t>
  </si>
  <si>
    <t>Pixel 8 Pro</t>
  </si>
  <si>
    <t>MOD-000378</t>
  </si>
  <si>
    <t>Front/rear cameras</t>
  </si>
  <si>
    <t>Camera</t>
  </si>
  <si>
    <t>PCT-000004</t>
  </si>
  <si>
    <t>GKWS6</t>
  </si>
  <si>
    <t>Pixel 8</t>
  </si>
  <si>
    <t>MOD-000377</t>
  </si>
  <si>
    <t>Charging ports</t>
  </si>
  <si>
    <t>Charging</t>
  </si>
  <si>
    <t>PCT-000003</t>
  </si>
  <si>
    <t>GTU8P</t>
  </si>
  <si>
    <t>Pixel Tablet</t>
  </si>
  <si>
    <t>DF-033</t>
  </si>
  <si>
    <t>MOD-000376</t>
  </si>
  <si>
    <t>Internal batteries</t>
  </si>
  <si>
    <t>Battery</t>
  </si>
  <si>
    <t>PCT-000002</t>
  </si>
  <si>
    <t>GC3VE</t>
  </si>
  <si>
    <t>Pixel Fold</t>
  </si>
  <si>
    <t>MOD-000375</t>
  </si>
  <si>
    <t>Screens and digitizers</t>
  </si>
  <si>
    <t>Display</t>
  </si>
  <si>
    <t>PCT-000001</t>
  </si>
  <si>
    <t>GWKK3</t>
  </si>
  <si>
    <t>Pixel 7a</t>
  </si>
  <si>
    <t>MOD-000374</t>
  </si>
  <si>
    <t>GE2AE</t>
  </si>
  <si>
    <t>Pixel 7 Pro</t>
  </si>
  <si>
    <t>MOD-000373</t>
  </si>
  <si>
    <t>tblPartCategories</t>
  </si>
  <si>
    <t>GVU6C</t>
  </si>
  <si>
    <t>Pixel 7</t>
  </si>
  <si>
    <t>MOD-000372</t>
  </si>
  <si>
    <t>GX7AS</t>
  </si>
  <si>
    <t>Pixel 6a</t>
  </si>
  <si>
    <t>MOD-000371</t>
  </si>
  <si>
    <t>GLU0G</t>
  </si>
  <si>
    <t>Pixel 6 Pro</t>
  </si>
  <si>
    <t>MOD-000370</t>
  </si>
  <si>
    <t>PART LOOKUPS</t>
  </si>
  <si>
    <t>GB7N6</t>
  </si>
  <si>
    <t>Pixel 6</t>
  </si>
  <si>
    <t>MOD-000369</t>
  </si>
  <si>
    <t>G4S1M</t>
  </si>
  <si>
    <t>Pixel 5a</t>
  </si>
  <si>
    <t>MOD-000368</t>
  </si>
  <si>
    <t>GD1YQ</t>
  </si>
  <si>
    <t>Pixel 5</t>
  </si>
  <si>
    <t>MOD-000367</t>
  </si>
  <si>
    <t>Multiple Failures</t>
  </si>
  <si>
    <t>DGN-000008</t>
  </si>
  <si>
    <t>G025E</t>
  </si>
  <si>
    <t>Pixel 4a (5G)</t>
  </si>
  <si>
    <t>MOD-000366</t>
  </si>
  <si>
    <t>Software Issue</t>
  </si>
  <si>
    <t>DGN-000007</t>
  </si>
  <si>
    <t>G025J</t>
  </si>
  <si>
    <t>Pixel 4a</t>
  </si>
  <si>
    <t>MOD-000365</t>
  </si>
  <si>
    <t>Board Failure</t>
  </si>
  <si>
    <t>DGN-000006</t>
  </si>
  <si>
    <t>G020J</t>
  </si>
  <si>
    <t>Pixel 4 XL</t>
  </si>
  <si>
    <t>MOD-000364</t>
  </si>
  <si>
    <t>Liquid Damage</t>
  </si>
  <si>
    <t>DGN-000005</t>
  </si>
  <si>
    <t>G020I</t>
  </si>
  <si>
    <t>Pixel 4</t>
  </si>
  <si>
    <t>MOD-000363</t>
  </si>
  <si>
    <t>Charging Failure</t>
  </si>
  <si>
    <t>DGN-000004</t>
  </si>
  <si>
    <t>G020C</t>
  </si>
  <si>
    <t>Pixel 3a XL</t>
  </si>
  <si>
    <t>MOD-000362</t>
  </si>
  <si>
    <t>Battery Failure</t>
  </si>
  <si>
    <t>DGN-000003</t>
  </si>
  <si>
    <t>G020A</t>
  </si>
  <si>
    <t>Pixel 3a</t>
  </si>
  <si>
    <t>MOD-000361</t>
  </si>
  <si>
    <t>Screen Failure</t>
  </si>
  <si>
    <t>DGN-000002</t>
  </si>
  <si>
    <t>G013C</t>
  </si>
  <si>
    <t>Pixel 3 XL</t>
  </si>
  <si>
    <t>MOD-000360</t>
  </si>
  <si>
    <t>No Fault Found</t>
  </si>
  <si>
    <t>DGN-000001</t>
  </si>
  <si>
    <t>G013A</t>
  </si>
  <si>
    <t>Pixel 3</t>
  </si>
  <si>
    <t>MOD-000359</t>
  </si>
  <si>
    <t>G011C</t>
  </si>
  <si>
    <t>Pixel 2 XL</t>
  </si>
  <si>
    <t>MOD-000358</t>
  </si>
  <si>
    <t>tblDiagnosticResults</t>
  </si>
  <si>
    <t>G011A</t>
  </si>
  <si>
    <t>Pixel 2</t>
  </si>
  <si>
    <t>MOD-000357</t>
  </si>
  <si>
    <t>G-2PW2100</t>
  </si>
  <si>
    <t>Pixel XL</t>
  </si>
  <si>
    <t>MOD-000356</t>
  </si>
  <si>
    <t>Board level expert</t>
  </si>
  <si>
    <t>Level 5</t>
  </si>
  <si>
    <t>RCM-000005</t>
  </si>
  <si>
    <t>G-2PW4100</t>
  </si>
  <si>
    <t>Pixel</t>
  </si>
  <si>
    <t>MOD-000355</t>
  </si>
  <si>
    <t>Micro-soldering</t>
  </si>
  <si>
    <t>Level 4</t>
  </si>
  <si>
    <t>RCM-000004</t>
  </si>
  <si>
    <t>SM-R630</t>
  </si>
  <si>
    <t>Galaxy Buds3 Pro</t>
  </si>
  <si>
    <t>DT-005</t>
  </si>
  <si>
    <t>DF-031</t>
  </si>
  <si>
    <t>MFG-002</t>
  </si>
  <si>
    <t>MOD-000354</t>
  </si>
  <si>
    <t>Advanced</t>
  </si>
  <si>
    <t>Level 3</t>
  </si>
  <si>
    <t>RCM-000003</t>
  </si>
  <si>
    <t>SM-R530</t>
  </si>
  <si>
    <t>Galaxy Buds3</t>
  </si>
  <si>
    <t>MOD-000353</t>
  </si>
  <si>
    <t>Intermediate</t>
  </si>
  <si>
    <t>Level 2</t>
  </si>
  <si>
    <t>RCM-000002</t>
  </si>
  <si>
    <t>SM-R400</t>
  </si>
  <si>
    <t>Galaxy Buds FE</t>
  </si>
  <si>
    <t>MOD-000352</t>
  </si>
  <si>
    <t>Basic</t>
  </si>
  <si>
    <t>Level 1</t>
  </si>
  <si>
    <t>RCM-000001</t>
  </si>
  <si>
    <t>SM-R510</t>
  </si>
  <si>
    <t>Galaxy Buds2 Pro</t>
  </si>
  <si>
    <t>MOD-000351</t>
  </si>
  <si>
    <t>SM-R177</t>
  </si>
  <si>
    <t>Galaxy Buds2</t>
  </si>
  <si>
    <t>MOD-000350</t>
  </si>
  <si>
    <t>tblRepairComplexities</t>
  </si>
  <si>
    <t>SM-R190</t>
  </si>
  <si>
    <t>Galaxy Buds Pro</t>
  </si>
  <si>
    <t>MOD-000349</t>
  </si>
  <si>
    <t>SM-R180</t>
  </si>
  <si>
    <t>Galaxy Buds Live</t>
  </si>
  <si>
    <t>MOD-000348</t>
  </si>
  <si>
    <t>Returned Unrepaired</t>
  </si>
  <si>
    <t>ROT-000006</t>
  </si>
  <si>
    <t>SM-R175</t>
  </si>
  <si>
    <t>Galaxy Buds+</t>
  </si>
  <si>
    <t>MOD-000347</t>
  </si>
  <si>
    <t>Customer Declined</t>
  </si>
  <si>
    <t>ROT-000005</t>
  </si>
  <si>
    <t>SM-R170</t>
  </si>
  <si>
    <t>Galaxy Buds</t>
  </si>
  <si>
    <t>MOD-000346</t>
  </si>
  <si>
    <t>Awaiting Parts</t>
  </si>
  <si>
    <t>ROT-000004</t>
  </si>
  <si>
    <t>SM-L705</t>
  </si>
  <si>
    <t>Galaxy Watch Ultra</t>
  </si>
  <si>
    <t>DF-030</t>
  </si>
  <si>
    <t>MOD-000345</t>
  </si>
  <si>
    <t>Unrepairable</t>
  </si>
  <si>
    <t>ROT-000003</t>
  </si>
  <si>
    <t>SM-R940</t>
  </si>
  <si>
    <t>Galaxy Watch6</t>
  </si>
  <si>
    <t>MOD-000344</t>
  </si>
  <si>
    <t>Completed with Notes</t>
  </si>
  <si>
    <t>ROT-000002</t>
  </si>
  <si>
    <t>SM-R910</t>
  </si>
  <si>
    <t>Galaxy Watch5</t>
  </si>
  <si>
    <t>MOD-000343</t>
  </si>
  <si>
    <t>Completed</t>
  </si>
  <si>
    <t>ROT-000001</t>
  </si>
  <si>
    <t>SM-R870</t>
  </si>
  <si>
    <t>Galaxy Watch4</t>
  </si>
  <si>
    <t>MOD-000342</t>
  </si>
  <si>
    <t>SM-R840</t>
  </si>
  <si>
    <t>Galaxy Watch3</t>
  </si>
  <si>
    <t>MOD-000341</t>
  </si>
  <si>
    <t>tblRepairOutcomes</t>
  </si>
  <si>
    <t>SM-R500</t>
  </si>
  <si>
    <t>Galaxy Watch Active</t>
  </si>
  <si>
    <t>MOD-000340</t>
  </si>
  <si>
    <t>SM-R800</t>
  </si>
  <si>
    <t>Galaxy Watch</t>
  </si>
  <si>
    <t>MOD-000339</t>
  </si>
  <si>
    <t>Closed</t>
  </si>
  <si>
    <t>RST-000020</t>
  </si>
  <si>
    <t>SM-R760</t>
  </si>
  <si>
    <t>Gear S3 Frontier</t>
  </si>
  <si>
    <t>MOD-000338</t>
  </si>
  <si>
    <t>Warranty Repair</t>
  </si>
  <si>
    <t>RST-000019</t>
  </si>
  <si>
    <t>SM-R720</t>
  </si>
  <si>
    <t>Gear S2</t>
  </si>
  <si>
    <t>MOD-000337</t>
  </si>
  <si>
    <t>RST-000018</t>
  </si>
  <si>
    <t>SM-V700</t>
  </si>
  <si>
    <t>Galaxy Gear</t>
  </si>
  <si>
    <t>MOD-000336</t>
  </si>
  <si>
    <t>RST-000017</t>
  </si>
  <si>
    <t>NP960XHA</t>
  </si>
  <si>
    <t>Galaxy Book5 Pro</t>
  </si>
  <si>
    <t>DF-029</t>
  </si>
  <si>
    <t>MOD-000335</t>
  </si>
  <si>
    <t>Shipped</t>
  </si>
  <si>
    <t>RST-000016</t>
  </si>
  <si>
    <t>NP960XGK</t>
  </si>
  <si>
    <t>Galaxy Book4 Pro</t>
  </si>
  <si>
    <t>MOD-000334</t>
  </si>
  <si>
    <t>RST-000015</t>
  </si>
  <si>
    <t>NP750XGK</t>
  </si>
  <si>
    <t>Galaxy Book4</t>
  </si>
  <si>
    <t>MOD-000333</t>
  </si>
  <si>
    <t>Ready for Pickup</t>
  </si>
  <si>
    <t>RST-000014</t>
  </si>
  <si>
    <t>NP960XFG</t>
  </si>
  <si>
    <t>Galaxy Book3 Pro</t>
  </si>
  <si>
    <t>MOD-000332</t>
  </si>
  <si>
    <t>RST-000013</t>
  </si>
  <si>
    <t>NP750XFG</t>
  </si>
  <si>
    <t>Galaxy Book3</t>
  </si>
  <si>
    <t>MOD-000331</t>
  </si>
  <si>
    <t>Quality Control</t>
  </si>
  <si>
    <t>RST-000012</t>
  </si>
  <si>
    <t>NP950XEE</t>
  </si>
  <si>
    <t>Galaxy Book2 Pro</t>
  </si>
  <si>
    <t>MOD-000330</t>
  </si>
  <si>
    <t>Testing</t>
  </si>
  <si>
    <t>RST-000011</t>
  </si>
  <si>
    <t>NP750XED</t>
  </si>
  <si>
    <t>Galaxy Book2</t>
  </si>
  <si>
    <t>MOD-000329</t>
  </si>
  <si>
    <t>Repair In Progress</t>
  </si>
  <si>
    <t>RST-000010</t>
  </si>
  <si>
    <t>NP950QDB</t>
  </si>
  <si>
    <t>Galaxy Book Pro 360</t>
  </si>
  <si>
    <t>MOD-000328</t>
  </si>
  <si>
    <t>Parts Received</t>
  </si>
  <si>
    <t>RST-000009</t>
  </si>
  <si>
    <t>NP950XDB</t>
  </si>
  <si>
    <t>Galaxy Book Pro</t>
  </si>
  <si>
    <t>MOD-000327</t>
  </si>
  <si>
    <t>Parts Ordered</t>
  </si>
  <si>
    <t>RST-000008</t>
  </si>
  <si>
    <t>NP750XDA</t>
  </si>
  <si>
    <t>Galaxy Book</t>
  </si>
  <si>
    <t>MOD-000326</t>
  </si>
  <si>
    <t>Waiting on Parts</t>
  </si>
  <si>
    <t>RST-000007</t>
  </si>
  <si>
    <t>SM-X300</t>
  </si>
  <si>
    <t>Galaxy Tab Active5</t>
  </si>
  <si>
    <t>DF-028</t>
  </si>
  <si>
    <t>MOD-000325</t>
  </si>
  <si>
    <t>Approved</t>
  </si>
  <si>
    <t>RST-000006</t>
  </si>
  <si>
    <t>SM-X820</t>
  </si>
  <si>
    <t>Galaxy Tab S10+</t>
  </si>
  <si>
    <t>MOD-000324</t>
  </si>
  <si>
    <t>Waiting for Customer Approval</t>
  </si>
  <si>
    <t>RST-000005</t>
  </si>
  <si>
    <t>SM-X710</t>
  </si>
  <si>
    <t>Galaxy Tab S9</t>
  </si>
  <si>
    <t>MOD-000323</t>
  </si>
  <si>
    <t>Diagnosing</t>
  </si>
  <si>
    <t>RST-000004</t>
  </si>
  <si>
    <t>SM-X700</t>
  </si>
  <si>
    <t>Galaxy Tab S8</t>
  </si>
  <si>
    <t>MOD-000322</t>
  </si>
  <si>
    <t>Awaiting Diagnosis</t>
  </si>
  <si>
    <t>RST-000003</t>
  </si>
  <si>
    <t>SM-T870</t>
  </si>
  <si>
    <t>Galaxy Tab S7</t>
  </si>
  <si>
    <t>MOD-000321</t>
  </si>
  <si>
    <t>Checked In</t>
  </si>
  <si>
    <t>RST-000002</t>
  </si>
  <si>
    <t>SM-P610</t>
  </si>
  <si>
    <t>Galaxy Tab S6 Lite</t>
  </si>
  <si>
    <t>MOD-000320</t>
  </si>
  <si>
    <t>Received</t>
  </si>
  <si>
    <t>RST-000001</t>
  </si>
  <si>
    <t>SM-X200</t>
  </si>
  <si>
    <t>Galaxy Tab A8</t>
  </si>
  <si>
    <t>MOD-000319</t>
  </si>
  <si>
    <t>SM-T500</t>
  </si>
  <si>
    <t>Galaxy Tab A7</t>
  </si>
  <si>
    <t>MOD-000318</t>
  </si>
  <si>
    <t>tblRepairStatus</t>
  </si>
  <si>
    <t>SM-T290</t>
  </si>
  <si>
    <t>Galaxy Tab A 8.0 (2019)</t>
  </si>
  <si>
    <t>MOD-000317</t>
  </si>
  <si>
    <t>SM-T580</t>
  </si>
  <si>
    <t>Galaxy Tab A 10.1</t>
  </si>
  <si>
    <t>MOD-000316</t>
  </si>
  <si>
    <t>Emergency</t>
  </si>
  <si>
    <t>RPY-000005</t>
  </si>
  <si>
    <t>SM-T350</t>
  </si>
  <si>
    <t>Galaxy Tab A 8.0</t>
  </si>
  <si>
    <t>MOD-000315</t>
  </si>
  <si>
    <t>Urgent</t>
  </si>
  <si>
    <t>RPY-000004</t>
  </si>
  <si>
    <t>SM-T530</t>
  </si>
  <si>
    <t>Galaxy Tab 4 10.1</t>
  </si>
  <si>
    <t>MOD-000314</t>
  </si>
  <si>
    <t>High</t>
  </si>
  <si>
    <t>RPY-000003</t>
  </si>
  <si>
    <t>SM-T330</t>
  </si>
  <si>
    <t>Galaxy Tab 4 8.0</t>
  </si>
  <si>
    <t>MOD-000313</t>
  </si>
  <si>
    <t>Normal</t>
  </si>
  <si>
    <t>RPY-000002</t>
  </si>
  <si>
    <t>SM-T230</t>
  </si>
  <si>
    <t>Galaxy Tab 4 7.0</t>
  </si>
  <si>
    <t>MOD-000312</t>
  </si>
  <si>
    <t>Low</t>
  </si>
  <si>
    <t>RPY-000001</t>
  </si>
  <si>
    <t>SM-T510</t>
  </si>
  <si>
    <t>Galaxy Tab 3 10.1</t>
  </si>
  <si>
    <t>MOD-000311</t>
  </si>
  <si>
    <t>SM-T310</t>
  </si>
  <si>
    <t>Galaxy Tab 3 8.0</t>
  </si>
  <si>
    <t>MOD-000310</t>
  </si>
  <si>
    <t>tblRepairPriorities</t>
  </si>
  <si>
    <t>SM-T210</t>
  </si>
  <si>
    <t>Galaxy Tab 3 7.0</t>
  </si>
  <si>
    <t>MOD-000309</t>
  </si>
  <si>
    <t>GT-P5113</t>
  </si>
  <si>
    <t>Galaxy Tab 2 10.1</t>
  </si>
  <si>
    <t>MOD-000308</t>
  </si>
  <si>
    <t>RCT-000012</t>
  </si>
  <si>
    <t>GT-P3113</t>
  </si>
  <si>
    <t>Galaxy Tab 2 7.0</t>
  </si>
  <si>
    <t>MOD-000307</t>
  </si>
  <si>
    <t>Calibration</t>
  </si>
  <si>
    <t>RCT-000011</t>
  </si>
  <si>
    <t>GT-P1000</t>
  </si>
  <si>
    <t>Galaxy Tab</t>
  </si>
  <si>
    <t>MOD-000306</t>
  </si>
  <si>
    <t>Cleaning</t>
  </si>
  <si>
    <t>RCT-000010</t>
  </si>
  <si>
    <t>SM-G556</t>
  </si>
  <si>
    <t>Galaxy XCover7</t>
  </si>
  <si>
    <t>DF-027</t>
  </si>
  <si>
    <t>MOD-000305</t>
  </si>
  <si>
    <t>Recovery</t>
  </si>
  <si>
    <t>RCT-000009</t>
  </si>
  <si>
    <t>SM-G736</t>
  </si>
  <si>
    <t>Galaxy XCover6 Pro</t>
  </si>
  <si>
    <t>MOD-000304</t>
  </si>
  <si>
    <t>Accessory Installation</t>
  </si>
  <si>
    <t>RCT-000008</t>
  </si>
  <si>
    <t>SM-G525</t>
  </si>
  <si>
    <t>Galaxy XCover5</t>
  </si>
  <si>
    <t>MOD-000303</t>
  </si>
  <si>
    <t>Upgrade</t>
  </si>
  <si>
    <t>RCT-000007</t>
  </si>
  <si>
    <t>SM-G715</t>
  </si>
  <si>
    <t>Galaxy XCover Pro</t>
  </si>
  <si>
    <t>MOD-000302</t>
  </si>
  <si>
    <t>Preventive Maintenance</t>
  </si>
  <si>
    <t>RCT-000006</t>
  </si>
  <si>
    <t>SM-G889</t>
  </si>
  <si>
    <t>Galaxy XCover FieldPro</t>
  </si>
  <si>
    <t>MOD-000301</t>
  </si>
  <si>
    <t>Diagnostics</t>
  </si>
  <si>
    <t>RCT-000005</t>
  </si>
  <si>
    <t>SM-G398</t>
  </si>
  <si>
    <t>Galaxy XCover 4s</t>
  </si>
  <si>
    <t>MOD-000300</t>
  </si>
  <si>
    <t>Cosmetic</t>
  </si>
  <si>
    <t>RCT-000004</t>
  </si>
  <si>
    <t>SM-G390</t>
  </si>
  <si>
    <t>Galaxy XCover 4</t>
  </si>
  <si>
    <t>MOD-000299</t>
  </si>
  <si>
    <t>Micro-Soldering</t>
  </si>
  <si>
    <t>RCT-000003</t>
  </si>
  <si>
    <t>SM-G388</t>
  </si>
  <si>
    <t>Galaxy XCover 3</t>
  </si>
  <si>
    <t>MOD-000298</t>
  </si>
  <si>
    <t>Software</t>
  </si>
  <si>
    <t>RCT-000002</t>
  </si>
  <si>
    <t>GT-S7710</t>
  </si>
  <si>
    <t>Galaxy XCover 2</t>
  </si>
  <si>
    <t>MOD-000297</t>
  </si>
  <si>
    <t>Hardware</t>
  </si>
  <si>
    <t>RCT-000001</t>
  </si>
  <si>
    <t>GT-S5690</t>
  </si>
  <si>
    <t>Galaxy XCover</t>
  </si>
  <si>
    <t>MOD-000296</t>
  </si>
  <si>
    <t>SM-J810</t>
  </si>
  <si>
    <t>Galaxy J8</t>
  </si>
  <si>
    <t>DF-026</t>
  </si>
  <si>
    <t>MOD-000295</t>
  </si>
  <si>
    <t>tblRepairCategories</t>
  </si>
  <si>
    <t>SM-G610</t>
  </si>
  <si>
    <t>Galaxy J7 Prime</t>
  </si>
  <si>
    <t>MOD-000294</t>
  </si>
  <si>
    <t>SM-J700</t>
  </si>
  <si>
    <t>Galaxy J7</t>
  </si>
  <si>
    <t>MOD-000293</t>
  </si>
  <si>
    <t>Custom Build</t>
  </si>
  <si>
    <t>RTP-000050</t>
  </si>
  <si>
    <t>SM-J600</t>
  </si>
  <si>
    <t>Galaxy J6</t>
  </si>
  <si>
    <t>MOD-000292</t>
  </si>
  <si>
    <t>RTP-000049</t>
  </si>
  <si>
    <t>SM-J500</t>
  </si>
  <si>
    <t>Galaxy J5</t>
  </si>
  <si>
    <t>MOD-000291</t>
  </si>
  <si>
    <t>Screen Protector Installation</t>
  </si>
  <si>
    <t>RTP-000048</t>
  </si>
  <si>
    <t>SM-J415</t>
  </si>
  <si>
    <t>Galaxy J4+</t>
  </si>
  <si>
    <t>MOD-000290</t>
  </si>
  <si>
    <t>RAM Upgrade</t>
  </si>
  <si>
    <t>RTP-000047</t>
  </si>
  <si>
    <t>SM-J400</t>
  </si>
  <si>
    <t>Galaxy J4</t>
  </si>
  <si>
    <t>MOD-000289</t>
  </si>
  <si>
    <t>SSD Upgrade</t>
  </si>
  <si>
    <t>RTP-000046</t>
  </si>
  <si>
    <t>SM-J320</t>
  </si>
  <si>
    <t>Galaxy J3</t>
  </si>
  <si>
    <t>MOD-000288</t>
  </si>
  <si>
    <t>Trackpad Replacement</t>
  </si>
  <si>
    <t>RTP-000045</t>
  </si>
  <si>
    <t>SM-G532</t>
  </si>
  <si>
    <t>Galaxy J2 Prime</t>
  </si>
  <si>
    <t>MOD-000287</t>
  </si>
  <si>
    <t>Keyboard Replacement</t>
  </si>
  <si>
    <t>RTP-000044</t>
  </si>
  <si>
    <t>SM-J200</t>
  </si>
  <si>
    <t>Galaxy J2</t>
  </si>
  <si>
    <t>MOD-000286</t>
  </si>
  <si>
    <t>Fan Replacement</t>
  </si>
  <si>
    <t>RTP-000043</t>
  </si>
  <si>
    <t>SM-J110</t>
  </si>
  <si>
    <t>Galaxy J1 Ace</t>
  </si>
  <si>
    <t>MOD-000285</t>
  </si>
  <si>
    <t>Thermal Paste Replacement</t>
  </si>
  <si>
    <t>RTP-000042</t>
  </si>
  <si>
    <t>SM-J100</t>
  </si>
  <si>
    <t>Galaxy J1</t>
  </si>
  <si>
    <t>MOD-000284</t>
  </si>
  <si>
    <t>RTP-000041</t>
  </si>
  <si>
    <t>SM-M256</t>
  </si>
  <si>
    <t>Galaxy M25 5G</t>
  </si>
  <si>
    <t>DF-025</t>
  </si>
  <si>
    <t>MOD-000283</t>
  </si>
  <si>
    <t>RTP-000040</t>
  </si>
  <si>
    <t>SM-M245</t>
  </si>
  <si>
    <t>Galaxy M24</t>
  </si>
  <si>
    <t>MOD-000282</t>
  </si>
  <si>
    <t>RTP-000039</t>
  </si>
  <si>
    <t>SM-M236</t>
  </si>
  <si>
    <t>Galaxy M23 5G</t>
  </si>
  <si>
    <t>MOD-000281</t>
  </si>
  <si>
    <t>Display Calibration</t>
  </si>
  <si>
    <t>RTP-000038</t>
  </si>
  <si>
    <t>SM-M225</t>
  </si>
  <si>
    <t>Galaxy M22</t>
  </si>
  <si>
    <t>MOD-000280</t>
  </si>
  <si>
    <t>Camera Calibration</t>
  </si>
  <si>
    <t>RTP-000037</t>
  </si>
  <si>
    <t>SM-M215</t>
  </si>
  <si>
    <t>Galaxy M21</t>
  </si>
  <si>
    <t>MOD-000279</t>
  </si>
  <si>
    <t>Face ID Calibration</t>
  </si>
  <si>
    <t>RTP-000036</t>
  </si>
  <si>
    <t>SM-M205</t>
  </si>
  <si>
    <t>Galaxy M20</t>
  </si>
  <si>
    <t>MOD-000278</t>
  </si>
  <si>
    <t>Battery Calibration</t>
  </si>
  <si>
    <t>RTP-000035</t>
  </si>
  <si>
    <t>SM-M166</t>
  </si>
  <si>
    <t>Galaxy M16 5G</t>
  </si>
  <si>
    <t>MOD-000277</t>
  </si>
  <si>
    <t>FRP Removal</t>
  </si>
  <si>
    <t>RTP-000034</t>
  </si>
  <si>
    <t>SM-M156</t>
  </si>
  <si>
    <t>Galaxy M15 5G</t>
  </si>
  <si>
    <t>MOD-000276</t>
  </si>
  <si>
    <t>Password Removal</t>
  </si>
  <si>
    <t>RTP-000033</t>
  </si>
  <si>
    <t>SM-M146</t>
  </si>
  <si>
    <t>Galaxy M14 5G</t>
  </si>
  <si>
    <t>MOD-000275</t>
  </si>
  <si>
    <t>Virus Removal</t>
  </si>
  <si>
    <t>RTP-000032</t>
  </si>
  <si>
    <t>SM-M135</t>
  </si>
  <si>
    <t>Galaxy M13</t>
  </si>
  <si>
    <t>MOD-000274</t>
  </si>
  <si>
    <t>OS Restore</t>
  </si>
  <si>
    <t>RTP-000031</t>
  </si>
  <si>
    <t>SM-M127</t>
  </si>
  <si>
    <t>Galaxy M12</t>
  </si>
  <si>
    <t>MOD-000273</t>
  </si>
  <si>
    <t>Software Repair</t>
  </si>
  <si>
    <t>RTP-000030</t>
  </si>
  <si>
    <t>SM-M115</t>
  </si>
  <si>
    <t>Galaxy M11</t>
  </si>
  <si>
    <t>MOD-000272</t>
  </si>
  <si>
    <t>Data Recovery</t>
  </si>
  <si>
    <t>RTP-000029</t>
  </si>
  <si>
    <t>SM-M105</t>
  </si>
  <si>
    <t>Galaxy M10</t>
  </si>
  <si>
    <t>MOD-000271</t>
  </si>
  <si>
    <t>Liquid Cleaning</t>
  </si>
  <si>
    <t>RTP-000028</t>
  </si>
  <si>
    <t>SM-A736</t>
  </si>
  <si>
    <t>Galaxy A73 5G</t>
  </si>
  <si>
    <t>DF-024</t>
  </si>
  <si>
    <t>MOD-000270</t>
  </si>
  <si>
    <t>Water Damage</t>
  </si>
  <si>
    <t>RTP-000027</t>
  </si>
  <si>
    <t>SM-A725</t>
  </si>
  <si>
    <t>Galaxy A72</t>
  </si>
  <si>
    <t>MOD-000269</t>
  </si>
  <si>
    <t>USB Controller</t>
  </si>
  <si>
    <t>RTP-000026</t>
  </si>
  <si>
    <t>SM-A716</t>
  </si>
  <si>
    <t>Galaxy A71 5G</t>
  </si>
  <si>
    <t>MOD-000268</t>
  </si>
  <si>
    <t>Audio IC</t>
  </si>
  <si>
    <t>RTP-000025</t>
  </si>
  <si>
    <t>SM-A715</t>
  </si>
  <si>
    <t>Galaxy A71</t>
  </si>
  <si>
    <t>MOD-000267</t>
  </si>
  <si>
    <t>Tristar</t>
  </si>
  <si>
    <t>RTP-000024</t>
  </si>
  <si>
    <t>SM-A707</t>
  </si>
  <si>
    <t>Galaxy A70s</t>
  </si>
  <si>
    <t>MOD-000266</t>
  </si>
  <si>
    <t>Charging IC</t>
  </si>
  <si>
    <t>RTP-000023</t>
  </si>
  <si>
    <t>SM-A705</t>
  </si>
  <si>
    <t>Galaxy A70</t>
  </si>
  <si>
    <t>MOD-000265</t>
  </si>
  <si>
    <t>PMIC</t>
  </si>
  <si>
    <t>RTP-000022</t>
  </si>
  <si>
    <t>SM-A566</t>
  </si>
  <si>
    <t>Galaxy A56 5G</t>
  </si>
  <si>
    <t>MOD-000264</t>
  </si>
  <si>
    <t>Motherboard</t>
  </si>
  <si>
    <t>RTP-000021</t>
  </si>
  <si>
    <t>SM-A556</t>
  </si>
  <si>
    <t>Galaxy A55 5G</t>
  </si>
  <si>
    <t>MOD-000263</t>
  </si>
  <si>
    <t>Backlight</t>
  </si>
  <si>
    <t>RTP-000020</t>
  </si>
  <si>
    <t>SM-A546</t>
  </si>
  <si>
    <t>Galaxy A54 5G</t>
  </si>
  <si>
    <t>MOD-000262</t>
  </si>
  <si>
    <t>Digitizer</t>
  </si>
  <si>
    <t>RTP-000019</t>
  </si>
  <si>
    <t>SM-A536</t>
  </si>
  <si>
    <t>Galaxy A53 5G</t>
  </si>
  <si>
    <t>MOD-000261</t>
  </si>
  <si>
    <t>LCD Repair</t>
  </si>
  <si>
    <t>RTP-000018</t>
  </si>
  <si>
    <t>SM-A528</t>
  </si>
  <si>
    <t>Galaxy A52s 5G</t>
  </si>
  <si>
    <t>MOD-000260</t>
  </si>
  <si>
    <t>OLED Repair</t>
  </si>
  <si>
    <t>RTP-000017</t>
  </si>
  <si>
    <t>SM-A526</t>
  </si>
  <si>
    <t>Galaxy A52 5G</t>
  </si>
  <si>
    <t>MOD-000259</t>
  </si>
  <si>
    <t>Home Button</t>
  </si>
  <si>
    <t>RTP-000016</t>
  </si>
  <si>
    <t>SM-A525</t>
  </si>
  <si>
    <t>Galaxy A52</t>
  </si>
  <si>
    <t>MOD-000258</t>
  </si>
  <si>
    <t>Face ID</t>
  </si>
  <si>
    <t>RTP-000015</t>
  </si>
  <si>
    <t>SM-A516</t>
  </si>
  <si>
    <t>Galaxy A51 5G</t>
  </si>
  <si>
    <t>MOD-000257</t>
  </si>
  <si>
    <t>Fingerprint Sensor</t>
  </si>
  <si>
    <t>RTP-000014</t>
  </si>
  <si>
    <t>SM-A515</t>
  </si>
  <si>
    <t>Galaxy A51</t>
  </si>
  <si>
    <t>MOD-000256</t>
  </si>
  <si>
    <t>Mute Switch</t>
  </si>
  <si>
    <t>RTP-000013</t>
  </si>
  <si>
    <t>SM-A507</t>
  </si>
  <si>
    <t>Galaxy A50s</t>
  </si>
  <si>
    <t>MOD-000255</t>
  </si>
  <si>
    <t>Volume Button</t>
  </si>
  <si>
    <t>RTP-000012</t>
  </si>
  <si>
    <t>SM-A505</t>
  </si>
  <si>
    <t>Galaxy A50</t>
  </si>
  <si>
    <t>MOD-000254</t>
  </si>
  <si>
    <t>Power Button</t>
  </si>
  <si>
    <t>RTP-000011</t>
  </si>
  <si>
    <t>SM-A366</t>
  </si>
  <si>
    <t>Galaxy A36 5G</t>
  </si>
  <si>
    <t>MOD-000253</t>
  </si>
  <si>
    <t>Microphone</t>
  </si>
  <si>
    <t>RTP-000010</t>
  </si>
  <si>
    <t>SM-A356</t>
  </si>
  <si>
    <t>Galaxy A35 5G</t>
  </si>
  <si>
    <t>MOD-000252</t>
  </si>
  <si>
    <t>Earpiece</t>
  </si>
  <si>
    <t>RTP-000009</t>
  </si>
  <si>
    <t>SM-A346</t>
  </si>
  <si>
    <t>Galaxy A34 5G</t>
  </si>
  <si>
    <t>MOD-000251</t>
  </si>
  <si>
    <t>Speaker</t>
  </si>
  <si>
    <t>RTP-000008</t>
  </si>
  <si>
    <t>SM-A336</t>
  </si>
  <si>
    <t>Galaxy A33 5G</t>
  </si>
  <si>
    <t>MOD-000250</t>
  </si>
  <si>
    <t>Rear Camera</t>
  </si>
  <si>
    <t>RTP-000007</t>
  </si>
  <si>
    <t>SM-A326</t>
  </si>
  <si>
    <t>Galaxy A32 5G</t>
  </si>
  <si>
    <t>MOD-000249</t>
  </si>
  <si>
    <t>Front Camera</t>
  </si>
  <si>
    <t>RTP-000006</t>
  </si>
  <si>
    <t>SM-A325</t>
  </si>
  <si>
    <t>Galaxy A32</t>
  </si>
  <si>
    <t>MOD-000248</t>
  </si>
  <si>
    <t>Rear Housing</t>
  </si>
  <si>
    <t>RTP-000005</t>
  </si>
  <si>
    <t>SM-A315</t>
  </si>
  <si>
    <t>Galaxy A31</t>
  </si>
  <si>
    <t>MOD-000247</t>
  </si>
  <si>
    <t>Rear Glass</t>
  </si>
  <si>
    <t>RTP-000004</t>
  </si>
  <si>
    <t>SM-A307</t>
  </si>
  <si>
    <t>Galaxy A30s</t>
  </si>
  <si>
    <t>MOD-000246</t>
  </si>
  <si>
    <t>Charging Port</t>
  </si>
  <si>
    <t>RTP-000003</t>
  </si>
  <si>
    <t>SM-A305</t>
  </si>
  <si>
    <t>Galaxy A30</t>
  </si>
  <si>
    <t>MOD-000245</t>
  </si>
  <si>
    <t>Battery Replacement</t>
  </si>
  <si>
    <t>RTP-000002</t>
  </si>
  <si>
    <t>SM-A266</t>
  </si>
  <si>
    <t>Galaxy A26 5G</t>
  </si>
  <si>
    <t>MOD-000244</t>
  </si>
  <si>
    <t>Screen Replacement</t>
  </si>
  <si>
    <t>RTP-000001</t>
  </si>
  <si>
    <t>SM-A256</t>
  </si>
  <si>
    <t>Galaxy A25 5G</t>
  </si>
  <si>
    <t>MOD-000243</t>
  </si>
  <si>
    <t>SM-A245</t>
  </si>
  <si>
    <t>Galaxy A24</t>
  </si>
  <si>
    <t>MOD-000242</t>
  </si>
  <si>
    <t>tblRepairTypes</t>
  </si>
  <si>
    <t>SM-A236</t>
  </si>
  <si>
    <t>Galaxy A23 5G</t>
  </si>
  <si>
    <t>MOD-000241</t>
  </si>
  <si>
    <t>SM-A235</t>
  </si>
  <si>
    <t>Galaxy A23</t>
  </si>
  <si>
    <t>MOD-000240</t>
  </si>
  <si>
    <t>SM-A226</t>
  </si>
  <si>
    <t>Galaxy A22 5G</t>
  </si>
  <si>
    <t>MOD-000239</t>
  </si>
  <si>
    <t>REPAIR LOOKUPS</t>
  </si>
  <si>
    <t>SM-A225</t>
  </si>
  <si>
    <t>Galaxy A22</t>
  </si>
  <si>
    <t>MOD-000238</t>
  </si>
  <si>
    <t>SM-A217</t>
  </si>
  <si>
    <t>Galaxy A21s</t>
  </si>
  <si>
    <t>MOD-000237</t>
  </si>
  <si>
    <t>SM-A215</t>
  </si>
  <si>
    <t>Galaxy A21</t>
  </si>
  <si>
    <t>MOD-000236</t>
  </si>
  <si>
    <t>2 TB</t>
  </si>
  <si>
    <t>STO-000006</t>
  </si>
  <si>
    <t>SM-A202</t>
  </si>
  <si>
    <t>Galaxy A20e</t>
  </si>
  <si>
    <t>MOD-000235</t>
  </si>
  <si>
    <t>1 TB</t>
  </si>
  <si>
    <t>STO-000005</t>
  </si>
  <si>
    <t>SM-A205</t>
  </si>
  <si>
    <t>Galaxy A20</t>
  </si>
  <si>
    <t>MOD-000234</t>
  </si>
  <si>
    <t>512 GB</t>
  </si>
  <si>
    <t>STO-000004</t>
  </si>
  <si>
    <t>SM-A165</t>
  </si>
  <si>
    <t>Galaxy A16</t>
  </si>
  <si>
    <t>MOD-000233</t>
  </si>
  <si>
    <t>256 GB</t>
  </si>
  <si>
    <t>STO-000003</t>
  </si>
  <si>
    <t>SM-A156</t>
  </si>
  <si>
    <t>Galaxy A15 5G</t>
  </si>
  <si>
    <t>MOD-000232</t>
  </si>
  <si>
    <t>128 GB</t>
  </si>
  <si>
    <t>STO-000002</t>
  </si>
  <si>
    <t>SM-A155</t>
  </si>
  <si>
    <t>Galaxy A15</t>
  </si>
  <si>
    <t>MOD-000231</t>
  </si>
  <si>
    <t>64 GB</t>
  </si>
  <si>
    <t>STO-000001</t>
  </si>
  <si>
    <t>SM-A146</t>
  </si>
  <si>
    <t>Galaxy A14 5G</t>
  </si>
  <si>
    <t>MOD-000230</t>
  </si>
  <si>
    <t>SM-A145</t>
  </si>
  <si>
    <t>Galaxy A14</t>
  </si>
  <si>
    <t>MOD-000229</t>
  </si>
  <si>
    <t>tblStorageOptions</t>
  </si>
  <si>
    <t>SM-A135</t>
  </si>
  <si>
    <t>Galaxy A13</t>
  </si>
  <si>
    <t>MOD-000228</t>
  </si>
  <si>
    <t>SM-A125</t>
  </si>
  <si>
    <t>Galaxy A12</t>
  </si>
  <si>
    <t>MOD-000227</t>
  </si>
  <si>
    <t>32 GB</t>
  </si>
  <si>
    <t>RAM-000007</t>
  </si>
  <si>
    <t>SM-A115</t>
  </si>
  <si>
    <t>Galaxy A11</t>
  </si>
  <si>
    <t>MOD-000226</t>
  </si>
  <si>
    <t>24 GB</t>
  </si>
  <si>
    <t>RAM-000006</t>
  </si>
  <si>
    <t>SM-A102</t>
  </si>
  <si>
    <t>Galaxy A10e</t>
  </si>
  <si>
    <t>MOD-000225</t>
  </si>
  <si>
    <t>16 GB</t>
  </si>
  <si>
    <t>RAM-000005</t>
  </si>
  <si>
    <t>SM-A105</t>
  </si>
  <si>
    <t>Galaxy A10</t>
  </si>
  <si>
    <t>MOD-000224</t>
  </si>
  <si>
    <t>12 GB</t>
  </si>
  <si>
    <t>RAM-000004</t>
  </si>
  <si>
    <t>SM-A066</t>
  </si>
  <si>
    <t>Galaxy A06 5G</t>
  </si>
  <si>
    <t>MOD-000223</t>
  </si>
  <si>
    <t>8 GB</t>
  </si>
  <si>
    <t>RAM-000003</t>
  </si>
  <si>
    <t>SM-A065</t>
  </si>
  <si>
    <t>Galaxy A06</t>
  </si>
  <si>
    <t>MOD-000222</t>
  </si>
  <si>
    <t>6 GB</t>
  </si>
  <si>
    <t>RAM-000002</t>
  </si>
  <si>
    <t>SM-A057</t>
  </si>
  <si>
    <t>Galaxy A05s</t>
  </si>
  <si>
    <t>MOD-000221</t>
  </si>
  <si>
    <t>4 GB</t>
  </si>
  <si>
    <t>RAM-000001</t>
  </si>
  <si>
    <t>SM-A055</t>
  </si>
  <si>
    <t>Galaxy A05</t>
  </si>
  <si>
    <t>MOD-000220</t>
  </si>
  <si>
    <t>SM-A047</t>
  </si>
  <si>
    <t>Galaxy A04s</t>
  </si>
  <si>
    <t>MOD-000219</t>
  </si>
  <si>
    <t>tblMemoryOptions</t>
  </si>
  <si>
    <t>SM-A042</t>
  </si>
  <si>
    <t>Galaxy A04e</t>
  </si>
  <si>
    <t>MOD-000218</t>
  </si>
  <si>
    <t>SM-A045</t>
  </si>
  <si>
    <t>Galaxy A04</t>
  </si>
  <si>
    <t>MOD-000217</t>
  </si>
  <si>
    <t>MEA</t>
  </si>
  <si>
    <t>Middle East</t>
  </si>
  <si>
    <t>REG-000011</t>
  </si>
  <si>
    <t>SM-A037</t>
  </si>
  <si>
    <t>Galaxy A03s</t>
  </si>
  <si>
    <t>MOD-000216</t>
  </si>
  <si>
    <t>LATAM</t>
  </si>
  <si>
    <t>Latin America</t>
  </si>
  <si>
    <t>REG-000010</t>
  </si>
  <si>
    <t>SM-A032</t>
  </si>
  <si>
    <t>Galaxy A03 Core</t>
  </si>
  <si>
    <t>MOD-000215</t>
  </si>
  <si>
    <t>REG-000009</t>
  </si>
  <si>
    <t>SM-A035</t>
  </si>
  <si>
    <t>Galaxy A03</t>
  </si>
  <si>
    <t>MOD-000214</t>
  </si>
  <si>
    <t>REG-000008</t>
  </si>
  <si>
    <t>SM-A025</t>
  </si>
  <si>
    <t>Galaxy A02s</t>
  </si>
  <si>
    <t>MOD-000213</t>
  </si>
  <si>
    <t>REG-000007</t>
  </si>
  <si>
    <t>SM-A022</t>
  </si>
  <si>
    <t>Galaxy A02</t>
  </si>
  <si>
    <t>MOD-000212</t>
  </si>
  <si>
    <t>REG-000006</t>
  </si>
  <si>
    <t>SM-A013</t>
  </si>
  <si>
    <t>Galaxy A01 Core</t>
  </si>
  <si>
    <t>MOD-000211</t>
  </si>
  <si>
    <t>UK</t>
  </si>
  <si>
    <t>REG-000005</t>
  </si>
  <si>
    <t>SM-A015</t>
  </si>
  <si>
    <t>Galaxy A01</t>
  </si>
  <si>
    <t>MOD-000210</t>
  </si>
  <si>
    <t>EU</t>
  </si>
  <si>
    <t>Europe</t>
  </si>
  <si>
    <t>REG-000004</t>
  </si>
  <si>
    <t>SM-F966</t>
  </si>
  <si>
    <t>Galaxy Z Fold7</t>
  </si>
  <si>
    <t>DF-022</t>
  </si>
  <si>
    <t>MOD-000209</t>
  </si>
  <si>
    <t>REG-000003</t>
  </si>
  <si>
    <t>SM-F956</t>
  </si>
  <si>
    <t>Galaxy Z Fold6</t>
  </si>
  <si>
    <t>MOD-000208</t>
  </si>
  <si>
    <t>REG-000002</t>
  </si>
  <si>
    <t>SM-F946</t>
  </si>
  <si>
    <t>Galaxy Z Fold5</t>
  </si>
  <si>
    <t>MOD-000207</t>
  </si>
  <si>
    <t>Worldwide</t>
  </si>
  <si>
    <t>Global</t>
  </si>
  <si>
    <t>REG-000001</t>
  </si>
  <si>
    <t>SM-F936</t>
  </si>
  <si>
    <t>Galaxy Z Fold4</t>
  </si>
  <si>
    <t>MOD-000206</t>
  </si>
  <si>
    <t>SM-F926</t>
  </si>
  <si>
    <t>Galaxy Z Fold3</t>
  </si>
  <si>
    <t>MOD-000205</t>
  </si>
  <si>
    <t>tblMarketRegions</t>
  </si>
  <si>
    <t>SM-F916</t>
  </si>
  <si>
    <t>Galaxy Z Fold2</t>
  </si>
  <si>
    <t>MOD-000204</t>
  </si>
  <si>
    <t>SM-F900</t>
  </si>
  <si>
    <t>Galaxy Fold</t>
  </si>
  <si>
    <t>MOD-000203</t>
  </si>
  <si>
    <t>Not yet released</t>
  </si>
  <si>
    <t>Upcoming</t>
  </si>
  <si>
    <t>DST-000005</t>
  </si>
  <si>
    <t>SM-N986</t>
  </si>
  <si>
    <t>Galaxy Note20 Ultra</t>
  </si>
  <si>
    <t>DF-021</t>
  </si>
  <si>
    <t>MOD-000202</t>
  </si>
  <si>
    <t>No longer sold</t>
  </si>
  <si>
    <t>DST-000004</t>
  </si>
  <si>
    <t>SM-N981</t>
  </si>
  <si>
    <t>Galaxy Note20</t>
  </si>
  <si>
    <t>MOD-000201</t>
  </si>
  <si>
    <t>Manufacturer support ended</t>
  </si>
  <si>
    <t>End of Life</t>
  </si>
  <si>
    <t>DST-000003</t>
  </si>
  <si>
    <t>SM-N976</t>
  </si>
  <si>
    <t>Galaxy Note10+ 5G</t>
  </si>
  <si>
    <t>MOD-000200</t>
  </si>
  <si>
    <t>Older supported</t>
  </si>
  <si>
    <t>Legacy</t>
  </si>
  <si>
    <t>DST-000002</t>
  </si>
  <si>
    <t>SM-N975</t>
  </si>
  <si>
    <t>Galaxy Note10+</t>
  </si>
  <si>
    <t>MOD-000199</t>
  </si>
  <si>
    <t>Currently supported</t>
  </si>
  <si>
    <t>DST-000001</t>
  </si>
  <si>
    <t>SM-N970</t>
  </si>
  <si>
    <t>Galaxy Note10</t>
  </si>
  <si>
    <t>MOD-000198</t>
  </si>
  <si>
    <t>SM-N960</t>
  </si>
  <si>
    <t>Galaxy Note9</t>
  </si>
  <si>
    <t>MOD-000197</t>
  </si>
  <si>
    <t>tblDeviceStatus</t>
  </si>
  <si>
    <t>SM-N950</t>
  </si>
  <si>
    <t>Galaxy Note8</t>
  </si>
  <si>
    <t>MOD-000196</t>
  </si>
  <si>
    <t>SM-N935</t>
  </si>
  <si>
    <t>Galaxy Note FE</t>
  </si>
  <si>
    <t>MOD-000195</t>
  </si>
  <si>
    <t>10 - Modular</t>
  </si>
  <si>
    <t>Modular</t>
  </si>
  <si>
    <t>RPR-000010</t>
  </si>
  <si>
    <t>SM-N920</t>
  </si>
  <si>
    <t>Galaxy Note5</t>
  </si>
  <si>
    <t>MOD-000194</t>
  </si>
  <si>
    <t>9 - Very Easy</t>
  </si>
  <si>
    <t>Very Easy</t>
  </si>
  <si>
    <t>RPR-000009</t>
  </si>
  <si>
    <t>SM-N915</t>
  </si>
  <si>
    <t>Galaxy Note Edge</t>
  </si>
  <si>
    <t>MOD-000193</t>
  </si>
  <si>
    <t>8 - Easy</t>
  </si>
  <si>
    <t>Easy</t>
  </si>
  <si>
    <t>RPR-000008</t>
  </si>
  <si>
    <t>SM-N910</t>
  </si>
  <si>
    <t>Galaxy Note 4</t>
  </si>
  <si>
    <t>MOD-000192</t>
  </si>
  <si>
    <t>7 - Semi-Easy</t>
  </si>
  <si>
    <t>Semi-Easy</t>
  </si>
  <si>
    <t>RPR-000007</t>
  </si>
  <si>
    <t>SM-N900</t>
  </si>
  <si>
    <t>Galaxy Note 3</t>
  </si>
  <si>
    <t>MOD-000191</t>
  </si>
  <si>
    <t>6 - Semi-Moderate</t>
  </si>
  <si>
    <t>Semi-Moderate</t>
  </si>
  <si>
    <t>RPR-000006</t>
  </si>
  <si>
    <t>GT-N7100</t>
  </si>
  <si>
    <t>Galaxy Note II</t>
  </si>
  <si>
    <t>MOD-000190</t>
  </si>
  <si>
    <t>5 - Moderate</t>
  </si>
  <si>
    <t>Moderate</t>
  </si>
  <si>
    <t>RPR-000005</t>
  </si>
  <si>
    <t>GT-N7000</t>
  </si>
  <si>
    <t>Galaxy Note</t>
  </si>
  <si>
    <t>MOD-000189</t>
  </si>
  <si>
    <t>4 - Moderately Difficult</t>
  </si>
  <si>
    <t>Moderately Difficult</t>
  </si>
  <si>
    <t>RPR-000004</t>
  </si>
  <si>
    <t>SM-S937</t>
  </si>
  <si>
    <t>Galaxy S25 Edge</t>
  </si>
  <si>
    <t>DF-020</t>
  </si>
  <si>
    <t>MOD-000188</t>
  </si>
  <si>
    <t>3 - Difficult</t>
  </si>
  <si>
    <t>Difficult</t>
  </si>
  <si>
    <t>RPR-000003</t>
  </si>
  <si>
    <t>SM-S938</t>
  </si>
  <si>
    <t>Galaxy S25 Ultra</t>
  </si>
  <si>
    <t>MOD-000187</t>
  </si>
  <si>
    <t>2 - Very Difficult</t>
  </si>
  <si>
    <t>Very Difficult</t>
  </si>
  <si>
    <t>RPR-000002</t>
  </si>
  <si>
    <t>SM-S936</t>
  </si>
  <si>
    <t>Galaxy S25+</t>
  </si>
  <si>
    <t>MOD-000186</t>
  </si>
  <si>
    <t>1 - Extremely Difficult</t>
  </si>
  <si>
    <t>Extremely Difficult</t>
  </si>
  <si>
    <t>RPR-000001</t>
  </si>
  <si>
    <t>SM-S931</t>
  </si>
  <si>
    <t>Galaxy S25</t>
  </si>
  <si>
    <t>MOD-000185</t>
  </si>
  <si>
    <t>SM-S721</t>
  </si>
  <si>
    <t>Galaxy S24 FE</t>
  </si>
  <si>
    <t>MOD-000184</t>
  </si>
  <si>
    <t>tblRepairabilityRatings</t>
  </si>
  <si>
    <t>SM-S928</t>
  </si>
  <si>
    <t>Galaxy S24 Ultra</t>
  </si>
  <si>
    <t>MOD-000183</t>
  </si>
  <si>
    <t>SM-S926</t>
  </si>
  <si>
    <t>Galaxy S24+</t>
  </si>
  <si>
    <t>MOD-000182</t>
  </si>
  <si>
    <t>240 Hz</t>
  </si>
  <si>
    <t>REF-000006</t>
  </si>
  <si>
    <t>SM-S921</t>
  </si>
  <si>
    <t>Galaxy S24</t>
  </si>
  <si>
    <t>MOD-000181</t>
  </si>
  <si>
    <t>165 Hz</t>
  </si>
  <si>
    <t>REF-000005</t>
  </si>
  <si>
    <t>SM-S711</t>
  </si>
  <si>
    <t>Galaxy S23 FE</t>
  </si>
  <si>
    <t>MOD-000180</t>
  </si>
  <si>
    <t>144 Hz</t>
  </si>
  <si>
    <t>REF-000004</t>
  </si>
  <si>
    <t>SM-S918</t>
  </si>
  <si>
    <t>Galaxy S23 Ultra</t>
  </si>
  <si>
    <t>MOD-000179</t>
  </si>
  <si>
    <t>120 Hz</t>
  </si>
  <si>
    <t>REF-000003</t>
  </si>
  <si>
    <t>SM-S916</t>
  </si>
  <si>
    <t>Galaxy S23+</t>
  </si>
  <si>
    <t>MOD-000178</t>
  </si>
  <si>
    <t>90 Hz</t>
  </si>
  <si>
    <t>REF-000002</t>
  </si>
  <si>
    <t>SM-S911</t>
  </si>
  <si>
    <t>Galaxy S23</t>
  </si>
  <si>
    <t>MOD-000177</t>
  </si>
  <si>
    <t>60 Hz</t>
  </si>
  <si>
    <t>REF-000001</t>
  </si>
  <si>
    <t>SM-S908</t>
  </si>
  <si>
    <t>Galaxy S22 Ultra</t>
  </si>
  <si>
    <t>MOD-000176</t>
  </si>
  <si>
    <t>SM-S906</t>
  </si>
  <si>
    <t>Galaxy S22+</t>
  </si>
  <si>
    <t>MOD-000175</t>
  </si>
  <si>
    <t>tblRefreshRates</t>
  </si>
  <si>
    <t>SM-S901</t>
  </si>
  <si>
    <t>Galaxy S22</t>
  </si>
  <si>
    <t>MOD-000174</t>
  </si>
  <si>
    <t>SM-G990</t>
  </si>
  <si>
    <t>Galaxy S21 FE</t>
  </si>
  <si>
    <t>MOD-000173</t>
  </si>
  <si>
    <t>UNISOC</t>
  </si>
  <si>
    <t>CPU-000010</t>
  </si>
  <si>
    <t>SM-G998</t>
  </si>
  <si>
    <t>Galaxy S21 Ultra</t>
  </si>
  <si>
    <t>MOD-000172</t>
  </si>
  <si>
    <t>Kirin</t>
  </si>
  <si>
    <t>Huawei HiSilicon</t>
  </si>
  <si>
    <t>CPU-000009</t>
  </si>
  <si>
    <t>SM-G996</t>
  </si>
  <si>
    <t>Galaxy S21+</t>
  </si>
  <si>
    <t>MOD-000171</t>
  </si>
  <si>
    <t>Tegra</t>
  </si>
  <si>
    <t>NVIDIA</t>
  </si>
  <si>
    <t>CPU-000008</t>
  </si>
  <si>
    <t>SM-G991</t>
  </si>
  <si>
    <t>Galaxy S21</t>
  </si>
  <si>
    <t>MOD-000170</t>
  </si>
  <si>
    <t>Ryzen</t>
  </si>
  <si>
    <t>CPU-000007</t>
  </si>
  <si>
    <t>SM-G781</t>
  </si>
  <si>
    <t>Galaxy S20 FE</t>
  </si>
  <si>
    <t>MOD-000169</t>
  </si>
  <si>
    <t>Intel CPUs</t>
  </si>
  <si>
    <t>CPU-000006</t>
  </si>
  <si>
    <t>SM-G988</t>
  </si>
  <si>
    <t>Galaxy S20 Ultra</t>
  </si>
  <si>
    <t>MOD-000168</t>
  </si>
  <si>
    <t>Tensor</t>
  </si>
  <si>
    <t>CPU-000005</t>
  </si>
  <si>
    <t>SM-G986</t>
  </si>
  <si>
    <t>Galaxy S20+</t>
  </si>
  <si>
    <t>MOD-000167</t>
  </si>
  <si>
    <t>Exynos</t>
  </si>
  <si>
    <t>Samsung Exynos</t>
  </si>
  <si>
    <t>CPU-000004</t>
  </si>
  <si>
    <t>SM-G981</t>
  </si>
  <si>
    <t>Galaxy S20</t>
  </si>
  <si>
    <t>MOD-000166</t>
  </si>
  <si>
    <t>Dimensity/Helio</t>
  </si>
  <si>
    <t>CPU-000003</t>
  </si>
  <si>
    <t>SM-G977</t>
  </si>
  <si>
    <t>Galaxy S10 5G</t>
  </si>
  <si>
    <t>MOD-000165</t>
  </si>
  <si>
    <t>Snapdragon</t>
  </si>
  <si>
    <t>CPU-000002</t>
  </si>
  <si>
    <t>SM-G975</t>
  </si>
  <si>
    <t>Galaxy S10+</t>
  </si>
  <si>
    <t>MOD-000164</t>
  </si>
  <si>
    <t>Apple Silicon</t>
  </si>
  <si>
    <t>CPU-000001</t>
  </si>
  <si>
    <t>SM-G973</t>
  </si>
  <si>
    <t>Galaxy S10</t>
  </si>
  <si>
    <t>MOD-000163</t>
  </si>
  <si>
    <t>SM-G970</t>
  </si>
  <si>
    <t>Galaxy S10e</t>
  </si>
  <si>
    <t>MOD-000162</t>
  </si>
  <si>
    <t>tblProcessorManufacturers</t>
  </si>
  <si>
    <t>SM-G965</t>
  </si>
  <si>
    <t>Galaxy S9+</t>
  </si>
  <si>
    <t>MOD-000161</t>
  </si>
  <si>
    <t>SM-G960</t>
  </si>
  <si>
    <t>Galaxy S9</t>
  </si>
  <si>
    <t>MOD-000160</t>
  </si>
  <si>
    <t>Mini LED</t>
  </si>
  <si>
    <t>miniLED</t>
  </si>
  <si>
    <t>SCT-000010</t>
  </si>
  <si>
    <t>SM-G955</t>
  </si>
  <si>
    <t>Galaxy S8+</t>
  </si>
  <si>
    <t>MOD-000159</t>
  </si>
  <si>
    <t>Apple OLED</t>
  </si>
  <si>
    <t>Super Retina XDR</t>
  </si>
  <si>
    <t>SCT-000009</t>
  </si>
  <si>
    <t>SM-G950</t>
  </si>
  <si>
    <t>Galaxy S8</t>
  </si>
  <si>
    <t>MOD-000158</t>
  </si>
  <si>
    <t>Apple LCD</t>
  </si>
  <si>
    <t>Liquid Retina</t>
  </si>
  <si>
    <t>SCT-000008</t>
  </si>
  <si>
    <t>SM-G935</t>
  </si>
  <si>
    <t>Galaxy S7 edge</t>
  </si>
  <si>
    <t>MOD-000157</t>
  </si>
  <si>
    <t>Apple Retina</t>
  </si>
  <si>
    <t>Retina</t>
  </si>
  <si>
    <t>SCT-000007</t>
  </si>
  <si>
    <t>SM-G930</t>
  </si>
  <si>
    <t>Galaxy S7</t>
  </si>
  <si>
    <t>MOD-000156</t>
  </si>
  <si>
    <t>Adaptive refresh OLED</t>
  </si>
  <si>
    <t>LTPO OLED</t>
  </si>
  <si>
    <t>SCT-000006</t>
  </si>
  <si>
    <t>SM-G890</t>
  </si>
  <si>
    <t>Galaxy S6 Active</t>
  </si>
  <si>
    <t>MOD-000155</t>
  </si>
  <si>
    <t>Samsung AMOLED</t>
  </si>
  <si>
    <t>Dynamic AMOLED</t>
  </si>
  <si>
    <t>SCT-000005</t>
  </si>
  <si>
    <t>SM-G928</t>
  </si>
  <si>
    <t>Galaxy S6 edge+</t>
  </si>
  <si>
    <t>MOD-000154</t>
  </si>
  <si>
    <t>Active Matrix OLED</t>
  </si>
  <si>
    <t>AMOLED</t>
  </si>
  <si>
    <t>SCT-000004</t>
  </si>
  <si>
    <t>SM-G925</t>
  </si>
  <si>
    <t>Galaxy S6 edge</t>
  </si>
  <si>
    <t>MOD-000153</t>
  </si>
  <si>
    <t>Organic LED</t>
  </si>
  <si>
    <t>OLED</t>
  </si>
  <si>
    <t>SCT-000003</t>
  </si>
  <si>
    <t>SM-G920</t>
  </si>
  <si>
    <t>Galaxy S6</t>
  </si>
  <si>
    <t>MOD-000152</t>
  </si>
  <si>
    <t>In-Plane Switching LCD</t>
  </si>
  <si>
    <t>IPS LCD</t>
  </si>
  <si>
    <t>SCT-000002</t>
  </si>
  <si>
    <t>SM-G900</t>
  </si>
  <si>
    <t>Galaxy S5</t>
  </si>
  <si>
    <t>MOD-000151</t>
  </si>
  <si>
    <t>Liquid Crystal Display</t>
  </si>
  <si>
    <t>LCD</t>
  </si>
  <si>
    <t>SCT-000001</t>
  </si>
  <si>
    <t>GT-I9505</t>
  </si>
  <si>
    <t>Galaxy S4</t>
  </si>
  <si>
    <t>MOD-000150</t>
  </si>
  <si>
    <t>GT-I9300</t>
  </si>
  <si>
    <t>Galaxy S III</t>
  </si>
  <si>
    <t>MOD-000149</t>
  </si>
  <si>
    <t>tblScreenTechnologies</t>
  </si>
  <si>
    <t>GT-I9100</t>
  </si>
  <si>
    <t>Galaxy S II</t>
  </si>
  <si>
    <t>MOD-000148</t>
  </si>
  <si>
    <t>GT-I9000</t>
  </si>
  <si>
    <t>Galaxy S</t>
  </si>
  <si>
    <t>MOD-000147</t>
  </si>
  <si>
    <t>Satellite</t>
  </si>
  <si>
    <t>NET-000006</t>
  </si>
  <si>
    <t>A2117</t>
  </si>
  <si>
    <t>Apple Vision Pro</t>
  </si>
  <si>
    <t>DT-007</t>
  </si>
  <si>
    <t>DF-016</t>
  </si>
  <si>
    <t>MFG-001</t>
  </si>
  <si>
    <t>MOD-000146</t>
  </si>
  <si>
    <t>Wi-Fi Only</t>
  </si>
  <si>
    <t>NET-000005</t>
  </si>
  <si>
    <t>A2843</t>
  </si>
  <si>
    <t>Apple TV 4K (3rd Gen)</t>
  </si>
  <si>
    <t>DT-006</t>
  </si>
  <si>
    <t>DF-015</t>
  </si>
  <si>
    <t>MOD-000145</t>
  </si>
  <si>
    <t>5G</t>
  </si>
  <si>
    <t>NET-000004</t>
  </si>
  <si>
    <t>A2169</t>
  </si>
  <si>
    <t>Apple TV 4K (2nd Gen)</t>
  </si>
  <si>
    <t>MOD-000144</t>
  </si>
  <si>
    <t>4G LTE</t>
  </si>
  <si>
    <t>NET-000003</t>
  </si>
  <si>
    <t>A1842</t>
  </si>
  <si>
    <t>Apple TV 4K (1st Gen)</t>
  </si>
  <si>
    <t>MOD-000143</t>
  </si>
  <si>
    <t>3G</t>
  </si>
  <si>
    <t>NET-000002</t>
  </si>
  <si>
    <t>A1625</t>
  </si>
  <si>
    <t>Apple TV HD</t>
  </si>
  <si>
    <t>MOD-000142</t>
  </si>
  <si>
    <t>2G</t>
  </si>
  <si>
    <t>NET-000001</t>
  </si>
  <si>
    <t>A1427</t>
  </si>
  <si>
    <t>Apple TV (3rd Generation)</t>
  </si>
  <si>
    <t>MOD-000141</t>
  </si>
  <si>
    <t>A1378</t>
  </si>
  <si>
    <t>Apple TV (2nd Generation)</t>
  </si>
  <si>
    <t>MOD-000140</t>
  </si>
  <si>
    <t>tblNetworkGenerations</t>
  </si>
  <si>
    <t>A1218</t>
  </si>
  <si>
    <t>Apple TV (1st Generation)</t>
  </si>
  <si>
    <t>MOD-000139</t>
  </si>
  <si>
    <t>A2997</t>
  </si>
  <si>
    <t>Apple Watch Series 10</t>
  </si>
  <si>
    <t>DF-014</t>
  </si>
  <si>
    <t>MOD-000138</t>
  </si>
  <si>
    <t>SIM-000007</t>
  </si>
  <si>
    <t>A2986</t>
  </si>
  <si>
    <t>Apple Watch Ultra 2</t>
  </si>
  <si>
    <t>MOD-000137</t>
  </si>
  <si>
    <t>Dual eSIM</t>
  </si>
  <si>
    <t>SIM-000006</t>
  </si>
  <si>
    <t>A2982</t>
  </si>
  <si>
    <t>Apple Watch Series 9</t>
  </si>
  <si>
    <t>MOD-000136</t>
  </si>
  <si>
    <t>Nano + eSIM</t>
  </si>
  <si>
    <t>SIM-000005</t>
  </si>
  <si>
    <t>A2722</t>
  </si>
  <si>
    <t>Apple Watch SE (2nd Generation)</t>
  </si>
  <si>
    <t>MOD-000135</t>
  </si>
  <si>
    <t>eSIM</t>
  </si>
  <si>
    <t>SIM-000004</t>
  </si>
  <si>
    <t>A2622</t>
  </si>
  <si>
    <t>Apple Watch Ultra</t>
  </si>
  <si>
    <t>MOD-000134</t>
  </si>
  <si>
    <t>Nano SIM</t>
  </si>
  <si>
    <t>SIM-000003</t>
  </si>
  <si>
    <t>A2770</t>
  </si>
  <si>
    <t>Apple Watch Series 8</t>
  </si>
  <si>
    <t>MOD-000133</t>
  </si>
  <si>
    <t>Micro SIM</t>
  </si>
  <si>
    <t>SIM-000002</t>
  </si>
  <si>
    <t>A2473</t>
  </si>
  <si>
    <t>Apple Watch Series 7</t>
  </si>
  <si>
    <t>MOD-000132</t>
  </si>
  <si>
    <t>Standard SIM</t>
  </si>
  <si>
    <t>SIM-000001</t>
  </si>
  <si>
    <t>A2351</t>
  </si>
  <si>
    <t>Apple Watch SE (1st Generation)</t>
  </si>
  <si>
    <t>MOD-000131</t>
  </si>
  <si>
    <t>A2291</t>
  </si>
  <si>
    <t>Apple Watch Series 6</t>
  </si>
  <si>
    <t>MOD-000130</t>
  </si>
  <si>
    <t>tblSIMType</t>
  </si>
  <si>
    <t>A2092</t>
  </si>
  <si>
    <t>Apple Watch Series 5</t>
  </si>
  <si>
    <t>MOD-000129</t>
  </si>
  <si>
    <t>A1977</t>
  </si>
  <si>
    <t>Apple Watch Series 4</t>
  </si>
  <si>
    <t>MOD-000128</t>
  </si>
  <si>
    <t>IP69K</t>
  </si>
  <si>
    <t>WTR-000008</t>
  </si>
  <si>
    <t>A1858</t>
  </si>
  <si>
    <t>Apple Watch Series 3</t>
  </si>
  <si>
    <t>MOD-000127</t>
  </si>
  <si>
    <t>IP69</t>
  </si>
  <si>
    <t>WTR-000007</t>
  </si>
  <si>
    <t>A1757</t>
  </si>
  <si>
    <t>Apple Watch Series 2</t>
  </si>
  <si>
    <t>MOD-000126</t>
  </si>
  <si>
    <t>IP68</t>
  </si>
  <si>
    <t>WTR-000006</t>
  </si>
  <si>
    <t>A1802</t>
  </si>
  <si>
    <t>Apple Watch Series 1</t>
  </si>
  <si>
    <t>MOD-000125</t>
  </si>
  <si>
    <t>IP67</t>
  </si>
  <si>
    <t>WTR-000005</t>
  </si>
  <si>
    <t>A1553</t>
  </si>
  <si>
    <t>Apple Watch (1st Generation)</t>
  </si>
  <si>
    <t>MOD-000124</t>
  </si>
  <si>
    <t>IP54</t>
  </si>
  <si>
    <t>WTR-000004</t>
  </si>
  <si>
    <t>A2786</t>
  </si>
  <si>
    <t>Mac Pro (M2 Ultra)</t>
  </si>
  <si>
    <t>DF-013</t>
  </si>
  <si>
    <t>MOD-000123</t>
  </si>
  <si>
    <t>IP53</t>
  </si>
  <si>
    <t>WTR-000003</t>
  </si>
  <si>
    <t>A1991</t>
  </si>
  <si>
    <t>Mac Pro (2019)</t>
  </si>
  <si>
    <t>MOD-000122</t>
  </si>
  <si>
    <t>IP52</t>
  </si>
  <si>
    <t>WTR-000002</t>
  </si>
  <si>
    <t>A1481</t>
  </si>
  <si>
    <t>Mac Pro (Intel Tower)</t>
  </si>
  <si>
    <t>MOD-000121</t>
  </si>
  <si>
    <t>None</t>
  </si>
  <si>
    <t>WTR-000001</t>
  </si>
  <si>
    <t>A2901</t>
  </si>
  <si>
    <t>Mac Studio (M2 Ultra)</t>
  </si>
  <si>
    <t>DF-012</t>
  </si>
  <si>
    <t>MOD-000120</t>
  </si>
  <si>
    <t>Mac Studio (M2 Max)</t>
  </si>
  <si>
    <t>MOD-000119</t>
  </si>
  <si>
    <t>tblWaterResistanceRatings</t>
  </si>
  <si>
    <t>A2615</t>
  </si>
  <si>
    <t>Mac Studio (M1 Ultra)</t>
  </si>
  <si>
    <t>MOD-000118</t>
  </si>
  <si>
    <t>Mac Studio (M1 Max)</t>
  </si>
  <si>
    <t>MOD-000117</t>
  </si>
  <si>
    <t>Barrel Jack</t>
  </si>
  <si>
    <t>CHG-000008</t>
  </si>
  <si>
    <t>A2686</t>
  </si>
  <si>
    <t>Mac mini (M2)</t>
  </si>
  <si>
    <t>DF-011</t>
  </si>
  <si>
    <t>MOD-000116</t>
  </si>
  <si>
    <t>Wireless</t>
  </si>
  <si>
    <t>CHG-000007</t>
  </si>
  <si>
    <t>A2348</t>
  </si>
  <si>
    <t>Mac mini (M1)</t>
  </si>
  <si>
    <t>MOD-000115</t>
  </si>
  <si>
    <t>30-pin</t>
  </si>
  <si>
    <t>CHG-000006</t>
  </si>
  <si>
    <t>A1176</t>
  </si>
  <si>
    <t>Mac mini (Intel)</t>
  </si>
  <si>
    <t>MOD-000114</t>
  </si>
  <si>
    <t>MagSafe</t>
  </si>
  <si>
    <t>CHG-000005</t>
  </si>
  <si>
    <t>A1103</t>
  </si>
  <si>
    <t>Mac mini (PowerPC)</t>
  </si>
  <si>
    <t>MOD-000113</t>
  </si>
  <si>
    <t>Mini USB</t>
  </si>
  <si>
    <t>CHG-000004</t>
  </si>
  <si>
    <t>A1862</t>
  </si>
  <si>
    <t>iMac Pro</t>
  </si>
  <si>
    <t>DF-010</t>
  </si>
  <si>
    <t>MOD-000112</t>
  </si>
  <si>
    <t>Micro USB</t>
  </si>
  <si>
    <t>CHG-000003</t>
  </si>
  <si>
    <t>A2438</t>
  </si>
  <si>
    <t>iMac 24-inch (M1)</t>
  </si>
  <si>
    <t>DF-009</t>
  </si>
  <si>
    <t>MOD-000111</t>
  </si>
  <si>
    <t>Lightning</t>
  </si>
  <si>
    <t>CHG-000002</t>
  </si>
  <si>
    <t>A1419</t>
  </si>
  <si>
    <t>iMac Retina 5K</t>
  </si>
  <si>
    <t>MOD-000110</t>
  </si>
  <si>
    <t>USB-C</t>
  </si>
  <si>
    <t>CHG-000001</t>
  </si>
  <si>
    <t>A1418</t>
  </si>
  <si>
    <t>iMac Retina 4K</t>
  </si>
  <si>
    <t>MOD-000109</t>
  </si>
  <si>
    <t>ChargingType</t>
  </si>
  <si>
    <t>ChargingTypeID</t>
  </si>
  <si>
    <t>A1312</t>
  </si>
  <si>
    <t>iMac 27-inch</t>
  </si>
  <si>
    <t>MOD-000108</t>
  </si>
  <si>
    <t>A1311</t>
  </si>
  <si>
    <t>iMac 21.5-inch</t>
  </si>
  <si>
    <t>MOD-000107</t>
  </si>
  <si>
    <t>A1173</t>
  </si>
  <si>
    <t>iMac Intel</t>
  </si>
  <si>
    <t>MOD-000106</t>
  </si>
  <si>
    <t>Xbox OS</t>
  </si>
  <si>
    <t>OS-000012</t>
  </si>
  <si>
    <t>A1058</t>
  </si>
  <si>
    <t>iMac G5</t>
  </si>
  <si>
    <t>MOD-000105</t>
  </si>
  <si>
    <t>PlayStation OS</t>
  </si>
  <si>
    <t>OS-000011</t>
  </si>
  <si>
    <t>M8893</t>
  </si>
  <si>
    <t>iMac G4</t>
  </si>
  <si>
    <t>MOD-000104</t>
  </si>
  <si>
    <t>Nintendo OS</t>
  </si>
  <si>
    <t>OS-000010</t>
  </si>
  <si>
    <t>M4984</t>
  </si>
  <si>
    <t>iMac G3</t>
  </si>
  <si>
    <t>MOD-000103</t>
  </si>
  <si>
    <t>SteamOS</t>
  </si>
  <si>
    <t>OS-000009</t>
  </si>
  <si>
    <t>A2991</t>
  </si>
  <si>
    <t>MacBook Pro 16-inch (M3 Family)</t>
  </si>
  <si>
    <t>DF-008</t>
  </si>
  <si>
    <t>MOD-000102</t>
  </si>
  <si>
    <t>OS-000008</t>
  </si>
  <si>
    <t>A2992</t>
  </si>
  <si>
    <t>MacBook Pro 14-inch (M3 Family)</t>
  </si>
  <si>
    <t>MOD-000101</t>
  </si>
  <si>
    <t>ChromeOS</t>
  </si>
  <si>
    <t>OS-000007</t>
  </si>
  <si>
    <t>A2485</t>
  </si>
  <si>
    <t>MacBook Pro 16-inch (M1 Pro/Max)</t>
  </si>
  <si>
    <t>MOD-000100</t>
  </si>
  <si>
    <t>macOS</t>
  </si>
  <si>
    <t>OS-000006</t>
  </si>
  <si>
    <t>A2442</t>
  </si>
  <si>
    <t>MacBook Pro 14-inch (M1 Pro/Max)</t>
  </si>
  <si>
    <t>MOD-000099</t>
  </si>
  <si>
    <t>Windows</t>
  </si>
  <si>
    <t>OS-000005</t>
  </si>
  <si>
    <t>A1425</t>
  </si>
  <si>
    <t>MacBook Pro Retina 13-inch</t>
  </si>
  <si>
    <t>MOD-000098</t>
  </si>
  <si>
    <t>HarmonyOS</t>
  </si>
  <si>
    <t>OS-000004</t>
  </si>
  <si>
    <t>A1278</t>
  </si>
  <si>
    <t>MacBook Pro 13-inch (Intel)</t>
  </si>
  <si>
    <t>MOD-000097</t>
  </si>
  <si>
    <t>iPadOS</t>
  </si>
  <si>
    <t>OS-000003</t>
  </si>
  <si>
    <t>A3114</t>
  </si>
  <si>
    <t>MacBook Air 15-inch (M3)</t>
  </si>
  <si>
    <t>DF-007</t>
  </si>
  <si>
    <t>MOD-000096</t>
  </si>
  <si>
    <t>iOS</t>
  </si>
  <si>
    <t>OS-000002</t>
  </si>
  <si>
    <t>A3113</t>
  </si>
  <si>
    <t>MacBook Air (M3)</t>
  </si>
  <si>
    <t>MOD-000095</t>
  </si>
  <si>
    <t>Android</t>
  </si>
  <si>
    <t>OS-000001</t>
  </si>
  <si>
    <t>A2941</t>
  </si>
  <si>
    <t>MacBook Air 15-inch (M2)</t>
  </si>
  <si>
    <t>MOD-000094</t>
  </si>
  <si>
    <t>OperatingSystem</t>
  </si>
  <si>
    <t>OperatingSystemID</t>
  </si>
  <si>
    <t>A2681</t>
  </si>
  <si>
    <t>MacBook Air (M2)</t>
  </si>
  <si>
    <t>MOD-000093</t>
  </si>
  <si>
    <t>tblOperatingSystems</t>
  </si>
  <si>
    <t>A2337</t>
  </si>
  <si>
    <t>MacBook Air (M1)</t>
  </si>
  <si>
    <t>MOD-000092</t>
  </si>
  <si>
    <t>A1932</t>
  </si>
  <si>
    <t>MacBook Air (Retina)</t>
  </si>
  <si>
    <t>MOD-000091</t>
  </si>
  <si>
    <t>MDM Locked</t>
  </si>
  <si>
    <t>LCK-000005</t>
  </si>
  <si>
    <t>A1369</t>
  </si>
  <si>
    <t>MacBook Air 13-inch (Intel)</t>
  </si>
  <si>
    <t>MOD-000090</t>
  </si>
  <si>
    <t>Activation Locked</t>
  </si>
  <si>
    <t>LCK-000004</t>
  </si>
  <si>
    <t>A1370</t>
  </si>
  <si>
    <t>MacBook Air 11-inch</t>
  </si>
  <si>
    <t>MOD-000089</t>
  </si>
  <si>
    <t>Factory Unlocked</t>
  </si>
  <si>
    <t>LCK-000003</t>
  </si>
  <si>
    <t>A1237</t>
  </si>
  <si>
    <t>MacBook Air (Original)</t>
  </si>
  <si>
    <t>MOD-000088</t>
  </si>
  <si>
    <t>Carrier Locked</t>
  </si>
  <si>
    <t>LCK-000002</t>
  </si>
  <si>
    <t>A1534</t>
  </si>
  <si>
    <t>MacBook (Retina 12-inch)</t>
  </si>
  <si>
    <t>DF-006</t>
  </si>
  <si>
    <t>MOD-000087</t>
  </si>
  <si>
    <t>Unlocked</t>
  </si>
  <si>
    <t>LCK-000001</t>
  </si>
  <si>
    <t>MacBook (Late 2008 Aluminum)</t>
  </si>
  <si>
    <t>MOD-000086</t>
  </si>
  <si>
    <t>A1181</t>
  </si>
  <si>
    <t>MacBook (Original)</t>
  </si>
  <si>
    <t>MOD-000085</t>
  </si>
  <si>
    <t>tblCarrierLockStatus</t>
  </si>
  <si>
    <t>A2925</t>
  </si>
  <si>
    <t>iPad Pro 13-inch (M4)</t>
  </si>
  <si>
    <t>DF-005</t>
  </si>
  <si>
    <t>MOD-000084</t>
  </si>
  <si>
    <t>A2836</t>
  </si>
  <si>
    <t>iPad Pro 11-inch (M4)</t>
  </si>
  <si>
    <t>MOD-000083</t>
  </si>
  <si>
    <t>Mint Mobile</t>
  </si>
  <si>
    <t>CAR-000010</t>
  </si>
  <si>
    <t>A2764</t>
  </si>
  <si>
    <t>iPad Pro 12.9-inch (6th Generation)</t>
  </si>
  <si>
    <t>MOD-000082</t>
  </si>
  <si>
    <t>Spectrum Mobile</t>
  </si>
  <si>
    <t>CAR-000009</t>
  </si>
  <si>
    <t>A2759</t>
  </si>
  <si>
    <t>iPad Pro 11-inch (4th Generation)</t>
  </si>
  <si>
    <t>MOD-000081</t>
  </si>
  <si>
    <t>Xfinity Mobile</t>
  </si>
  <si>
    <t>CAR-000008</t>
  </si>
  <si>
    <t>A2378</t>
  </si>
  <si>
    <t>iPad Pro 12.9-inch (5th Generation)</t>
  </si>
  <si>
    <t>MOD-000080</t>
  </si>
  <si>
    <t>Google Fi</t>
  </si>
  <si>
    <t>CAR-000007</t>
  </si>
  <si>
    <t>A2377</t>
  </si>
  <si>
    <t>iPad Pro 11-inch (3rd Generation)</t>
  </si>
  <si>
    <t>MOD-000079</t>
  </si>
  <si>
    <t>Metro by T-Mobile</t>
  </si>
  <si>
    <t>CAR-000006</t>
  </si>
  <si>
    <t>A2229</t>
  </si>
  <si>
    <t>iPad Pro 12.9-inch (4th Generation)</t>
  </si>
  <si>
    <t>MOD-000078</t>
  </si>
  <si>
    <t>Boost Mobile</t>
  </si>
  <si>
    <t>CAR-000005</t>
  </si>
  <si>
    <t>A2228</t>
  </si>
  <si>
    <t>iPad Pro 11-inch (2nd Generation)</t>
  </si>
  <si>
    <t>MOD-000077</t>
  </si>
  <si>
    <t>US Cellular</t>
  </si>
  <si>
    <t>CAR-000004</t>
  </si>
  <si>
    <t>A1876</t>
  </si>
  <si>
    <t>iPad Pro 12.9-inch (3rd Generation)</t>
  </si>
  <si>
    <t>MOD-000076</t>
  </si>
  <si>
    <t>T-Mobile</t>
  </si>
  <si>
    <t>CAR-000003</t>
  </si>
  <si>
    <t>A1980</t>
  </si>
  <si>
    <t>iPad Pro 11-inch (1st Generation)</t>
  </si>
  <si>
    <t>MOD-000075</t>
  </si>
  <si>
    <t>Verizon</t>
  </si>
  <si>
    <t>CAR-000002</t>
  </si>
  <si>
    <t>A1670</t>
  </si>
  <si>
    <t>iPad Pro 12.9-inch (2nd Generation)</t>
  </si>
  <si>
    <t>MOD-000074</t>
  </si>
  <si>
    <t>AT&amp;T</t>
  </si>
  <si>
    <t>CAR-000001</t>
  </si>
  <si>
    <t>A1701</t>
  </si>
  <si>
    <t>iPad Pro 10.5-inch</t>
  </si>
  <si>
    <t>MOD-000073</t>
  </si>
  <si>
    <t>A1673</t>
  </si>
  <si>
    <t>iPad Pro 9.7-inch</t>
  </si>
  <si>
    <t>MOD-000072</t>
  </si>
  <si>
    <t>tblCarriers</t>
  </si>
  <si>
    <t>A1584</t>
  </si>
  <si>
    <t>iPad Pro 12.9-inch (1st Generation)</t>
  </si>
  <si>
    <t>MOD-000071</t>
  </si>
  <si>
    <t>A2898</t>
  </si>
  <si>
    <t>iPad Air 13-inch (M2)</t>
  </si>
  <si>
    <t>DF-003</t>
  </si>
  <si>
    <t>MOD-000070</t>
  </si>
  <si>
    <t>Lavender</t>
  </si>
  <si>
    <t>CLR-000016</t>
  </si>
  <si>
    <t>A2902</t>
  </si>
  <si>
    <t>iPad Air 11-inch (M2)</t>
  </si>
  <si>
    <t>MOD-000069</t>
  </si>
  <si>
    <t>Phantom Silver</t>
  </si>
  <si>
    <t>CLR-000015</t>
  </si>
  <si>
    <t>A2588</t>
  </si>
  <si>
    <t>iPad Air (5th Generation)</t>
  </si>
  <si>
    <t>MOD-000068</t>
  </si>
  <si>
    <t>Phantom Black</t>
  </si>
  <si>
    <t>CLR-000014</t>
  </si>
  <si>
    <t>A2316</t>
  </si>
  <si>
    <t>iPad Air (4th Generation)</t>
  </si>
  <si>
    <t>MOD-000067</t>
  </si>
  <si>
    <t>Desert Titanium</t>
  </si>
  <si>
    <t>CLR-000013</t>
  </si>
  <si>
    <t>A2152</t>
  </si>
  <si>
    <t>iPad Air (3rd Generation)</t>
  </si>
  <si>
    <t>MOD-000066</t>
  </si>
  <si>
    <t>Natural Titanium</t>
  </si>
  <si>
    <t>CLR-000012</t>
  </si>
  <si>
    <t>A1566</t>
  </si>
  <si>
    <t>iPad Air 2</t>
  </si>
  <si>
    <t>MOD-000065</t>
  </si>
  <si>
    <t>Deep Purple</t>
  </si>
  <si>
    <t>CLR-000011</t>
  </si>
  <si>
    <t>A1474</t>
  </si>
  <si>
    <t>iPad Air</t>
  </si>
  <si>
    <t>MOD-000064</t>
  </si>
  <si>
    <t>Pacific Blue</t>
  </si>
  <si>
    <t>CLR-000010</t>
  </si>
  <si>
    <t>A2567</t>
  </si>
  <si>
    <t>iPad mini (6th Generation)</t>
  </si>
  <si>
    <t>DF-004</t>
  </si>
  <si>
    <t>MOD-000063</t>
  </si>
  <si>
    <t>Sierra Blue</t>
  </si>
  <si>
    <t>CLR-000009</t>
  </si>
  <si>
    <t>A2133</t>
  </si>
  <si>
    <t>iPad mini (5th Generation)</t>
  </si>
  <si>
    <t>MOD-000062</t>
  </si>
  <si>
    <t>Rose Gold</t>
  </si>
  <si>
    <t>CLR-000008</t>
  </si>
  <si>
    <t>A1538</t>
  </si>
  <si>
    <t>iPad mini 4</t>
  </si>
  <si>
    <t>MOD-000061</t>
  </si>
  <si>
    <t>Gold</t>
  </si>
  <si>
    <t>CLR-000007</t>
  </si>
  <si>
    <t>A1599</t>
  </si>
  <si>
    <t>iPad mini 3</t>
  </si>
  <si>
    <t>MOD-000060</t>
  </si>
  <si>
    <t>Silver</t>
  </si>
  <si>
    <t>CLR-000006</t>
  </si>
  <si>
    <t>A1489</t>
  </si>
  <si>
    <t>iPad mini 2</t>
  </si>
  <si>
    <t>MOD-000059</t>
  </si>
  <si>
    <t>Space Gray</t>
  </si>
  <si>
    <t>CLR-000005</t>
  </si>
  <si>
    <t>A1432</t>
  </si>
  <si>
    <t>iPad mini</t>
  </si>
  <si>
    <t>MOD-000058</t>
  </si>
  <si>
    <t>Space Black</t>
  </si>
  <si>
    <t>CLR-000004</t>
  </si>
  <si>
    <t>A2696</t>
  </si>
  <si>
    <t>iPad (10th Generation)</t>
  </si>
  <si>
    <t>DF-002</t>
  </si>
  <si>
    <t>MOD-000057</t>
  </si>
  <si>
    <t>Midnight</t>
  </si>
  <si>
    <t>CLR-000003</t>
  </si>
  <si>
    <t>A2602</t>
  </si>
  <si>
    <t>iPad (9th Generation)</t>
  </si>
  <si>
    <t>MOD-000056</t>
  </si>
  <si>
    <t>White</t>
  </si>
  <si>
    <t>CLR-000002</t>
  </si>
  <si>
    <t>A2270</t>
  </si>
  <si>
    <t>iPad (8th Generation)</t>
  </si>
  <si>
    <t>MOD-000055</t>
  </si>
  <si>
    <t>Black</t>
  </si>
  <si>
    <t>CLR-000001</t>
  </si>
  <si>
    <t>A2197</t>
  </si>
  <si>
    <t>iPad (7th Generation)</t>
  </si>
  <si>
    <t>MOD-000054</t>
  </si>
  <si>
    <t>A1893</t>
  </si>
  <si>
    <t>iPad (6th Generation)</t>
  </si>
  <si>
    <t>MOD-000053</t>
  </si>
  <si>
    <t>tblDeviceColors</t>
  </si>
  <si>
    <t>A1822</t>
  </si>
  <si>
    <t>iPad (5th Generation)</t>
  </si>
  <si>
    <t>MOD-000052</t>
  </si>
  <si>
    <t>A1458</t>
  </si>
  <si>
    <t>iPad (4th Generation)</t>
  </si>
  <si>
    <t>MOD-000051</t>
  </si>
  <si>
    <t>Nintendo</t>
  </si>
  <si>
    <t>Switch</t>
  </si>
  <si>
    <t>DF-000013</t>
  </si>
  <si>
    <t>A1416</t>
  </si>
  <si>
    <t>iPad (3rd Generation)</t>
  </si>
  <si>
    <t>MOD-000050</t>
  </si>
  <si>
    <t>Microsoft</t>
  </si>
  <si>
    <t>Xbox</t>
  </si>
  <si>
    <t>DF-000012</t>
  </si>
  <si>
    <t>A1395</t>
  </si>
  <si>
    <t>iPad 2</t>
  </si>
  <si>
    <t>MOD-000049</t>
  </si>
  <si>
    <t>PlayStation</t>
  </si>
  <si>
    <t>DF-000011</t>
  </si>
  <si>
    <t>A1219</t>
  </si>
  <si>
    <t>iPad (1st Generation)</t>
  </si>
  <si>
    <t>MOD-000048</t>
  </si>
  <si>
    <t>Latitude</t>
  </si>
  <si>
    <t>DF-000010</t>
  </si>
  <si>
    <t>A3409</t>
  </si>
  <si>
    <t>iPhone 16e</t>
  </si>
  <si>
    <t>DF-001</t>
  </si>
  <si>
    <t>MOD-000047</t>
  </si>
  <si>
    <t>Inspiron</t>
  </si>
  <si>
    <t>DF-000009</t>
  </si>
  <si>
    <t>A3295</t>
  </si>
  <si>
    <t>iPhone 16 Pro Max</t>
  </si>
  <si>
    <t>MOD-000046</t>
  </si>
  <si>
    <t>Surface</t>
  </si>
  <si>
    <t>DF-000008</t>
  </si>
  <si>
    <t>A3293</t>
  </si>
  <si>
    <t>iPhone 16 Pro</t>
  </si>
  <si>
    <t>MOD-000045</t>
  </si>
  <si>
    <t>DF-000007</t>
  </si>
  <si>
    <t>A3288</t>
  </si>
  <si>
    <t>iPhone 16 Plus</t>
  </si>
  <si>
    <t>MOD-000044</t>
  </si>
  <si>
    <t>Galaxy A</t>
  </si>
  <si>
    <t>DF-000006</t>
  </si>
  <si>
    <t>A3287</t>
  </si>
  <si>
    <t>iPhone 16</t>
  </si>
  <si>
    <t>MOD-000043</t>
  </si>
  <si>
    <t>DF-000005</t>
  </si>
  <si>
    <t>A2849</t>
  </si>
  <si>
    <t>iPhone 15 Pro Max</t>
  </si>
  <si>
    <t>MOD-000042</t>
  </si>
  <si>
    <t>DF-000004</t>
  </si>
  <si>
    <t>A2848</t>
  </si>
  <si>
    <t>iPhone 15 Pro</t>
  </si>
  <si>
    <t>MOD-000041</t>
  </si>
  <si>
    <t>MacBook</t>
  </si>
  <si>
    <t>DF-000003</t>
  </si>
  <si>
    <t>A2847</t>
  </si>
  <si>
    <t>iPhone 15 Plus</t>
  </si>
  <si>
    <t>MOD-000040</t>
  </si>
  <si>
    <t>iPad</t>
  </si>
  <si>
    <t>DF-000002</t>
  </si>
  <si>
    <t>A2846</t>
  </si>
  <si>
    <t>iPhone 15</t>
  </si>
  <si>
    <t>MOD-000039</t>
  </si>
  <si>
    <t>iPhone</t>
  </si>
  <si>
    <t>DF-000001</t>
  </si>
  <si>
    <t>A2651</t>
  </si>
  <si>
    <t>iPhone 14 Pro Max</t>
  </si>
  <si>
    <t>MOD-000038</t>
  </si>
  <si>
    <t>IsActive</t>
  </si>
  <si>
    <t>Sort Order</t>
  </si>
  <si>
    <t>DeviceFamilyID</t>
  </si>
  <si>
    <t>A2650</t>
  </si>
  <si>
    <t>iPhone 14 Pro</t>
  </si>
  <si>
    <t>MOD-000037</t>
  </si>
  <si>
    <t>tblDeviceFamilies</t>
  </si>
  <si>
    <t>A2632</t>
  </si>
  <si>
    <t>iPhone 14 Plus</t>
  </si>
  <si>
    <t>MOD-000036</t>
  </si>
  <si>
    <t>A2649</t>
  </si>
  <si>
    <t>iPhone 14</t>
  </si>
  <si>
    <t>MOD-000035</t>
  </si>
  <si>
    <t>Drones</t>
  </si>
  <si>
    <t>DJI</t>
  </si>
  <si>
    <t>MFG-000020</t>
  </si>
  <si>
    <t>A2595</t>
  </si>
  <si>
    <t>iPhone SE (3rd Generation)</t>
  </si>
  <si>
    <t>MOD-000034</t>
  </si>
  <si>
    <t>Quest VR</t>
  </si>
  <si>
    <t>Meta</t>
  </si>
  <si>
    <t>MFG-000019</t>
  </si>
  <si>
    <t>A2484</t>
  </si>
  <si>
    <t>iPhone 13 Pro Max</t>
  </si>
  <si>
    <t>MOD-000033</t>
  </si>
  <si>
    <t>Microsoft Xbox</t>
  </si>
  <si>
    <t>MFG-000018</t>
  </si>
  <si>
    <t>A2483</t>
  </si>
  <si>
    <t>iPhone 13 Pro</t>
  </si>
  <si>
    <t>MOD-000032</t>
  </si>
  <si>
    <t>Sony PlayStation</t>
  </si>
  <si>
    <t>MFG-000017</t>
  </si>
  <si>
    <t>A2482</t>
  </si>
  <si>
    <t>iPhone 13</t>
  </si>
  <si>
    <t>MOD-000031</t>
  </si>
  <si>
    <t>MFG-000016</t>
  </si>
  <si>
    <t>A2481</t>
  </si>
  <si>
    <t>iPhone 13 mini</t>
  </si>
  <si>
    <t>MOD-000030</t>
  </si>
  <si>
    <t>MSI</t>
  </si>
  <si>
    <t>MFG-000015</t>
  </si>
  <si>
    <t>A2342</t>
  </si>
  <si>
    <t>iPhone 12 Pro Max</t>
  </si>
  <si>
    <t>MOD-000029</t>
  </si>
  <si>
    <t>Acer</t>
  </si>
  <si>
    <t>MFG-000014</t>
  </si>
  <si>
    <t>A2341</t>
  </si>
  <si>
    <t>iPhone 12 Pro</t>
  </si>
  <si>
    <t>MOD-000028</t>
  </si>
  <si>
    <t>MFG-000013</t>
  </si>
  <si>
    <t>A2172</t>
  </si>
  <si>
    <t>iPhone 12</t>
  </si>
  <si>
    <t>MOD-000027</t>
  </si>
  <si>
    <t>MFG-000012</t>
  </si>
  <si>
    <t>A2176</t>
  </si>
  <si>
    <t>iPhone 12 mini</t>
  </si>
  <si>
    <t>MOD-000026</t>
  </si>
  <si>
    <t>Hewlett-Packard</t>
  </si>
  <si>
    <t>MFG-000011</t>
  </si>
  <si>
    <t>A2275</t>
  </si>
  <si>
    <t>iPhone SE (2nd Generation)</t>
  </si>
  <si>
    <t>MOD-000025</t>
  </si>
  <si>
    <t>Dell Technologies</t>
  </si>
  <si>
    <t>MFG-000010</t>
  </si>
  <si>
    <t>A2161</t>
  </si>
  <si>
    <t>iPhone 11 Pro Max</t>
  </si>
  <si>
    <t>MOD-000024</t>
  </si>
  <si>
    <t>Surface devices</t>
  </si>
  <si>
    <t>MFG-000009</t>
  </si>
  <si>
    <t>A2160</t>
  </si>
  <si>
    <t>iPhone 11 Pro</t>
  </si>
  <si>
    <t>MOD-000023</t>
  </si>
  <si>
    <t>Nokia/HMD</t>
  </si>
  <si>
    <t>Nokia</t>
  </si>
  <si>
    <t>MFG-000008</t>
  </si>
  <si>
    <t>A2111</t>
  </si>
  <si>
    <t>iPhone 11</t>
  </si>
  <si>
    <t>MOD-000022</t>
  </si>
  <si>
    <t>Sony Mobile</t>
  </si>
  <si>
    <t>MFG-000007</t>
  </si>
  <si>
    <t>A1921</t>
  </si>
  <si>
    <t>iPhone XS Max</t>
  </si>
  <si>
    <t>MOD-000021</t>
  </si>
  <si>
    <t>LG Electronics</t>
  </si>
  <si>
    <t>MFG-000006</t>
  </si>
  <si>
    <t>A1920</t>
  </si>
  <si>
    <t>iPhone XS</t>
  </si>
  <si>
    <t>MOD-000020</t>
  </si>
  <si>
    <t>MFG-000005</t>
  </si>
  <si>
    <t>A1984</t>
  </si>
  <si>
    <t>iPhone XR</t>
  </si>
  <si>
    <t>MOD-000019</t>
  </si>
  <si>
    <t>Motorola Mobility</t>
  </si>
  <si>
    <t>MFG-000004</t>
  </si>
  <si>
    <t>A1865</t>
  </si>
  <si>
    <t>iPhone X</t>
  </si>
  <si>
    <t>MOD-000018</t>
  </si>
  <si>
    <t>Pixel devices</t>
  </si>
  <si>
    <t>MFG-000003</t>
  </si>
  <si>
    <t>A1864</t>
  </si>
  <si>
    <t>iPhone 8 Plus</t>
  </si>
  <si>
    <t>MOD-000017</t>
  </si>
  <si>
    <t>Samsung Electronics</t>
  </si>
  <si>
    <t>MFG-000002</t>
  </si>
  <si>
    <t>A1863</t>
  </si>
  <si>
    <t>iPhone 8</t>
  </si>
  <si>
    <t>MOD-000016</t>
  </si>
  <si>
    <t>Apple Inc.</t>
  </si>
  <si>
    <t>MFG-000001</t>
  </si>
  <si>
    <t>A1661</t>
  </si>
  <si>
    <t>iPhone 7 Plus</t>
  </si>
  <si>
    <t>MOD-000015</t>
  </si>
  <si>
    <t>ManufacturerID</t>
  </si>
  <si>
    <t>A1660</t>
  </si>
  <si>
    <t>iPhone 7</t>
  </si>
  <si>
    <t>MOD-000014</t>
  </si>
  <si>
    <t>tblManufacturers</t>
  </si>
  <si>
    <t>A1662</t>
  </si>
  <si>
    <t>iPhone SE (1st Gen)</t>
  </si>
  <si>
    <t>MOD-000013</t>
  </si>
  <si>
    <t>A1634</t>
  </si>
  <si>
    <t>iPhone 6s Plus</t>
  </si>
  <si>
    <t>MOD-000012</t>
  </si>
  <si>
    <t>Miscellaneous devices</t>
  </si>
  <si>
    <t>Other</t>
  </si>
  <si>
    <t>DT-000012</t>
  </si>
  <si>
    <t>A1633</t>
  </si>
  <si>
    <t>iPhone 6s</t>
  </si>
  <si>
    <t>MOD-000011</t>
  </si>
  <si>
    <t>Fire Stick, Chromecast</t>
  </si>
  <si>
    <t>Streaming Device</t>
  </si>
  <si>
    <t>DT-000011</t>
  </si>
  <si>
    <t>A1522</t>
  </si>
  <si>
    <t>iPhone 6 Plus</t>
  </si>
  <si>
    <t>MOD-000010</t>
  </si>
  <si>
    <t>Apple TV, Roku, etc.</t>
  </si>
  <si>
    <t>Media Player</t>
  </si>
  <si>
    <t>DT-000010</t>
  </si>
  <si>
    <t>A1549</t>
  </si>
  <si>
    <t>iPhone 6</t>
  </si>
  <si>
    <t>MOD-000009</t>
  </si>
  <si>
    <t>Kindle, Nook, etc.</t>
  </si>
  <si>
    <t>E-Reader</t>
  </si>
  <si>
    <t>DT-000009</t>
  </si>
  <si>
    <t>A1533</t>
  </si>
  <si>
    <t>iPhone 5s</t>
  </si>
  <si>
    <t>MOD-000008</t>
  </si>
  <si>
    <t>Virtual reality devices</t>
  </si>
  <si>
    <t>VR Headset</t>
  </si>
  <si>
    <t>DT-000008</t>
  </si>
  <si>
    <t>A1532</t>
  </si>
  <si>
    <t>iPhone 5c</t>
  </si>
  <si>
    <t>MOD-000007</t>
  </si>
  <si>
    <t>Consumer drones</t>
  </si>
  <si>
    <t>Drone</t>
  </si>
  <si>
    <t>DT-000007</t>
  </si>
  <si>
    <t>A1428</t>
  </si>
  <si>
    <t>iPhone 5</t>
  </si>
  <si>
    <t>MOD-000006</t>
  </si>
  <si>
    <t>Wearable devices</t>
  </si>
  <si>
    <t>Smartwatch</t>
  </si>
  <si>
    <t>DT-000006</t>
  </si>
  <si>
    <t>A1387</t>
  </si>
  <si>
    <t>iPhone 4s</t>
  </si>
  <si>
    <t>MOD-000005</t>
  </si>
  <si>
    <t>Consoles</t>
  </si>
  <si>
    <t>Gaming Console</t>
  </si>
  <si>
    <t>DT-000005</t>
  </si>
  <si>
    <t>A1332</t>
  </si>
  <si>
    <t>iPhone 4</t>
  </si>
  <si>
    <t>MOD-000004</t>
  </si>
  <si>
    <t>Desktop computers</t>
  </si>
  <si>
    <t>Desktop</t>
  </si>
  <si>
    <t>DT-000004</t>
  </si>
  <si>
    <t>A1303</t>
  </si>
  <si>
    <t>iPhone 3GS</t>
  </si>
  <si>
    <t>MOD-000003</t>
  </si>
  <si>
    <t>Portable computers</t>
  </si>
  <si>
    <t>Laptop</t>
  </si>
  <si>
    <t>DT-000003</t>
  </si>
  <si>
    <t>A1241</t>
  </si>
  <si>
    <t>iPhone 3G</t>
  </si>
  <si>
    <t>MOD-000002</t>
  </si>
  <si>
    <t>Tablets and iPads</t>
  </si>
  <si>
    <t>Tablet</t>
  </si>
  <si>
    <t>DT-000002</t>
  </si>
  <si>
    <t>A1203</t>
  </si>
  <si>
    <t>iPhone (2G)</t>
  </si>
  <si>
    <t>MOD-000001</t>
  </si>
  <si>
    <t>Mobile phones</t>
  </si>
  <si>
    <t>Smartphone</t>
  </si>
  <si>
    <t>DT-000001</t>
  </si>
  <si>
    <t>SortOrder</t>
  </si>
  <si>
    <t>ReleaseYear</t>
  </si>
  <si>
    <t>Manufacturer Model</t>
  </si>
  <si>
    <t>ModelName</t>
  </si>
  <si>
    <t>DeviceTypeID</t>
  </si>
  <si>
    <t>ModelID</t>
  </si>
  <si>
    <t>tblDeviceModel</t>
  </si>
  <si>
    <t>tblDeviceTypes</t>
  </si>
  <si>
    <t>-------------------------------------------------------------------------------------------------------------------------------------</t>
  </si>
  <si>
    <t>DEVICE LOOKUPS</t>
  </si>
  <si>
    <t>Historical record</t>
  </si>
  <si>
    <t>Archived</t>
  </si>
  <si>
    <t>CST-000006</t>
  </si>
  <si>
    <t>Service temporarily suspended</t>
  </si>
  <si>
    <t>Suspended</t>
  </si>
  <si>
    <t>CST-000005</t>
  </si>
  <si>
    <t>Preferred customer</t>
  </si>
  <si>
    <t>VIP</t>
  </si>
  <si>
    <t>CST-000004</t>
  </si>
  <si>
    <t>Potential customer</t>
  </si>
  <si>
    <t>Prospect</t>
  </si>
  <si>
    <t>CST-000003</t>
  </si>
  <si>
    <t>No recent activity</t>
  </si>
  <si>
    <t>CST-000002</t>
  </si>
  <si>
    <t>Active customer</t>
  </si>
  <si>
    <t>CST-000001</t>
  </si>
  <si>
    <t>Status</t>
  </si>
  <si>
    <t>CustomerStatusID</t>
  </si>
  <si>
    <t>tblCustomerStatus</t>
  </si>
  <si>
    <t>Any available method</t>
  </si>
  <si>
    <t>No Preference</t>
  </si>
  <si>
    <t>PCM-000005</t>
  </si>
  <si>
    <t>Future customer portal</t>
  </si>
  <si>
    <t>Customer Portal</t>
  </si>
  <si>
    <t>PCM-000004</t>
  </si>
  <si>
    <t>Email communication</t>
  </si>
  <si>
    <t>Email</t>
  </si>
  <si>
    <t>PCM-000003</t>
  </si>
  <si>
    <t>SMS</t>
  </si>
  <si>
    <t>Text Message</t>
  </si>
  <si>
    <t>PCM-000002</t>
  </si>
  <si>
    <t>Voice call</t>
  </si>
  <si>
    <t>Phone Call</t>
  </si>
  <si>
    <t>PCM-000001</t>
  </si>
  <si>
    <t>Countries, states, time zones</t>
  </si>
  <si>
    <t>Geographic</t>
  </si>
  <si>
    <t>LKG-000009</t>
  </si>
  <si>
    <t>Contact Method</t>
  </si>
  <si>
    <t>PreferredContactMethodID</t>
  </si>
  <si>
    <t>Employee reference tables</t>
  </si>
  <si>
    <t>Employee</t>
  </si>
  <si>
    <t>LKG-000008</t>
  </si>
  <si>
    <t>tblPreferredContactMethods</t>
  </si>
  <si>
    <t>Parts, suppliers, inventory</t>
  </si>
  <si>
    <t>LKG-000007</t>
  </si>
  <si>
    <t>Financial reference tables</t>
  </si>
  <si>
    <t>Finance</t>
  </si>
  <si>
    <t>LKG-000006</t>
  </si>
  <si>
    <t>Internal testing/customer account</t>
  </si>
  <si>
    <t>Internal</t>
  </si>
  <si>
    <t>CTY-000006</t>
  </si>
  <si>
    <t>Service-related reference tables</t>
  </si>
  <si>
    <t>Services</t>
  </si>
  <si>
    <t>LKG-000005</t>
  </si>
  <si>
    <t>Non-profit organization</t>
  </si>
  <si>
    <t>Non-Profit</t>
  </si>
  <si>
    <t>CTY-000005</t>
  </si>
  <si>
    <t>Repair workflow reference tables</t>
  </si>
  <si>
    <t>Repair</t>
  </si>
  <si>
    <t>LKG-000004</t>
  </si>
  <si>
    <t>School or university</t>
  </si>
  <si>
    <t>Educational</t>
  </si>
  <si>
    <t>CTY-000004</t>
  </si>
  <si>
    <t>Device reference tables</t>
  </si>
  <si>
    <t>Device</t>
  </si>
  <si>
    <t>LKG-000003</t>
  </si>
  <si>
    <t>Government agency</t>
  </si>
  <si>
    <t>Government</t>
  </si>
  <si>
    <t>CTY-000003</t>
  </si>
  <si>
    <t>Customer-related lookup tables</t>
  </si>
  <si>
    <t>Customer</t>
  </si>
  <si>
    <t>LKG-000002</t>
  </si>
  <si>
    <t>Commercial customer</t>
  </si>
  <si>
    <t>Business</t>
  </si>
  <si>
    <t>CTY-000002</t>
  </si>
  <si>
    <t>System reference tables</t>
  </si>
  <si>
    <t>General</t>
  </si>
  <si>
    <t>LKG-000001</t>
  </si>
  <si>
    <t>Residential customer</t>
  </si>
  <si>
    <t>Individual</t>
  </si>
  <si>
    <t>CTY-000001</t>
  </si>
  <si>
    <t>GroupName</t>
  </si>
  <si>
    <t>LookupGroupID</t>
  </si>
  <si>
    <t>Customer Type</t>
  </si>
  <si>
    <t>CustomerTypeID</t>
  </si>
  <si>
    <t>tblLookupGroups</t>
  </si>
  <si>
    <t>tblCustomerTypes</t>
  </si>
  <si>
    <t>Time zone reference</t>
  </si>
  <si>
    <t>TMZ</t>
  </si>
  <si>
    <t>TimeZoneID</t>
  </si>
  <si>
    <t>Time Zones</t>
  </si>
  <si>
    <t>LKC-000056</t>
  </si>
  <si>
    <t>States and provinces</t>
  </si>
  <si>
    <t>STA</t>
  </si>
  <si>
    <t>StateProvinceID</t>
  </si>
  <si>
    <t>States &amp; Provinces</t>
  </si>
  <si>
    <t>LKC-000055</t>
  </si>
  <si>
    <t>Country reference list</t>
  </si>
  <si>
    <t>CNT</t>
  </si>
  <si>
    <t>CountryID</t>
  </si>
  <si>
    <t>Country</t>
  </si>
  <si>
    <t>LKC-000054</t>
  </si>
  <si>
    <t>Employee status</t>
  </si>
  <si>
    <t>EMP</t>
  </si>
  <si>
    <t>EmployeeStatusID</t>
  </si>
  <si>
    <t>Employee Status</t>
  </si>
  <si>
    <t>LKC-000053</t>
  </si>
  <si>
    <t>Employee roles</t>
  </si>
  <si>
    <t>ROL</t>
  </si>
  <si>
    <t>EmployeeRoleID</t>
  </si>
  <si>
    <t>Employee Roles</t>
  </si>
  <si>
    <t>LKC-000052</t>
  </si>
  <si>
    <t>No</t>
  </si>
  <si>
    <t>Storage locations</t>
  </si>
  <si>
    <t>LOC</t>
  </si>
  <si>
    <t>InventoryLocationID</t>
  </si>
  <si>
    <t>Inventory Locations</t>
  </si>
  <si>
    <t>LKC-000051</t>
  </si>
  <si>
    <t>Inventory state</t>
  </si>
  <si>
    <t>IST</t>
  </si>
  <si>
    <t>InventoryStatusID</t>
  </si>
  <si>
    <t>Inventory Status</t>
  </si>
  <si>
    <t>LKC-000050</t>
  </si>
  <si>
    <t>Vendors supplying parts</t>
  </si>
  <si>
    <t>PSL</t>
  </si>
  <si>
    <t>PartSupplierID</t>
  </si>
  <si>
    <t>Part Suppliers</t>
  </si>
  <si>
    <t>LKC-000049</t>
  </si>
  <si>
    <t>Component manufacturers</t>
  </si>
  <si>
    <t>PMF</t>
  </si>
  <si>
    <t>PartManufacturerID</t>
  </si>
  <si>
    <t>Part Manufacturers</t>
  </si>
  <si>
    <t>LKC-000048</t>
  </si>
  <si>
    <t>New, used, refurbished</t>
  </si>
  <si>
    <t>PCN</t>
  </si>
  <si>
    <t>PartConditionID</t>
  </si>
  <si>
    <t>Part Conditions</t>
  </si>
  <si>
    <t>LKC-000047</t>
  </si>
  <si>
    <t>Types of parts</t>
  </si>
  <si>
    <t>PTY</t>
  </si>
  <si>
    <t>PartTypeID</t>
  </si>
  <si>
    <t>Part Types</t>
  </si>
  <si>
    <t>LKC-000046</t>
  </si>
  <si>
    <t>Part classifications</t>
  </si>
  <si>
    <t>PCT</t>
  </si>
  <si>
    <t>PartCategoryID</t>
  </si>
  <si>
    <t>Part Categories</t>
  </si>
  <si>
    <t>LKC-000045</t>
  </si>
  <si>
    <t>Shipment workflow</t>
  </si>
  <si>
    <t>SHS</t>
  </si>
  <si>
    <t>ShippingStatusID</t>
  </si>
  <si>
    <t>Shipping Status</t>
  </si>
  <si>
    <t>LKC-000044</t>
  </si>
  <si>
    <t>Shipping methods</t>
  </si>
  <si>
    <t>SHP</t>
  </si>
  <si>
    <t>ShippingMethodID</t>
  </si>
  <si>
    <t>Shipping Methods</t>
  </si>
  <si>
    <t>LKC-000043</t>
  </si>
  <si>
    <t>Warranty options</t>
  </si>
  <si>
    <t>WAR</t>
  </si>
  <si>
    <t>WarrantyTypeID</t>
  </si>
  <si>
    <t>Warranty Types</t>
  </si>
  <si>
    <t>LKC-000042</t>
  </si>
  <si>
    <t>Tax rules</t>
  </si>
  <si>
    <t>TAX</t>
  </si>
  <si>
    <t>TaxCategoryID</t>
  </si>
  <si>
    <t>Tax Categories</t>
  </si>
  <si>
    <t>tblTaxCategories</t>
  </si>
  <si>
    <t>LKC-000041</t>
  </si>
  <si>
    <t>Estimate workflow</t>
  </si>
  <si>
    <t>EST</t>
  </si>
  <si>
    <t>EstimateStatusID</t>
  </si>
  <si>
    <t>Estimate Status</t>
  </si>
  <si>
    <t>tblEstimateStatus</t>
  </si>
  <si>
    <t>LKC-000040</t>
  </si>
  <si>
    <t>Invoice lifecycle</t>
  </si>
  <si>
    <t>INVS</t>
  </si>
  <si>
    <t>InvoiceStatusID</t>
  </si>
  <si>
    <t>Invoice Status</t>
  </si>
  <si>
    <t>tblInvoiceStatus</t>
  </si>
  <si>
    <t>LKC-000039</t>
  </si>
  <si>
    <t>Payment workflow</t>
  </si>
  <si>
    <t>PYS</t>
  </si>
  <si>
    <t>PaymentStatusID</t>
  </si>
  <si>
    <t>Payment Status</t>
  </si>
  <si>
    <t>LKC-000038</t>
  </si>
  <si>
    <t>Accepted payment methods</t>
  </si>
  <si>
    <t>PAY</t>
  </si>
  <si>
    <t>PaymentMethodID</t>
  </si>
  <si>
    <t>Payment Methods</t>
  </si>
  <si>
    <t>LKC-000037</t>
  </si>
  <si>
    <t>Service groupings</t>
  </si>
  <si>
    <t>SVC</t>
  </si>
  <si>
    <t>ServiceCategoryID</t>
  </si>
  <si>
    <t>Service Categories</t>
  </si>
  <si>
    <t>tblServiceCategories</t>
  </si>
  <si>
    <t>LKC-000036</t>
  </si>
  <si>
    <t>Test pass/fail results</t>
  </si>
  <si>
    <t>TST</t>
  </si>
  <si>
    <t>TestResultID</t>
  </si>
  <si>
    <t>Test Results</t>
  </si>
  <si>
    <t>tblTestResults</t>
  </si>
  <si>
    <t>LKC-000035</t>
  </si>
  <si>
    <t>Quality control results</t>
  </si>
  <si>
    <t>QCS</t>
  </si>
  <si>
    <t>QCStatusID</t>
  </si>
  <si>
    <t>QC Status</t>
  </si>
  <si>
    <t>tblQCStatus</t>
  </si>
  <si>
    <t>LKC-000034</t>
  </si>
  <si>
    <t>Internal or customer visibility</t>
  </si>
  <si>
    <t>NVS</t>
  </si>
  <si>
    <t>NoteVisibilityID</t>
  </si>
  <si>
    <t>Note Visibility</t>
  </si>
  <si>
    <t>tblNoteVisibility</t>
  </si>
  <si>
    <t>LKC-000033</t>
  </si>
  <si>
    <t>Repair note categories</t>
  </si>
  <si>
    <t>NTE</t>
  </si>
  <si>
    <t>NoteTypeID</t>
  </si>
  <si>
    <t>Note Types</t>
  </si>
  <si>
    <t>tblNoteTypes</t>
  </si>
  <si>
    <t>LKC-000032</t>
  </si>
  <si>
    <t>Diagnostic outcomes</t>
  </si>
  <si>
    <t>DGN</t>
  </si>
  <si>
    <t>DiagnosticResultID</t>
  </si>
  <si>
    <t>Diagnostic Results</t>
  </si>
  <si>
    <t>LKC-000031</t>
  </si>
  <si>
    <t>Diagnostic categories</t>
  </si>
  <si>
    <t>DGT</t>
  </si>
  <si>
    <t>DiagnosticTypeID</t>
  </si>
  <si>
    <t>Diagnostic Types</t>
  </si>
  <si>
    <t>tblDiagnosticTypes</t>
  </si>
  <si>
    <t>LKC-000030</t>
  </si>
  <si>
    <t>Repair difficulty levels</t>
  </si>
  <si>
    <t>RCM</t>
  </si>
  <si>
    <t>RepairComplexityID</t>
  </si>
  <si>
    <t>LKC-000029</t>
  </si>
  <si>
    <t>Final repair results</t>
  </si>
  <si>
    <t>ROT</t>
  </si>
  <si>
    <t>RepairOutcomeID</t>
  </si>
  <si>
    <t>Repair Outcomes</t>
  </si>
  <si>
    <t>LKC-000028</t>
  </si>
  <si>
    <t>Repair urgency</t>
  </si>
  <si>
    <t>RPY</t>
  </si>
  <si>
    <t>RepairPriorityID</t>
  </si>
  <si>
    <t>Repair Priorities</t>
  </si>
  <si>
    <t>LKC-000027</t>
  </si>
  <si>
    <t>Repair workflow status</t>
  </si>
  <si>
    <t>RST</t>
  </si>
  <si>
    <t>RepairStatusID</t>
  </si>
  <si>
    <t>Repair Status</t>
  </si>
  <si>
    <t>LKC-000026</t>
  </si>
  <si>
    <t>Repair services</t>
  </si>
  <si>
    <t>RTP</t>
  </si>
  <si>
    <t>RepairTypeID</t>
  </si>
  <si>
    <t>Repair Types</t>
  </si>
  <si>
    <t>LKC-000025</t>
  </si>
  <si>
    <t>Repair classifications</t>
  </si>
  <si>
    <t>RCT</t>
  </si>
  <si>
    <t>RepairCategoryID</t>
  </si>
  <si>
    <t>Repair Categories</t>
  </si>
  <si>
    <t>LKC-000024</t>
  </si>
  <si>
    <t>Device lifecycle status</t>
  </si>
  <si>
    <t>DST</t>
  </si>
  <si>
    <t>DeviceStatusID</t>
  </si>
  <si>
    <t>Device Status</t>
  </si>
  <si>
    <t>LKC-000023</t>
  </si>
  <si>
    <t>Device repairability scale</t>
  </si>
  <si>
    <t>RPR</t>
  </si>
  <si>
    <t>RepairabilityRatingID</t>
  </si>
  <si>
    <t>Repairability Ratings</t>
  </si>
  <si>
    <t>LKC-000022</t>
  </si>
  <si>
    <t>Device market regions</t>
  </si>
  <si>
    <t>REG</t>
  </si>
  <si>
    <t>MarketRegionID</t>
  </si>
  <si>
    <t>Market Regions</t>
  </si>
  <si>
    <t>LKC-000021</t>
  </si>
  <si>
    <t>Mobile carriers</t>
  </si>
  <si>
    <t>CAR</t>
  </si>
  <si>
    <t>CarrierID</t>
  </si>
  <si>
    <t>Carriers</t>
  </si>
  <si>
    <t>LKC-000020</t>
  </si>
  <si>
    <t>Device lock status</t>
  </si>
  <si>
    <t>LCK</t>
  </si>
  <si>
    <t>CarrierLockStatusID</t>
  </si>
  <si>
    <t>Carrier Lock Status</t>
  </si>
  <si>
    <t>LKC-000019</t>
  </si>
  <si>
    <t>IP ratings</t>
  </si>
  <si>
    <t>WTR</t>
  </si>
  <si>
    <t>WaterResistanceRatingID</t>
  </si>
  <si>
    <t>Water Resistance Ratings</t>
  </si>
  <si>
    <t>LKC-000018</t>
  </si>
  <si>
    <t>Display refresh rates</t>
  </si>
  <si>
    <t>REF</t>
  </si>
  <si>
    <t>RefreshRateID</t>
  </si>
  <si>
    <t>Refresh Rates</t>
  </si>
  <si>
    <t>LKC-000017</t>
  </si>
  <si>
    <t>Storage capacities</t>
  </si>
  <si>
    <t>STO</t>
  </si>
  <si>
    <t>StorageOptionID</t>
  </si>
  <si>
    <t>Storage Options</t>
  </si>
  <si>
    <t>LKC-000016</t>
  </si>
  <si>
    <t>Installed memory options</t>
  </si>
  <si>
    <t>MEM</t>
  </si>
  <si>
    <t>MemoryOptionID</t>
  </si>
  <si>
    <t>Memory Options</t>
  </si>
  <si>
    <t>LKC-000015</t>
  </si>
  <si>
    <t>CPU manufacturers</t>
  </si>
  <si>
    <t>CPU</t>
  </si>
  <si>
    <t>ProcessorManufacturerID</t>
  </si>
  <si>
    <t>Processor Manufacturers</t>
  </si>
  <si>
    <t>LKC-000014</t>
  </si>
  <si>
    <t>Display technologies</t>
  </si>
  <si>
    <t>SCT</t>
  </si>
  <si>
    <t>ScreenTechnologyID</t>
  </si>
  <si>
    <t>Screen Technologies</t>
  </si>
  <si>
    <t>LKC-000013</t>
  </si>
  <si>
    <t>Cellular network generations</t>
  </si>
  <si>
    <t>NET</t>
  </si>
  <si>
    <t>NetworkGenerationID</t>
  </si>
  <si>
    <t>Network Generations</t>
  </si>
  <si>
    <t>LKC-000012</t>
  </si>
  <si>
    <t>SIM card types</t>
  </si>
  <si>
    <t>SIM</t>
  </si>
  <si>
    <t>SIMTypeID</t>
  </si>
  <si>
    <t>SIM Types</t>
  </si>
  <si>
    <t>tblSIMTypes</t>
  </si>
  <si>
    <t>LKC-000011</t>
  </si>
  <si>
    <t>Charging connector types</t>
  </si>
  <si>
    <t>CHG</t>
  </si>
  <si>
    <t>Charging Types</t>
  </si>
  <si>
    <t>tblChargingTypes</t>
  </si>
  <si>
    <t>LKC-000010</t>
  </si>
  <si>
    <t>Supported operating systems</t>
  </si>
  <si>
    <t>OS</t>
  </si>
  <si>
    <t>Operating Systems</t>
  </si>
  <si>
    <t>LKC-000009</t>
  </si>
  <si>
    <t>Device color options</t>
  </si>
  <si>
    <t>CLR</t>
  </si>
  <si>
    <t>ColorID</t>
  </si>
  <si>
    <t>Device Colors</t>
  </si>
  <si>
    <t>LKC-000008</t>
  </si>
  <si>
    <t>Device models</t>
  </si>
  <si>
    <t>MOD</t>
  </si>
  <si>
    <t>Device Models</t>
  </si>
  <si>
    <t>tblDeviceModels</t>
  </si>
  <si>
    <t>LKC-000007</t>
  </si>
  <si>
    <t>Product families</t>
  </si>
  <si>
    <t>DF</t>
  </si>
  <si>
    <t>Device Families</t>
  </si>
  <si>
    <t>LKC-000006</t>
  </si>
  <si>
    <t>Device manufacturers</t>
  </si>
  <si>
    <t>MFG</t>
  </si>
  <si>
    <t>Manufacturers</t>
  </si>
  <si>
    <t>LKC-000005</t>
  </si>
  <si>
    <t>Device categories</t>
  </si>
  <si>
    <t>DT</t>
  </si>
  <si>
    <t>Device Types</t>
  </si>
  <si>
    <t>LKC-000004</t>
  </si>
  <si>
    <t>Customer account status</t>
  </si>
  <si>
    <t>CST</t>
  </si>
  <si>
    <t>Customer Status</t>
  </si>
  <si>
    <t>LKC-000003</t>
  </si>
  <si>
    <t>Customer contact methods</t>
  </si>
  <si>
    <t>PCM</t>
  </si>
  <si>
    <t>Preferred Contact Methods</t>
  </si>
  <si>
    <t>LKC-000002</t>
  </si>
  <si>
    <t>Customer classifications</t>
  </si>
  <si>
    <t>CTY</t>
  </si>
  <si>
    <t>Customer Types</t>
  </si>
  <si>
    <t>LKC-000001</t>
  </si>
  <si>
    <t>LastReviewed</t>
  </si>
  <si>
    <t>TableExists</t>
  </si>
  <si>
    <t>IsSystemLookup</t>
  </si>
  <si>
    <t>PrimaryKeyPrefix</t>
  </si>
  <si>
    <t>PrimaryKeyField</t>
  </si>
  <si>
    <t>DisplayName</t>
  </si>
  <si>
    <t>LookupTableName</t>
  </si>
  <si>
    <t>LookupGroupName</t>
  </si>
  <si>
    <t>LookupCatalogID</t>
  </si>
  <si>
    <t>tblLookupCatalogID</t>
  </si>
  <si>
    <t>---------------------------------------------------------------------------------------------------------------------------------</t>
  </si>
  <si>
    <t>CUSTOMER LOOKUPS</t>
  </si>
  <si>
    <t>Enables/disables without deleting</t>
  </si>
  <si>
    <t>Controls display order</t>
  </si>
  <si>
    <t>Explains the value</t>
  </si>
  <si>
    <t>User-friendly value shown in dropdowns</t>
  </si>
  <si>
    <t>Display Value</t>
  </si>
  <si>
    <t>Unique lookup ID</t>
  </si>
  <si>
    <t>Primary Key</t>
  </si>
  <si>
    <t>Purpose</t>
  </si>
  <si>
    <t>Column</t>
  </si>
  <si>
    <t>Standards</t>
  </si>
  <si>
    <t>Nocturnix Lookup Lists</t>
  </si>
  <si>
    <t>Notes</t>
  </si>
  <si>
    <t>Last Modified</t>
  </si>
  <si>
    <t>Date Created</t>
  </si>
  <si>
    <t>Shipping Address</t>
  </si>
  <si>
    <t>Billing Address</t>
  </si>
  <si>
    <t>Preferred Contact</t>
  </si>
  <si>
    <t>Work Phone</t>
  </si>
  <si>
    <t>Home Phone</t>
  </si>
  <si>
    <t>Mobile Phone</t>
  </si>
  <si>
    <t>Business Name</t>
  </si>
  <si>
    <t>Last Name</t>
  </si>
  <si>
    <t>First Name</t>
  </si>
  <si>
    <t>Customer ID</t>
  </si>
  <si>
    <t>tblCustomers</t>
  </si>
  <si>
    <t>Phone</t>
  </si>
  <si>
    <t>LastName</t>
  </si>
  <si>
    <t>FirstName</t>
  </si>
  <si>
    <t>CustomerID</t>
  </si>
  <si>
    <t>tblCustomerAddress</t>
  </si>
  <si>
    <t>tblCustomerCommunications</t>
  </si>
  <si>
    <t>tblDiagnostics</t>
  </si>
  <si>
    <t>tblRepairNotes</t>
  </si>
  <si>
    <t>tblPartsUsed</t>
  </si>
  <si>
    <t>tblQualityControl</t>
  </si>
  <si>
    <t>tblRepairTimeline</t>
  </si>
  <si>
    <t>Device ID</t>
  </si>
  <si>
    <t>Manufacturer Code</t>
  </si>
  <si>
    <t>Device Family Code</t>
  </si>
  <si>
    <t>Device Model</t>
  </si>
  <si>
    <t>Model Number</t>
  </si>
  <si>
    <t>Release Year</t>
  </si>
  <si>
    <t>End of Support</t>
  </si>
  <si>
    <t>DEV000001</t>
  </si>
  <si>
    <t>APL</t>
  </si>
  <si>
    <t>PHN</t>
  </si>
  <si>
    <t>DEV000002</t>
  </si>
  <si>
    <t>DEV000003</t>
  </si>
  <si>
    <t>DEV000004</t>
  </si>
  <si>
    <t>DEV000005</t>
  </si>
  <si>
    <t>DEV000006</t>
  </si>
  <si>
    <t>DEV000007</t>
  </si>
  <si>
    <t>DEV000008</t>
  </si>
  <si>
    <t>DEV000009</t>
  </si>
  <si>
    <t>DEV000010</t>
  </si>
  <si>
    <t>DEV000011</t>
  </si>
  <si>
    <t>DEV000012</t>
  </si>
  <si>
    <t>DEV000013</t>
  </si>
  <si>
    <t>DEV000014</t>
  </si>
  <si>
    <t>DEV000015</t>
  </si>
  <si>
    <t>DEV000016</t>
  </si>
  <si>
    <t>DEV000017</t>
  </si>
  <si>
    <t>DEV000018</t>
  </si>
  <si>
    <t>DEV000019</t>
  </si>
  <si>
    <t>DEV000020</t>
  </si>
  <si>
    <t>DEV000021</t>
  </si>
  <si>
    <t>DEV000022</t>
  </si>
  <si>
    <t>DEV000023</t>
  </si>
  <si>
    <t>DEV000024</t>
  </si>
  <si>
    <t>DEV000025</t>
  </si>
  <si>
    <t>DEV000026</t>
  </si>
  <si>
    <t>DEV000027</t>
  </si>
  <si>
    <t>DEV000028</t>
  </si>
  <si>
    <t>DEV000029</t>
  </si>
  <si>
    <t>DEV000030</t>
  </si>
  <si>
    <t>DEV000031</t>
  </si>
  <si>
    <t>DEV000032</t>
  </si>
  <si>
    <t>DEV000033</t>
  </si>
  <si>
    <t>DEV000034</t>
  </si>
  <si>
    <t>DEV000035</t>
  </si>
  <si>
    <t>DEV000036</t>
  </si>
  <si>
    <t>DEV000037</t>
  </si>
  <si>
    <t>DEV000038</t>
  </si>
  <si>
    <t>DEV000039</t>
  </si>
  <si>
    <t>DEV000040</t>
  </si>
  <si>
    <t>DEV000041</t>
  </si>
  <si>
    <t>DEV000042</t>
  </si>
  <si>
    <t>DEV000043</t>
  </si>
  <si>
    <t>DEV000044</t>
  </si>
  <si>
    <t>DEV000045</t>
  </si>
  <si>
    <t>DEV000046</t>
  </si>
  <si>
    <t>DEV000047</t>
  </si>
  <si>
    <t>DEV000048</t>
  </si>
  <si>
    <t>ASU</t>
  </si>
  <si>
    <t>DEV000049</t>
  </si>
  <si>
    <t>DEV000050</t>
  </si>
  <si>
    <t>DEV000051</t>
  </si>
  <si>
    <t>DEV000052</t>
  </si>
  <si>
    <t>DEV000053</t>
  </si>
  <si>
    <t>DEV000054</t>
  </si>
  <si>
    <t>DEV000055</t>
  </si>
  <si>
    <t>DEV000056</t>
  </si>
  <si>
    <t>DEV000057</t>
  </si>
  <si>
    <t>DEV000058</t>
  </si>
  <si>
    <t>DEV000059</t>
  </si>
  <si>
    <t>DEV000060</t>
  </si>
  <si>
    <t>DEV000061</t>
  </si>
  <si>
    <t>DEV000062</t>
  </si>
  <si>
    <t>DEV000063</t>
  </si>
  <si>
    <t>DEV000064</t>
  </si>
  <si>
    <t>DEV000065</t>
  </si>
  <si>
    <t>DEV000066</t>
  </si>
  <si>
    <t>GOO</t>
  </si>
  <si>
    <t>DEV000067</t>
  </si>
  <si>
    <t>DEV000068</t>
  </si>
  <si>
    <t>DEV000069</t>
  </si>
  <si>
    <t>DEV000070</t>
  </si>
  <si>
    <t>DEV000071</t>
  </si>
  <si>
    <t>DEV000072</t>
  </si>
  <si>
    <t>DEV000073</t>
  </si>
  <si>
    <t>DEV000074</t>
  </si>
  <si>
    <t>DEV000075</t>
  </si>
  <si>
    <t>DEV000076</t>
  </si>
  <si>
    <t>DEV000077</t>
  </si>
  <si>
    <t>DEV000078</t>
  </si>
  <si>
    <t>DEV000079</t>
  </si>
  <si>
    <t>DEV000080</t>
  </si>
  <si>
    <t>DEV000081</t>
  </si>
  <si>
    <t>DEV000082</t>
  </si>
  <si>
    <t>DEV000083</t>
  </si>
  <si>
    <t>DEV000084</t>
  </si>
  <si>
    <t>DEV000085</t>
  </si>
  <si>
    <t>DEV000086</t>
  </si>
  <si>
    <t>DEV000087</t>
  </si>
  <si>
    <t>DEV000088</t>
  </si>
  <si>
    <t>DEV000089</t>
  </si>
  <si>
    <t>DEV000090</t>
  </si>
  <si>
    <t>DEV000091</t>
  </si>
  <si>
    <t>DEV000092</t>
  </si>
  <si>
    <t>DEV000093</t>
  </si>
  <si>
    <t>DEV000094</t>
  </si>
  <si>
    <t>DEV000095</t>
  </si>
  <si>
    <t>HMD</t>
  </si>
  <si>
    <t>DEV000096</t>
  </si>
  <si>
    <t>HON</t>
  </si>
  <si>
    <t>DEV000097</t>
  </si>
  <si>
    <t>DEV000098</t>
  </si>
  <si>
    <t>DEV000099</t>
  </si>
  <si>
    <t>DEV000100</t>
  </si>
  <si>
    <t>DEV000101</t>
  </si>
  <si>
    <t>DEV000102</t>
  </si>
  <si>
    <t>HUA</t>
  </si>
  <si>
    <t>DEV000103</t>
  </si>
  <si>
    <t>DEV000104</t>
  </si>
  <si>
    <t>DEV000105</t>
  </si>
  <si>
    <t>DEV000106</t>
  </si>
  <si>
    <t>DEV000107</t>
  </si>
  <si>
    <t>IQO</t>
  </si>
  <si>
    <t>DEV000108</t>
  </si>
  <si>
    <t xml:space="preserve">LGE </t>
  </si>
  <si>
    <t>DEV000109</t>
  </si>
  <si>
    <t>DEV000110</t>
  </si>
  <si>
    <t>DEV000111</t>
  </si>
  <si>
    <t>DEV000112</t>
  </si>
  <si>
    <t>DEV000113</t>
  </si>
  <si>
    <t>DEV000114</t>
  </si>
  <si>
    <t>DEV000115</t>
  </si>
  <si>
    <t>DEV000116</t>
  </si>
  <si>
    <t>DEV000117</t>
  </si>
  <si>
    <t>DEV000118</t>
  </si>
  <si>
    <t>DEV000119</t>
  </si>
  <si>
    <t>DEV000120</t>
  </si>
  <si>
    <t>DEV000121</t>
  </si>
  <si>
    <t>DEV000122</t>
  </si>
  <si>
    <t>DEV000123</t>
  </si>
  <si>
    <t>DEV000124</t>
  </si>
  <si>
    <t>DEV000125</t>
  </si>
  <si>
    <t>DEV000126</t>
  </si>
  <si>
    <t>DEV000127</t>
  </si>
  <si>
    <t>DEV000128</t>
  </si>
  <si>
    <t>MOT</t>
  </si>
  <si>
    <t>DEV000129</t>
  </si>
  <si>
    <t>DEV000130</t>
  </si>
  <si>
    <t>DEV000131</t>
  </si>
  <si>
    <t>DEV000132</t>
  </si>
  <si>
    <t>DEV000133</t>
  </si>
  <si>
    <t>DEV000134</t>
  </si>
  <si>
    <t>DEV000135</t>
  </si>
  <si>
    <t>DEV000136</t>
  </si>
  <si>
    <t>DEV000137</t>
  </si>
  <si>
    <t>DEV000138</t>
  </si>
  <si>
    <t>DEV000139</t>
  </si>
  <si>
    <t>DEV000140</t>
  </si>
  <si>
    <t>DEV000141</t>
  </si>
  <si>
    <t>DEV000142</t>
  </si>
  <si>
    <t>DEV000143</t>
  </si>
  <si>
    <t>DEV000144</t>
  </si>
  <si>
    <t>DEV000145</t>
  </si>
  <si>
    <t>DEV000146</t>
  </si>
  <si>
    <t>DEV000147</t>
  </si>
  <si>
    <t>DEV000148</t>
  </si>
  <si>
    <t>DEV000149</t>
  </si>
  <si>
    <t>DEV000150</t>
  </si>
  <si>
    <t>DEV000151</t>
  </si>
  <si>
    <t>DEV000152</t>
  </si>
  <si>
    <t>DEV000153</t>
  </si>
  <si>
    <t>DEV000154</t>
  </si>
  <si>
    <t>DEV000155</t>
  </si>
  <si>
    <t>DEV000156</t>
  </si>
  <si>
    <t>DEV000157</t>
  </si>
  <si>
    <t>DEV000158</t>
  </si>
  <si>
    <t>NOK</t>
  </si>
  <si>
    <t>DEV000159</t>
  </si>
  <si>
    <t>DEV000160</t>
  </si>
  <si>
    <t>DEV000161</t>
  </si>
  <si>
    <t>DEV000162</t>
  </si>
  <si>
    <t>DEV000163</t>
  </si>
  <si>
    <t>DEV000164</t>
  </si>
  <si>
    <t>DEV000165</t>
  </si>
  <si>
    <t>DEV000166</t>
  </si>
  <si>
    <t>DEV000167</t>
  </si>
  <si>
    <t>DEV000168</t>
  </si>
  <si>
    <t>DEV000169</t>
  </si>
  <si>
    <t>DEV000170</t>
  </si>
  <si>
    <t>DEV000171</t>
  </si>
  <si>
    <t>DEV000172</t>
  </si>
  <si>
    <t>DEV000173</t>
  </si>
  <si>
    <t>DEV000174</t>
  </si>
  <si>
    <t>DEV000175</t>
  </si>
  <si>
    <t>NTH</t>
  </si>
  <si>
    <t>DEV000176</t>
  </si>
  <si>
    <t>DEV000177</t>
  </si>
  <si>
    <t>DEV000178</t>
  </si>
  <si>
    <t>NUB</t>
  </si>
  <si>
    <t>DEV000179</t>
  </si>
  <si>
    <t>ONE</t>
  </si>
  <si>
    <t>DEV000180</t>
  </si>
  <si>
    <t>DEV000181</t>
  </si>
  <si>
    <t>DEV000182</t>
  </si>
  <si>
    <t>DEV000183</t>
  </si>
  <si>
    <t>DEV000184</t>
  </si>
  <si>
    <t>DEV000185</t>
  </si>
  <si>
    <t>DEV000186</t>
  </si>
  <si>
    <t>DEV000187</t>
  </si>
  <si>
    <t>DEV000188</t>
  </si>
  <si>
    <t>DEV000189</t>
  </si>
  <si>
    <t>DEV000190</t>
  </si>
  <si>
    <t>DEV000191</t>
  </si>
  <si>
    <t>DEV000192</t>
  </si>
  <si>
    <t>DEV000193</t>
  </si>
  <si>
    <t>DEV000194</t>
  </si>
  <si>
    <t>DEV000195</t>
  </si>
  <si>
    <t>DEV000196</t>
  </si>
  <si>
    <t>DEV000197</t>
  </si>
  <si>
    <t>DEV000198</t>
  </si>
  <si>
    <t>DEV000199</t>
  </si>
  <si>
    <t>DEV000200</t>
  </si>
  <si>
    <t>DEV000201</t>
  </si>
  <si>
    <t>DEV000202</t>
  </si>
  <si>
    <t>DEV000203</t>
  </si>
  <si>
    <t>DEV000204</t>
  </si>
  <si>
    <t>DEV000205</t>
  </si>
  <si>
    <t>DEV000206</t>
  </si>
  <si>
    <t>DEV000207</t>
  </si>
  <si>
    <t>OPP</t>
  </si>
  <si>
    <t>DEV000208</t>
  </si>
  <si>
    <t>DEV000209</t>
  </si>
  <si>
    <t>DEV000210</t>
  </si>
  <si>
    <t>DEV000211</t>
  </si>
  <si>
    <t>DEV000212</t>
  </si>
  <si>
    <t>DEV000213</t>
  </si>
  <si>
    <t>DEV000214</t>
  </si>
  <si>
    <t>DEV000215</t>
  </si>
  <si>
    <t>DEV000216</t>
  </si>
  <si>
    <t>DEV000217</t>
  </si>
  <si>
    <t>DEV000218</t>
  </si>
  <si>
    <t>DEV000219</t>
  </si>
  <si>
    <t>DEV000220</t>
  </si>
  <si>
    <t>DEV000221</t>
  </si>
  <si>
    <t>RLM</t>
  </si>
  <si>
    <t>DEV000222</t>
  </si>
  <si>
    <t>DEV000223</t>
  </si>
  <si>
    <t>DEV000224</t>
  </si>
  <si>
    <t>DEV000225</t>
  </si>
  <si>
    <t>DEV000226</t>
  </si>
  <si>
    <t>DEV000227</t>
  </si>
  <si>
    <t>DEV000228</t>
  </si>
  <si>
    <t>DEV000229</t>
  </si>
  <si>
    <t>SAM</t>
  </si>
  <si>
    <t>DEV000230</t>
  </si>
  <si>
    <t>DEV000231</t>
  </si>
  <si>
    <t>DEV000232</t>
  </si>
  <si>
    <t>DEV000233</t>
  </si>
  <si>
    <t>DEV000234</t>
  </si>
  <si>
    <t>DEV000235</t>
  </si>
  <si>
    <t>DEV000236</t>
  </si>
  <si>
    <t>DEV000237</t>
  </si>
  <si>
    <t>DEV000238</t>
  </si>
  <si>
    <t>DEV000239</t>
  </si>
  <si>
    <t>DEV000240</t>
  </si>
  <si>
    <t>DEV000241</t>
  </si>
  <si>
    <t>DEV000242</t>
  </si>
  <si>
    <t>DEV000243</t>
  </si>
  <si>
    <t>DEV000244</t>
  </si>
  <si>
    <t>DEV000245</t>
  </si>
  <si>
    <t>DEV000246</t>
  </si>
  <si>
    <t>DEV000247</t>
  </si>
  <si>
    <t>DEV000248</t>
  </si>
  <si>
    <t>DEV000249</t>
  </si>
  <si>
    <t>DEV000250</t>
  </si>
  <si>
    <t>DEV000251</t>
  </si>
  <si>
    <t>DEV000252</t>
  </si>
  <si>
    <t>DEV000253</t>
  </si>
  <si>
    <t>DEV000254</t>
  </si>
  <si>
    <t>DEV000255</t>
  </si>
  <si>
    <t>DEV000256</t>
  </si>
  <si>
    <t>DEV000257</t>
  </si>
  <si>
    <t>DEV000258</t>
  </si>
  <si>
    <t>DEV000259</t>
  </si>
  <si>
    <t>DEV000260</t>
  </si>
  <si>
    <t>DEV000261</t>
  </si>
  <si>
    <t>DEV000262</t>
  </si>
  <si>
    <t>DEV000263</t>
  </si>
  <si>
    <t>DEV000264</t>
  </si>
  <si>
    <t>DEV000265</t>
  </si>
  <si>
    <t>DEV000266</t>
  </si>
  <si>
    <t>DEV000267</t>
  </si>
  <si>
    <t>DEV000268</t>
  </si>
  <si>
    <t>DEV000269</t>
  </si>
  <si>
    <t>DEV000270</t>
  </si>
  <si>
    <t>DEV000271</t>
  </si>
  <si>
    <t>DEV000272</t>
  </si>
  <si>
    <t>DEV000273</t>
  </si>
  <si>
    <t>DEV000274</t>
  </si>
  <si>
    <t>DEV000275</t>
  </si>
  <si>
    <t>DEV000276</t>
  </si>
  <si>
    <t>DEV000277</t>
  </si>
  <si>
    <t>DEV000278</t>
  </si>
  <si>
    <t>DEV000279</t>
  </si>
  <si>
    <t>DEV000280</t>
  </si>
  <si>
    <t>DEV000281</t>
  </si>
  <si>
    <t>DEV000282</t>
  </si>
  <si>
    <t>DEV000283</t>
  </si>
  <si>
    <t>DEV000284</t>
  </si>
  <si>
    <t>DEV000285</t>
  </si>
  <si>
    <t>DEV000286</t>
  </si>
  <si>
    <t>DEV000287</t>
  </si>
  <si>
    <t>DEV000288</t>
  </si>
  <si>
    <t>DEV000289</t>
  </si>
  <si>
    <t>DEV000290</t>
  </si>
  <si>
    <t>DEV000291</t>
  </si>
  <si>
    <t>DEV000292</t>
  </si>
  <si>
    <t>DEV000293</t>
  </si>
  <si>
    <t>DEV000294</t>
  </si>
  <si>
    <t>DEV000295</t>
  </si>
  <si>
    <t>DEV000296</t>
  </si>
  <si>
    <t>DEV000297</t>
  </si>
  <si>
    <t>DEV000298</t>
  </si>
  <si>
    <t>DEV000299</t>
  </si>
  <si>
    <t>DEV000300</t>
  </si>
  <si>
    <t>DEV000301</t>
  </si>
  <si>
    <t>DEV000302</t>
  </si>
  <si>
    <t>DEV000303</t>
  </si>
  <si>
    <t>DEV000304</t>
  </si>
  <si>
    <t>DEV000305</t>
  </si>
  <si>
    <t>DEV000306</t>
  </si>
  <si>
    <t>DEV000307</t>
  </si>
  <si>
    <t>DEV000308</t>
  </si>
  <si>
    <t>DEV000309</t>
  </si>
  <si>
    <t>DEV000310</t>
  </si>
  <si>
    <t>DEV000311</t>
  </si>
  <si>
    <t>DEV000312</t>
  </si>
  <si>
    <t>DEV000313</t>
  </si>
  <si>
    <t>DEV000314</t>
  </si>
  <si>
    <t>DEV000315</t>
  </si>
  <si>
    <t>DEV000316</t>
  </si>
  <si>
    <t>DEV000317</t>
  </si>
  <si>
    <t>DEV000318</t>
  </si>
  <si>
    <t>DEV000319</t>
  </si>
  <si>
    <t>DEV000320</t>
  </si>
  <si>
    <t>DEV000321</t>
  </si>
  <si>
    <t>DEV000322</t>
  </si>
  <si>
    <t>DEV000323</t>
  </si>
  <si>
    <t>DEV000324</t>
  </si>
  <si>
    <t>DEV000325</t>
  </si>
  <si>
    <t>DEV000326</t>
  </si>
  <si>
    <t>DEV000327</t>
  </si>
  <si>
    <t>DEV000328</t>
  </si>
  <si>
    <t>DEV000329</t>
  </si>
  <si>
    <t>DEV000330</t>
  </si>
  <si>
    <t>DEV000331</t>
  </si>
  <si>
    <t>DEV000332</t>
  </si>
  <si>
    <t>DEV000333</t>
  </si>
  <si>
    <t>DEV000334</t>
  </si>
  <si>
    <t>DEV000335</t>
  </si>
  <si>
    <t>DEV000336</t>
  </si>
  <si>
    <t>DEV000337</t>
  </si>
  <si>
    <t>DEV000338</t>
  </si>
  <si>
    <t>DEV000339</t>
  </si>
  <si>
    <t>DEV000340</t>
  </si>
  <si>
    <t>DEV000341</t>
  </si>
  <si>
    <t>DEV000342</t>
  </si>
  <si>
    <t>DEV000343</t>
  </si>
  <si>
    <t>DEV000344</t>
  </si>
  <si>
    <t>DEV000345</t>
  </si>
  <si>
    <t>DEV000346</t>
  </si>
  <si>
    <t>DEV000347</t>
  </si>
  <si>
    <t>DEV000348</t>
  </si>
  <si>
    <t>DEV000349</t>
  </si>
  <si>
    <t>DEV000350</t>
  </si>
  <si>
    <t>DEV000351</t>
  </si>
  <si>
    <t>DEV000352</t>
  </si>
  <si>
    <t>DEV000353</t>
  </si>
  <si>
    <t>DEV000354</t>
  </si>
  <si>
    <t>DEV000355</t>
  </si>
  <si>
    <t>DEV000356</t>
  </si>
  <si>
    <t>DEV000357</t>
  </si>
  <si>
    <t>DEV000358</t>
  </si>
  <si>
    <t>DEV000359</t>
  </si>
  <si>
    <t>DEV000360</t>
  </si>
  <si>
    <t>DEV000361</t>
  </si>
  <si>
    <t>DEV000362</t>
  </si>
  <si>
    <t>DEV000363</t>
  </si>
  <si>
    <t>DEV000364</t>
  </si>
  <si>
    <t>DEV000365</t>
  </si>
  <si>
    <t>DEV000366</t>
  </si>
  <si>
    <t>DEV000367</t>
  </si>
  <si>
    <t>DEV000368</t>
  </si>
  <si>
    <t>DEV000369</t>
  </si>
  <si>
    <t>DEV000370</t>
  </si>
  <si>
    <t>DEV000371</t>
  </si>
  <si>
    <t>DEV000372</t>
  </si>
  <si>
    <t>DEV000373</t>
  </si>
  <si>
    <t>DEV000374</t>
  </si>
  <si>
    <t>DEV000375</t>
  </si>
  <si>
    <t>DEV000376</t>
  </si>
  <si>
    <t>DEV000377</t>
  </si>
  <si>
    <t>DEV000378</t>
  </si>
  <si>
    <t>DEV000379</t>
  </si>
  <si>
    <t>DEV000380</t>
  </si>
  <si>
    <t>DEV000381</t>
  </si>
  <si>
    <t>DEV000382</t>
  </si>
  <si>
    <t>DEV000383</t>
  </si>
  <si>
    <t>DEV000384</t>
  </si>
  <si>
    <t>DEV000385</t>
  </si>
  <si>
    <t>DEV000386</t>
  </si>
  <si>
    <t>DEV000387</t>
  </si>
  <si>
    <t>DEV000388</t>
  </si>
  <si>
    <t>SNY</t>
  </si>
  <si>
    <t>DEV000389</t>
  </si>
  <si>
    <t>DEV000390</t>
  </si>
  <si>
    <t>DEV000391</t>
  </si>
  <si>
    <t>DEV000392</t>
  </si>
  <si>
    <t>DEV000393</t>
  </si>
  <si>
    <t>DEV000394</t>
  </si>
  <si>
    <t>DEV000395</t>
  </si>
  <si>
    <t>DEV000396</t>
  </si>
  <si>
    <t>DEV000397</t>
  </si>
  <si>
    <t>DEV000398</t>
  </si>
  <si>
    <t>DEV000399</t>
  </si>
  <si>
    <t>DEV000400</t>
  </si>
  <si>
    <t>DEV000401</t>
  </si>
  <si>
    <t>DEV000402</t>
  </si>
  <si>
    <t>DEV000403</t>
  </si>
  <si>
    <t>DEV000404</t>
  </si>
  <si>
    <t>DEV000405</t>
  </si>
  <si>
    <t>DEV000406</t>
  </si>
  <si>
    <t>DEV000407</t>
  </si>
  <si>
    <t>DEV000408</t>
  </si>
  <si>
    <t>XIA</t>
  </si>
  <si>
    <t>DEV000409</t>
  </si>
  <si>
    <t>DEV000410</t>
  </si>
  <si>
    <t>DEV000411</t>
  </si>
  <si>
    <t>DEV000412</t>
  </si>
  <si>
    <t>DEV000413</t>
  </si>
  <si>
    <t>DEV000414</t>
  </si>
  <si>
    <t>DEV000415</t>
  </si>
  <si>
    <t>DEV000416</t>
  </si>
  <si>
    <t>DEV000417</t>
  </si>
  <si>
    <t>DEV000418</t>
  </si>
  <si>
    <t>DEV000419</t>
  </si>
  <si>
    <t>DEV000420</t>
  </si>
  <si>
    <t>DEV000421</t>
  </si>
  <si>
    <t>DEV000422</t>
  </si>
  <si>
    <t>DEV000423</t>
  </si>
  <si>
    <t>DEV000424</t>
  </si>
  <si>
    <t>DEV000425</t>
  </si>
  <si>
    <t>DEV000426</t>
  </si>
  <si>
    <t>DEV000427</t>
  </si>
  <si>
    <t>VIV</t>
  </si>
  <si>
    <t>DEV000428</t>
  </si>
  <si>
    <t>DEV000429</t>
  </si>
  <si>
    <t>DEV000430</t>
  </si>
  <si>
    <t>DEV000431</t>
  </si>
  <si>
    <t>DEV000432</t>
  </si>
  <si>
    <t>DEV000433</t>
  </si>
  <si>
    <t>DEV000434</t>
  </si>
  <si>
    <t>DEV000435</t>
  </si>
  <si>
    <t>DEV000436</t>
  </si>
  <si>
    <t>ZTE</t>
  </si>
  <si>
    <t>DEV000437</t>
  </si>
  <si>
    <t>ACE</t>
  </si>
  <si>
    <t>CMP</t>
  </si>
  <si>
    <t>Swift Go 14</t>
  </si>
  <si>
    <t>DEV000438</t>
  </si>
  <si>
    <t>Aspire 7</t>
  </si>
  <si>
    <t>DEV000439</t>
  </si>
  <si>
    <t>Swift 3</t>
  </si>
  <si>
    <t>DEV000440</t>
  </si>
  <si>
    <t>Swift 5</t>
  </si>
  <si>
    <t>DEV000441</t>
  </si>
  <si>
    <t>Aspire 3</t>
  </si>
  <si>
    <t>DEV000442</t>
  </si>
  <si>
    <t>Aspire 5</t>
  </si>
  <si>
    <t>DEV000443</t>
  </si>
  <si>
    <t>Swift Edge</t>
  </si>
  <si>
    <t>DEV000444</t>
  </si>
  <si>
    <t>TravelMate P2</t>
  </si>
  <si>
    <t>DEV000445</t>
  </si>
  <si>
    <t>TravelMate P4</t>
  </si>
  <si>
    <t>DEV000446</t>
  </si>
  <si>
    <t>Predator Helios Neo 16</t>
  </si>
  <si>
    <t>DEV000447</t>
  </si>
  <si>
    <t>Predator Helios 18</t>
  </si>
  <si>
    <t>DEV000448</t>
  </si>
  <si>
    <t>Nitro 5</t>
  </si>
  <si>
    <t>DEV000449</t>
  </si>
  <si>
    <t>Nitro 16</t>
  </si>
  <si>
    <t>DEV000450</t>
  </si>
  <si>
    <t>Aspire Vero 15</t>
  </si>
  <si>
    <t>DEV000451</t>
  </si>
  <si>
    <t>Aspire Go 15</t>
  </si>
  <si>
    <t>DEV000452</t>
  </si>
  <si>
    <t>Swift X 14</t>
  </si>
  <si>
    <t>DEV000453</t>
  </si>
  <si>
    <t>TravelMate Spin P4</t>
  </si>
  <si>
    <t>DEV000454</t>
  </si>
  <si>
    <t>Predator Triton Neo 16</t>
  </si>
  <si>
    <t>DEV000455</t>
  </si>
  <si>
    <t>Predator Helios 300</t>
  </si>
  <si>
    <t>DEV000456</t>
  </si>
  <si>
    <t>Nitro V 15</t>
  </si>
  <si>
    <t>DEV000457</t>
  </si>
  <si>
    <t>ALW</t>
  </si>
  <si>
    <t>Alienware Aurora R16</t>
  </si>
  <si>
    <t>DEV000458</t>
  </si>
  <si>
    <t>Alienware m15</t>
  </si>
  <si>
    <t>DEV000459</t>
  </si>
  <si>
    <t>Alienware m16</t>
  </si>
  <si>
    <t>DEV000460</t>
  </si>
  <si>
    <t>Alienware m18</t>
  </si>
  <si>
    <t>DEV000461</t>
  </si>
  <si>
    <t>Alienware x14</t>
  </si>
  <si>
    <t>DEV000462</t>
  </si>
  <si>
    <t>Alienware x16</t>
  </si>
  <si>
    <t>DEV000463</t>
  </si>
  <si>
    <t>MacBook Pro 16-inch</t>
  </si>
  <si>
    <t>DEV000464</t>
  </si>
  <si>
    <t>MacBook Air 13-inch (M3)</t>
  </si>
  <si>
    <t>DEV000465</t>
  </si>
  <si>
    <t>DEV000466</t>
  </si>
  <si>
    <t>MacBook Pro 14-inch</t>
  </si>
  <si>
    <t>DEV000467</t>
  </si>
  <si>
    <t>MacBook Air 13-inch (M2)</t>
  </si>
  <si>
    <t>DEV000468</t>
  </si>
  <si>
    <t>DEV000469</t>
  </si>
  <si>
    <t>iMac 24-inch</t>
  </si>
  <si>
    <t>DEV000470</t>
  </si>
  <si>
    <t>Mac mini</t>
  </si>
  <si>
    <t>DEV000471</t>
  </si>
  <si>
    <t>Mac Studio</t>
  </si>
  <si>
    <t>DEV000472</t>
  </si>
  <si>
    <t>Mac Pro</t>
  </si>
  <si>
    <t>DEV000473</t>
  </si>
  <si>
    <t>DEV000474</t>
  </si>
  <si>
    <t>DEV000475</t>
  </si>
  <si>
    <t>MacBook Pro 13-inch</t>
  </si>
  <si>
    <t>DEV000476</t>
  </si>
  <si>
    <t>MacBook Pro 15-inch</t>
  </si>
  <si>
    <t>DEV000477</t>
  </si>
  <si>
    <t>MacBook Pro 17-inch</t>
  </si>
  <si>
    <t>DEV000478</t>
  </si>
  <si>
    <t>MacBook (12-inch)</t>
  </si>
  <si>
    <t>DEV000479</t>
  </si>
  <si>
    <t>DEV000480</t>
  </si>
  <si>
    <t>DEV000481</t>
  </si>
  <si>
    <t>DEV000482</t>
  </si>
  <si>
    <t>DEV000483</t>
  </si>
  <si>
    <t>DEV000484</t>
  </si>
  <si>
    <t>ROG Zephyrus G14</t>
  </si>
  <si>
    <t>DEV000485</t>
  </si>
  <si>
    <t>Zenbook 14 OLED</t>
  </si>
  <si>
    <t>DEV000486</t>
  </si>
  <si>
    <t>Zenbook Duo</t>
  </si>
  <si>
    <t>DEV000487</t>
  </si>
  <si>
    <t>ProArt P16</t>
  </si>
  <si>
    <t>DEV000488</t>
  </si>
  <si>
    <t>Vivobook 15</t>
  </si>
  <si>
    <t>DEV000489</t>
  </si>
  <si>
    <t>Vivobook S 15</t>
  </si>
  <si>
    <t>DEV000490</t>
  </si>
  <si>
    <t>ROG Zephyrus G16</t>
  </si>
  <si>
    <t>DEV000491</t>
  </si>
  <si>
    <t>ROG Strix G16</t>
  </si>
  <si>
    <t>DEV000492</t>
  </si>
  <si>
    <t>ROG Flow X13</t>
  </si>
  <si>
    <t>DEV000493</t>
  </si>
  <si>
    <t>DEV000494</t>
  </si>
  <si>
    <t>TUF Gaming A15</t>
  </si>
  <si>
    <t>DEV000495</t>
  </si>
  <si>
    <t>TUF Gaming A16</t>
  </si>
  <si>
    <t>DEV000496</t>
  </si>
  <si>
    <t>TUF Gaming F15</t>
  </si>
  <si>
    <t>DEV000497</t>
  </si>
  <si>
    <t>TUF Gaming F17</t>
  </si>
  <si>
    <t>DEV000498</t>
  </si>
  <si>
    <t>ROG Strix Scar 16</t>
  </si>
  <si>
    <t>DEV000499</t>
  </si>
  <si>
    <t>ROG Strix Scar 18</t>
  </si>
  <si>
    <t>DEV000500</t>
  </si>
  <si>
    <t>ExpertBook B5</t>
  </si>
  <si>
    <t>DEV000501</t>
  </si>
  <si>
    <t>ExpertBook B9</t>
  </si>
  <si>
    <t>DEV000502</t>
  </si>
  <si>
    <t>DEL</t>
  </si>
  <si>
    <t>Latitude 5450</t>
  </si>
  <si>
    <t>DEV000503</t>
  </si>
  <si>
    <t>XPS 13</t>
  </si>
  <si>
    <t>DEV000504</t>
  </si>
  <si>
    <t>XPS 14</t>
  </si>
  <si>
    <t>DEV000505</t>
  </si>
  <si>
    <t>XPS 16</t>
  </si>
  <si>
    <t>DEV000506</t>
  </si>
  <si>
    <t>Inspiron 14</t>
  </si>
  <si>
    <t>DEV000507</t>
  </si>
  <si>
    <t>Inspiron 16</t>
  </si>
  <si>
    <t>DEV000508</t>
  </si>
  <si>
    <t>Latitude 7450</t>
  </si>
  <si>
    <t>DEV000509</t>
  </si>
  <si>
    <t>Precision 3591</t>
  </si>
  <si>
    <t>DEV000510</t>
  </si>
  <si>
    <t>Precision 5690</t>
  </si>
  <si>
    <t>DEV000511</t>
  </si>
  <si>
    <t>Precision 7690</t>
  </si>
  <si>
    <t>DEV000512</t>
  </si>
  <si>
    <t>OptiPlex 7020</t>
  </si>
  <si>
    <t>DEV000513</t>
  </si>
  <si>
    <t>OptiPlex 7420 All-in-One</t>
  </si>
  <si>
    <t>DEV000514</t>
  </si>
  <si>
    <t>Inspiron 15</t>
  </si>
  <si>
    <t>DEV000515</t>
  </si>
  <si>
    <t>Inspiron 16 Plus</t>
  </si>
  <si>
    <t>DEV000516</t>
  </si>
  <si>
    <t>XPS 15</t>
  </si>
  <si>
    <t>DEV000517</t>
  </si>
  <si>
    <t>XPS 17</t>
  </si>
  <si>
    <t>DEV000518</t>
  </si>
  <si>
    <t>Latitude 3550</t>
  </si>
  <si>
    <t>DEV000519</t>
  </si>
  <si>
    <t>Latitude 5550</t>
  </si>
  <si>
    <t>DEV000520</t>
  </si>
  <si>
    <t>Precision 3581</t>
  </si>
  <si>
    <t>DEV000521</t>
  </si>
  <si>
    <t>Precision 7680</t>
  </si>
  <si>
    <t>DEV000522</t>
  </si>
  <si>
    <t>OptiPlex Micro</t>
  </si>
  <si>
    <t>DEV000523</t>
  </si>
  <si>
    <t>Vostro 3520</t>
  </si>
  <si>
    <t>DEV000524</t>
  </si>
  <si>
    <t>FRM</t>
  </si>
  <si>
    <t>Framework Desktop</t>
  </si>
  <si>
    <t>DEV000525</t>
  </si>
  <si>
    <t>DEV000526</t>
  </si>
  <si>
    <t>Framework Laptop 16</t>
  </si>
  <si>
    <t>DEV000527</t>
  </si>
  <si>
    <t>HWP</t>
  </si>
  <si>
    <t>Envy x360 14</t>
  </si>
  <si>
    <t>DEV000528</t>
  </si>
  <si>
    <t>Pavilion 15</t>
  </si>
  <si>
    <t>DEV000529</t>
  </si>
  <si>
    <t>ProBook 450 G11</t>
  </si>
  <si>
    <t>DEV000530</t>
  </si>
  <si>
    <t>EliteBook 840 G11</t>
  </si>
  <si>
    <t>DEV000531</t>
  </si>
  <si>
    <t>Spectre x360 14</t>
  </si>
  <si>
    <t>DEV000532</t>
  </si>
  <si>
    <t>OMEN 16</t>
  </si>
  <si>
    <t>DEV000533</t>
  </si>
  <si>
    <t>ZBook Firefly 16</t>
  </si>
  <si>
    <t>DEV000534</t>
  </si>
  <si>
    <t>EliteBook 860 G11</t>
  </si>
  <si>
    <t>DEV000535</t>
  </si>
  <si>
    <t>EliteBook 1040 G11</t>
  </si>
  <si>
    <t>DEV000536</t>
  </si>
  <si>
    <t>ProBook 445 G11</t>
  </si>
  <si>
    <t>DEV000537</t>
  </si>
  <si>
    <t>Dragonfly G4</t>
  </si>
  <si>
    <t>DEV000538</t>
  </si>
  <si>
    <t>OMEN Transcend 14</t>
  </si>
  <si>
    <t>DEV000539</t>
  </si>
  <si>
    <t>Victus 15</t>
  </si>
  <si>
    <t>DEV000540</t>
  </si>
  <si>
    <t>LEN</t>
  </si>
  <si>
    <t>ThinkPad T14 Gen 5</t>
  </si>
  <si>
    <t>DEV000541</t>
  </si>
  <si>
    <t>ThinkPad X1 Carbon Gen 12</t>
  </si>
  <si>
    <t>DEV000542</t>
  </si>
  <si>
    <t>IdeaPad Slim 5</t>
  </si>
  <si>
    <t>DEV000543</t>
  </si>
  <si>
    <t>Yoga 9i Gen 9</t>
  </si>
  <si>
    <t>DEV000544</t>
  </si>
  <si>
    <t>ThinkPad P16</t>
  </si>
  <si>
    <t>DEV000545</t>
  </si>
  <si>
    <t>ThinkPad E14</t>
  </si>
  <si>
    <t>DEV000546</t>
  </si>
  <si>
    <t>ThinkPad L14</t>
  </si>
  <si>
    <t>DEV000547</t>
  </si>
  <si>
    <t>ThinkBook 14</t>
  </si>
  <si>
    <t>DEV000548</t>
  </si>
  <si>
    <t>IdeaPad Flex 5</t>
  </si>
  <si>
    <t>DEV000549</t>
  </si>
  <si>
    <t>LOQ 15</t>
  </si>
  <si>
    <t>DEV000550</t>
  </si>
  <si>
    <t>Gram 16</t>
  </si>
  <si>
    <t>DEV000551</t>
  </si>
  <si>
    <t>Gram 14</t>
  </si>
  <si>
    <t>DEV000552</t>
  </si>
  <si>
    <t>Gram 15</t>
  </si>
  <si>
    <t>DEV000553</t>
  </si>
  <si>
    <t>Gram 17</t>
  </si>
  <si>
    <t>DEV000554</t>
  </si>
  <si>
    <t>Gram SuperSlim</t>
  </si>
  <si>
    <t>DEV000555</t>
  </si>
  <si>
    <t>Ultra PC</t>
  </si>
  <si>
    <t>DEV000556</t>
  </si>
  <si>
    <t>UltraGear</t>
  </si>
  <si>
    <t>DEV000557</t>
  </si>
  <si>
    <t>MSF</t>
  </si>
  <si>
    <t>Surface Go Laptop</t>
  </si>
  <si>
    <t>DEV000558</t>
  </si>
  <si>
    <t>Surface Studio 2</t>
  </si>
  <si>
    <t>DEV000559</t>
  </si>
  <si>
    <t>Surface Studio 2+</t>
  </si>
  <si>
    <t>DEV000560</t>
  </si>
  <si>
    <t>Surface Book</t>
  </si>
  <si>
    <t>DEV000561</t>
  </si>
  <si>
    <t>Surface Book 2</t>
  </si>
  <si>
    <t>DEV000562</t>
  </si>
  <si>
    <t>Surface Book 3</t>
  </si>
  <si>
    <t>DEV000563</t>
  </si>
  <si>
    <t>Surface Laptop</t>
  </si>
  <si>
    <t>DEV000564</t>
  </si>
  <si>
    <t>Surface Laptop 2</t>
  </si>
  <si>
    <t>DEV000565</t>
  </si>
  <si>
    <t>Surface Laptop 3</t>
  </si>
  <si>
    <t>DEV000566</t>
  </si>
  <si>
    <t>Surface Laptop 4</t>
  </si>
  <si>
    <t>DEV000567</t>
  </si>
  <si>
    <t>Surface Laptop 5</t>
  </si>
  <si>
    <t>DEV000568</t>
  </si>
  <si>
    <t>Surface Laptop 6</t>
  </si>
  <si>
    <t>DEV000569</t>
  </si>
  <si>
    <t>DEV000570</t>
  </si>
  <si>
    <t>Surface Laptop Go</t>
  </si>
  <si>
    <t>DEV000571</t>
  </si>
  <si>
    <t>Surface Laptop Go 2</t>
  </si>
  <si>
    <t>DEV000572</t>
  </si>
  <si>
    <t>Surface Laptop Go 3</t>
  </si>
  <si>
    <t>DEV000573</t>
  </si>
  <si>
    <t>Surface Laptop Studio</t>
  </si>
  <si>
    <t>DEV000574</t>
  </si>
  <si>
    <t>DEV000575</t>
  </si>
  <si>
    <t>Surface Studio</t>
  </si>
  <si>
    <t>DEV000576</t>
  </si>
  <si>
    <t>Raider GE78 HX</t>
  </si>
  <si>
    <t>DEV000577</t>
  </si>
  <si>
    <t>Stealth 16 AI</t>
  </si>
  <si>
    <t>DEV000578</t>
  </si>
  <si>
    <t>Cyborg 15</t>
  </si>
  <si>
    <t>DEV000579</t>
  </si>
  <si>
    <t>Prestige 16 AI</t>
  </si>
  <si>
    <t>DEV000580</t>
  </si>
  <si>
    <t>Vector GP68 HX</t>
  </si>
  <si>
    <t>DEV000581</t>
  </si>
  <si>
    <t>Katana 15</t>
  </si>
  <si>
    <t>DEV000582</t>
  </si>
  <si>
    <t>Titan 18 HX</t>
  </si>
  <si>
    <t>DEV000583</t>
  </si>
  <si>
    <t>Modern 15</t>
  </si>
  <si>
    <t>DEV000584</t>
  </si>
  <si>
    <t>RAZ</t>
  </si>
  <si>
    <t>Blade 16</t>
  </si>
  <si>
    <t>DEV000585</t>
  </si>
  <si>
    <t>Blade 14</t>
  </si>
  <si>
    <t>DEV000586</t>
  </si>
  <si>
    <t>Blade Stealth 13</t>
  </si>
  <si>
    <t>DEV000587</t>
  </si>
  <si>
    <t>Blade 15</t>
  </si>
  <si>
    <t>DEV000588</t>
  </si>
  <si>
    <t>Blade 18</t>
  </si>
  <si>
    <t>DEV000589</t>
  </si>
  <si>
    <t>Razer Blade Stealth 13</t>
  </si>
  <si>
    <t>DEV000590</t>
  </si>
  <si>
    <t>Razer Blade 14</t>
  </si>
  <si>
    <t>DEV000591</t>
  </si>
  <si>
    <t>Razer Blade 15</t>
  </si>
  <si>
    <t>DEV000592</t>
  </si>
  <si>
    <t>DEV000593</t>
  </si>
  <si>
    <t>Razer Blade 17</t>
  </si>
  <si>
    <t>DEV000594</t>
  </si>
  <si>
    <t>Razer Blade 18</t>
  </si>
  <si>
    <t>DEV000595</t>
  </si>
  <si>
    <t>DEV000596</t>
  </si>
  <si>
    <t>DEV000597</t>
  </si>
  <si>
    <t>DEV000598</t>
  </si>
  <si>
    <t>Galaxy Book Flex</t>
  </si>
  <si>
    <t>DEV000599</t>
  </si>
  <si>
    <t>Galaxy Book Flex2</t>
  </si>
  <si>
    <t>DEV000600</t>
  </si>
  <si>
    <t>Galaxy Book Ion</t>
  </si>
  <si>
    <t>DEV000601</t>
  </si>
  <si>
    <t>Galaxy Book Odyssey</t>
  </si>
  <si>
    <t>DEV000602</t>
  </si>
  <si>
    <t>Galaxy Book Go</t>
  </si>
  <si>
    <t>DEV000603</t>
  </si>
  <si>
    <t>DEV000604</t>
  </si>
  <si>
    <t>DEV000605</t>
  </si>
  <si>
    <t>Galaxy Book2 360</t>
  </si>
  <si>
    <t>DEV000606</t>
  </si>
  <si>
    <t>Galaxy Book2 Pro 360</t>
  </si>
  <si>
    <t>DEV000607</t>
  </si>
  <si>
    <t>Galaxy Book2 Business</t>
  </si>
  <si>
    <t>DEV000608</t>
  </si>
  <si>
    <t>Galaxy Book3 360</t>
  </si>
  <si>
    <t>DEV000609</t>
  </si>
  <si>
    <t>Galaxy Book3 Pro 360</t>
  </si>
  <si>
    <t>DEV000610</t>
  </si>
  <si>
    <t>Galaxy Book3 Ultra</t>
  </si>
  <si>
    <t>DEV000611</t>
  </si>
  <si>
    <t>DEV000612</t>
  </si>
  <si>
    <t>Galaxy Book4 360</t>
  </si>
  <si>
    <t>DEV000613</t>
  </si>
  <si>
    <t>Galaxy Book4 Edge</t>
  </si>
  <si>
    <t>DEV000614</t>
  </si>
  <si>
    <t>DEV000615</t>
  </si>
  <si>
    <t>Galaxy Book4 Pro 360</t>
  </si>
  <si>
    <t>DEV000616</t>
  </si>
  <si>
    <t>Galaxy Book4 Ultra</t>
  </si>
  <si>
    <t>DEV000617</t>
  </si>
  <si>
    <t>STL</t>
  </si>
  <si>
    <t>OTH</t>
  </si>
  <si>
    <t>Starlink Mini</t>
  </si>
  <si>
    <t>DEV000618</t>
  </si>
  <si>
    <t>Starlink Standard Kit</t>
  </si>
  <si>
    <t>DEV000619</t>
  </si>
  <si>
    <t>Starlink Flat High Performance</t>
  </si>
  <si>
    <t>DEV000620</t>
  </si>
  <si>
    <t>Starlink High Performance Kit</t>
  </si>
  <si>
    <t>DEV000621</t>
  </si>
  <si>
    <t>AMZ</t>
  </si>
  <si>
    <t>TAB</t>
  </si>
  <si>
    <t>Fire HD 8</t>
  </si>
  <si>
    <t>DEV000622</t>
  </si>
  <si>
    <t>Fire 7</t>
  </si>
  <si>
    <t>DEV000623</t>
  </si>
  <si>
    <t>Fire Max 11</t>
  </si>
  <si>
    <t>DEV000624</t>
  </si>
  <si>
    <t>Fire HD 10</t>
  </si>
  <si>
    <t>DEV000625</t>
  </si>
  <si>
    <t>DEV000626</t>
  </si>
  <si>
    <t>DEV000627</t>
  </si>
  <si>
    <t>DEV000628</t>
  </si>
  <si>
    <t>DEV000629</t>
  </si>
  <si>
    <t>DEV000630</t>
  </si>
  <si>
    <t>DEV000631</t>
  </si>
  <si>
    <t>DEV000632</t>
  </si>
  <si>
    <t>DEV000633</t>
  </si>
  <si>
    <t>DEV000634</t>
  </si>
  <si>
    <t>DEV000635</t>
  </si>
  <si>
    <t>DEV000636</t>
  </si>
  <si>
    <t>DEV000637</t>
  </si>
  <si>
    <t>DEV000638</t>
  </si>
  <si>
    <t>DEV000639</t>
  </si>
  <si>
    <t>DEV000640</t>
  </si>
  <si>
    <t>DEV000641</t>
  </si>
  <si>
    <t>DEV000642</t>
  </si>
  <si>
    <t>DEV000643</t>
  </si>
  <si>
    <t>DEV000644</t>
  </si>
  <si>
    <t>DEV000645</t>
  </si>
  <si>
    <t>DEV000646</t>
  </si>
  <si>
    <t>DEV000647</t>
  </si>
  <si>
    <t>DEV000648</t>
  </si>
  <si>
    <t>DEV000649</t>
  </si>
  <si>
    <t>DEV000650</t>
  </si>
  <si>
    <t>DEV000651</t>
  </si>
  <si>
    <t>DEV000652</t>
  </si>
  <si>
    <t>DEV000653</t>
  </si>
  <si>
    <t>DEV000654</t>
  </si>
  <si>
    <t>DEV000655</t>
  </si>
  <si>
    <t>DEV000656</t>
  </si>
  <si>
    <t>DEV000657</t>
  </si>
  <si>
    <t>DEV000658</t>
  </si>
  <si>
    <t>DEV000659</t>
  </si>
  <si>
    <t>DEV000660</t>
  </si>
  <si>
    <t>DEV000661</t>
  </si>
  <si>
    <t>DEV000662</t>
  </si>
  <si>
    <t>DEV000663</t>
  </si>
  <si>
    <t>Pixel C</t>
  </si>
  <si>
    <t>DEV000664</t>
  </si>
  <si>
    <t>DEV000665</t>
  </si>
  <si>
    <t>HMD T21</t>
  </si>
  <si>
    <t>DEV000666</t>
  </si>
  <si>
    <t>HONOR Pad 8</t>
  </si>
  <si>
    <t>DEV000667</t>
  </si>
  <si>
    <t>HONOR MagicPad 2</t>
  </si>
  <si>
    <t>DEV000668</t>
  </si>
  <si>
    <t>HONOR Pad 9</t>
  </si>
  <si>
    <t>DEV000669</t>
  </si>
  <si>
    <t>DEV000670</t>
  </si>
  <si>
    <t>MatePad 11.5</t>
  </si>
  <si>
    <t>DEV000671</t>
  </si>
  <si>
    <t>MatePad Pro 13.2</t>
  </si>
  <si>
    <t>DEV000672</t>
  </si>
  <si>
    <t>MatePad 11.5 S</t>
  </si>
  <si>
    <t>DEV000673</t>
  </si>
  <si>
    <t>MatePad Air</t>
  </si>
  <si>
    <t>DEV000674</t>
  </si>
  <si>
    <t>MatePad 10.4</t>
  </si>
  <si>
    <t>DEV000675</t>
  </si>
  <si>
    <t>Tab P12</t>
  </si>
  <si>
    <t>DEV000676</t>
  </si>
  <si>
    <t>Tab M10 Plus</t>
  </si>
  <si>
    <t>DEV000677</t>
  </si>
  <si>
    <t>Tab M11</t>
  </si>
  <si>
    <t>DEV000678</t>
  </si>
  <si>
    <t>Legion Tab</t>
  </si>
  <si>
    <t>DEV000679</t>
  </si>
  <si>
    <t>Surface Pro 10</t>
  </si>
  <si>
    <t>DEV000680</t>
  </si>
  <si>
    <t>Surface Go 4</t>
  </si>
  <si>
    <t>DEV000681</t>
  </si>
  <si>
    <t>DEV000682</t>
  </si>
  <si>
    <t>Surface Pro 9</t>
  </si>
  <si>
    <t>DEV000683</t>
  </si>
  <si>
    <t>Surface Go</t>
  </si>
  <si>
    <t>DEV000684</t>
  </si>
  <si>
    <t>Surface Go 2</t>
  </si>
  <si>
    <t>DEV000685</t>
  </si>
  <si>
    <t>Surface Go 3</t>
  </si>
  <si>
    <t>DEV000686</t>
  </si>
  <si>
    <t>Surface Pro 4</t>
  </si>
  <si>
    <t>DEV000687</t>
  </si>
  <si>
    <t>Surface Pro 5</t>
  </si>
  <si>
    <t>DEV000688</t>
  </si>
  <si>
    <t>Surface Pro 6</t>
  </si>
  <si>
    <t>DEV000689</t>
  </si>
  <si>
    <t>Surface Pro 7</t>
  </si>
  <si>
    <t>DEV000690</t>
  </si>
  <si>
    <t>Surface Pro 7+</t>
  </si>
  <si>
    <t>DEV000691</t>
  </si>
  <si>
    <t>Surface Pro 8</t>
  </si>
  <si>
    <t>DEV000692</t>
  </si>
  <si>
    <t>Moto Tab G20</t>
  </si>
  <si>
    <t>DEV000693</t>
  </si>
  <si>
    <t>Moto Tab G70</t>
  </si>
  <si>
    <t>DEV000694</t>
  </si>
  <si>
    <t>Moto Tab G62</t>
  </si>
  <si>
    <t>DEV000695</t>
  </si>
  <si>
    <t>Moto Tab G84</t>
  </si>
  <si>
    <t>DEV000696</t>
  </si>
  <si>
    <t>T10</t>
  </si>
  <si>
    <t>DEV000697</t>
  </si>
  <si>
    <t>Nokia T20</t>
  </si>
  <si>
    <t>DEV000698</t>
  </si>
  <si>
    <t>T21</t>
  </si>
  <si>
    <t>DEV000699</t>
  </si>
  <si>
    <t>DEV000700</t>
  </si>
  <si>
    <t>DEV000701</t>
  </si>
  <si>
    <t>DEV000702</t>
  </si>
  <si>
    <t>OnePlus Pad Go</t>
  </si>
  <si>
    <t>DEV000703</t>
  </si>
  <si>
    <t>DEV000704</t>
  </si>
  <si>
    <t>OPPO Pad</t>
  </si>
  <si>
    <t>DEV000705</t>
  </si>
  <si>
    <t>OPPO Pad Air</t>
  </si>
  <si>
    <t>DEV000706</t>
  </si>
  <si>
    <t>DEV000707</t>
  </si>
  <si>
    <t>Galaxy Tab A9</t>
  </si>
  <si>
    <t>DEV000708</t>
  </si>
  <si>
    <t>Galaxy Tab A9+</t>
  </si>
  <si>
    <t>DEV000709</t>
  </si>
  <si>
    <t>DEV000710</t>
  </si>
  <si>
    <t>DEV000711</t>
  </si>
  <si>
    <t>DEV000712</t>
  </si>
  <si>
    <t>Galaxy Tab A7 Lite</t>
  </si>
  <si>
    <t>DEV000713</t>
  </si>
  <si>
    <t>Galaxy Tab Active3</t>
  </si>
  <si>
    <t>DEV000714</t>
  </si>
  <si>
    <t>Galaxy Tab Active4 Pro</t>
  </si>
  <si>
    <t>DEV000715</t>
  </si>
  <si>
    <t>DEV000716</t>
  </si>
  <si>
    <t>Galaxy Tab S6</t>
  </si>
  <si>
    <t>DEV000717</t>
  </si>
  <si>
    <t>DEV000718</t>
  </si>
  <si>
    <t>Galaxy Tab S7 FE</t>
  </si>
  <si>
    <t>DEV000719</t>
  </si>
  <si>
    <t>Galaxy Tab S7+</t>
  </si>
  <si>
    <t>DEV000720</t>
  </si>
  <si>
    <t>DEV000721</t>
  </si>
  <si>
    <t>Galaxy Tab S8+</t>
  </si>
  <si>
    <t>DEV000722</t>
  </si>
  <si>
    <t>Galaxy Tab S8 Ultra</t>
  </si>
  <si>
    <t>DEV000723</t>
  </si>
  <si>
    <t>DEV000724</t>
  </si>
  <si>
    <t>Galaxy Tab S9 FE</t>
  </si>
  <si>
    <t>DEV000725</t>
  </si>
  <si>
    <t>Galaxy Tab S9 FE+</t>
  </si>
  <si>
    <t>DEV000726</t>
  </si>
  <si>
    <t>Galaxy Tab S9+</t>
  </si>
  <si>
    <t>DEV000727</t>
  </si>
  <si>
    <t>Galaxy Tab S9 Ultra</t>
  </si>
  <si>
    <t>DEV000728</t>
  </si>
  <si>
    <t>DEV000729</t>
  </si>
  <si>
    <t>Galaxy Tab S10 Ultra</t>
  </si>
  <si>
    <t>DEV000730</t>
  </si>
  <si>
    <t>Xiaomi Pad 6</t>
  </si>
  <si>
    <t>DEV000731</t>
  </si>
  <si>
    <t>Pad 5</t>
  </si>
  <si>
    <t>DEV000732</t>
  </si>
  <si>
    <t>DEV000733</t>
  </si>
  <si>
    <t>Pad 5 Pro</t>
  </si>
  <si>
    <t>DEV000734</t>
  </si>
  <si>
    <t>ZTE Axon Pad</t>
  </si>
  <si>
    <t>DEV000735</t>
  </si>
  <si>
    <t>ZTE K98</t>
  </si>
  <si>
    <t>DEV000736</t>
  </si>
  <si>
    <t>WEAR</t>
  </si>
  <si>
    <t>DEV000737</t>
  </si>
  <si>
    <t>DEV000738</t>
  </si>
  <si>
    <t>DEV000739</t>
  </si>
  <si>
    <t>DEV000740</t>
  </si>
  <si>
    <t>DEV000741</t>
  </si>
  <si>
    <t>DEV000742</t>
  </si>
  <si>
    <t>DEV000743</t>
  </si>
  <si>
    <t>DEV000744</t>
  </si>
  <si>
    <t>DEV000745</t>
  </si>
  <si>
    <t>DEV000746</t>
  </si>
  <si>
    <t>DEV000747</t>
  </si>
  <si>
    <t>DEV000748</t>
  </si>
  <si>
    <t>DEV000749</t>
  </si>
  <si>
    <t>DEV000750</t>
  </si>
  <si>
    <t>DEV000751</t>
  </si>
  <si>
    <t>DEV000752</t>
  </si>
  <si>
    <t>DEV000753</t>
  </si>
  <si>
    <t>DEV000754</t>
  </si>
  <si>
    <t>DEV000755</t>
  </si>
  <si>
    <t>DEV000756</t>
  </si>
  <si>
    <t>DEV000757</t>
  </si>
  <si>
    <t>DEV000758</t>
  </si>
  <si>
    <t>DEV000759</t>
  </si>
  <si>
    <t>AirPods</t>
  </si>
  <si>
    <t>DEV000760</t>
  </si>
  <si>
    <t>AirPods Pro</t>
  </si>
  <si>
    <t>DEV000761</t>
  </si>
  <si>
    <t>AirPods Max</t>
  </si>
  <si>
    <t>DEV000762</t>
  </si>
  <si>
    <t>FIT</t>
  </si>
  <si>
    <t>Inspire 3</t>
  </si>
  <si>
    <t>DEV000763</t>
  </si>
  <si>
    <t>Charge 6</t>
  </si>
  <si>
    <t>DEV000764</t>
  </si>
  <si>
    <t>Sense 2</t>
  </si>
  <si>
    <t>DEV000765</t>
  </si>
  <si>
    <t>Versa 4</t>
  </si>
  <si>
    <t>DEV000766</t>
  </si>
  <si>
    <t>Charge 5</t>
  </si>
  <si>
    <t>DEV000767</t>
  </si>
  <si>
    <t>Charge 4</t>
  </si>
  <si>
    <t>DEV000768</t>
  </si>
  <si>
    <t>Luxe</t>
  </si>
  <si>
    <t>DEV000769</t>
  </si>
  <si>
    <t>Ace LTE</t>
  </si>
  <si>
    <t>DEV000770</t>
  </si>
  <si>
    <t>GAR</t>
  </si>
  <si>
    <t>Forerunner 165</t>
  </si>
  <si>
    <t>DEV000771</t>
  </si>
  <si>
    <t>Fenix 8</t>
  </si>
  <si>
    <t>DEV000772</t>
  </si>
  <si>
    <t>Forerunner 965</t>
  </si>
  <si>
    <t>DEV000773</t>
  </si>
  <si>
    <t>Venu 3</t>
  </si>
  <si>
    <t>DEV000774</t>
  </si>
  <si>
    <t>Epix Pro</t>
  </si>
  <si>
    <t>DEV000775</t>
  </si>
  <si>
    <t>Instinct 2X</t>
  </si>
  <si>
    <t>DEV000776</t>
  </si>
  <si>
    <t>Fenix 7</t>
  </si>
  <si>
    <t>DEV000777</t>
  </si>
  <si>
    <t>Fenix 7 Pro</t>
  </si>
  <si>
    <t>DEV000778</t>
  </si>
  <si>
    <t>Fenix 6</t>
  </si>
  <si>
    <t>DEV000779</t>
  </si>
  <si>
    <t>Forerunner 265</t>
  </si>
  <si>
    <t>DEV000780</t>
  </si>
  <si>
    <t>Forerunner 55</t>
  </si>
  <si>
    <t>DEV000781</t>
  </si>
  <si>
    <t>Vivoactive 5</t>
  </si>
  <si>
    <t>DEV000782</t>
  </si>
  <si>
    <t>Enduro 2</t>
  </si>
  <si>
    <t>DEV000783</t>
  </si>
  <si>
    <t>Pixel Watch 2</t>
  </si>
  <si>
    <t>DEV000784</t>
  </si>
  <si>
    <t>Pixel Watch</t>
  </si>
  <si>
    <t>DEV000785</t>
  </si>
  <si>
    <t>Pixel Watch 3</t>
  </si>
  <si>
    <t>DEV000786</t>
  </si>
  <si>
    <t>Pixel Watch LTE</t>
  </si>
  <si>
    <t>DEV000787</t>
  </si>
  <si>
    <t>DEV000788</t>
  </si>
  <si>
    <t>Galaxy Watch FE</t>
  </si>
  <si>
    <t>DEV000789</t>
  </si>
  <si>
    <t>Galaxy Watch6 Classic</t>
  </si>
  <si>
    <t>DEV000790</t>
  </si>
  <si>
    <t>Galaxy Watch7</t>
  </si>
  <si>
    <t>DEV000791</t>
  </si>
  <si>
    <t>DEV000792</t>
  </si>
  <si>
    <t>Galaxy Fit3</t>
  </si>
  <si>
    <t>DEV000793</t>
  </si>
  <si>
    <t>DEV000794</t>
  </si>
  <si>
    <t>DEV000795</t>
  </si>
  <si>
    <t>Galaxy Watch5 Pro</t>
  </si>
  <si>
    <t>DEV000796</t>
  </si>
  <si>
    <t>DEV000797</t>
  </si>
  <si>
    <t>Galaxy Watch4 Classic</t>
  </si>
  <si>
    <t>DEV000798</t>
  </si>
  <si>
    <t>Galaxy Fit2</t>
  </si>
  <si>
    <t>DEV000799</t>
  </si>
  <si>
    <t>DEV000800</t>
  </si>
  <si>
    <t>DEV000801</t>
  </si>
  <si>
    <t>Galaxy Watch Active2</t>
  </si>
  <si>
    <t>DEV000802</t>
  </si>
  <si>
    <t>DEV000803</t>
  </si>
  <si>
    <t>DEV000804</t>
  </si>
  <si>
    <t>DEV000805</t>
  </si>
  <si>
    <t>DEV000806</t>
  </si>
  <si>
    <t>DEV000807</t>
  </si>
  <si>
    <t>DEV000808</t>
  </si>
  <si>
    <t>DEV000809</t>
  </si>
  <si>
    <t>DEV000810</t>
  </si>
  <si>
    <t>DEV000811</t>
  </si>
  <si>
    <t>GAM</t>
  </si>
  <si>
    <t>DEV000812</t>
  </si>
  <si>
    <t>ROG Ally</t>
  </si>
  <si>
    <t>DEV000813</t>
  </si>
  <si>
    <t>Legion Go</t>
  </si>
  <si>
    <t>DEV000814</t>
  </si>
  <si>
    <t>Xbox One S</t>
  </si>
  <si>
    <t>DEV000815</t>
  </si>
  <si>
    <t>Xbox One</t>
  </si>
  <si>
    <t>DEV000816</t>
  </si>
  <si>
    <t>Xbox One X</t>
  </si>
  <si>
    <t>DEV000817</t>
  </si>
  <si>
    <t>Xbox Series S</t>
  </si>
  <si>
    <t>DEV000818</t>
  </si>
  <si>
    <t>Xbox Series X</t>
  </si>
  <si>
    <t>DEV000819</t>
  </si>
  <si>
    <t>NTD</t>
  </si>
  <si>
    <t>Nintendo Switch Lite</t>
  </si>
  <si>
    <t>DEV000820</t>
  </si>
  <si>
    <t>Nintendo Switch</t>
  </si>
  <si>
    <t>DEV000821</t>
  </si>
  <si>
    <t>DEV000822</t>
  </si>
  <si>
    <t>Nintendo Switch HAC-001</t>
  </si>
  <si>
    <t>DEV000823</t>
  </si>
  <si>
    <t>Nintendo Switch OLED HEG-001</t>
  </si>
  <si>
    <t>DEV000824</t>
  </si>
  <si>
    <t>PlayStation VR2</t>
  </si>
  <si>
    <t>DEV000825</t>
  </si>
  <si>
    <t>PlayStation 4</t>
  </si>
  <si>
    <t>DEV000826</t>
  </si>
  <si>
    <t>PlayStation 4 Slim</t>
  </si>
  <si>
    <t>DEV000827</t>
  </si>
  <si>
    <t>PlayStation 4 Pro</t>
  </si>
  <si>
    <t>DEV000828</t>
  </si>
  <si>
    <t>PlayStation 5</t>
  </si>
  <si>
    <t>DEV000829</t>
  </si>
  <si>
    <t>PlayStation 5 Slim</t>
  </si>
  <si>
    <t>DEV000830</t>
  </si>
  <si>
    <t>PlayStation 5 Pro</t>
  </si>
  <si>
    <t>DEV000831</t>
  </si>
  <si>
    <t>DEV000832</t>
  </si>
  <si>
    <t>PlayStation VR</t>
  </si>
  <si>
    <t>DEV000833</t>
  </si>
  <si>
    <t>PlayStation 3</t>
  </si>
  <si>
    <t>DEV000834</t>
  </si>
  <si>
    <t>PlayStation Vita</t>
  </si>
  <si>
    <t>DEV000835</t>
  </si>
  <si>
    <t>VAL</t>
  </si>
  <si>
    <t>Steam Deck</t>
  </si>
  <si>
    <t>DEV000836</t>
  </si>
  <si>
    <t>Steam Deck LCD</t>
  </si>
  <si>
    <t>DEV000837</t>
  </si>
  <si>
    <t>Device Pairing</t>
  </si>
  <si>
    <t>Accessory Services</t>
  </si>
  <si>
    <t>Accessory Setup</t>
  </si>
  <si>
    <t>Case Installation</t>
  </si>
  <si>
    <t>Storage Upgrade</t>
  </si>
  <si>
    <t>Battery Upgrade</t>
  </si>
  <si>
    <t>Dust Removal</t>
  </si>
  <si>
    <t>Maintenance</t>
  </si>
  <si>
    <t>Corrosion Cleaning</t>
  </si>
  <si>
    <t>External Cleaning</t>
  </si>
  <si>
    <t>Internal Cleaning</t>
  </si>
  <si>
    <t>Liquid Damage Inspection</t>
  </si>
  <si>
    <t>Software Diagnostic</t>
  </si>
  <si>
    <t>Hardware Diagnostic</t>
  </si>
  <si>
    <t>Diagnostic</t>
  </si>
  <si>
    <t>Software Services</t>
  </si>
  <si>
    <t>Data Transfer</t>
  </si>
  <si>
    <t>Backup Service</t>
  </si>
  <si>
    <t>Account Recovery</t>
  </si>
  <si>
    <t>Password Reset</t>
  </si>
  <si>
    <t>Device Optimization</t>
  </si>
  <si>
    <t>Device Setup</t>
  </si>
  <si>
    <t>Driver Installation</t>
  </si>
  <si>
    <t>Firmware Update</t>
  </si>
  <si>
    <t>Operating System Reinstallation</t>
  </si>
  <si>
    <t>Software Troubleshooting</t>
  </si>
  <si>
    <t>Hardware Repair</t>
  </si>
  <si>
    <t>USB Port Repair</t>
  </si>
  <si>
    <t>HDMI Port Repair</t>
  </si>
  <si>
    <t>Logic Board Repair</t>
  </si>
  <si>
    <t>Board-Level Repair</t>
  </si>
  <si>
    <t>Motherboard Repair</t>
  </si>
  <si>
    <t>GPS Repair</t>
  </si>
  <si>
    <t>NFC Repair</t>
  </si>
  <si>
    <t>Bluetooth Repair</t>
  </si>
  <si>
    <t>Wi-Fi Repair</t>
  </si>
  <si>
    <t>Antenna Repair</t>
  </si>
  <si>
    <t>SD Card Reader Repair</t>
  </si>
  <si>
    <t>SIM Reader Repair</t>
  </si>
  <si>
    <t>Gaming</t>
  </si>
  <si>
    <t>Back Glass Replacement</t>
  </si>
  <si>
    <t>Midframe Replacement</t>
  </si>
  <si>
    <t>Housing Replacement</t>
  </si>
  <si>
    <t>Fingerprint Sensor Repair</t>
  </si>
  <si>
    <t>Touch ID Repair</t>
  </si>
  <si>
    <t>Face ID Repair</t>
  </si>
  <si>
    <t>Device Cleaning</t>
  </si>
  <si>
    <t>Home Button Repair</t>
  </si>
  <si>
    <t>Volume Button Repair</t>
  </si>
  <si>
    <t>Power Button Repair</t>
  </si>
  <si>
    <t>Performance Optimization</t>
  </si>
  <si>
    <t>Button Replacement</t>
  </si>
  <si>
    <t>Button Repair</t>
  </si>
  <si>
    <t>Vibrator Motor Replacement</t>
  </si>
  <si>
    <t>Microphone Replacement</t>
  </si>
  <si>
    <t>Loudspeaker Replacement</t>
  </si>
  <si>
    <t>Earpiece Speaker Replacement</t>
  </si>
  <si>
    <t>Speaker Replacement</t>
  </si>
  <si>
    <t>Water Damage Treatment</t>
  </si>
  <si>
    <t>Camera Lens Replacement</t>
  </si>
  <si>
    <t>Front Camera Replacement</t>
  </si>
  <si>
    <t>Rear Camera Replacement</t>
  </si>
  <si>
    <t>Charging Port Replacement</t>
  </si>
  <si>
    <t>Charging Port Repair</t>
  </si>
  <si>
    <t>Microphone Repair</t>
  </si>
  <si>
    <t>Glass Replacement</t>
  </si>
  <si>
    <t>Digitizer Replacement</t>
  </si>
  <si>
    <t>LCD Replacement</t>
  </si>
  <si>
    <t>OLED Replacement</t>
  </si>
  <si>
    <t>Screen Repair</t>
  </si>
  <si>
    <t>Internal Notes</t>
  </si>
  <si>
    <t>Taxable</t>
  </si>
  <si>
    <t>Default Warranty (Days)</t>
  </si>
  <si>
    <t>Estimated Time (Min)</t>
  </si>
  <si>
    <t>Applies To</t>
  </si>
  <si>
    <t>Service Description</t>
  </si>
  <si>
    <t>Service Type</t>
  </si>
  <si>
    <t>Default Labor Time</t>
  </si>
  <si>
    <t>Default Warranty</t>
  </si>
  <si>
    <t>Repair Type</t>
  </si>
  <si>
    <t xml:space="preserve">Requires Part </t>
  </si>
  <si>
    <t>Requires Labor</t>
  </si>
  <si>
    <t>Estimated Labor (hrs)</t>
  </si>
  <si>
    <t>Warranty Eligible</t>
  </si>
  <si>
    <t>Repair Difficulty</t>
  </si>
  <si>
    <t>SVC000001</t>
  </si>
  <si>
    <t>SVC000002</t>
  </si>
  <si>
    <t>SVC000003</t>
  </si>
  <si>
    <t>SVC000004</t>
  </si>
  <si>
    <t>SVC000005</t>
  </si>
  <si>
    <t>SVC000006</t>
  </si>
  <si>
    <t>Glass Only Repair</t>
  </si>
  <si>
    <t>SVC000007</t>
  </si>
  <si>
    <t>SVC000008</t>
  </si>
  <si>
    <t>Battery Diagnostic</t>
  </si>
  <si>
    <t>SVC000009</t>
  </si>
  <si>
    <t>SVC000010</t>
  </si>
  <si>
    <t>SVC000011</t>
  </si>
  <si>
    <t>Charging Port Cleaning</t>
  </si>
  <si>
    <t>SVC000012</t>
  </si>
  <si>
    <t>Wireless Charging Repair</t>
  </si>
  <si>
    <t>SVC000013</t>
  </si>
  <si>
    <t>SVC000014</t>
  </si>
  <si>
    <t>SVC000015</t>
  </si>
  <si>
    <t>SVC000016</t>
  </si>
  <si>
    <t>SVC000017</t>
  </si>
  <si>
    <t>SVC000018</t>
  </si>
  <si>
    <t>SVC000019</t>
  </si>
  <si>
    <t>Earpiece Replacement</t>
  </si>
  <si>
    <t>SVC000020</t>
  </si>
  <si>
    <t>Headphone Jack Repair</t>
  </si>
  <si>
    <t>SVC000021</t>
  </si>
  <si>
    <t>SVC000022</t>
  </si>
  <si>
    <t>SVC000023</t>
  </si>
  <si>
    <t>SVC000024</t>
  </si>
  <si>
    <t>Mute Switch Repair</t>
  </si>
  <si>
    <t>SVC000025</t>
  </si>
  <si>
    <t>Frame Replacement</t>
  </si>
  <si>
    <t>SVC000026</t>
  </si>
  <si>
    <t>SVC000027</t>
  </si>
  <si>
    <t>Rear Housing Repair</t>
  </si>
  <si>
    <t>SVC000028</t>
  </si>
  <si>
    <t>Hinge Repair</t>
  </si>
  <si>
    <t>SVC000029</t>
  </si>
  <si>
    <t>SVC000030</t>
  </si>
  <si>
    <t>Board Diagnosis</t>
  </si>
  <si>
    <t>SVC000031</t>
  </si>
  <si>
    <t>Micro Soldering</t>
  </si>
  <si>
    <t>SVC000032</t>
  </si>
  <si>
    <t>IC Replacement</t>
  </si>
  <si>
    <t>SVC000033</t>
  </si>
  <si>
    <t>OS Reinstallation</t>
  </si>
  <si>
    <t>SVC000034</t>
  </si>
  <si>
    <t>SVC000035</t>
  </si>
  <si>
    <t>Firmware Flash</t>
  </si>
  <si>
    <t>SVC000036</t>
  </si>
  <si>
    <t>SVC000037</t>
  </si>
  <si>
    <t>SVC000038</t>
  </si>
  <si>
    <t>SVC000039</t>
  </si>
  <si>
    <t>SVC000040</t>
  </si>
  <si>
    <t>SVC000041</t>
  </si>
  <si>
    <t>Basic Diagnostic</t>
  </si>
  <si>
    <t>SVC000042</t>
  </si>
  <si>
    <t>Advanced Diagnostic</t>
  </si>
  <si>
    <t>SVC000043</t>
  </si>
  <si>
    <t>Insurance Diagnostic</t>
  </si>
  <si>
    <t>SVC000044</t>
  </si>
  <si>
    <t>SVC000045</t>
  </si>
  <si>
    <t>Liquid Damage Cleaning</t>
  </si>
  <si>
    <t>SVC000046</t>
  </si>
  <si>
    <t>Corrosion Removal</t>
  </si>
  <si>
    <t>SVC000047</t>
  </si>
  <si>
    <t>SVC000048</t>
  </si>
  <si>
    <t>SSD Recovery</t>
  </si>
  <si>
    <t>SVC000049</t>
  </si>
  <si>
    <t>Flash Storage Recovery</t>
  </si>
  <si>
    <t>SVC000050</t>
  </si>
  <si>
    <t>Storage</t>
  </si>
  <si>
    <t>SVC000051</t>
  </si>
  <si>
    <t>HDD Replacement</t>
  </si>
  <si>
    <t>SVC000052</t>
  </si>
  <si>
    <t>Memory</t>
  </si>
  <si>
    <t>SVC000053</t>
  </si>
  <si>
    <t>Input</t>
  </si>
  <si>
    <t>SVC000054</t>
  </si>
  <si>
    <t>SVC000055</t>
  </si>
  <si>
    <t>Cooling</t>
  </si>
  <si>
    <t>SVC000056</t>
  </si>
  <si>
    <t>SVC000057</t>
  </si>
  <si>
    <t>CMOS Battery Replacement</t>
  </si>
  <si>
    <t>Power</t>
  </si>
  <si>
    <t>SVC000058</t>
  </si>
  <si>
    <t>Wi-Fi Card Replacement</t>
  </si>
  <si>
    <t>Connectivity</t>
  </si>
  <si>
    <t>SVC000059</t>
  </si>
  <si>
    <t>SVC000060</t>
  </si>
  <si>
    <t>SVC000061</t>
  </si>
  <si>
    <t>SVC000062</t>
  </si>
  <si>
    <t>SVC000063</t>
  </si>
  <si>
    <t>Ports</t>
  </si>
  <si>
    <t>SVC000064</t>
  </si>
  <si>
    <t>SVC000065</t>
  </si>
  <si>
    <t>USB-C Port Repair</t>
  </si>
  <si>
    <t>SVC000066</t>
  </si>
  <si>
    <t>Ethernet Port Repair</t>
  </si>
  <si>
    <t>SVC000067</t>
  </si>
  <si>
    <t>Joy-Con Repair</t>
  </si>
  <si>
    <t>SVC000068</t>
  </si>
  <si>
    <t>Controller Repair</t>
  </si>
  <si>
    <t>SVC000069</t>
  </si>
  <si>
    <t>HDMI IC Repair</t>
  </si>
  <si>
    <t>SVC000070</t>
  </si>
  <si>
    <t>Disc Drive Repair</t>
  </si>
  <si>
    <t>SVC000071</t>
  </si>
  <si>
    <t>Fan Cleaning</t>
  </si>
  <si>
    <t>SVC000072</t>
  </si>
  <si>
    <t>SVC000073</t>
  </si>
  <si>
    <t>SVC000074</t>
  </si>
  <si>
    <t>SVC000075</t>
  </si>
  <si>
    <t>Custom Repair</t>
  </si>
  <si>
    <t>Custom</t>
  </si>
  <si>
    <t>Compatibility ID</t>
  </si>
  <si>
    <t>Supported</t>
  </si>
  <si>
    <t>Requires Capability</t>
  </si>
  <si>
    <t>CMP000001</t>
  </si>
  <si>
    <t>CMP000002</t>
  </si>
  <si>
    <t>CMP000003</t>
  </si>
  <si>
    <t>CMP000004</t>
  </si>
  <si>
    <t>CMP000005</t>
  </si>
  <si>
    <t>CMP000006</t>
  </si>
  <si>
    <t>CMP000007</t>
  </si>
  <si>
    <t>CMP000008</t>
  </si>
  <si>
    <t>CMP000009</t>
  </si>
  <si>
    <t>CMP000010</t>
  </si>
  <si>
    <t>CMP000011</t>
  </si>
  <si>
    <t>CMP000012</t>
  </si>
  <si>
    <t>CMP000013</t>
  </si>
  <si>
    <t>CMP000014</t>
  </si>
  <si>
    <t>CMP000015</t>
  </si>
  <si>
    <t>CMP000016</t>
  </si>
  <si>
    <t>CMP000017</t>
  </si>
  <si>
    <t>CMP000018</t>
  </si>
  <si>
    <t>CMP000019</t>
  </si>
  <si>
    <t>CMP000020</t>
  </si>
  <si>
    <t>CMP000021</t>
  </si>
  <si>
    <t>CMP000022</t>
  </si>
  <si>
    <t>CMP000023</t>
  </si>
  <si>
    <t>CMP000024</t>
  </si>
  <si>
    <t>CMP000025</t>
  </si>
  <si>
    <t>CMP000026</t>
  </si>
  <si>
    <t>CMP000027</t>
  </si>
  <si>
    <t>CMP000028</t>
  </si>
  <si>
    <t>CMP000029</t>
  </si>
  <si>
    <t>CMP000030</t>
  </si>
  <si>
    <t>CMP000031</t>
  </si>
  <si>
    <t>CMP000032</t>
  </si>
  <si>
    <t>CMP000033</t>
  </si>
  <si>
    <t>CMP000034</t>
  </si>
  <si>
    <t>CMP000035</t>
  </si>
  <si>
    <t>CMP000036</t>
  </si>
  <si>
    <t>CMP000037</t>
  </si>
  <si>
    <t>CMP000038</t>
  </si>
  <si>
    <t>CMP000039</t>
  </si>
  <si>
    <t>CMP000040</t>
  </si>
  <si>
    <t>CMP000041</t>
  </si>
  <si>
    <t>CMP000042</t>
  </si>
  <si>
    <t>CMP000043</t>
  </si>
  <si>
    <t>CMP000044</t>
  </si>
  <si>
    <t>CMP000045</t>
  </si>
  <si>
    <t>CMP000046</t>
  </si>
  <si>
    <t>CMP000047</t>
  </si>
  <si>
    <t>CMP000048</t>
  </si>
  <si>
    <t>CMP000049</t>
  </si>
  <si>
    <t>CMP000050</t>
  </si>
  <si>
    <t>CMP000051</t>
  </si>
  <si>
    <t>CMP000052</t>
  </si>
  <si>
    <t>CMP000053</t>
  </si>
  <si>
    <t>CMP000054</t>
  </si>
  <si>
    <t>CMP000055</t>
  </si>
  <si>
    <t>CMP000056</t>
  </si>
  <si>
    <t>CMP000057</t>
  </si>
  <si>
    <t>CMP000058</t>
  </si>
  <si>
    <t>CMP000059</t>
  </si>
  <si>
    <t>CMP000060</t>
  </si>
  <si>
    <t>CMP000061</t>
  </si>
  <si>
    <t>CMP000062</t>
  </si>
  <si>
    <t>CMP000063</t>
  </si>
  <si>
    <t>CMP000064</t>
  </si>
  <si>
    <t>CMP000065</t>
  </si>
  <si>
    <t>CMP000066</t>
  </si>
  <si>
    <t>CMP000067</t>
  </si>
  <si>
    <t>CMP000068</t>
  </si>
  <si>
    <t>CMP000069</t>
  </si>
  <si>
    <t>CMP000070</t>
  </si>
  <si>
    <t>CMP000071</t>
  </si>
  <si>
    <t>CMP000072</t>
  </si>
  <si>
    <t>CMP000073</t>
  </si>
  <si>
    <t>CMP000074</t>
  </si>
  <si>
    <t>CMP000075</t>
  </si>
  <si>
    <t>CMP000076</t>
  </si>
  <si>
    <t>CMP000077</t>
  </si>
  <si>
    <t>CMP000078</t>
  </si>
  <si>
    <t>CMP000079</t>
  </si>
  <si>
    <t>CMP000080</t>
  </si>
  <si>
    <t>CMP000081</t>
  </si>
  <si>
    <t>CMP000082</t>
  </si>
  <si>
    <t>https://www.zte.com.cn</t>
  </si>
  <si>
    <t>https://www.vivo.com</t>
  </si>
  <si>
    <t>Vivo</t>
  </si>
  <si>
    <t>https://www.valvesoftware.com</t>
  </si>
  <si>
    <t>Valve</t>
  </si>
  <si>
    <t>https://www.mi.com</t>
  </si>
  <si>
    <t>https://www.starlink.com</t>
  </si>
  <si>
    <t>Starlink</t>
  </si>
  <si>
    <t>https://www.sony.com</t>
  </si>
  <si>
    <t>https://www.samsung.com</t>
  </si>
  <si>
    <t>https://www.realme.com</t>
  </si>
  <si>
    <t>Realme</t>
  </si>
  <si>
    <t>https://www.razer.com</t>
  </si>
  <si>
    <t>Razer</t>
  </si>
  <si>
    <t>https://www.oppo.com</t>
  </si>
  <si>
    <t>OPPO</t>
  </si>
  <si>
    <t>https://www.oneplus.com</t>
  </si>
  <si>
    <t>https://global.nubia.com</t>
  </si>
  <si>
    <t>Nubia</t>
  </si>
  <si>
    <t>https://nothing.tech</t>
  </si>
  <si>
    <t>Nothing</t>
  </si>
  <si>
    <t>https://www.nokia.com</t>
  </si>
  <si>
    <t>https://www.nintendo.com</t>
  </si>
  <si>
    <t>https://www.msi.com</t>
  </si>
  <si>
    <t>https://www.motorola.com</t>
  </si>
  <si>
    <t>https://www.microsoft.com</t>
  </si>
  <si>
    <t>https://www.lg.com</t>
  </si>
  <si>
    <t>https://www.lenovo.com</t>
  </si>
  <si>
    <t>https://www.iqoo.com</t>
  </si>
  <si>
    <t>iQOO</t>
  </si>
  <si>
    <t>https://consumer.huawei.com</t>
  </si>
  <si>
    <t>https://www.hp.com</t>
  </si>
  <si>
    <t>https://www.honor.com</t>
  </si>
  <si>
    <t>Honor</t>
  </si>
  <si>
    <t>https://www.hmd.com</t>
  </si>
  <si>
    <t>https://store.google.com</t>
  </si>
  <si>
    <t>https://www.garmin.com</t>
  </si>
  <si>
    <t>Garmin</t>
  </si>
  <si>
    <t>https://frame.work</t>
  </si>
  <si>
    <t>Framework</t>
  </si>
  <si>
    <t>https://www.fitbit.com</t>
  </si>
  <si>
    <t>Fitbit</t>
  </si>
  <si>
    <t>https://www.dell.com</t>
  </si>
  <si>
    <t>https://www.asus.com</t>
  </si>
  <si>
    <t>Asus</t>
  </si>
  <si>
    <t>https://www.amazon.com</t>
  </si>
  <si>
    <t>Amazon</t>
  </si>
  <si>
    <t>https://www.alienware.com</t>
  </si>
  <si>
    <t>Alienware</t>
  </si>
  <si>
    <t>https://www.apple.com</t>
  </si>
  <si>
    <t>https://www.acer.com</t>
  </si>
  <si>
    <t>Website</t>
  </si>
  <si>
    <t>Manufacturer ID</t>
  </si>
  <si>
    <t>Master list of supported device manufacturers used throughout the Nocturnix Catalog Database</t>
  </si>
  <si>
    <t>01. Manufacturers</t>
  </si>
  <si>
    <t>02. Device Families</t>
  </si>
  <si>
    <r>
      <t xml:space="preserve">This table defines the </t>
    </r>
    <r>
      <rPr>
        <b/>
        <sz val="11"/>
        <color theme="1"/>
        <rFont val="Aptos Narrow"/>
        <family val="2"/>
        <scheme val="minor"/>
      </rPr>
      <t>major device classifications</t>
    </r>
    <r>
      <rPr>
        <sz val="11"/>
        <color theme="1"/>
        <rFont val="Aptos Narrow"/>
        <family val="2"/>
        <scheme val="minor"/>
      </rPr>
      <t xml:space="preserve"> used throughout your entire system.</t>
    </r>
  </si>
  <si>
    <t>Smartphones and Mobile Phones</t>
  </si>
  <si>
    <t>Tablets and eReaders</t>
  </si>
  <si>
    <t>Computer</t>
  </si>
  <si>
    <t>Laptops, desktops, AIOs</t>
  </si>
  <si>
    <t>Wearable</t>
  </si>
  <si>
    <t>Smartwatches and wearables</t>
  </si>
  <si>
    <t>Consoles, and handheld gaming</t>
  </si>
  <si>
    <t>ACC</t>
  </si>
  <si>
    <t>Chargers, docks, keyboards, etc.</t>
  </si>
  <si>
    <t>TV Devices, Other hardware devices not listed</t>
  </si>
  <si>
    <t>Supplier</t>
  </si>
  <si>
    <t>MobileSentrix</t>
  </si>
  <si>
    <t>Primary phone/tablet supplier</t>
  </si>
  <si>
    <t>Injured Gadgets</t>
  </si>
  <si>
    <t>Backup supplier</t>
  </si>
  <si>
    <t>Mobile Defenders</t>
  </si>
  <si>
    <t>OEM/Premium parts</t>
  </si>
  <si>
    <t>Wholesale Gadget Parts</t>
  </si>
  <si>
    <t>Secondary supplier</t>
  </si>
  <si>
    <t>iFixit</t>
  </si>
  <si>
    <t>Tools and some parts</t>
  </si>
  <si>
    <t>Encompass</t>
  </si>
  <si>
    <t>OEM computer parts</t>
  </si>
  <si>
    <t>Lenovo Parts</t>
  </si>
  <si>
    <t>OEM laptop parts</t>
  </si>
  <si>
    <t>Dell Parts</t>
  </si>
  <si>
    <t>HP Parts Store</t>
  </si>
  <si>
    <t>Master</t>
  </si>
  <si>
    <t>Final Price</t>
  </si>
  <si>
    <t>Retail Part Markup</t>
  </si>
  <si>
    <t>Profit Margin %</t>
  </si>
  <si>
    <t>Processing Fee 1%</t>
  </si>
  <si>
    <t>Labor Cost</t>
  </si>
  <si>
    <t>Supplier Cost</t>
  </si>
  <si>
    <t>Supplier SKU</t>
  </si>
  <si>
    <t>Part Name</t>
  </si>
  <si>
    <t>Retail</t>
  </si>
  <si>
    <t>Processing Fees</t>
  </si>
  <si>
    <t>Part</t>
  </si>
  <si>
    <t>Labor</t>
  </si>
  <si>
    <t>Retail Pricing</t>
  </si>
  <si>
    <t>OLED Display</t>
  </si>
  <si>
    <t>Cost</t>
  </si>
  <si>
    <t>Parts Pricing</t>
  </si>
  <si>
    <t>Estimated Time</t>
  </si>
  <si>
    <t>Labor Price</t>
  </si>
  <si>
    <t>Labor Pricing</t>
  </si>
  <si>
    <t>tblEstimates</t>
  </si>
  <si>
    <t>tblInvoices</t>
  </si>
  <si>
    <t>tblPayments</t>
  </si>
  <si>
    <t>Parts</t>
  </si>
  <si>
    <t>Square Item Name</t>
  </si>
  <si>
    <t>SKU</t>
  </si>
  <si>
    <t>Column7</t>
  </si>
  <si>
    <t>Column6</t>
  </si>
  <si>
    <t>Column5</t>
  </si>
  <si>
    <t>Column4</t>
  </si>
  <si>
    <t>Column3</t>
  </si>
  <si>
    <t>Column2</t>
  </si>
  <si>
    <t>Column1</t>
  </si>
  <si>
    <t>tblPurchaseOrders</t>
  </si>
  <si>
    <t>#DIVIDERPAGE</t>
  </si>
  <si>
    <t>CUS000001</t>
  </si>
  <si>
    <t>CUS000002</t>
  </si>
  <si>
    <t>CUS000003</t>
  </si>
  <si>
    <t>CUS000004</t>
  </si>
  <si>
    <t>CUS000005</t>
  </si>
  <si>
    <t>CUS000006</t>
  </si>
  <si>
    <t>CUS000007</t>
  </si>
  <si>
    <t>CUS000008</t>
  </si>
  <si>
    <t>CUS000009</t>
  </si>
  <si>
    <t>CUS000010</t>
  </si>
  <si>
    <t>Residential</t>
  </si>
  <si>
    <t>Michael</t>
  </si>
  <si>
    <t>Johnson</t>
  </si>
  <si>
    <t>michael.johnson@email.com</t>
  </si>
  <si>
    <t>(802) 555-0101</t>
  </si>
  <si>
    <t>Sarah</t>
  </si>
  <si>
    <t>Miller</t>
  </si>
  <si>
    <t>sarah.miller@email.com</t>
  </si>
  <si>
    <t>(802) 555-0102</t>
  </si>
  <si>
    <t>David</t>
  </si>
  <si>
    <t>Thompson</t>
  </si>
  <si>
    <t>david.thompson@email.com</t>
  </si>
  <si>
    <t>(802) 555-0103</t>
  </si>
  <si>
    <t>Jennifer</t>
  </si>
  <si>
    <t>Adams</t>
  </si>
  <si>
    <t>jennifer.adams@email.com</t>
  </si>
  <si>
    <t>(802) 555-0104</t>
  </si>
  <si>
    <t>Christopher</t>
  </si>
  <si>
    <t>Wilson</t>
  </si>
  <si>
    <t>chris.wilson@email.com</t>
  </si>
  <si>
    <t>(802) 555-0105</t>
  </si>
  <si>
    <t>Green Mountain Tech</t>
  </si>
  <si>
    <t>Green Mountain Tech LLC</t>
  </si>
  <si>
    <t>service@gmtech.com</t>
  </si>
  <si>
    <t>(802) 555-0201</t>
  </si>
  <si>
    <t>Emily</t>
  </si>
  <si>
    <t>Carter</t>
  </si>
  <si>
    <t>Carter Photography</t>
  </si>
  <si>
    <t>emily@carterphoto.com</t>
  </si>
  <si>
    <t>(802) 555-0202</t>
  </si>
  <si>
    <t>Robert</t>
  </si>
  <si>
    <t>Harris</t>
  </si>
  <si>
    <t>Harris Construction</t>
  </si>
  <si>
    <t>office@harrisbuild.com</t>
  </si>
  <si>
    <t>(802) 555-0203</t>
  </si>
  <si>
    <t>Amanda</t>
  </si>
  <si>
    <t>Brooks</t>
  </si>
  <si>
    <t>amanda.brooks@email.com</t>
  </si>
  <si>
    <t>(802) 555-0109</t>
  </si>
  <si>
    <t>Daniel</t>
  </si>
  <si>
    <t>Foster</t>
  </si>
  <si>
    <t>Foster Consulting</t>
  </si>
  <si>
    <t>daniel@fosterconsulting.com</t>
  </si>
  <si>
    <t>(802) 555-0204</t>
  </si>
  <si>
    <t>Ticket ID</t>
  </si>
  <si>
    <t>Intake Date</t>
  </si>
  <si>
    <t>Problem Description</t>
  </si>
  <si>
    <t>Diagnosis</t>
  </si>
  <si>
    <t>Estimated Cost</t>
  </si>
  <si>
    <t>Final Cost</t>
  </si>
  <si>
    <t>Date Completed</t>
  </si>
  <si>
    <t>Date Picked Up</t>
  </si>
  <si>
    <t>Serial Number</t>
  </si>
  <si>
    <t>IMEI / Service Tag</t>
  </si>
  <si>
    <t>Color</t>
  </si>
  <si>
    <t>Carrier</t>
  </si>
  <si>
    <t>Purchase Date</t>
  </si>
  <si>
    <t>Warranty Expiration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</si>
</sst>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&quot;$&quot;#,##0.00"/>
    <numFmt numFmtId="166" formatCode="&quot;$&quot;#,##0.000"/>
    <numFmt numFmtId="167" formatCode="0.0%"/>
  </numFmts>
  <fonts count="2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theme="1"/>
      <name val="Poppins"/>
    </font>
    <font>
      <sz val="11"/>
      <color theme="1"/>
      <name val="Poppins"/>
    </font>
    <font>
      <b/>
      <sz val="11"/>
      <name val="Poppins"/>
    </font>
    <font>
      <sz val="11"/>
      <name val="Poppins"/>
    </font>
    <font>
      <b/>
      <sz val="14"/>
      <name val="Poppins"/>
    </font>
    <font>
      <b/>
      <sz val="18"/>
      <color rgb="FF002060"/>
      <name val="Poppins"/>
    </font>
    <font>
      <sz val="11"/>
      <color rgb="FF000000"/>
      <name val="Poppins"/>
    </font>
    <font>
      <b/>
      <sz val="10"/>
      <color theme="1"/>
      <name val="Poppins"/>
    </font>
    <font>
      <sz val="10"/>
      <color rgb="FF000000"/>
      <name val="Poppins"/>
    </font>
    <font>
      <b/>
      <sz val="10"/>
      <color theme="0"/>
      <name val="Poppins"/>
    </font>
    <font>
      <b/>
      <sz val="11"/>
      <color theme="1"/>
      <name val="Poppins"/>
    </font>
    <font>
      <sz val="10"/>
      <name val="Poppins"/>
    </font>
    <font>
      <b/>
      <sz val="10"/>
      <color rgb="FFFFFFFF"/>
      <name val="Poppins"/>
    </font>
    <font>
      <b/>
      <sz val="11"/>
      <color theme="0"/>
      <name val="Poppins"/>
    </font>
    <font>
      <u/>
      <sz val="10"/>
      <color theme="10"/>
      <name val="Poppins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8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081630"/>
        <bgColor indexed="64"/>
      </patternFill>
    </fill>
    <fill>
      <patternFill patternType="solid">
        <fgColor rgb="FFFBE2D5"/>
        <bgColor rgb="FFFBE2D5"/>
      </patternFill>
    </fill>
    <fill>
      <patternFill patternType="solid">
        <fgColor rgb="FFE97132"/>
        <bgColor rgb="FFE97132"/>
      </patternFill>
    </fill>
  </fills>
  <borders count="1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rgb="FFF1A983"/>
      </top>
      <bottom/>
      <diagonal/>
    </border>
    <border>
      <left/>
      <right/>
      <top/>
      <bottom style="thin">
        <color rgb="FFF1A983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1">
    <xf numFmtId="0" fontId="0" fillId="0" borderId="0" xfId="0"/>
    <xf numFmtId="0" fontId="2" fillId="0" borderId="0" xfId="0" applyFont="1"/>
    <xf numFmtId="0" fontId="3" fillId="0" borderId="0" xfId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5" fillId="0" borderId="2" xfId="0" applyFont="1" applyBorder="1"/>
    <xf numFmtId="0" fontId="5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9" fontId="5" fillId="0" borderId="0" xfId="0" applyNumberFormat="1" applyFont="1"/>
    <xf numFmtId="0" fontId="6" fillId="2" borderId="4" xfId="0" applyFont="1" applyFill="1" applyBorder="1"/>
    <xf numFmtId="0" fontId="6" fillId="2" borderId="5" xfId="0" applyFont="1" applyFill="1" applyBorder="1"/>
    <xf numFmtId="0" fontId="6" fillId="2" borderId="6" xfId="0" applyFont="1" applyFill="1" applyBorder="1"/>
    <xf numFmtId="0" fontId="10" fillId="0" borderId="0" xfId="0" applyFon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4" fillId="0" borderId="7" xfId="0" applyFont="1" applyBorder="1"/>
    <xf numFmtId="0" fontId="4" fillId="0" borderId="8" xfId="0" applyFont="1" applyBorder="1"/>
    <xf numFmtId="0" fontId="10" fillId="0" borderId="8" xfId="0" applyFont="1" applyBorder="1"/>
    <xf numFmtId="0" fontId="4" fillId="0" borderId="9" xfId="0" applyFont="1" applyBorder="1"/>
    <xf numFmtId="0" fontId="4" fillId="3" borderId="7" xfId="0" applyFont="1" applyFill="1" applyBorder="1"/>
    <xf numFmtId="0" fontId="4" fillId="3" borderId="8" xfId="0" applyFont="1" applyFill="1" applyBorder="1"/>
    <xf numFmtId="0" fontId="10" fillId="3" borderId="8" xfId="0" applyFont="1" applyFill="1" applyBorder="1"/>
    <xf numFmtId="0" fontId="4" fillId="3" borderId="9" xfId="0" applyFont="1" applyFill="1" applyBorder="1"/>
    <xf numFmtId="0" fontId="4" fillId="3" borderId="10" xfId="0" applyFont="1" applyFill="1" applyBorder="1"/>
    <xf numFmtId="0" fontId="4" fillId="3" borderId="11" xfId="0" applyFont="1" applyFill="1" applyBorder="1"/>
    <xf numFmtId="0" fontId="10" fillId="3" borderId="11" xfId="0" applyFont="1" applyFill="1" applyBorder="1"/>
    <xf numFmtId="0" fontId="4" fillId="3" borderId="12" xfId="0" applyFont="1" applyFill="1" applyBorder="1"/>
    <xf numFmtId="164" fontId="4" fillId="0" borderId="0" xfId="0" applyNumberFormat="1" applyFont="1" applyAlignment="1">
      <alignment vertical="center" wrapText="1"/>
    </xf>
    <xf numFmtId="0" fontId="12" fillId="0" borderId="0" xfId="0" applyFont="1"/>
    <xf numFmtId="0" fontId="5" fillId="0" borderId="2" xfId="0" applyFont="1" applyBorder="1" applyAlignment="1">
      <alignment horizontal="right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 wrapText="1"/>
    </xf>
    <xf numFmtId="0" fontId="1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right" vertical="center" wrapText="1"/>
    </xf>
    <xf numFmtId="0" fontId="14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8" fillId="0" borderId="0" xfId="0" quotePrefix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8" fillId="0" borderId="0" xfId="1" applyFont="1"/>
    <xf numFmtId="0" fontId="2" fillId="0" borderId="0" xfId="0" applyFont="1" applyAlignment="1">
      <alignment horizontal="center" vertical="center" wrapText="1"/>
    </xf>
    <xf numFmtId="0" fontId="19" fillId="5" borderId="13" xfId="0" applyFont="1" applyFill="1" applyBorder="1"/>
    <xf numFmtId="0" fontId="20" fillId="6" borderId="14" xfId="0" applyFont="1" applyFill="1" applyBorder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0" fillId="0" borderId="11" xfId="0" applyBorder="1"/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15" xfId="0" applyFont="1" applyBorder="1" applyAlignment="1">
      <alignment horizontal="left" vertical="center"/>
    </xf>
    <xf numFmtId="0" fontId="5" fillId="0" borderId="15" xfId="0" applyFont="1" applyBorder="1" applyAlignment="1">
      <alignment horizontal="left"/>
    </xf>
    <xf numFmtId="0" fontId="5" fillId="0" borderId="15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0" borderId="15" xfId="0" applyBorder="1"/>
    <xf numFmtId="0" fontId="0" fillId="0" borderId="11" xfId="0" applyBorder="1" applyAlignment="1">
      <alignment vertical="center"/>
    </xf>
    <xf numFmtId="0" fontId="23" fillId="0" borderId="0" xfId="0" applyFont="1"/>
    <xf numFmtId="0" fontId="24" fillId="0" borderId="0" xfId="1" applyFont="1" applyAlignment="1">
      <alignment vertical="center"/>
    </xf>
    <xf numFmtId="0" fontId="23" fillId="0" borderId="0" xfId="0" applyFont="1" applyAlignment="1">
      <alignment vertical="center" wrapText="1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165" fontId="0" fillId="0" borderId="0" xfId="0" applyNumberFormat="1"/>
    <xf numFmtId="9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horizontal="right" vertical="center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3" fillId="0" borderId="0" xfId="1" applyAlignment="1">
      <alignment vertical="center"/>
    </xf>
    <xf numFmtId="0" fontId="5" fillId="0" borderId="0" xfId="0" applyFont="1">
      <extLst>
        <ext xmlns:xfpb="http://schemas.microsoft.com/office/spreadsheetml/2022/featurepropertybag" uri="{C7286773-470A-42A8-94C5-96B5CB345126}">
          <xfpb:xfComplement i="0"/>
        </ext>
      </extLst>
    </xf>
    <xf numFmtId="0" fontId="20" fillId="0" borderId="14" xfId="0" applyFont="1" applyBorder="1" applyAlignment="1">
      <alignment horizontal="center" vertical="center" wrapText="1"/>
    </xf>
    <xf numFmtId="0" fontId="19" fillId="0" borderId="0" xfId="0" applyFont="1"/>
    <xf numFmtId="0" fontId="19" fillId="0" borderId="13" xfId="0" applyFont="1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5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numFmt numFmtId="165" formatCode="&quot;$&quot;#,##0.00"/>
    </dxf>
    <dxf>
      <numFmt numFmtId="165" formatCode="&quot;$&quot;#,##0.00"/>
    </dxf>
    <dxf>
      <numFmt numFmtId="167" formatCode="0.0%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general" vertical="center" textRotation="0" wrapText="0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numFmt numFmtId="165" formatCode="&quot;$&quot;#,##0.0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  <border diagonalUp="0" diagonalDown="0">
        <left/>
        <right/>
        <top style="thin">
          <color rgb="FFF1A983"/>
        </top>
        <bottom/>
        <vertical/>
        <horizontal/>
      </border>
    </dxf>
    <dxf>
      <border outline="0">
        <top style="thin">
          <color rgb="FFF1A983"/>
        </top>
      </border>
    </dxf>
    <dxf>
      <border outline="0">
        <left style="thin">
          <color rgb="FFF1A983"/>
        </left>
        <right style="thin">
          <color rgb="FFF1A983"/>
        </right>
        <top style="thin">
          <color rgb="FFF1A983"/>
        </top>
        <bottom style="thin">
          <color rgb="FFF1A98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solid">
          <fgColor rgb="FFFBE2D5"/>
          <bgColor rgb="FFFBE2D5"/>
        </patternFill>
      </fill>
    </dxf>
    <dxf>
      <border outline="0">
        <bottom style="thin">
          <color rgb="FFF1A98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rgb="FFE97132"/>
          <bgColor rgb="FFE97132"/>
        </patternFill>
      </fill>
      <alignment horizontal="center" vertical="center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numFmt numFmtId="0" formatCode="General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  <border diagonalUp="0" diagonalDown="0" outline="0">
        <left/>
        <right/>
        <top style="thin">
          <color theme="5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border diagonalUp="0" diagonalDown="0" outline="0">
        <left style="thin">
          <color theme="5" tint="0.39997558519241921"/>
        </left>
        <right/>
        <top style="thin">
          <color theme="5" tint="0.39997558519241921"/>
        </top>
        <bottom/>
      </border>
    </dxf>
    <dxf>
      <border outline="0">
        <top style="thin">
          <color theme="4" tint="0.39997558519241921"/>
        </top>
        <bottom style="thin">
          <color theme="5" tint="0.39997558519241921"/>
        </bottom>
      </border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numFmt numFmtId="13" formatCode="0%"/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oppins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strike val="0"/>
        <outline val="0"/>
        <shadow val="0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oppins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  <alignment horizontal="righ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strike val="0"/>
        <outline val="0"/>
        <shadow val="0"/>
        <u val="none"/>
        <vertAlign val="baseline"/>
        <name val="Poppi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1.xml"/><Relationship Id="rId47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2.xml"/><Relationship Id="rId48" Type="http://schemas.microsoft.com/office/2022/11/relationships/FeaturePropertyBag" Target="featurePropertyBag/feature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velopment_Master_Database.xlsx" TargetMode="External"/><Relationship Id="rId2" Type="http://schemas.openxmlformats.org/officeDocument/2006/relationships/externalLinkPath" Target="file:///D:\Projects\Development_Master_Database.xlsx" TargetMode="External"/><Relationship Id="rId1" Type="http://schemas.openxmlformats.org/officeDocument/2006/relationships/externalLinkPath" Target="/Projects/Development_Master_Database.xlsx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Nocturnix%20Catalog%20Generator/Data/ARCHIVED_Nocturnix_Master_Database.xlsm" TargetMode="External"/><Relationship Id="rId2" Type="http://schemas.openxmlformats.org/officeDocument/2006/relationships/externalLinkPath" Target="file:///D:\Projects\Nocturnix%20Catalog%20Generator\Data\ARCHIVED_Nocturnix_Master_Database.xlsm" TargetMode="External"/><Relationship Id="rId1" Type="http://schemas.openxmlformats.org/officeDocument/2006/relationships/externalLinkPath" Target="/Projects/Nocturnix%20Catalog%20Generator/Data/ARCHIVED_Nocturnix_Master_Databas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01. Manufacturers"/>
      <sheetName val="102. Device Families"/>
      <sheetName val="103. Devices"/>
      <sheetName val="104. Master Services"/>
      <sheetName val="105. Service Lookup"/>
      <sheetName val="106. Capabilities"/>
      <sheetName val="107. Compatibility Matrix"/>
      <sheetName val="108. Pricing"/>
      <sheetName val="109. Labor Guide"/>
      <sheetName val="110. Parts Catalog"/>
      <sheetName val="111. Suppliers"/>
      <sheetName val="Development_Master_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TOC - Table of Contents"/>
      <sheetName val="2. Workbook Standards"/>
      <sheetName val="3. Brand Colors &amp; Theme"/>
      <sheetName val="4. System Blueprint"/>
      <sheetName val="5. System Architecture"/>
      <sheetName val="6. Entity Relationship Diagram"/>
      <sheetName val="7. Data Dictonary"/>
      <sheetName val="8A. Master Device Catalog"/>
      <sheetName val="9. Repair Settings"/>
      <sheetName val="10. System Settings"/>
      <sheetName val="11. Data Validation"/>
      <sheetName val="22. Repair Attachments"/>
      <sheetName val="23. Master Service Catalog"/>
      <sheetName val="24. Labor Guide"/>
      <sheetName val="25. Pricing Matrix"/>
      <sheetName val="29. Taxes &amp; Fees"/>
      <sheetName val="30. Discounts"/>
      <sheetName val="31. Parts Catalog"/>
      <sheetName val="32. Inventory Tracking"/>
      <sheetName val="33. Tool Inventory"/>
      <sheetName val="34. Suppliers"/>
      <sheetName val="36. Inventory Transactions"/>
      <sheetName val="37. Raw Import"/>
      <sheetName val="43. Inventory Reports"/>
      <sheetName val="44. Audit Log"/>
      <sheetName val="45. Suppliers"/>
      <sheetName val="46. Defined Lists"/>
      <sheetName val="47. Sorted List"/>
      <sheetName val="48. Lists"/>
      <sheetName val="49. Catalog"/>
      <sheetName val="51. Compatibility Matrix"/>
      <sheetName val="52. Categories"/>
      <sheetName val="55. Devices"/>
      <sheetName val="56. Capabilities"/>
      <sheetName val="58. Master Services"/>
      <sheetName val="100. Dashboard"/>
      <sheetName val="113. Customers"/>
      <sheetName val="114. Repair Tickets"/>
      <sheetName val="115. Diagnostics"/>
      <sheetName val="116. Estimates"/>
      <sheetName val="117. Invoices"/>
      <sheetName val="118. Payments"/>
      <sheetName val="119. Reports"/>
      <sheetName val="120.Helper"/>
      <sheetName val="121. Raw Data"/>
      <sheetName val="199. Data Dictionary"/>
      <sheetName val="200. Dropdown Sheet"/>
      <sheetName val="00. Import"/>
      <sheetName val="31. Warranty Typ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F5" t="str">
            <v>iPhone (2G)</v>
          </cell>
          <cell r="G5" t="str">
            <v>A1203</v>
          </cell>
          <cell r="H5">
            <v>2007</v>
          </cell>
        </row>
        <row r="6">
          <cell r="F6" t="str">
            <v>iPhone 3G</v>
          </cell>
          <cell r="G6" t="str">
            <v>A1241</v>
          </cell>
          <cell r="H6">
            <v>2008</v>
          </cell>
        </row>
        <row r="7">
          <cell r="F7" t="str">
            <v>iPhone 3GS</v>
          </cell>
          <cell r="G7" t="str">
            <v>A1303</v>
          </cell>
          <cell r="H7">
            <v>2009</v>
          </cell>
        </row>
        <row r="8">
          <cell r="F8" t="str">
            <v>iPhone 4</v>
          </cell>
          <cell r="G8" t="str">
            <v>A1332</v>
          </cell>
          <cell r="H8">
            <v>2010</v>
          </cell>
        </row>
        <row r="9">
          <cell r="F9" t="str">
            <v>iPhone 4s</v>
          </cell>
          <cell r="G9" t="str">
            <v>A1387</v>
          </cell>
          <cell r="H9">
            <v>2011</v>
          </cell>
        </row>
        <row r="10">
          <cell r="F10" t="str">
            <v>iPhone 5</v>
          </cell>
          <cell r="G10" t="str">
            <v>A1428</v>
          </cell>
          <cell r="H10">
            <v>2012</v>
          </cell>
        </row>
        <row r="11">
          <cell r="F11" t="str">
            <v>iPhone 5c</v>
          </cell>
          <cell r="G11" t="str">
            <v>A1532</v>
          </cell>
          <cell r="H11">
            <v>2013</v>
          </cell>
        </row>
        <row r="12">
          <cell r="F12" t="str">
            <v>iPhone 5s</v>
          </cell>
          <cell r="G12" t="str">
            <v>A1533</v>
          </cell>
          <cell r="H12">
            <v>2013</v>
          </cell>
        </row>
        <row r="13">
          <cell r="F13" t="str">
            <v>iPhone 6</v>
          </cell>
          <cell r="G13" t="str">
            <v>A1549</v>
          </cell>
          <cell r="H13">
            <v>2014</v>
          </cell>
        </row>
        <row r="14">
          <cell r="F14" t="str">
            <v>iPhone 6 Plus</v>
          </cell>
          <cell r="G14" t="str">
            <v>A1522</v>
          </cell>
          <cell r="H14">
            <v>2014</v>
          </cell>
        </row>
        <row r="15">
          <cell r="F15" t="str">
            <v>iPhone 6s</v>
          </cell>
          <cell r="G15" t="str">
            <v>A1633</v>
          </cell>
          <cell r="H15">
            <v>2015</v>
          </cell>
        </row>
        <row r="16">
          <cell r="F16" t="str">
            <v>iPhone 6s Plus</v>
          </cell>
          <cell r="G16" t="str">
            <v>A1634</v>
          </cell>
          <cell r="H16">
            <v>2015</v>
          </cell>
        </row>
        <row r="17">
          <cell r="F17" t="str">
            <v>iPhone SE (1st Gen)</v>
          </cell>
          <cell r="G17" t="str">
            <v>A1662</v>
          </cell>
          <cell r="H17">
            <v>2016</v>
          </cell>
        </row>
        <row r="18">
          <cell r="F18" t="str">
            <v>iPhone 7</v>
          </cell>
          <cell r="G18" t="str">
            <v>A1660</v>
          </cell>
          <cell r="H18">
            <v>2016</v>
          </cell>
        </row>
        <row r="19">
          <cell r="F19" t="str">
            <v>iPhone 7 Plus</v>
          </cell>
          <cell r="G19" t="str">
            <v>A1661</v>
          </cell>
          <cell r="H19">
            <v>2016</v>
          </cell>
        </row>
        <row r="20">
          <cell r="F20" t="str">
            <v>iPhone 8</v>
          </cell>
          <cell r="G20" t="str">
            <v>A1863</v>
          </cell>
          <cell r="H20">
            <v>2017</v>
          </cell>
        </row>
        <row r="21">
          <cell r="F21" t="str">
            <v>iPhone 8 Plus</v>
          </cell>
          <cell r="G21" t="str">
            <v>A1864</v>
          </cell>
          <cell r="H21">
            <v>2017</v>
          </cell>
        </row>
        <row r="22">
          <cell r="F22" t="str">
            <v>iPhone X</v>
          </cell>
          <cell r="G22" t="str">
            <v>A1865</v>
          </cell>
          <cell r="H22">
            <v>2017</v>
          </cell>
        </row>
        <row r="23">
          <cell r="F23" t="str">
            <v>iPhone XR</v>
          </cell>
          <cell r="G23" t="str">
            <v>A1984</v>
          </cell>
          <cell r="H23">
            <v>2018</v>
          </cell>
        </row>
        <row r="24">
          <cell r="F24" t="str">
            <v>iPhone XS</v>
          </cell>
          <cell r="G24" t="str">
            <v>A1920</v>
          </cell>
          <cell r="H24">
            <v>2018</v>
          </cell>
        </row>
        <row r="25">
          <cell r="F25" t="str">
            <v>iPhone XS Max</v>
          </cell>
          <cell r="G25" t="str">
            <v>A1921</v>
          </cell>
          <cell r="H25">
            <v>2018</v>
          </cell>
        </row>
        <row r="26">
          <cell r="F26" t="str">
            <v>iPhone 11</v>
          </cell>
          <cell r="G26" t="str">
            <v>A2111</v>
          </cell>
          <cell r="H26">
            <v>2019</v>
          </cell>
        </row>
        <row r="27">
          <cell r="F27" t="str">
            <v>iPhone 11 Pro</v>
          </cell>
          <cell r="G27" t="str">
            <v>A2160</v>
          </cell>
          <cell r="H27">
            <v>2019</v>
          </cell>
        </row>
        <row r="28">
          <cell r="F28" t="str">
            <v>iPhone 11 Pro Max</v>
          </cell>
          <cell r="G28" t="str">
            <v>A2161</v>
          </cell>
          <cell r="H28">
            <v>2019</v>
          </cell>
        </row>
        <row r="29">
          <cell r="F29" t="str">
            <v>iPhone SE (2nd Generation)</v>
          </cell>
          <cell r="G29" t="str">
            <v>A2275</v>
          </cell>
          <cell r="H29">
            <v>2020</v>
          </cell>
        </row>
        <row r="30">
          <cell r="F30" t="str">
            <v>iPhone 12 mini</v>
          </cell>
          <cell r="G30" t="str">
            <v>A2176</v>
          </cell>
          <cell r="H30">
            <v>2020</v>
          </cell>
        </row>
        <row r="31">
          <cell r="F31" t="str">
            <v>iPhone 12</v>
          </cell>
          <cell r="G31" t="str">
            <v>A2172</v>
          </cell>
          <cell r="H31">
            <v>2020</v>
          </cell>
        </row>
        <row r="32">
          <cell r="F32" t="str">
            <v>iPhone 12 Pro</v>
          </cell>
          <cell r="G32" t="str">
            <v>A2341</v>
          </cell>
          <cell r="H32">
            <v>2020</v>
          </cell>
        </row>
        <row r="33">
          <cell r="F33" t="str">
            <v>iPhone 12 Pro Max</v>
          </cell>
          <cell r="G33" t="str">
            <v>A2342</v>
          </cell>
          <cell r="H33">
            <v>2020</v>
          </cell>
        </row>
        <row r="34">
          <cell r="F34" t="str">
            <v>iPhone 13 mini</v>
          </cell>
          <cell r="G34" t="str">
            <v>A2481</v>
          </cell>
          <cell r="H34">
            <v>2021</v>
          </cell>
        </row>
        <row r="35">
          <cell r="F35" t="str">
            <v>iPhone 13</v>
          </cell>
          <cell r="G35" t="str">
            <v>A2482</v>
          </cell>
          <cell r="H35">
            <v>2021</v>
          </cell>
        </row>
        <row r="36">
          <cell r="F36" t="str">
            <v>iPhone 13 Pro</v>
          </cell>
          <cell r="G36" t="str">
            <v>A2483</v>
          </cell>
          <cell r="H36">
            <v>2021</v>
          </cell>
        </row>
        <row r="37">
          <cell r="F37" t="str">
            <v>iPhone 13 Pro Max</v>
          </cell>
          <cell r="G37" t="str">
            <v>A2484</v>
          </cell>
          <cell r="H37">
            <v>2021</v>
          </cell>
        </row>
        <row r="38">
          <cell r="F38" t="str">
            <v>iPhone SE (3rd Generation)</v>
          </cell>
          <cell r="G38" t="str">
            <v>A2595</v>
          </cell>
          <cell r="H38">
            <v>2022</v>
          </cell>
        </row>
        <row r="39">
          <cell r="F39" t="str">
            <v>iPhone 14</v>
          </cell>
          <cell r="G39" t="str">
            <v>A2649</v>
          </cell>
          <cell r="H39">
            <v>2022</v>
          </cell>
        </row>
        <row r="40">
          <cell r="F40" t="str">
            <v>iPhone 14 Plus</v>
          </cell>
          <cell r="G40" t="str">
            <v>A2632</v>
          </cell>
          <cell r="H40">
            <v>2022</v>
          </cell>
        </row>
        <row r="41">
          <cell r="F41" t="str">
            <v>iPhone 14 Pro</v>
          </cell>
          <cell r="G41" t="str">
            <v>A2650</v>
          </cell>
          <cell r="H41">
            <v>2022</v>
          </cell>
        </row>
        <row r="42">
          <cell r="F42" t="str">
            <v>iPhone 14 Pro Max</v>
          </cell>
          <cell r="G42" t="str">
            <v>A2651</v>
          </cell>
          <cell r="H42">
            <v>2022</v>
          </cell>
        </row>
        <row r="43">
          <cell r="F43" t="str">
            <v>iPhone 15</v>
          </cell>
          <cell r="G43" t="str">
            <v>A2846</v>
          </cell>
          <cell r="H43">
            <v>2023</v>
          </cell>
        </row>
        <row r="44">
          <cell r="F44" t="str">
            <v>iPhone 15 Plus</v>
          </cell>
          <cell r="G44" t="str">
            <v>A2847</v>
          </cell>
          <cell r="H44">
            <v>2023</v>
          </cell>
        </row>
        <row r="45">
          <cell r="F45" t="str">
            <v>iPhone 15 Pro</v>
          </cell>
          <cell r="G45" t="str">
            <v>A2848</v>
          </cell>
          <cell r="H45">
            <v>2023</v>
          </cell>
        </row>
        <row r="46">
          <cell r="F46" t="str">
            <v>iPhone 15 Pro Max</v>
          </cell>
          <cell r="G46" t="str">
            <v>A2849</v>
          </cell>
          <cell r="H46">
            <v>2023</v>
          </cell>
        </row>
        <row r="47">
          <cell r="F47" t="str">
            <v>iPhone 16</v>
          </cell>
          <cell r="G47" t="str">
            <v>A3287</v>
          </cell>
          <cell r="H47">
            <v>2024</v>
          </cell>
        </row>
        <row r="48">
          <cell r="F48" t="str">
            <v>iPhone 16 Plus</v>
          </cell>
          <cell r="G48" t="str">
            <v>A3288</v>
          </cell>
          <cell r="H48">
            <v>2024</v>
          </cell>
        </row>
        <row r="49">
          <cell r="F49" t="str">
            <v>iPhone 16 Pro</v>
          </cell>
          <cell r="G49" t="str">
            <v>A3293</v>
          </cell>
          <cell r="H49">
            <v>2024</v>
          </cell>
        </row>
        <row r="50">
          <cell r="F50" t="str">
            <v>iPhone 16 Pro Max</v>
          </cell>
          <cell r="G50" t="str">
            <v>A3295</v>
          </cell>
          <cell r="H50">
            <v>2024</v>
          </cell>
        </row>
        <row r="51">
          <cell r="F51" t="str">
            <v>iPhone 16e</v>
          </cell>
          <cell r="G51" t="str">
            <v>A3409</v>
          </cell>
          <cell r="H51">
            <v>2025</v>
          </cell>
        </row>
        <row r="52">
          <cell r="F52" t="str">
            <v>iPad (1st Generation)</v>
          </cell>
          <cell r="G52" t="str">
            <v>A1219</v>
          </cell>
          <cell r="H52">
            <v>2010</v>
          </cell>
        </row>
        <row r="53">
          <cell r="F53" t="str">
            <v>iPad 2</v>
          </cell>
          <cell r="G53" t="str">
            <v>A1395</v>
          </cell>
          <cell r="H53">
            <v>2011</v>
          </cell>
        </row>
        <row r="54">
          <cell r="F54" t="str">
            <v>iPad (3rd Generation)</v>
          </cell>
          <cell r="G54" t="str">
            <v>A1416</v>
          </cell>
          <cell r="H54">
            <v>2012</v>
          </cell>
        </row>
        <row r="55">
          <cell r="F55" t="str">
            <v>iPad (4th Generation)</v>
          </cell>
          <cell r="G55" t="str">
            <v>A1458</v>
          </cell>
          <cell r="H55">
            <v>2012</v>
          </cell>
        </row>
        <row r="56">
          <cell r="F56" t="str">
            <v>iPad (5th Generation)</v>
          </cell>
          <cell r="G56" t="str">
            <v>A1822</v>
          </cell>
          <cell r="H56">
            <v>2017</v>
          </cell>
        </row>
        <row r="57">
          <cell r="F57" t="str">
            <v>iPad (6th Generation)</v>
          </cell>
          <cell r="G57" t="str">
            <v>A1893</v>
          </cell>
          <cell r="H57">
            <v>2018</v>
          </cell>
        </row>
        <row r="58">
          <cell r="F58" t="str">
            <v>iPad (7th Generation)</v>
          </cell>
          <cell r="G58" t="str">
            <v>A2197</v>
          </cell>
          <cell r="H58">
            <v>2019</v>
          </cell>
        </row>
        <row r="59">
          <cell r="F59" t="str">
            <v>iPad (8th Generation)</v>
          </cell>
          <cell r="G59" t="str">
            <v>A2270</v>
          </cell>
          <cell r="H59">
            <v>2020</v>
          </cell>
        </row>
        <row r="60">
          <cell r="F60" t="str">
            <v>iPad (9th Generation)</v>
          </cell>
          <cell r="G60" t="str">
            <v>A2602</v>
          </cell>
          <cell r="H60">
            <v>2021</v>
          </cell>
        </row>
        <row r="61">
          <cell r="F61" t="str">
            <v>iPad (10th Generation)</v>
          </cell>
          <cell r="G61" t="str">
            <v>A2696</v>
          </cell>
          <cell r="H61">
            <v>2022</v>
          </cell>
        </row>
        <row r="62">
          <cell r="F62" t="str">
            <v>iPad mini</v>
          </cell>
          <cell r="G62" t="str">
            <v>A1432</v>
          </cell>
          <cell r="H62">
            <v>2012</v>
          </cell>
        </row>
        <row r="63">
          <cell r="F63" t="str">
            <v>iPad mini 2</v>
          </cell>
          <cell r="G63" t="str">
            <v>A1489</v>
          </cell>
          <cell r="H63">
            <v>2013</v>
          </cell>
        </row>
        <row r="64">
          <cell r="F64" t="str">
            <v>iPad mini 3</v>
          </cell>
          <cell r="G64" t="str">
            <v>A1599</v>
          </cell>
          <cell r="H64">
            <v>2014</v>
          </cell>
        </row>
        <row r="65">
          <cell r="F65" t="str">
            <v>iPad mini 4</v>
          </cell>
          <cell r="G65" t="str">
            <v>A1538</v>
          </cell>
          <cell r="H65">
            <v>2015</v>
          </cell>
        </row>
        <row r="66">
          <cell r="F66" t="str">
            <v>iPad mini (5th Generation)</v>
          </cell>
          <cell r="G66" t="str">
            <v>A2133</v>
          </cell>
          <cell r="H66">
            <v>2019</v>
          </cell>
        </row>
        <row r="67">
          <cell r="F67" t="str">
            <v>iPad mini (6th Generation)</v>
          </cell>
          <cell r="G67" t="str">
            <v>A2567</v>
          </cell>
          <cell r="H67">
            <v>2021</v>
          </cell>
        </row>
        <row r="68">
          <cell r="F68" t="str">
            <v>iPad Air</v>
          </cell>
          <cell r="G68" t="str">
            <v>A1474</v>
          </cell>
          <cell r="H68">
            <v>2013</v>
          </cell>
        </row>
        <row r="69">
          <cell r="F69" t="str">
            <v>iPad Air 2</v>
          </cell>
          <cell r="G69" t="str">
            <v>A1566</v>
          </cell>
          <cell r="H69">
            <v>2014</v>
          </cell>
        </row>
        <row r="70">
          <cell r="F70" t="str">
            <v>iPad Air (3rd Generation)</v>
          </cell>
          <cell r="G70" t="str">
            <v>A2152</v>
          </cell>
          <cell r="H70">
            <v>2019</v>
          </cell>
        </row>
        <row r="71">
          <cell r="F71" t="str">
            <v>iPad Air (4th Generation)</v>
          </cell>
          <cell r="G71" t="str">
            <v>A2316</v>
          </cell>
          <cell r="H71">
            <v>2020</v>
          </cell>
        </row>
        <row r="72">
          <cell r="F72" t="str">
            <v>iPad Air (5th Generation)</v>
          </cell>
          <cell r="G72" t="str">
            <v>A2588</v>
          </cell>
          <cell r="H72">
            <v>2022</v>
          </cell>
        </row>
        <row r="73">
          <cell r="F73" t="str">
            <v>iPad Air 11-inch (M2)</v>
          </cell>
          <cell r="G73" t="str">
            <v>A2902</v>
          </cell>
          <cell r="H73">
            <v>2024</v>
          </cell>
        </row>
        <row r="74">
          <cell r="F74" t="str">
            <v>iPad Air 13-inch (M2)</v>
          </cell>
          <cell r="G74" t="str">
            <v>A2898</v>
          </cell>
          <cell r="H74">
            <v>2024</v>
          </cell>
        </row>
        <row r="75">
          <cell r="F75" t="str">
            <v>iPad Pro 12.9-inch (1st Generation)</v>
          </cell>
          <cell r="G75" t="str">
            <v>A1584</v>
          </cell>
          <cell r="H75">
            <v>2015</v>
          </cell>
        </row>
        <row r="76">
          <cell r="F76" t="str">
            <v>iPad Pro 9.7-inch</v>
          </cell>
          <cell r="G76" t="str">
            <v>A1673</v>
          </cell>
          <cell r="H76">
            <v>2016</v>
          </cell>
        </row>
        <row r="77">
          <cell r="F77" t="str">
            <v>iPad Pro 10.5-inch</v>
          </cell>
          <cell r="G77" t="str">
            <v>A1701</v>
          </cell>
          <cell r="H77">
            <v>2017</v>
          </cell>
        </row>
        <row r="78">
          <cell r="F78" t="str">
            <v>iPad Pro 12.9-inch (2nd Generation)</v>
          </cell>
          <cell r="G78" t="str">
            <v>A1670</v>
          </cell>
          <cell r="H78">
            <v>2017</v>
          </cell>
        </row>
        <row r="79">
          <cell r="F79" t="str">
            <v>iPad Pro 11-inch (1st Generation)</v>
          </cell>
          <cell r="G79" t="str">
            <v>A1980</v>
          </cell>
          <cell r="H79">
            <v>2018</v>
          </cell>
        </row>
        <row r="80">
          <cell r="F80" t="str">
            <v>iPad Pro 12.9-inch (3rd Generation)</v>
          </cell>
          <cell r="G80" t="str">
            <v>A1876</v>
          </cell>
          <cell r="H80">
            <v>2018</v>
          </cell>
        </row>
        <row r="81">
          <cell r="F81" t="str">
            <v>iPad Pro 11-inch (2nd Generation)</v>
          </cell>
          <cell r="G81" t="str">
            <v>A2228</v>
          </cell>
          <cell r="H81">
            <v>2020</v>
          </cell>
        </row>
        <row r="82">
          <cell r="F82" t="str">
            <v>iPad Pro 12.9-inch (4th Generation)</v>
          </cell>
          <cell r="G82" t="str">
            <v>A2229</v>
          </cell>
          <cell r="H82">
            <v>2020</v>
          </cell>
        </row>
        <row r="83">
          <cell r="F83" t="str">
            <v>iPad Pro 11-inch (3rd Generation)</v>
          </cell>
          <cell r="G83" t="str">
            <v>A2377</v>
          </cell>
          <cell r="H83">
            <v>2021</v>
          </cell>
        </row>
        <row r="84">
          <cell r="F84" t="str">
            <v>iPad Pro 12.9-inch (5th Generation)</v>
          </cell>
          <cell r="G84" t="str">
            <v>A2378</v>
          </cell>
          <cell r="H84">
            <v>2021</v>
          </cell>
        </row>
        <row r="85">
          <cell r="F85" t="str">
            <v>iPad Pro 11-inch (4th Generation)</v>
          </cell>
          <cell r="G85" t="str">
            <v>A2759</v>
          </cell>
          <cell r="H85">
            <v>2022</v>
          </cell>
        </row>
        <row r="86">
          <cell r="F86" t="str">
            <v>iPad Pro 12.9-inch (6th Generation)</v>
          </cell>
          <cell r="G86" t="str">
            <v>A2764</v>
          </cell>
          <cell r="H86">
            <v>2022</v>
          </cell>
        </row>
        <row r="87">
          <cell r="F87" t="str">
            <v>iPad Pro 11-inch (M4)</v>
          </cell>
          <cell r="G87" t="str">
            <v>A2836</v>
          </cell>
          <cell r="H87">
            <v>2024</v>
          </cell>
        </row>
        <row r="88">
          <cell r="F88" t="str">
            <v>iPad Pro 13-inch (M4)</v>
          </cell>
          <cell r="G88" t="str">
            <v>A2925</v>
          </cell>
          <cell r="H88">
            <v>2024</v>
          </cell>
        </row>
        <row r="89">
          <cell r="F89" t="str">
            <v>MacBook (Original)</v>
          </cell>
          <cell r="G89" t="str">
            <v>A1181</v>
          </cell>
          <cell r="H89">
            <v>2006</v>
          </cell>
        </row>
        <row r="90">
          <cell r="F90" t="str">
            <v>MacBook (Late 2008 Aluminum)</v>
          </cell>
          <cell r="G90" t="str">
            <v>A1278</v>
          </cell>
          <cell r="H90">
            <v>2008</v>
          </cell>
        </row>
        <row r="91">
          <cell r="F91" t="str">
            <v>MacBook (Retina 12-inch)</v>
          </cell>
          <cell r="G91" t="str">
            <v>A1534</v>
          </cell>
          <cell r="H91">
            <v>2015</v>
          </cell>
        </row>
        <row r="92">
          <cell r="F92" t="str">
            <v>MacBook Air (Original)</v>
          </cell>
          <cell r="G92" t="str">
            <v>A1237</v>
          </cell>
          <cell r="H92">
            <v>2008</v>
          </cell>
        </row>
        <row r="93">
          <cell r="F93" t="str">
            <v>MacBook Air 11-inch</v>
          </cell>
          <cell r="G93" t="str">
            <v>A1370</v>
          </cell>
          <cell r="H93">
            <v>2010</v>
          </cell>
        </row>
        <row r="94">
          <cell r="F94" t="str">
            <v>MacBook Air 13-inch (Intel)</v>
          </cell>
          <cell r="G94" t="str">
            <v>A1369</v>
          </cell>
          <cell r="H94">
            <v>2010</v>
          </cell>
        </row>
        <row r="95">
          <cell r="F95" t="str">
            <v>MacBook Air (Retina)</v>
          </cell>
          <cell r="G95" t="str">
            <v>A1932</v>
          </cell>
          <cell r="H95">
            <v>2018</v>
          </cell>
        </row>
        <row r="96">
          <cell r="F96" t="str">
            <v>MacBook Air (M1)</v>
          </cell>
          <cell r="G96" t="str">
            <v>A2337</v>
          </cell>
          <cell r="H96">
            <v>2020</v>
          </cell>
        </row>
        <row r="97">
          <cell r="F97" t="str">
            <v>MacBook Air (M2)</v>
          </cell>
          <cell r="G97" t="str">
            <v>A2681</v>
          </cell>
          <cell r="H97">
            <v>2022</v>
          </cell>
        </row>
        <row r="98">
          <cell r="F98" t="str">
            <v>MacBook Air 15-inch (M2)</v>
          </cell>
          <cell r="G98" t="str">
            <v>A2941</v>
          </cell>
          <cell r="H98">
            <v>2023</v>
          </cell>
        </row>
        <row r="99">
          <cell r="F99" t="str">
            <v>MacBook Air (M3)</v>
          </cell>
          <cell r="G99" t="str">
            <v>A3113</v>
          </cell>
          <cell r="H99">
            <v>2024</v>
          </cell>
        </row>
        <row r="100">
          <cell r="F100" t="str">
            <v>MacBook Air 15-inch (M3)</v>
          </cell>
          <cell r="G100" t="str">
            <v>A3114</v>
          </cell>
          <cell r="H100">
            <v>2024</v>
          </cell>
        </row>
        <row r="101">
          <cell r="F101" t="str">
            <v>MacBook Pro 13-inch (Intel)</v>
          </cell>
          <cell r="G101" t="str">
            <v>A1278</v>
          </cell>
          <cell r="H101">
            <v>2009</v>
          </cell>
        </row>
        <row r="102">
          <cell r="F102" t="str">
            <v>MacBook Pro Retina 13-inch</v>
          </cell>
          <cell r="G102" t="str">
            <v>A1425</v>
          </cell>
          <cell r="H102">
            <v>2012</v>
          </cell>
        </row>
        <row r="103">
          <cell r="F103" t="str">
            <v>MacBook Pro 14-inch (M1 Pro/Max)</v>
          </cell>
          <cell r="G103" t="str">
            <v>A2442</v>
          </cell>
          <cell r="H103">
            <v>2021</v>
          </cell>
        </row>
        <row r="104">
          <cell r="F104" t="str">
            <v>MacBook Pro 16-inch (M1 Pro/Max)</v>
          </cell>
          <cell r="G104" t="str">
            <v>A2485</v>
          </cell>
          <cell r="H104">
            <v>2021</v>
          </cell>
        </row>
        <row r="105">
          <cell r="F105" t="str">
            <v>MacBook Pro 14-inch (M3 Family)</v>
          </cell>
          <cell r="G105" t="str">
            <v>A2992</v>
          </cell>
          <cell r="H105">
            <v>2023</v>
          </cell>
        </row>
        <row r="106">
          <cell r="F106" t="str">
            <v>MacBook Pro 16-inch (M3 Family)</v>
          </cell>
          <cell r="G106" t="str">
            <v>A2991</v>
          </cell>
          <cell r="H106">
            <v>2023</v>
          </cell>
        </row>
        <row r="107">
          <cell r="F107" t="str">
            <v>iMac G3</v>
          </cell>
          <cell r="G107" t="str">
            <v>M4984</v>
          </cell>
          <cell r="H107">
            <v>1998</v>
          </cell>
        </row>
        <row r="108">
          <cell r="F108" t="str">
            <v>iMac G4</v>
          </cell>
          <cell r="G108" t="str">
            <v>M8893</v>
          </cell>
          <cell r="H108">
            <v>2002</v>
          </cell>
        </row>
        <row r="109">
          <cell r="F109" t="str">
            <v>iMac G5</v>
          </cell>
          <cell r="G109" t="str">
            <v>A1058</v>
          </cell>
          <cell r="H109">
            <v>2004</v>
          </cell>
        </row>
        <row r="110">
          <cell r="F110" t="str">
            <v>iMac Intel</v>
          </cell>
          <cell r="G110" t="str">
            <v>A1173</v>
          </cell>
          <cell r="H110">
            <v>2006</v>
          </cell>
        </row>
        <row r="111">
          <cell r="F111" t="str">
            <v>iMac 21.5-inch</v>
          </cell>
          <cell r="G111" t="str">
            <v>A1311</v>
          </cell>
          <cell r="H111">
            <v>2009</v>
          </cell>
        </row>
        <row r="112">
          <cell r="F112" t="str">
            <v>iMac 27-inch</v>
          </cell>
          <cell r="G112" t="str">
            <v>A1312</v>
          </cell>
          <cell r="H112">
            <v>2009</v>
          </cell>
        </row>
        <row r="113">
          <cell r="F113" t="str">
            <v>iMac Retina 4K</v>
          </cell>
          <cell r="G113" t="str">
            <v>A1418</v>
          </cell>
          <cell r="H113">
            <v>2015</v>
          </cell>
        </row>
        <row r="114">
          <cell r="F114" t="str">
            <v>iMac Retina 5K</v>
          </cell>
          <cell r="G114" t="str">
            <v>A1419</v>
          </cell>
          <cell r="H114">
            <v>2015</v>
          </cell>
        </row>
        <row r="115">
          <cell r="F115" t="str">
            <v>iMac 24-inch (M1)</v>
          </cell>
          <cell r="G115" t="str">
            <v>A2438</v>
          </cell>
          <cell r="H115">
            <v>2021</v>
          </cell>
        </row>
        <row r="116">
          <cell r="F116" t="str">
            <v>iMac Pro</v>
          </cell>
          <cell r="G116" t="str">
            <v>A1862</v>
          </cell>
          <cell r="H116">
            <v>2017</v>
          </cell>
        </row>
        <row r="117">
          <cell r="F117" t="str">
            <v>Mac mini (PowerPC)</v>
          </cell>
          <cell r="G117" t="str">
            <v>A1103</v>
          </cell>
          <cell r="H117">
            <v>2005</v>
          </cell>
        </row>
        <row r="118">
          <cell r="F118" t="str">
            <v>Mac mini (Intel)</v>
          </cell>
          <cell r="G118" t="str">
            <v>A1176</v>
          </cell>
          <cell r="H118">
            <v>2006</v>
          </cell>
        </row>
        <row r="119">
          <cell r="F119" t="str">
            <v>Mac mini (M1)</v>
          </cell>
          <cell r="G119" t="str">
            <v>A2348</v>
          </cell>
          <cell r="H119">
            <v>2020</v>
          </cell>
        </row>
        <row r="120">
          <cell r="F120" t="str">
            <v>Mac mini (M2)</v>
          </cell>
          <cell r="G120" t="str">
            <v>A2686</v>
          </cell>
          <cell r="H120">
            <v>2023</v>
          </cell>
        </row>
        <row r="121">
          <cell r="F121" t="str">
            <v>Mac Studio (M1 Max)</v>
          </cell>
          <cell r="G121" t="str">
            <v>A2615</v>
          </cell>
          <cell r="H121">
            <v>2022</v>
          </cell>
        </row>
        <row r="122">
          <cell r="F122" t="str">
            <v>Mac Studio (M1 Ultra)</v>
          </cell>
          <cell r="G122" t="str">
            <v>A2615</v>
          </cell>
          <cell r="H122">
            <v>2022</v>
          </cell>
        </row>
        <row r="123">
          <cell r="F123" t="str">
            <v>Mac Studio (M2 Max)</v>
          </cell>
          <cell r="G123" t="str">
            <v>A2901</v>
          </cell>
          <cell r="H123">
            <v>2023</v>
          </cell>
        </row>
        <row r="124">
          <cell r="F124" t="str">
            <v>Mac Studio (M2 Ultra)</v>
          </cell>
          <cell r="G124" t="str">
            <v>A2901</v>
          </cell>
          <cell r="H124">
            <v>2023</v>
          </cell>
        </row>
        <row r="125">
          <cell r="F125" t="str">
            <v>Mac Pro (Intel Tower)</v>
          </cell>
          <cell r="G125" t="str">
            <v>A1481</v>
          </cell>
          <cell r="H125">
            <v>2013</v>
          </cell>
        </row>
        <row r="126">
          <cell r="F126" t="str">
            <v>Mac Pro (2019)</v>
          </cell>
          <cell r="G126" t="str">
            <v>A1991</v>
          </cell>
          <cell r="H126">
            <v>2019</v>
          </cell>
        </row>
        <row r="127">
          <cell r="F127" t="str">
            <v>Mac Pro (M2 Ultra)</v>
          </cell>
          <cell r="G127" t="str">
            <v>A2786</v>
          </cell>
          <cell r="H127">
            <v>2023</v>
          </cell>
        </row>
        <row r="128">
          <cell r="F128" t="str">
            <v>Apple Watch (1st Generation)</v>
          </cell>
          <cell r="G128" t="str">
            <v>A1553</v>
          </cell>
          <cell r="H128">
            <v>2015</v>
          </cell>
        </row>
        <row r="129">
          <cell r="F129" t="str">
            <v>Apple Watch Series 1</v>
          </cell>
          <cell r="G129" t="str">
            <v>A1802</v>
          </cell>
          <cell r="H129">
            <v>2016</v>
          </cell>
        </row>
        <row r="130">
          <cell r="F130" t="str">
            <v>Apple Watch Series 2</v>
          </cell>
          <cell r="G130" t="str">
            <v>A1757</v>
          </cell>
          <cell r="H130">
            <v>2016</v>
          </cell>
        </row>
        <row r="131">
          <cell r="F131" t="str">
            <v>Apple Watch Series 3</v>
          </cell>
          <cell r="G131" t="str">
            <v>A1858</v>
          </cell>
          <cell r="H131">
            <v>2017</v>
          </cell>
        </row>
        <row r="132">
          <cell r="F132" t="str">
            <v>Apple Watch Series 4</v>
          </cell>
          <cell r="G132" t="str">
            <v>A1977</v>
          </cell>
          <cell r="H132">
            <v>2018</v>
          </cell>
        </row>
        <row r="133">
          <cell r="F133" t="str">
            <v>Apple Watch Series 5</v>
          </cell>
          <cell r="G133" t="str">
            <v>A2092</v>
          </cell>
          <cell r="H133">
            <v>2019</v>
          </cell>
        </row>
        <row r="134">
          <cell r="F134" t="str">
            <v>Apple Watch Series 6</v>
          </cell>
          <cell r="G134" t="str">
            <v>A2291</v>
          </cell>
          <cell r="H134">
            <v>2020</v>
          </cell>
        </row>
        <row r="135">
          <cell r="F135" t="str">
            <v>Apple Watch SE (1st Generation)</v>
          </cell>
          <cell r="G135" t="str">
            <v>A2351</v>
          </cell>
          <cell r="H135">
            <v>2020</v>
          </cell>
        </row>
        <row r="136">
          <cell r="F136" t="str">
            <v>Apple Watch Series 7</v>
          </cell>
          <cell r="G136" t="str">
            <v>A2473</v>
          </cell>
          <cell r="H136">
            <v>2021</v>
          </cell>
        </row>
        <row r="137">
          <cell r="F137" t="str">
            <v>Apple Watch Series 8</v>
          </cell>
          <cell r="G137" t="str">
            <v>A2770</v>
          </cell>
          <cell r="H137">
            <v>2022</v>
          </cell>
        </row>
        <row r="138">
          <cell r="F138" t="str">
            <v>Apple Watch Ultra</v>
          </cell>
          <cell r="G138" t="str">
            <v>A2622</v>
          </cell>
          <cell r="H138">
            <v>2022</v>
          </cell>
        </row>
        <row r="139">
          <cell r="F139" t="str">
            <v>Apple Watch SE (2nd Generation)</v>
          </cell>
          <cell r="G139" t="str">
            <v>A2722</v>
          </cell>
          <cell r="H139">
            <v>2022</v>
          </cell>
        </row>
        <row r="140">
          <cell r="F140" t="str">
            <v>Apple Watch Series 9</v>
          </cell>
          <cell r="G140" t="str">
            <v>A2982</v>
          </cell>
          <cell r="H140">
            <v>2023</v>
          </cell>
        </row>
        <row r="141">
          <cell r="F141" t="str">
            <v>Apple Watch Ultra 2</v>
          </cell>
          <cell r="G141" t="str">
            <v>A2986</v>
          </cell>
          <cell r="H141">
            <v>2023</v>
          </cell>
        </row>
        <row r="142">
          <cell r="F142" t="str">
            <v>Apple Watch Series 10</v>
          </cell>
          <cell r="G142" t="str">
            <v>A2997</v>
          </cell>
          <cell r="H142">
            <v>2024</v>
          </cell>
        </row>
        <row r="143">
          <cell r="F143" t="str">
            <v>Apple TV (1st Generation)</v>
          </cell>
          <cell r="G143" t="str">
            <v>A1218</v>
          </cell>
          <cell r="H143">
            <v>2007</v>
          </cell>
        </row>
        <row r="144">
          <cell r="F144" t="str">
            <v>Apple TV (2nd Generation)</v>
          </cell>
          <cell r="G144" t="str">
            <v>A1378</v>
          </cell>
          <cell r="H144">
            <v>2010</v>
          </cell>
        </row>
        <row r="145">
          <cell r="F145" t="str">
            <v>Apple TV (3rd Generation)</v>
          </cell>
          <cell r="G145" t="str">
            <v>A1427</v>
          </cell>
          <cell r="H145">
            <v>2012</v>
          </cell>
        </row>
        <row r="146">
          <cell r="F146" t="str">
            <v>Apple TV HD</v>
          </cell>
          <cell r="G146" t="str">
            <v>A1625</v>
          </cell>
          <cell r="H146">
            <v>2015</v>
          </cell>
        </row>
        <row r="147">
          <cell r="F147" t="str">
            <v>Apple TV 4K (1st Gen)</v>
          </cell>
          <cell r="G147" t="str">
            <v>A1842</v>
          </cell>
          <cell r="H147">
            <v>2017</v>
          </cell>
        </row>
        <row r="148">
          <cell r="F148" t="str">
            <v>Apple TV 4K (2nd Gen)</v>
          </cell>
          <cell r="G148" t="str">
            <v>A2169</v>
          </cell>
          <cell r="H148">
            <v>2021</v>
          </cell>
        </row>
        <row r="149">
          <cell r="F149" t="str">
            <v>Apple TV 4K (3rd Gen)</v>
          </cell>
          <cell r="G149" t="str">
            <v>A2843</v>
          </cell>
          <cell r="H149">
            <v>2022</v>
          </cell>
        </row>
        <row r="150">
          <cell r="F150" t="str">
            <v>Apple Vision Pro</v>
          </cell>
          <cell r="G150" t="str">
            <v>A2117</v>
          </cell>
          <cell r="H150">
            <v>2024</v>
          </cell>
        </row>
        <row r="151">
          <cell r="F151" t="str">
            <v>Galaxy S</v>
          </cell>
          <cell r="G151" t="str">
            <v>GT-I9000</v>
          </cell>
          <cell r="H151">
            <v>2010</v>
          </cell>
        </row>
        <row r="152">
          <cell r="F152" t="str">
            <v>Galaxy S II</v>
          </cell>
          <cell r="G152" t="str">
            <v>GT-I9100</v>
          </cell>
          <cell r="H152">
            <v>2011</v>
          </cell>
        </row>
        <row r="153">
          <cell r="F153" t="str">
            <v>Galaxy S III</v>
          </cell>
          <cell r="G153" t="str">
            <v>GT-I9300</v>
          </cell>
          <cell r="H153">
            <v>2012</v>
          </cell>
        </row>
        <row r="154">
          <cell r="F154" t="str">
            <v>Galaxy S4</v>
          </cell>
          <cell r="G154" t="str">
            <v>GT-I9505</v>
          </cell>
          <cell r="H154">
            <v>2013</v>
          </cell>
        </row>
        <row r="155">
          <cell r="F155" t="str">
            <v>Galaxy S5</v>
          </cell>
          <cell r="G155" t="str">
            <v>SM-G900</v>
          </cell>
          <cell r="H155">
            <v>2014</v>
          </cell>
        </row>
        <row r="156">
          <cell r="F156" t="str">
            <v>Galaxy S6</v>
          </cell>
          <cell r="G156" t="str">
            <v>SM-G920</v>
          </cell>
          <cell r="H156">
            <v>2015</v>
          </cell>
        </row>
        <row r="157">
          <cell r="F157" t="str">
            <v>Galaxy S6 edge</v>
          </cell>
          <cell r="G157" t="str">
            <v>SM-G925</v>
          </cell>
          <cell r="H157">
            <v>2015</v>
          </cell>
        </row>
        <row r="158">
          <cell r="F158" t="str">
            <v>Galaxy S6 edge+</v>
          </cell>
          <cell r="G158" t="str">
            <v>SM-G928</v>
          </cell>
          <cell r="H158">
            <v>2015</v>
          </cell>
        </row>
        <row r="159">
          <cell r="F159" t="str">
            <v>Galaxy S6 Active</v>
          </cell>
          <cell r="G159" t="str">
            <v>SM-G890</v>
          </cell>
          <cell r="H159">
            <v>2015</v>
          </cell>
        </row>
        <row r="160">
          <cell r="F160" t="str">
            <v>Galaxy S7</v>
          </cell>
          <cell r="G160" t="str">
            <v>SM-G930</v>
          </cell>
          <cell r="H160">
            <v>2016</v>
          </cell>
        </row>
        <row r="161">
          <cell r="F161" t="str">
            <v>Galaxy S7 edge</v>
          </cell>
          <cell r="G161" t="str">
            <v>SM-G935</v>
          </cell>
          <cell r="H161">
            <v>2016</v>
          </cell>
        </row>
        <row r="162">
          <cell r="F162" t="str">
            <v>Galaxy S8</v>
          </cell>
          <cell r="G162" t="str">
            <v>SM-G950</v>
          </cell>
          <cell r="H162">
            <v>2017</v>
          </cell>
        </row>
        <row r="163">
          <cell r="F163" t="str">
            <v>Galaxy S8+</v>
          </cell>
          <cell r="G163" t="str">
            <v>SM-G955</v>
          </cell>
          <cell r="H163">
            <v>2017</v>
          </cell>
        </row>
        <row r="164">
          <cell r="F164" t="str">
            <v>Galaxy S9</v>
          </cell>
          <cell r="G164" t="str">
            <v>SM-G960</v>
          </cell>
          <cell r="H164">
            <v>2018</v>
          </cell>
        </row>
        <row r="165">
          <cell r="F165" t="str">
            <v>Galaxy S9+</v>
          </cell>
          <cell r="G165" t="str">
            <v>SM-G965</v>
          </cell>
          <cell r="H165">
            <v>2018</v>
          </cell>
        </row>
        <row r="166">
          <cell r="F166" t="str">
            <v>Galaxy S10e</v>
          </cell>
          <cell r="G166" t="str">
            <v>SM-G970</v>
          </cell>
          <cell r="H166">
            <v>2019</v>
          </cell>
        </row>
        <row r="167">
          <cell r="F167" t="str">
            <v>Galaxy S10</v>
          </cell>
          <cell r="G167" t="str">
            <v>SM-G973</v>
          </cell>
          <cell r="H167">
            <v>2019</v>
          </cell>
        </row>
        <row r="168">
          <cell r="F168" t="str">
            <v>Galaxy S10+</v>
          </cell>
          <cell r="G168" t="str">
            <v>SM-G975</v>
          </cell>
          <cell r="H168">
            <v>2019</v>
          </cell>
        </row>
        <row r="169">
          <cell r="F169" t="str">
            <v>Galaxy S10 5G</v>
          </cell>
          <cell r="G169" t="str">
            <v>SM-G977</v>
          </cell>
          <cell r="H169">
            <v>2019</v>
          </cell>
        </row>
        <row r="170">
          <cell r="F170" t="str">
            <v>Galaxy S20</v>
          </cell>
          <cell r="G170" t="str">
            <v>SM-G981</v>
          </cell>
          <cell r="H170">
            <v>2020</v>
          </cell>
        </row>
        <row r="171">
          <cell r="F171" t="str">
            <v>Galaxy S20+</v>
          </cell>
          <cell r="G171" t="str">
            <v>SM-G986</v>
          </cell>
          <cell r="H171">
            <v>2020</v>
          </cell>
        </row>
        <row r="172">
          <cell r="F172" t="str">
            <v>Galaxy S20 Ultra</v>
          </cell>
          <cell r="G172" t="str">
            <v>SM-G988</v>
          </cell>
          <cell r="H172">
            <v>2020</v>
          </cell>
        </row>
        <row r="173">
          <cell r="F173" t="str">
            <v>Galaxy S20 FE</v>
          </cell>
          <cell r="G173" t="str">
            <v>SM-G781</v>
          </cell>
          <cell r="H173">
            <v>2020</v>
          </cell>
        </row>
        <row r="174">
          <cell r="F174" t="str">
            <v>Galaxy S21</v>
          </cell>
          <cell r="G174" t="str">
            <v>SM-G991</v>
          </cell>
          <cell r="H174">
            <v>2021</v>
          </cell>
        </row>
        <row r="175">
          <cell r="F175" t="str">
            <v>Galaxy S21+</v>
          </cell>
          <cell r="G175" t="str">
            <v>SM-G996</v>
          </cell>
          <cell r="H175">
            <v>2021</v>
          </cell>
        </row>
        <row r="176">
          <cell r="F176" t="str">
            <v>Galaxy S21 Ultra</v>
          </cell>
          <cell r="G176" t="str">
            <v>SM-G998</v>
          </cell>
          <cell r="H176">
            <v>2021</v>
          </cell>
        </row>
        <row r="177">
          <cell r="F177" t="str">
            <v>Galaxy S21 FE</v>
          </cell>
          <cell r="G177" t="str">
            <v>SM-G990</v>
          </cell>
          <cell r="H177">
            <v>2022</v>
          </cell>
        </row>
        <row r="178">
          <cell r="F178" t="str">
            <v>Galaxy S22</v>
          </cell>
          <cell r="G178" t="str">
            <v>SM-S901</v>
          </cell>
          <cell r="H178">
            <v>2022</v>
          </cell>
        </row>
        <row r="179">
          <cell r="F179" t="str">
            <v>Galaxy S22+</v>
          </cell>
          <cell r="G179" t="str">
            <v>SM-S906</v>
          </cell>
          <cell r="H179">
            <v>2022</v>
          </cell>
        </row>
        <row r="180">
          <cell r="F180" t="str">
            <v>Galaxy S22 Ultra</v>
          </cell>
          <cell r="G180" t="str">
            <v>SM-S908</v>
          </cell>
          <cell r="H180">
            <v>2022</v>
          </cell>
        </row>
        <row r="181">
          <cell r="F181" t="str">
            <v>Galaxy S23</v>
          </cell>
          <cell r="G181" t="str">
            <v>SM-S911</v>
          </cell>
          <cell r="H181">
            <v>2023</v>
          </cell>
        </row>
        <row r="182">
          <cell r="F182" t="str">
            <v>Galaxy S23+</v>
          </cell>
          <cell r="G182" t="str">
            <v>SM-S916</v>
          </cell>
          <cell r="H182">
            <v>2023</v>
          </cell>
        </row>
        <row r="183">
          <cell r="F183" t="str">
            <v>Galaxy S23 Ultra</v>
          </cell>
          <cell r="G183" t="str">
            <v>SM-S918</v>
          </cell>
          <cell r="H183">
            <v>2023</v>
          </cell>
        </row>
        <row r="184">
          <cell r="F184" t="str">
            <v>Galaxy S23 FE</v>
          </cell>
          <cell r="G184" t="str">
            <v>SM-S711</v>
          </cell>
          <cell r="H184">
            <v>2023</v>
          </cell>
        </row>
        <row r="185">
          <cell r="F185" t="str">
            <v>Galaxy S24</v>
          </cell>
          <cell r="G185" t="str">
            <v>SM-S921</v>
          </cell>
          <cell r="H185">
            <v>2024</v>
          </cell>
        </row>
        <row r="186">
          <cell r="F186" t="str">
            <v>Galaxy S24+</v>
          </cell>
          <cell r="G186" t="str">
            <v>SM-S926</v>
          </cell>
          <cell r="H186">
            <v>2024</v>
          </cell>
        </row>
        <row r="187">
          <cell r="F187" t="str">
            <v>Galaxy S24 Ultra</v>
          </cell>
          <cell r="G187" t="str">
            <v>SM-S928</v>
          </cell>
          <cell r="H187">
            <v>2024</v>
          </cell>
        </row>
        <row r="188">
          <cell r="F188" t="str">
            <v>Galaxy S24 FE</v>
          </cell>
          <cell r="G188" t="str">
            <v>SM-S721</v>
          </cell>
          <cell r="H188">
            <v>2024</v>
          </cell>
        </row>
        <row r="189">
          <cell r="F189" t="str">
            <v>Galaxy S25</v>
          </cell>
          <cell r="G189" t="str">
            <v>SM-S931</v>
          </cell>
          <cell r="H189">
            <v>2025</v>
          </cell>
        </row>
        <row r="190">
          <cell r="F190" t="str">
            <v>Galaxy S25+</v>
          </cell>
          <cell r="G190" t="str">
            <v>SM-S936</v>
          </cell>
          <cell r="H190">
            <v>2025</v>
          </cell>
        </row>
        <row r="191">
          <cell r="F191" t="str">
            <v>Galaxy S25 Ultra</v>
          </cell>
          <cell r="G191" t="str">
            <v>SM-S938</v>
          </cell>
          <cell r="H191">
            <v>2025</v>
          </cell>
        </row>
        <row r="192">
          <cell r="F192" t="str">
            <v>Galaxy S25 Edge</v>
          </cell>
          <cell r="G192" t="str">
            <v>SM-S937</v>
          </cell>
          <cell r="H192">
            <v>2025</v>
          </cell>
        </row>
        <row r="193">
          <cell r="F193" t="str">
            <v>Galaxy Note</v>
          </cell>
          <cell r="G193" t="str">
            <v>GT-N7000</v>
          </cell>
          <cell r="H193">
            <v>2011</v>
          </cell>
        </row>
        <row r="194">
          <cell r="F194" t="str">
            <v>Galaxy Note II</v>
          </cell>
          <cell r="G194" t="str">
            <v>GT-N7100</v>
          </cell>
          <cell r="H194">
            <v>2012</v>
          </cell>
        </row>
        <row r="195">
          <cell r="F195" t="str">
            <v>Galaxy Note 3</v>
          </cell>
          <cell r="G195" t="str">
            <v>SM-N900</v>
          </cell>
          <cell r="H195">
            <v>2013</v>
          </cell>
        </row>
        <row r="196">
          <cell r="F196" t="str">
            <v>Galaxy Note 4</v>
          </cell>
          <cell r="G196" t="str">
            <v>SM-N910</v>
          </cell>
          <cell r="H196">
            <v>2014</v>
          </cell>
        </row>
        <row r="197">
          <cell r="F197" t="str">
            <v>Galaxy Note Edge</v>
          </cell>
          <cell r="G197" t="str">
            <v>SM-N915</v>
          </cell>
          <cell r="H197">
            <v>2014</v>
          </cell>
        </row>
        <row r="198">
          <cell r="F198" t="str">
            <v>Galaxy Note5</v>
          </cell>
          <cell r="G198" t="str">
            <v>SM-N920</v>
          </cell>
          <cell r="H198">
            <v>2015</v>
          </cell>
        </row>
        <row r="199">
          <cell r="F199" t="str">
            <v>Galaxy Note FE</v>
          </cell>
          <cell r="G199" t="str">
            <v>SM-N935</v>
          </cell>
          <cell r="H199">
            <v>2017</v>
          </cell>
        </row>
        <row r="200">
          <cell r="F200" t="str">
            <v>Galaxy Note8</v>
          </cell>
          <cell r="G200" t="str">
            <v>SM-N950</v>
          </cell>
          <cell r="H200">
            <v>2017</v>
          </cell>
        </row>
        <row r="201">
          <cell r="F201" t="str">
            <v>Galaxy Note9</v>
          </cell>
          <cell r="G201" t="str">
            <v>SM-N960</v>
          </cell>
          <cell r="H201">
            <v>2018</v>
          </cell>
        </row>
        <row r="202">
          <cell r="F202" t="str">
            <v>Galaxy Note10</v>
          </cell>
          <cell r="G202" t="str">
            <v>SM-N970</v>
          </cell>
          <cell r="H202">
            <v>2019</v>
          </cell>
        </row>
        <row r="203">
          <cell r="F203" t="str">
            <v>Galaxy Note10+</v>
          </cell>
          <cell r="G203" t="str">
            <v>SM-N975</v>
          </cell>
          <cell r="H203">
            <v>2019</v>
          </cell>
        </row>
        <row r="204">
          <cell r="F204" t="str">
            <v>Galaxy Note10+ 5G</v>
          </cell>
          <cell r="G204" t="str">
            <v>SM-N976</v>
          </cell>
          <cell r="H204">
            <v>2019</v>
          </cell>
        </row>
        <row r="205">
          <cell r="F205" t="str">
            <v>Galaxy Note20</v>
          </cell>
          <cell r="G205" t="str">
            <v>SM-N981</v>
          </cell>
          <cell r="H205">
            <v>2020</v>
          </cell>
        </row>
        <row r="206">
          <cell r="F206" t="str">
            <v>Galaxy Note20 Ultra</v>
          </cell>
          <cell r="G206" t="str">
            <v>SM-N986</v>
          </cell>
          <cell r="H206">
            <v>2020</v>
          </cell>
        </row>
        <row r="207">
          <cell r="F207" t="str">
            <v>Galaxy Fold</v>
          </cell>
          <cell r="G207" t="str">
            <v>SM-F900</v>
          </cell>
          <cell r="H207">
            <v>2019</v>
          </cell>
        </row>
        <row r="208">
          <cell r="F208" t="str">
            <v>Galaxy Z Fold2</v>
          </cell>
          <cell r="G208" t="str">
            <v>SM-F916</v>
          </cell>
          <cell r="H208">
            <v>2020</v>
          </cell>
        </row>
        <row r="209">
          <cell r="F209" t="str">
            <v>Galaxy Z Fold3</v>
          </cell>
          <cell r="G209" t="str">
            <v>SM-F926</v>
          </cell>
          <cell r="H209">
            <v>2021</v>
          </cell>
        </row>
        <row r="210">
          <cell r="F210" t="str">
            <v>Galaxy Z Fold4</v>
          </cell>
          <cell r="G210" t="str">
            <v>SM-F936</v>
          </cell>
          <cell r="H210">
            <v>2022</v>
          </cell>
        </row>
        <row r="211">
          <cell r="F211" t="str">
            <v>Galaxy Z Fold5</v>
          </cell>
          <cell r="G211" t="str">
            <v>SM-F946</v>
          </cell>
          <cell r="H211">
            <v>2023</v>
          </cell>
        </row>
        <row r="212">
          <cell r="F212" t="str">
            <v>Galaxy Z Fold6</v>
          </cell>
          <cell r="G212" t="str">
            <v>SM-F956</v>
          </cell>
          <cell r="H212">
            <v>2024</v>
          </cell>
        </row>
        <row r="213">
          <cell r="F213" t="str">
            <v>Galaxy Z Fold7</v>
          </cell>
          <cell r="G213" t="str">
            <v>SM-F966</v>
          </cell>
          <cell r="H213">
            <v>2025</v>
          </cell>
        </row>
        <row r="214">
          <cell r="F214" t="str">
            <v>Galaxy A01</v>
          </cell>
          <cell r="G214" t="str">
            <v>SM-A015</v>
          </cell>
          <cell r="H214">
            <v>2019</v>
          </cell>
        </row>
        <row r="215">
          <cell r="F215" t="str">
            <v>Galaxy A01 Core</v>
          </cell>
          <cell r="G215" t="str">
            <v>SM-A013</v>
          </cell>
          <cell r="H215">
            <v>2020</v>
          </cell>
        </row>
        <row r="216">
          <cell r="F216" t="str">
            <v>Galaxy A02</v>
          </cell>
          <cell r="G216" t="str">
            <v>SM-A022</v>
          </cell>
          <cell r="H216">
            <v>2021</v>
          </cell>
        </row>
        <row r="217">
          <cell r="F217" t="str">
            <v>Galaxy A02s</v>
          </cell>
          <cell r="G217" t="str">
            <v>SM-A025</v>
          </cell>
          <cell r="H217">
            <v>2021</v>
          </cell>
        </row>
        <row r="218">
          <cell r="F218" t="str">
            <v>Galaxy A03</v>
          </cell>
          <cell r="G218" t="str">
            <v>SM-A035</v>
          </cell>
          <cell r="H218">
            <v>2021</v>
          </cell>
        </row>
        <row r="219">
          <cell r="F219" t="str">
            <v>Galaxy A03 Core</v>
          </cell>
          <cell r="G219" t="str">
            <v>SM-A032</v>
          </cell>
          <cell r="H219">
            <v>2021</v>
          </cell>
        </row>
        <row r="220">
          <cell r="F220" t="str">
            <v>Galaxy A03s</v>
          </cell>
          <cell r="G220" t="str">
            <v>SM-A037</v>
          </cell>
          <cell r="H220">
            <v>2021</v>
          </cell>
        </row>
        <row r="221">
          <cell r="F221" t="str">
            <v>Galaxy A04</v>
          </cell>
          <cell r="G221" t="str">
            <v>SM-A045</v>
          </cell>
          <cell r="H221">
            <v>2022</v>
          </cell>
        </row>
        <row r="222">
          <cell r="F222" t="str">
            <v>Galaxy A04e</v>
          </cell>
          <cell r="G222" t="str">
            <v>SM-A042</v>
          </cell>
          <cell r="H222">
            <v>2022</v>
          </cell>
        </row>
        <row r="223">
          <cell r="F223" t="str">
            <v>Galaxy A04s</v>
          </cell>
          <cell r="G223" t="str">
            <v>SM-A047</v>
          </cell>
          <cell r="H223">
            <v>2022</v>
          </cell>
        </row>
        <row r="224">
          <cell r="F224" t="str">
            <v>Galaxy A05</v>
          </cell>
          <cell r="G224" t="str">
            <v>SM-A055</v>
          </cell>
          <cell r="H224">
            <v>2023</v>
          </cell>
        </row>
        <row r="225">
          <cell r="F225" t="str">
            <v>Galaxy A05s</v>
          </cell>
          <cell r="G225" t="str">
            <v>SM-A057</v>
          </cell>
          <cell r="H225">
            <v>2023</v>
          </cell>
        </row>
        <row r="226">
          <cell r="F226" t="str">
            <v>Galaxy A06</v>
          </cell>
          <cell r="G226" t="str">
            <v>SM-A065</v>
          </cell>
          <cell r="H226">
            <v>2024</v>
          </cell>
        </row>
        <row r="227">
          <cell r="F227" t="str">
            <v>Galaxy A06 5G</v>
          </cell>
          <cell r="G227" t="str">
            <v>SM-A066</v>
          </cell>
          <cell r="H227">
            <v>2025</v>
          </cell>
        </row>
        <row r="228">
          <cell r="F228" t="str">
            <v>Galaxy A10</v>
          </cell>
          <cell r="G228" t="str">
            <v>SM-A105</v>
          </cell>
          <cell r="H228">
            <v>2019</v>
          </cell>
        </row>
        <row r="229">
          <cell r="F229" t="str">
            <v>Galaxy A10e</v>
          </cell>
          <cell r="G229" t="str">
            <v>SM-A102</v>
          </cell>
          <cell r="H229">
            <v>2019</v>
          </cell>
        </row>
        <row r="230">
          <cell r="F230" t="str">
            <v>Galaxy A11</v>
          </cell>
          <cell r="G230" t="str">
            <v>SM-A115</v>
          </cell>
          <cell r="H230">
            <v>2020</v>
          </cell>
        </row>
        <row r="231">
          <cell r="F231" t="str">
            <v>Galaxy A12</v>
          </cell>
          <cell r="G231" t="str">
            <v>SM-A125</v>
          </cell>
          <cell r="H231">
            <v>2020</v>
          </cell>
        </row>
        <row r="232">
          <cell r="F232" t="str">
            <v>Galaxy A13</v>
          </cell>
          <cell r="G232" t="str">
            <v>SM-A135</v>
          </cell>
          <cell r="H232">
            <v>2022</v>
          </cell>
        </row>
        <row r="233">
          <cell r="F233" t="str">
            <v>Galaxy A14</v>
          </cell>
          <cell r="G233" t="str">
            <v>SM-A145</v>
          </cell>
          <cell r="H233">
            <v>2023</v>
          </cell>
        </row>
        <row r="234">
          <cell r="F234" t="str">
            <v>Galaxy A14 5G</v>
          </cell>
          <cell r="G234" t="str">
            <v>SM-A146</v>
          </cell>
          <cell r="H234">
            <v>2023</v>
          </cell>
        </row>
        <row r="235">
          <cell r="F235" t="str">
            <v>Galaxy A15</v>
          </cell>
          <cell r="G235" t="str">
            <v>SM-A155</v>
          </cell>
          <cell r="H235">
            <v>2024</v>
          </cell>
        </row>
        <row r="236">
          <cell r="F236" t="str">
            <v>Galaxy A15 5G</v>
          </cell>
          <cell r="G236" t="str">
            <v>SM-A156</v>
          </cell>
          <cell r="H236">
            <v>2024</v>
          </cell>
        </row>
        <row r="237">
          <cell r="F237" t="str">
            <v>Galaxy A16</v>
          </cell>
          <cell r="G237" t="str">
            <v>SM-A165</v>
          </cell>
          <cell r="H237">
            <v>2025</v>
          </cell>
        </row>
        <row r="238">
          <cell r="F238" t="str">
            <v>Galaxy A20</v>
          </cell>
          <cell r="G238" t="str">
            <v>SM-A205</v>
          </cell>
          <cell r="H238">
            <v>2019</v>
          </cell>
        </row>
        <row r="239">
          <cell r="F239" t="str">
            <v>Galaxy A20e</v>
          </cell>
          <cell r="G239" t="str">
            <v>SM-A202</v>
          </cell>
          <cell r="H239">
            <v>2019</v>
          </cell>
        </row>
        <row r="240">
          <cell r="F240" t="str">
            <v>Galaxy A21</v>
          </cell>
          <cell r="G240" t="str">
            <v>SM-A215</v>
          </cell>
          <cell r="H240">
            <v>2020</v>
          </cell>
        </row>
        <row r="241">
          <cell r="F241" t="str">
            <v>Galaxy A21s</v>
          </cell>
          <cell r="G241" t="str">
            <v>SM-A217</v>
          </cell>
          <cell r="H241">
            <v>2020</v>
          </cell>
        </row>
        <row r="242">
          <cell r="F242" t="str">
            <v>Galaxy A22</v>
          </cell>
          <cell r="G242" t="str">
            <v>SM-A225</v>
          </cell>
          <cell r="H242">
            <v>2021</v>
          </cell>
        </row>
        <row r="243">
          <cell r="F243" t="str">
            <v>Galaxy A22 5G</v>
          </cell>
          <cell r="G243" t="str">
            <v>SM-A226</v>
          </cell>
          <cell r="H243">
            <v>2021</v>
          </cell>
        </row>
        <row r="244">
          <cell r="F244" t="str">
            <v>Galaxy A23</v>
          </cell>
          <cell r="G244" t="str">
            <v>SM-A235</v>
          </cell>
          <cell r="H244">
            <v>2022</v>
          </cell>
        </row>
        <row r="245">
          <cell r="F245" t="str">
            <v>Galaxy A23 5G</v>
          </cell>
          <cell r="G245" t="str">
            <v>SM-A236</v>
          </cell>
          <cell r="H245">
            <v>2022</v>
          </cell>
        </row>
        <row r="246">
          <cell r="F246" t="str">
            <v>Galaxy A24</v>
          </cell>
          <cell r="G246" t="str">
            <v>SM-A245</v>
          </cell>
          <cell r="H246">
            <v>2023</v>
          </cell>
        </row>
        <row r="247">
          <cell r="F247" t="str">
            <v>Galaxy A25 5G</v>
          </cell>
          <cell r="G247" t="str">
            <v>SM-A256</v>
          </cell>
          <cell r="H247">
            <v>2024</v>
          </cell>
        </row>
        <row r="248">
          <cell r="F248" t="str">
            <v>Galaxy A26 5G</v>
          </cell>
          <cell r="G248" t="str">
            <v>SM-A266</v>
          </cell>
          <cell r="H248">
            <v>2025</v>
          </cell>
        </row>
        <row r="249">
          <cell r="F249" t="str">
            <v>Galaxy A30</v>
          </cell>
          <cell r="G249" t="str">
            <v>SM-A305</v>
          </cell>
          <cell r="H249">
            <v>2019</v>
          </cell>
        </row>
        <row r="250">
          <cell r="F250" t="str">
            <v>Galaxy A30s</v>
          </cell>
          <cell r="G250" t="str">
            <v>SM-A307</v>
          </cell>
          <cell r="H250">
            <v>2019</v>
          </cell>
        </row>
        <row r="251">
          <cell r="F251" t="str">
            <v>Galaxy A31</v>
          </cell>
          <cell r="G251" t="str">
            <v>SM-A315</v>
          </cell>
          <cell r="H251">
            <v>2020</v>
          </cell>
        </row>
        <row r="252">
          <cell r="F252" t="str">
            <v>Galaxy A32</v>
          </cell>
          <cell r="G252" t="str">
            <v>SM-A325</v>
          </cell>
          <cell r="H252">
            <v>2021</v>
          </cell>
        </row>
        <row r="253">
          <cell r="F253" t="str">
            <v>Galaxy A32 5G</v>
          </cell>
          <cell r="G253" t="str">
            <v>SM-A326</v>
          </cell>
          <cell r="H253">
            <v>2021</v>
          </cell>
        </row>
        <row r="254">
          <cell r="F254" t="str">
            <v>Galaxy A33 5G</v>
          </cell>
          <cell r="G254" t="str">
            <v>SM-A336</v>
          </cell>
          <cell r="H254">
            <v>2022</v>
          </cell>
        </row>
        <row r="255">
          <cell r="F255" t="str">
            <v>Galaxy A34 5G</v>
          </cell>
          <cell r="G255" t="str">
            <v>SM-A346</v>
          </cell>
          <cell r="H255">
            <v>2023</v>
          </cell>
        </row>
        <row r="256">
          <cell r="F256" t="str">
            <v>Galaxy A35 5G</v>
          </cell>
          <cell r="G256" t="str">
            <v>SM-A356</v>
          </cell>
          <cell r="H256">
            <v>2024</v>
          </cell>
        </row>
        <row r="257">
          <cell r="F257" t="str">
            <v>Galaxy A36 5G</v>
          </cell>
          <cell r="G257" t="str">
            <v>SM-A366</v>
          </cell>
          <cell r="H257">
            <v>2025</v>
          </cell>
        </row>
        <row r="258">
          <cell r="F258" t="str">
            <v>Galaxy A50</v>
          </cell>
          <cell r="G258" t="str">
            <v>SM-A505</v>
          </cell>
          <cell r="H258">
            <v>2019</v>
          </cell>
        </row>
        <row r="259">
          <cell r="F259" t="str">
            <v>Galaxy A50s</v>
          </cell>
          <cell r="G259" t="str">
            <v>SM-A507</v>
          </cell>
          <cell r="H259">
            <v>2019</v>
          </cell>
        </row>
        <row r="260">
          <cell r="F260" t="str">
            <v>Galaxy A51</v>
          </cell>
          <cell r="G260" t="str">
            <v>SM-A515</v>
          </cell>
          <cell r="H260">
            <v>2020</v>
          </cell>
        </row>
        <row r="261">
          <cell r="F261" t="str">
            <v>Galaxy A51 5G</v>
          </cell>
          <cell r="G261" t="str">
            <v>SM-A516</v>
          </cell>
          <cell r="H261">
            <v>2020</v>
          </cell>
        </row>
        <row r="262">
          <cell r="F262" t="str">
            <v>Galaxy A52</v>
          </cell>
          <cell r="G262" t="str">
            <v>SM-A525</v>
          </cell>
          <cell r="H262">
            <v>2021</v>
          </cell>
        </row>
        <row r="263">
          <cell r="F263" t="str">
            <v>Galaxy A52 5G</v>
          </cell>
          <cell r="G263" t="str">
            <v>SM-A526</v>
          </cell>
          <cell r="H263">
            <v>2021</v>
          </cell>
        </row>
        <row r="264">
          <cell r="F264" t="str">
            <v>Galaxy A52s 5G</v>
          </cell>
          <cell r="G264" t="str">
            <v>SM-A528</v>
          </cell>
          <cell r="H264">
            <v>2021</v>
          </cell>
        </row>
        <row r="265">
          <cell r="F265" t="str">
            <v>Galaxy A53 5G</v>
          </cell>
          <cell r="G265" t="str">
            <v>SM-A536</v>
          </cell>
          <cell r="H265">
            <v>2022</v>
          </cell>
        </row>
        <row r="266">
          <cell r="F266" t="str">
            <v>Galaxy A54 5G</v>
          </cell>
          <cell r="G266" t="str">
            <v>SM-A546</v>
          </cell>
          <cell r="H266">
            <v>2023</v>
          </cell>
        </row>
        <row r="267">
          <cell r="F267" t="str">
            <v>Galaxy A55 5G</v>
          </cell>
          <cell r="G267" t="str">
            <v>SM-A556</v>
          </cell>
          <cell r="H267">
            <v>2024</v>
          </cell>
        </row>
        <row r="268">
          <cell r="F268" t="str">
            <v>Galaxy A56 5G</v>
          </cell>
          <cell r="G268" t="str">
            <v>SM-A566</v>
          </cell>
          <cell r="H268">
            <v>2025</v>
          </cell>
        </row>
        <row r="269">
          <cell r="F269" t="str">
            <v>Galaxy A70</v>
          </cell>
          <cell r="G269" t="str">
            <v>SM-A705</v>
          </cell>
          <cell r="H269">
            <v>2019</v>
          </cell>
        </row>
        <row r="270">
          <cell r="F270" t="str">
            <v>Galaxy A70s</v>
          </cell>
          <cell r="G270" t="str">
            <v>SM-A707</v>
          </cell>
          <cell r="H270">
            <v>2019</v>
          </cell>
        </row>
        <row r="271">
          <cell r="F271" t="str">
            <v>Galaxy A71</v>
          </cell>
          <cell r="G271" t="str">
            <v>SM-A715</v>
          </cell>
          <cell r="H271">
            <v>2020</v>
          </cell>
        </row>
        <row r="272">
          <cell r="F272" t="str">
            <v>Galaxy A71 5G</v>
          </cell>
          <cell r="G272" t="str">
            <v>SM-A716</v>
          </cell>
          <cell r="H272">
            <v>2020</v>
          </cell>
        </row>
        <row r="273">
          <cell r="F273" t="str">
            <v>Galaxy A72</v>
          </cell>
          <cell r="G273" t="str">
            <v>SM-A725</v>
          </cell>
          <cell r="H273">
            <v>2021</v>
          </cell>
        </row>
        <row r="274">
          <cell r="F274" t="str">
            <v>Galaxy A73 5G</v>
          </cell>
          <cell r="G274" t="str">
            <v>SM-A736</v>
          </cell>
          <cell r="H274">
            <v>2022</v>
          </cell>
        </row>
        <row r="275">
          <cell r="F275" t="str">
            <v>Galaxy M10</v>
          </cell>
          <cell r="G275" t="str">
            <v>SM-M105</v>
          </cell>
          <cell r="H275">
            <v>2019</v>
          </cell>
        </row>
        <row r="276">
          <cell r="F276" t="str">
            <v>Galaxy M11</v>
          </cell>
          <cell r="G276" t="str">
            <v>SM-M115</v>
          </cell>
          <cell r="H276">
            <v>2020</v>
          </cell>
        </row>
        <row r="277">
          <cell r="F277" t="str">
            <v>Galaxy M12</v>
          </cell>
          <cell r="G277" t="str">
            <v>SM-M127</v>
          </cell>
          <cell r="H277">
            <v>2021</v>
          </cell>
        </row>
        <row r="278">
          <cell r="F278" t="str">
            <v>Galaxy M13</v>
          </cell>
          <cell r="G278" t="str">
            <v>SM-M135</v>
          </cell>
          <cell r="H278">
            <v>2022</v>
          </cell>
        </row>
        <row r="279">
          <cell r="F279" t="str">
            <v>Galaxy M14 5G</v>
          </cell>
          <cell r="G279" t="str">
            <v>SM-M146</v>
          </cell>
          <cell r="H279">
            <v>2023</v>
          </cell>
        </row>
        <row r="280">
          <cell r="F280" t="str">
            <v>Galaxy M15 5G</v>
          </cell>
          <cell r="G280" t="str">
            <v>SM-M156</v>
          </cell>
          <cell r="H280">
            <v>2024</v>
          </cell>
        </row>
        <row r="281">
          <cell r="F281" t="str">
            <v>Galaxy M16 5G</v>
          </cell>
          <cell r="G281" t="str">
            <v>SM-M166</v>
          </cell>
          <cell r="H281">
            <v>2025</v>
          </cell>
        </row>
        <row r="282">
          <cell r="F282" t="str">
            <v>Galaxy M20</v>
          </cell>
          <cell r="G282" t="str">
            <v>SM-M205</v>
          </cell>
          <cell r="H282">
            <v>2019</v>
          </cell>
        </row>
        <row r="283">
          <cell r="F283" t="str">
            <v>Galaxy M21</v>
          </cell>
          <cell r="G283" t="str">
            <v>SM-M215</v>
          </cell>
          <cell r="H283">
            <v>2020</v>
          </cell>
        </row>
        <row r="284">
          <cell r="F284" t="str">
            <v>Galaxy M22</v>
          </cell>
          <cell r="G284" t="str">
            <v>SM-M225</v>
          </cell>
          <cell r="H284">
            <v>2021</v>
          </cell>
        </row>
        <row r="285">
          <cell r="F285" t="str">
            <v>Galaxy M23 5G</v>
          </cell>
          <cell r="G285" t="str">
            <v>SM-M236</v>
          </cell>
          <cell r="H285">
            <v>2022</v>
          </cell>
        </row>
        <row r="286">
          <cell r="F286" t="str">
            <v>Galaxy M24</v>
          </cell>
          <cell r="G286" t="str">
            <v>SM-M245</v>
          </cell>
          <cell r="H286">
            <v>2023</v>
          </cell>
        </row>
        <row r="287">
          <cell r="F287" t="str">
            <v>Galaxy M25 5G</v>
          </cell>
          <cell r="G287" t="str">
            <v>SM-M256</v>
          </cell>
          <cell r="H287">
            <v>2024</v>
          </cell>
        </row>
        <row r="288">
          <cell r="F288" t="str">
            <v>Galaxy J1</v>
          </cell>
          <cell r="G288" t="str">
            <v>SM-J100</v>
          </cell>
          <cell r="H288">
            <v>2015</v>
          </cell>
        </row>
        <row r="289">
          <cell r="F289" t="str">
            <v>Galaxy J1 Ace</v>
          </cell>
          <cell r="G289" t="str">
            <v>SM-J110</v>
          </cell>
          <cell r="H289">
            <v>2015</v>
          </cell>
        </row>
        <row r="290">
          <cell r="F290" t="str">
            <v>Galaxy J2</v>
          </cell>
          <cell r="G290" t="str">
            <v>SM-J200</v>
          </cell>
          <cell r="H290">
            <v>2015</v>
          </cell>
        </row>
        <row r="291">
          <cell r="F291" t="str">
            <v>Galaxy J2 Prime</v>
          </cell>
          <cell r="G291" t="str">
            <v>SM-G532</v>
          </cell>
          <cell r="H291">
            <v>2016</v>
          </cell>
        </row>
        <row r="292">
          <cell r="F292" t="str">
            <v>Galaxy J3</v>
          </cell>
          <cell r="G292" t="str">
            <v>SM-J320</v>
          </cell>
          <cell r="H292">
            <v>2016</v>
          </cell>
        </row>
        <row r="293">
          <cell r="F293" t="str">
            <v>Galaxy J4</v>
          </cell>
          <cell r="G293" t="str">
            <v>SM-J400</v>
          </cell>
          <cell r="H293">
            <v>2018</v>
          </cell>
        </row>
        <row r="294">
          <cell r="F294" t="str">
            <v>Galaxy J4+</v>
          </cell>
          <cell r="G294" t="str">
            <v>SM-J415</v>
          </cell>
          <cell r="H294">
            <v>2018</v>
          </cell>
        </row>
        <row r="295">
          <cell r="F295" t="str">
            <v>Galaxy J5</v>
          </cell>
          <cell r="G295" t="str">
            <v>SM-J500</v>
          </cell>
          <cell r="H295">
            <v>2015</v>
          </cell>
        </row>
        <row r="296">
          <cell r="F296" t="str">
            <v>Galaxy J6</v>
          </cell>
          <cell r="G296" t="str">
            <v>SM-J600</v>
          </cell>
          <cell r="H296">
            <v>2018</v>
          </cell>
        </row>
        <row r="297">
          <cell r="F297" t="str">
            <v>Galaxy J7</v>
          </cell>
          <cell r="G297" t="str">
            <v>SM-J700</v>
          </cell>
          <cell r="H297">
            <v>2015</v>
          </cell>
        </row>
        <row r="298">
          <cell r="F298" t="str">
            <v>Galaxy J7 Prime</v>
          </cell>
          <cell r="G298" t="str">
            <v>SM-G610</v>
          </cell>
          <cell r="H298">
            <v>2016</v>
          </cell>
        </row>
        <row r="299">
          <cell r="F299" t="str">
            <v>Galaxy J8</v>
          </cell>
          <cell r="G299" t="str">
            <v>SM-J810</v>
          </cell>
          <cell r="H299">
            <v>2018</v>
          </cell>
        </row>
        <row r="300">
          <cell r="F300" t="str">
            <v>Galaxy XCover</v>
          </cell>
          <cell r="G300" t="str">
            <v>GT-S5690</v>
          </cell>
          <cell r="H300">
            <v>2011</v>
          </cell>
        </row>
        <row r="301">
          <cell r="F301" t="str">
            <v>Galaxy XCover 2</v>
          </cell>
          <cell r="G301" t="str">
            <v>GT-S7710</v>
          </cell>
          <cell r="H301">
            <v>2013</v>
          </cell>
        </row>
        <row r="302">
          <cell r="F302" t="str">
            <v>Galaxy XCover 3</v>
          </cell>
          <cell r="G302" t="str">
            <v>SM-G388</v>
          </cell>
          <cell r="H302">
            <v>2015</v>
          </cell>
        </row>
        <row r="303">
          <cell r="F303" t="str">
            <v>Galaxy XCover 4</v>
          </cell>
          <cell r="G303" t="str">
            <v>SM-G390</v>
          </cell>
          <cell r="H303">
            <v>2017</v>
          </cell>
        </row>
        <row r="304">
          <cell r="F304" t="str">
            <v>Galaxy XCover 4s</v>
          </cell>
          <cell r="G304" t="str">
            <v>SM-G398</v>
          </cell>
          <cell r="H304">
            <v>2019</v>
          </cell>
        </row>
        <row r="305">
          <cell r="F305" t="str">
            <v>Galaxy XCover FieldPro</v>
          </cell>
          <cell r="G305" t="str">
            <v>SM-G889</v>
          </cell>
          <cell r="H305">
            <v>2020</v>
          </cell>
        </row>
        <row r="306">
          <cell r="F306" t="str">
            <v>Galaxy XCover Pro</v>
          </cell>
          <cell r="G306" t="str">
            <v>SM-G715</v>
          </cell>
          <cell r="H306">
            <v>2020</v>
          </cell>
        </row>
        <row r="307">
          <cell r="F307" t="str">
            <v>Galaxy XCover5</v>
          </cell>
          <cell r="G307" t="str">
            <v>SM-G525</v>
          </cell>
          <cell r="H307">
            <v>2021</v>
          </cell>
        </row>
        <row r="308">
          <cell r="F308" t="str">
            <v>Galaxy XCover6 Pro</v>
          </cell>
          <cell r="G308" t="str">
            <v>SM-G736</v>
          </cell>
          <cell r="H308">
            <v>2022</v>
          </cell>
        </row>
        <row r="309">
          <cell r="F309" t="str">
            <v>Galaxy XCover7</v>
          </cell>
          <cell r="G309" t="str">
            <v>SM-G556</v>
          </cell>
          <cell r="H309">
            <v>2024</v>
          </cell>
        </row>
        <row r="310">
          <cell r="F310" t="str">
            <v>Galaxy Tab</v>
          </cell>
          <cell r="G310" t="str">
            <v>GT-P1000</v>
          </cell>
          <cell r="H310">
            <v>2010</v>
          </cell>
        </row>
        <row r="311">
          <cell r="F311" t="str">
            <v>Galaxy Tab 2 7.0</v>
          </cell>
          <cell r="G311" t="str">
            <v>GT-P3113</v>
          </cell>
          <cell r="H311">
            <v>2012</v>
          </cell>
        </row>
        <row r="312">
          <cell r="F312" t="str">
            <v>Galaxy Tab 2 10.1</v>
          </cell>
          <cell r="G312" t="str">
            <v>GT-P5113</v>
          </cell>
          <cell r="H312">
            <v>2012</v>
          </cell>
        </row>
        <row r="313">
          <cell r="F313" t="str">
            <v>Galaxy Tab 3 7.0</v>
          </cell>
          <cell r="G313" t="str">
            <v>SM-T210</v>
          </cell>
          <cell r="H313">
            <v>2013</v>
          </cell>
        </row>
        <row r="314">
          <cell r="F314" t="str">
            <v>Galaxy Tab 3 8.0</v>
          </cell>
          <cell r="G314" t="str">
            <v>SM-T310</v>
          </cell>
          <cell r="H314">
            <v>2013</v>
          </cell>
        </row>
        <row r="315">
          <cell r="F315" t="str">
            <v>Galaxy Tab 3 10.1</v>
          </cell>
          <cell r="G315" t="str">
            <v>SM-T510</v>
          </cell>
          <cell r="H315">
            <v>2013</v>
          </cell>
        </row>
        <row r="316">
          <cell r="F316" t="str">
            <v>Galaxy Tab 4 7.0</v>
          </cell>
          <cell r="G316" t="str">
            <v>SM-T230</v>
          </cell>
          <cell r="H316">
            <v>2014</v>
          </cell>
        </row>
        <row r="317">
          <cell r="F317" t="str">
            <v>Galaxy Tab 4 8.0</v>
          </cell>
          <cell r="G317" t="str">
            <v>SM-T330</v>
          </cell>
          <cell r="H317">
            <v>2014</v>
          </cell>
        </row>
        <row r="318">
          <cell r="F318" t="str">
            <v>Galaxy Tab 4 10.1</v>
          </cell>
          <cell r="G318" t="str">
            <v>SM-T530</v>
          </cell>
          <cell r="H318">
            <v>2014</v>
          </cell>
        </row>
        <row r="319">
          <cell r="F319" t="str">
            <v>Galaxy Tab A 8.0</v>
          </cell>
          <cell r="G319" t="str">
            <v>SM-T350</v>
          </cell>
          <cell r="H319">
            <v>2015</v>
          </cell>
        </row>
        <row r="320">
          <cell r="F320" t="str">
            <v>Galaxy Tab A 10.1</v>
          </cell>
          <cell r="G320" t="str">
            <v>SM-T580</v>
          </cell>
          <cell r="H320">
            <v>2016</v>
          </cell>
        </row>
        <row r="321">
          <cell r="F321" t="str">
            <v>Galaxy Tab A 8.0 (2019)</v>
          </cell>
          <cell r="G321" t="str">
            <v>SM-T290</v>
          </cell>
          <cell r="H321">
            <v>2019</v>
          </cell>
        </row>
        <row r="322">
          <cell r="F322" t="str">
            <v>Galaxy Tab A7</v>
          </cell>
          <cell r="G322" t="str">
            <v>SM-T500</v>
          </cell>
          <cell r="H322">
            <v>2020</v>
          </cell>
        </row>
        <row r="323">
          <cell r="F323" t="str">
            <v>Galaxy Tab A8</v>
          </cell>
          <cell r="G323" t="str">
            <v>SM-X200</v>
          </cell>
          <cell r="H323">
            <v>2021</v>
          </cell>
        </row>
        <row r="324">
          <cell r="F324" t="str">
            <v>Galaxy Tab S6 Lite</v>
          </cell>
          <cell r="G324" t="str">
            <v>SM-P610</v>
          </cell>
          <cell r="H324">
            <v>2020</v>
          </cell>
        </row>
        <row r="325">
          <cell r="F325" t="str">
            <v>Galaxy Tab S7</v>
          </cell>
          <cell r="G325" t="str">
            <v>SM-T870</v>
          </cell>
          <cell r="H325">
            <v>2020</v>
          </cell>
        </row>
        <row r="326">
          <cell r="F326" t="str">
            <v>Galaxy Tab S8</v>
          </cell>
          <cell r="G326" t="str">
            <v>SM-X700</v>
          </cell>
          <cell r="H326">
            <v>2022</v>
          </cell>
        </row>
        <row r="327">
          <cell r="F327" t="str">
            <v>Galaxy Tab S9</v>
          </cell>
          <cell r="G327" t="str">
            <v>SM-X710</v>
          </cell>
          <cell r="H327">
            <v>2023</v>
          </cell>
        </row>
        <row r="328">
          <cell r="F328" t="str">
            <v>Galaxy Tab S10+</v>
          </cell>
          <cell r="G328" t="str">
            <v>SM-X820</v>
          </cell>
          <cell r="H328">
            <v>2024</v>
          </cell>
        </row>
        <row r="329">
          <cell r="F329" t="str">
            <v>Galaxy Tab Active5</v>
          </cell>
          <cell r="G329" t="str">
            <v>SM-X300</v>
          </cell>
          <cell r="H329">
            <v>2024</v>
          </cell>
        </row>
        <row r="330">
          <cell r="F330" t="str">
            <v>Galaxy Book</v>
          </cell>
          <cell r="G330" t="str">
            <v>NP750XDA</v>
          </cell>
          <cell r="H330">
            <v>2021</v>
          </cell>
        </row>
        <row r="331">
          <cell r="F331" t="str">
            <v>Galaxy Book Pro</v>
          </cell>
          <cell r="G331" t="str">
            <v>NP950XDB</v>
          </cell>
          <cell r="H331">
            <v>2021</v>
          </cell>
        </row>
        <row r="332">
          <cell r="F332" t="str">
            <v>Galaxy Book Pro 360</v>
          </cell>
          <cell r="G332" t="str">
            <v>NP950QDB</v>
          </cell>
          <cell r="H332">
            <v>2021</v>
          </cell>
        </row>
        <row r="333">
          <cell r="F333" t="str">
            <v>Galaxy Book2</v>
          </cell>
          <cell r="G333" t="str">
            <v>NP750XED</v>
          </cell>
          <cell r="H333">
            <v>2022</v>
          </cell>
        </row>
        <row r="334">
          <cell r="F334" t="str">
            <v>Galaxy Book2 Pro</v>
          </cell>
          <cell r="G334" t="str">
            <v>NP950XEE</v>
          </cell>
          <cell r="H334">
            <v>2022</v>
          </cell>
        </row>
        <row r="335">
          <cell r="F335" t="str">
            <v>Galaxy Book3</v>
          </cell>
          <cell r="G335" t="str">
            <v>NP750XFG</v>
          </cell>
          <cell r="H335">
            <v>2023</v>
          </cell>
        </row>
        <row r="336">
          <cell r="F336" t="str">
            <v>Galaxy Book3 Pro</v>
          </cell>
          <cell r="G336" t="str">
            <v>NP960XFG</v>
          </cell>
          <cell r="H336">
            <v>2023</v>
          </cell>
        </row>
        <row r="337">
          <cell r="F337" t="str">
            <v>Galaxy Book4</v>
          </cell>
          <cell r="G337" t="str">
            <v>NP750XGK</v>
          </cell>
          <cell r="H337">
            <v>2024</v>
          </cell>
        </row>
        <row r="338">
          <cell r="F338" t="str">
            <v>Galaxy Book4 Pro</v>
          </cell>
          <cell r="G338" t="str">
            <v>NP960XGK</v>
          </cell>
          <cell r="H338">
            <v>2024</v>
          </cell>
        </row>
        <row r="339">
          <cell r="F339" t="str">
            <v>Galaxy Book5 Pro</v>
          </cell>
          <cell r="G339" t="str">
            <v>NP960XHA</v>
          </cell>
          <cell r="H339">
            <v>2025</v>
          </cell>
        </row>
        <row r="340">
          <cell r="F340" t="str">
            <v>Galaxy Gear</v>
          </cell>
          <cell r="G340" t="str">
            <v>SM-V700</v>
          </cell>
          <cell r="H340">
            <v>2013</v>
          </cell>
        </row>
        <row r="341">
          <cell r="F341" t="str">
            <v>Gear S2</v>
          </cell>
          <cell r="G341" t="str">
            <v>SM-R720</v>
          </cell>
          <cell r="H341">
            <v>2015</v>
          </cell>
        </row>
        <row r="342">
          <cell r="F342" t="str">
            <v>Gear S3 Frontier</v>
          </cell>
          <cell r="G342" t="str">
            <v>SM-R760</v>
          </cell>
          <cell r="H342">
            <v>2016</v>
          </cell>
        </row>
        <row r="343">
          <cell r="F343" t="str">
            <v>Galaxy Watch</v>
          </cell>
          <cell r="G343" t="str">
            <v>SM-R800</v>
          </cell>
          <cell r="H343">
            <v>2018</v>
          </cell>
        </row>
        <row r="344">
          <cell r="F344" t="str">
            <v>Galaxy Watch Active</v>
          </cell>
          <cell r="G344" t="str">
            <v>SM-R500</v>
          </cell>
          <cell r="H344">
            <v>2019</v>
          </cell>
        </row>
        <row r="345">
          <cell r="F345" t="str">
            <v>Galaxy Watch3</v>
          </cell>
          <cell r="G345" t="str">
            <v>SM-R840</v>
          </cell>
          <cell r="H345">
            <v>2020</v>
          </cell>
        </row>
        <row r="346">
          <cell r="F346" t="str">
            <v>Galaxy Watch4</v>
          </cell>
          <cell r="G346" t="str">
            <v>SM-R870</v>
          </cell>
          <cell r="H346">
            <v>2021</v>
          </cell>
        </row>
        <row r="347">
          <cell r="F347" t="str">
            <v>Galaxy Watch5</v>
          </cell>
          <cell r="G347" t="str">
            <v>SM-R910</v>
          </cell>
          <cell r="H347">
            <v>2022</v>
          </cell>
        </row>
        <row r="348">
          <cell r="F348" t="str">
            <v>Galaxy Watch6</v>
          </cell>
          <cell r="G348" t="str">
            <v>SM-R940</v>
          </cell>
          <cell r="H348">
            <v>2023</v>
          </cell>
        </row>
        <row r="349">
          <cell r="F349" t="str">
            <v>Galaxy Watch Ultra</v>
          </cell>
          <cell r="G349" t="str">
            <v>SM-L705</v>
          </cell>
          <cell r="H349">
            <v>2024</v>
          </cell>
        </row>
        <row r="350">
          <cell r="F350" t="str">
            <v>Galaxy Buds</v>
          </cell>
          <cell r="G350" t="str">
            <v>SM-R170</v>
          </cell>
          <cell r="H350">
            <v>2019</v>
          </cell>
        </row>
        <row r="351">
          <cell r="F351" t="str">
            <v>Galaxy Buds+</v>
          </cell>
          <cell r="G351" t="str">
            <v>SM-R175</v>
          </cell>
          <cell r="H351">
            <v>2020</v>
          </cell>
        </row>
        <row r="352">
          <cell r="F352" t="str">
            <v>Galaxy Buds Live</v>
          </cell>
          <cell r="G352" t="str">
            <v>SM-R180</v>
          </cell>
          <cell r="H352">
            <v>2020</v>
          </cell>
        </row>
        <row r="353">
          <cell r="F353" t="str">
            <v>Galaxy Buds Pro</v>
          </cell>
          <cell r="G353" t="str">
            <v>SM-R190</v>
          </cell>
          <cell r="H353">
            <v>2021</v>
          </cell>
        </row>
        <row r="354">
          <cell r="F354" t="str">
            <v>Galaxy Buds2</v>
          </cell>
          <cell r="G354" t="str">
            <v>SM-R177</v>
          </cell>
          <cell r="H354">
            <v>2021</v>
          </cell>
        </row>
        <row r="355">
          <cell r="F355" t="str">
            <v>Galaxy Buds2 Pro</v>
          </cell>
          <cell r="G355" t="str">
            <v>SM-R510</v>
          </cell>
          <cell r="H355">
            <v>2022</v>
          </cell>
        </row>
        <row r="356">
          <cell r="F356" t="str">
            <v>Galaxy Buds FE</v>
          </cell>
          <cell r="G356" t="str">
            <v>SM-R400</v>
          </cell>
          <cell r="H356">
            <v>2023</v>
          </cell>
        </row>
        <row r="357">
          <cell r="F357" t="str">
            <v>Galaxy Buds3</v>
          </cell>
          <cell r="G357" t="str">
            <v>SM-R530</v>
          </cell>
          <cell r="H357">
            <v>2024</v>
          </cell>
        </row>
        <row r="358">
          <cell r="F358" t="str">
            <v>Galaxy Buds3 Pro</v>
          </cell>
          <cell r="G358" t="str">
            <v>SM-R630</v>
          </cell>
          <cell r="H358">
            <v>2024</v>
          </cell>
        </row>
        <row r="359">
          <cell r="F359" t="str">
            <v>Pixel</v>
          </cell>
          <cell r="G359" t="str">
            <v>G-2PW4100</v>
          </cell>
          <cell r="H359">
            <v>2016</v>
          </cell>
        </row>
        <row r="360">
          <cell r="F360" t="str">
            <v>Pixel XL</v>
          </cell>
          <cell r="G360" t="str">
            <v>G-2PW2100</v>
          </cell>
          <cell r="H360">
            <v>2016</v>
          </cell>
        </row>
        <row r="361">
          <cell r="F361" t="str">
            <v>Pixel 2</v>
          </cell>
          <cell r="G361" t="str">
            <v>G011A</v>
          </cell>
          <cell r="H361">
            <v>2017</v>
          </cell>
        </row>
        <row r="362">
          <cell r="F362" t="str">
            <v>Pixel 2 XL</v>
          </cell>
          <cell r="G362" t="str">
            <v>G011C</v>
          </cell>
          <cell r="H362">
            <v>2017</v>
          </cell>
        </row>
        <row r="363">
          <cell r="F363" t="str">
            <v>Pixel 3</v>
          </cell>
          <cell r="G363" t="str">
            <v>G013A</v>
          </cell>
          <cell r="H363">
            <v>2018</v>
          </cell>
        </row>
        <row r="364">
          <cell r="F364" t="str">
            <v>Pixel 3 XL</v>
          </cell>
          <cell r="G364" t="str">
            <v>G013C</v>
          </cell>
          <cell r="H364">
            <v>2018</v>
          </cell>
        </row>
        <row r="365">
          <cell r="F365" t="str">
            <v>Pixel 3a</v>
          </cell>
          <cell r="G365" t="str">
            <v>G020A</v>
          </cell>
          <cell r="H365">
            <v>2019</v>
          </cell>
        </row>
        <row r="366">
          <cell r="F366" t="str">
            <v>Pixel 3a XL</v>
          </cell>
          <cell r="G366" t="str">
            <v>G020C</v>
          </cell>
          <cell r="H366">
            <v>2019</v>
          </cell>
        </row>
        <row r="367">
          <cell r="F367" t="str">
            <v>Pixel 4</v>
          </cell>
          <cell r="G367" t="str">
            <v>G020I</v>
          </cell>
          <cell r="H367">
            <v>2019</v>
          </cell>
        </row>
        <row r="368">
          <cell r="F368" t="str">
            <v>Pixel 4 XL</v>
          </cell>
          <cell r="G368" t="str">
            <v>G020J</v>
          </cell>
          <cell r="H368">
            <v>2019</v>
          </cell>
        </row>
        <row r="369">
          <cell r="F369" t="str">
            <v>Pixel 4a</v>
          </cell>
          <cell r="G369" t="str">
            <v>G025J</v>
          </cell>
          <cell r="H369">
            <v>2020</v>
          </cell>
        </row>
        <row r="370">
          <cell r="F370" t="str">
            <v>Pixel 4a (5G)</v>
          </cell>
          <cell r="G370" t="str">
            <v>G025E</v>
          </cell>
          <cell r="H370">
            <v>2020</v>
          </cell>
        </row>
        <row r="371">
          <cell r="F371" t="str">
            <v>Pixel 5</v>
          </cell>
          <cell r="G371" t="str">
            <v>GD1YQ</v>
          </cell>
          <cell r="H371">
            <v>2020</v>
          </cell>
        </row>
        <row r="372">
          <cell r="F372" t="str">
            <v>Pixel 5a</v>
          </cell>
          <cell r="G372" t="str">
            <v>G4S1M</v>
          </cell>
          <cell r="H372">
            <v>2021</v>
          </cell>
        </row>
        <row r="373">
          <cell r="F373" t="str">
            <v>Pixel 6</v>
          </cell>
          <cell r="G373" t="str">
            <v>GB7N6</v>
          </cell>
          <cell r="H373">
            <v>2021</v>
          </cell>
        </row>
        <row r="374">
          <cell r="F374" t="str">
            <v>Pixel 6 Pro</v>
          </cell>
          <cell r="G374" t="str">
            <v>GLU0G</v>
          </cell>
          <cell r="H374">
            <v>2021</v>
          </cell>
        </row>
        <row r="375">
          <cell r="F375" t="str">
            <v>Pixel 6a</v>
          </cell>
          <cell r="G375" t="str">
            <v>GX7AS</v>
          </cell>
          <cell r="H375">
            <v>2022</v>
          </cell>
        </row>
        <row r="376">
          <cell r="F376" t="str">
            <v>Pixel 7</v>
          </cell>
          <cell r="G376" t="str">
            <v>GVU6C</v>
          </cell>
          <cell r="H376">
            <v>2022</v>
          </cell>
        </row>
        <row r="377">
          <cell r="F377" t="str">
            <v>Pixel 7 Pro</v>
          </cell>
          <cell r="G377" t="str">
            <v>GE2AE</v>
          </cell>
          <cell r="H377">
            <v>2022</v>
          </cell>
        </row>
        <row r="378">
          <cell r="F378" t="str">
            <v>Pixel 7a</v>
          </cell>
          <cell r="G378" t="str">
            <v>GWKK3</v>
          </cell>
          <cell r="H378">
            <v>2023</v>
          </cell>
        </row>
        <row r="379">
          <cell r="F379" t="str">
            <v>Pixel Fold</v>
          </cell>
          <cell r="G379" t="str">
            <v>GC3VE</v>
          </cell>
          <cell r="H379">
            <v>2023</v>
          </cell>
        </row>
        <row r="380">
          <cell r="F380" t="str">
            <v>Pixel Tablet</v>
          </cell>
          <cell r="G380" t="str">
            <v>GTU8P</v>
          </cell>
          <cell r="H380">
            <v>2023</v>
          </cell>
        </row>
        <row r="381">
          <cell r="F381" t="str">
            <v>Pixel 8</v>
          </cell>
          <cell r="G381" t="str">
            <v>GKWS6</v>
          </cell>
          <cell r="H381">
            <v>2023</v>
          </cell>
        </row>
        <row r="382">
          <cell r="F382" t="str">
            <v>Pixel 8 Pro</v>
          </cell>
          <cell r="G382" t="str">
            <v>GC3HQ</v>
          </cell>
          <cell r="H382">
            <v>2023</v>
          </cell>
        </row>
        <row r="383">
          <cell r="F383" t="str">
            <v>Pixel 8a</v>
          </cell>
          <cell r="G383" t="str">
            <v>G8HNN</v>
          </cell>
          <cell r="H383">
            <v>2024</v>
          </cell>
        </row>
        <row r="384">
          <cell r="F384" t="str">
            <v>Pixel 9</v>
          </cell>
          <cell r="G384" t="str">
            <v>GR83Y</v>
          </cell>
          <cell r="H384">
            <v>2024</v>
          </cell>
        </row>
        <row r="385">
          <cell r="F385" t="str">
            <v>Pixel 9 Pro</v>
          </cell>
          <cell r="G385" t="str">
            <v>GGX8B</v>
          </cell>
          <cell r="H385">
            <v>2024</v>
          </cell>
        </row>
        <row r="386">
          <cell r="F386" t="str">
            <v>Pixel 9 Pro XL</v>
          </cell>
          <cell r="G386" t="str">
            <v>GZC4K</v>
          </cell>
          <cell r="H386">
            <v>2024</v>
          </cell>
        </row>
        <row r="387">
          <cell r="F387" t="str">
            <v>Pixel 9 Pro Fold</v>
          </cell>
          <cell r="G387" t="str">
            <v>GGH2X</v>
          </cell>
          <cell r="H387">
            <v>2024</v>
          </cell>
        </row>
        <row r="388">
          <cell r="F388" t="str">
            <v>Pixel 9a</v>
          </cell>
          <cell r="G388" t="str">
            <v>GXQ96</v>
          </cell>
          <cell r="H388">
            <v>2025</v>
          </cell>
        </row>
        <row r="389">
          <cell r="F389" t="str">
            <v>Moto G</v>
          </cell>
          <cell r="G389" t="str">
            <v>XT1032</v>
          </cell>
          <cell r="H389">
            <v>2013</v>
          </cell>
        </row>
        <row r="390">
          <cell r="F390" t="str">
            <v>Moto G (2nd Gen)</v>
          </cell>
          <cell r="G390" t="str">
            <v>XT1063</v>
          </cell>
          <cell r="H390">
            <v>2014</v>
          </cell>
        </row>
        <row r="391">
          <cell r="F391" t="str">
            <v>Moto G3</v>
          </cell>
          <cell r="G391" t="str">
            <v>XT1540</v>
          </cell>
          <cell r="H391">
            <v>2015</v>
          </cell>
        </row>
        <row r="392">
          <cell r="F392" t="str">
            <v>Moto G4</v>
          </cell>
          <cell r="G392" t="str">
            <v>XT1625</v>
          </cell>
          <cell r="H392">
            <v>2016</v>
          </cell>
        </row>
        <row r="393">
          <cell r="F393" t="str">
            <v>Moto G5</v>
          </cell>
          <cell r="G393" t="str">
            <v>XT1670</v>
          </cell>
          <cell r="H393">
            <v>2017</v>
          </cell>
        </row>
        <row r="394">
          <cell r="F394" t="str">
            <v>Moto G6</v>
          </cell>
          <cell r="G394" t="str">
            <v>XT1925</v>
          </cell>
          <cell r="H394">
            <v>2018</v>
          </cell>
        </row>
        <row r="395">
          <cell r="F395" t="str">
            <v>Moto G7</v>
          </cell>
          <cell r="G395" t="str">
            <v>XT1962</v>
          </cell>
          <cell r="H395">
            <v>2019</v>
          </cell>
        </row>
        <row r="396">
          <cell r="F396" t="str">
            <v>Moto G Power</v>
          </cell>
          <cell r="G396" t="str">
            <v>XT2041</v>
          </cell>
          <cell r="H396">
            <v>2020</v>
          </cell>
        </row>
        <row r="397">
          <cell r="F397" t="str">
            <v>Moto G Stylus</v>
          </cell>
          <cell r="G397" t="str">
            <v>XT2043</v>
          </cell>
          <cell r="H397">
            <v>2020</v>
          </cell>
        </row>
        <row r="398">
          <cell r="F398" t="str">
            <v>Moto G 5G</v>
          </cell>
          <cell r="G398" t="str">
            <v>XT2113</v>
          </cell>
          <cell r="H398">
            <v>2020</v>
          </cell>
        </row>
        <row r="399">
          <cell r="F399" t="str">
            <v>Moto G Power (2021)</v>
          </cell>
          <cell r="G399" t="str">
            <v>XT2117</v>
          </cell>
          <cell r="H399">
            <v>2021</v>
          </cell>
        </row>
        <row r="400">
          <cell r="F400" t="str">
            <v>Moto G Stylus 5G</v>
          </cell>
          <cell r="G400" t="str">
            <v>XT2131</v>
          </cell>
          <cell r="H400">
            <v>2021</v>
          </cell>
        </row>
        <row r="401">
          <cell r="F401" t="str">
            <v>Moto E7</v>
          </cell>
          <cell r="G401" t="str">
            <v>XT2095</v>
          </cell>
          <cell r="H401">
            <v>2020</v>
          </cell>
        </row>
        <row r="402">
          <cell r="F402" t="str">
            <v>Moto E13</v>
          </cell>
          <cell r="G402" t="str">
            <v>XT2345</v>
          </cell>
          <cell r="H402">
            <v>2023</v>
          </cell>
        </row>
        <row r="403">
          <cell r="F403" t="str">
            <v>Motorola One 5G</v>
          </cell>
          <cell r="G403" t="str">
            <v>XT2075</v>
          </cell>
          <cell r="H403">
            <v>2020</v>
          </cell>
        </row>
        <row r="404">
          <cell r="F404" t="str">
            <v>Motorola Edge</v>
          </cell>
          <cell r="G404" t="str">
            <v>XT2063</v>
          </cell>
          <cell r="H404">
            <v>2020</v>
          </cell>
        </row>
        <row r="405">
          <cell r="F405" t="str">
            <v>Motorola Edge+</v>
          </cell>
          <cell r="G405" t="str">
            <v>XT2061</v>
          </cell>
          <cell r="H405">
            <v>2020</v>
          </cell>
        </row>
        <row r="406">
          <cell r="F406" t="str">
            <v>Motorola Razr 5G</v>
          </cell>
          <cell r="G406" t="str">
            <v>XT2071</v>
          </cell>
          <cell r="H406">
            <v>2020</v>
          </cell>
        </row>
        <row r="407">
          <cell r="F407" t="str">
            <v>Motorola Razr 2023</v>
          </cell>
          <cell r="G407" t="str">
            <v>XT2323</v>
          </cell>
          <cell r="H407">
            <v>2023</v>
          </cell>
        </row>
        <row r="408">
          <cell r="F408" t="str">
            <v>Moto G54 5G</v>
          </cell>
          <cell r="G408" t="str">
            <v>XT2343</v>
          </cell>
          <cell r="H408">
            <v>2023</v>
          </cell>
        </row>
        <row r="409">
          <cell r="F409" t="str">
            <v>Moto G84 5G</v>
          </cell>
          <cell r="G409" t="str">
            <v>XT2347</v>
          </cell>
          <cell r="H409">
            <v>2023</v>
          </cell>
        </row>
        <row r="410">
          <cell r="F410" t="str">
            <v>Moto G85 5G</v>
          </cell>
          <cell r="G410" t="str">
            <v>XT2427</v>
          </cell>
          <cell r="H410">
            <v>2024</v>
          </cell>
        </row>
        <row r="411">
          <cell r="F411" t="str">
            <v>Motorola Edge 40</v>
          </cell>
          <cell r="G411" t="str">
            <v>XT2303</v>
          </cell>
          <cell r="H411">
            <v>2023</v>
          </cell>
        </row>
        <row r="412">
          <cell r="F412" t="str">
            <v>Motorola Edge 40 Pro</v>
          </cell>
          <cell r="G412" t="str">
            <v>XT2301</v>
          </cell>
          <cell r="H412">
            <v>2023</v>
          </cell>
        </row>
        <row r="413">
          <cell r="F413" t="str">
            <v>Motorola Edge 50 Pro</v>
          </cell>
          <cell r="G413" t="str">
            <v>XT2403</v>
          </cell>
          <cell r="H413">
            <v>2024</v>
          </cell>
        </row>
        <row r="414">
          <cell r="F414" t="str">
            <v>Motorola Edge 50 Ultra</v>
          </cell>
          <cell r="G414" t="str">
            <v>XT2401</v>
          </cell>
          <cell r="H414">
            <v>2024</v>
          </cell>
        </row>
        <row r="415">
          <cell r="F415" t="str">
            <v>Motorola Razr+ (2024)</v>
          </cell>
          <cell r="G415" t="str">
            <v>XT2451</v>
          </cell>
          <cell r="H415">
            <v>2024</v>
          </cell>
        </row>
        <row r="416">
          <cell r="F416" t="str">
            <v>ThinkPhone</v>
          </cell>
          <cell r="G416" t="str">
            <v>XT2309</v>
          </cell>
          <cell r="H416">
            <v>2023</v>
          </cell>
        </row>
        <row r="417">
          <cell r="F417" t="str">
            <v>ThinkPhone 25</v>
          </cell>
          <cell r="G417" t="str">
            <v>XT2445</v>
          </cell>
          <cell r="H417">
            <v>2024</v>
          </cell>
        </row>
        <row r="418">
          <cell r="F418" t="str">
            <v>LG G2</v>
          </cell>
          <cell r="G418" t="str">
            <v>D800</v>
          </cell>
          <cell r="H418">
            <v>2013</v>
          </cell>
        </row>
        <row r="419">
          <cell r="F419" t="str">
            <v>LG G3</v>
          </cell>
          <cell r="G419" t="str">
            <v>D850</v>
          </cell>
          <cell r="H419">
            <v>2014</v>
          </cell>
        </row>
        <row r="420">
          <cell r="F420" t="str">
            <v>LG G4</v>
          </cell>
          <cell r="G420" t="str">
            <v>H815</v>
          </cell>
          <cell r="H420">
            <v>2015</v>
          </cell>
        </row>
        <row r="421">
          <cell r="F421" t="str">
            <v>LG G5</v>
          </cell>
          <cell r="G421" t="str">
            <v>H830</v>
          </cell>
          <cell r="H421">
            <v>2016</v>
          </cell>
        </row>
        <row r="422">
          <cell r="F422" t="str">
            <v>LG G6</v>
          </cell>
          <cell r="G422" t="str">
            <v>H870</v>
          </cell>
          <cell r="H422">
            <v>2017</v>
          </cell>
        </row>
        <row r="423">
          <cell r="F423" t="str">
            <v>LG G7 ThinQ</v>
          </cell>
          <cell r="G423" t="str">
            <v>LM-G710</v>
          </cell>
          <cell r="H423">
            <v>2018</v>
          </cell>
        </row>
        <row r="424">
          <cell r="F424" t="str">
            <v>LG G8 ThinQ</v>
          </cell>
          <cell r="G424" t="str">
            <v>LM-G820</v>
          </cell>
          <cell r="H424">
            <v>2019</v>
          </cell>
        </row>
        <row r="425">
          <cell r="F425" t="str">
            <v>LG V20</v>
          </cell>
          <cell r="G425" t="str">
            <v>H910</v>
          </cell>
          <cell r="H425">
            <v>2016</v>
          </cell>
        </row>
        <row r="426">
          <cell r="F426" t="str">
            <v>LG V30</v>
          </cell>
          <cell r="G426" t="str">
            <v>H932</v>
          </cell>
          <cell r="H426">
            <v>2017</v>
          </cell>
        </row>
        <row r="427">
          <cell r="F427" t="str">
            <v>LG V60 ThinQ 5G</v>
          </cell>
          <cell r="G427" t="str">
            <v>LM-V600</v>
          </cell>
          <cell r="H427">
            <v>2020</v>
          </cell>
        </row>
        <row r="428">
          <cell r="F428" t="str">
            <v>LG Velvet</v>
          </cell>
          <cell r="G428" t="str">
            <v>LM-G900</v>
          </cell>
          <cell r="H428">
            <v>2020</v>
          </cell>
        </row>
        <row r="429">
          <cell r="F429" t="str">
            <v>LG Wing</v>
          </cell>
          <cell r="G429" t="str">
            <v>LM-F100</v>
          </cell>
          <cell r="H429">
            <v>2020</v>
          </cell>
        </row>
        <row r="430">
          <cell r="F430" t="str">
            <v>LG Stylo 5</v>
          </cell>
          <cell r="G430" t="str">
            <v>LM-Q720</v>
          </cell>
          <cell r="H430">
            <v>2019</v>
          </cell>
        </row>
        <row r="431">
          <cell r="F431" t="str">
            <v>LG Stylo 6</v>
          </cell>
          <cell r="G431" t="str">
            <v>LM-Q730</v>
          </cell>
          <cell r="H431">
            <v>2020</v>
          </cell>
        </row>
        <row r="432">
          <cell r="F432" t="str">
            <v>LG Stylo 7</v>
          </cell>
          <cell r="G432" t="str">
            <v>LM-Q740</v>
          </cell>
          <cell r="H432">
            <v>2021</v>
          </cell>
        </row>
        <row r="433">
          <cell r="F433" t="str">
            <v>LG K51</v>
          </cell>
          <cell r="G433" t="str">
            <v>LM-K500</v>
          </cell>
          <cell r="H433">
            <v>2020</v>
          </cell>
        </row>
        <row r="434">
          <cell r="F434" t="str">
            <v>LG K61</v>
          </cell>
          <cell r="G434" t="str">
            <v>LM-Q630</v>
          </cell>
          <cell r="H434">
            <v>2020</v>
          </cell>
        </row>
        <row r="435">
          <cell r="F435" t="str">
            <v>LG Q60</v>
          </cell>
          <cell r="G435" t="str">
            <v>LM-X525</v>
          </cell>
          <cell r="H435">
            <v>2019</v>
          </cell>
        </row>
        <row r="436">
          <cell r="F436" t="str">
            <v>LG Q92 5G</v>
          </cell>
          <cell r="G436" t="str">
            <v>LM-Q920</v>
          </cell>
          <cell r="H436">
            <v>2020</v>
          </cell>
        </row>
        <row r="437">
          <cell r="F437" t="str">
            <v>LG K92 5G</v>
          </cell>
          <cell r="G437" t="str">
            <v>LM-K920</v>
          </cell>
          <cell r="H437">
            <v>2020</v>
          </cell>
        </row>
        <row r="438">
          <cell r="F438" t="str">
            <v>Xperia Z3</v>
          </cell>
          <cell r="G438" t="str">
            <v>D6603</v>
          </cell>
          <cell r="H438">
            <v>2014</v>
          </cell>
        </row>
        <row r="439">
          <cell r="F439" t="str">
            <v>Xperia Z5</v>
          </cell>
          <cell r="G439" t="str">
            <v>E6653</v>
          </cell>
          <cell r="H439">
            <v>2015</v>
          </cell>
        </row>
        <row r="440">
          <cell r="F440" t="str">
            <v>Xperia XZ</v>
          </cell>
          <cell r="G440" t="str">
            <v>F8331</v>
          </cell>
          <cell r="H440">
            <v>2016</v>
          </cell>
        </row>
        <row r="441">
          <cell r="F441" t="str">
            <v>Xperia XZ1</v>
          </cell>
          <cell r="G441" t="str">
            <v>G8341</v>
          </cell>
          <cell r="H441">
            <v>2017</v>
          </cell>
        </row>
        <row r="442">
          <cell r="F442" t="str">
            <v>Xperia XZ2</v>
          </cell>
          <cell r="G442" t="str">
            <v>H8266</v>
          </cell>
          <cell r="H442">
            <v>2018</v>
          </cell>
        </row>
        <row r="443">
          <cell r="F443" t="str">
            <v>Xperia 1</v>
          </cell>
          <cell r="G443" t="str">
            <v>J8110</v>
          </cell>
          <cell r="H443">
            <v>2019</v>
          </cell>
        </row>
        <row r="444">
          <cell r="F444" t="str">
            <v>Xperia 1 II</v>
          </cell>
          <cell r="G444" t="str">
            <v>XQ-AT51</v>
          </cell>
          <cell r="H444">
            <v>2020</v>
          </cell>
        </row>
        <row r="445">
          <cell r="F445" t="str">
            <v>Xperia 1 III</v>
          </cell>
          <cell r="G445" t="str">
            <v>XQ-BC52</v>
          </cell>
          <cell r="H445">
            <v>2021</v>
          </cell>
        </row>
        <row r="446">
          <cell r="F446" t="str">
            <v>Xperia 1 V</v>
          </cell>
          <cell r="G446" t="str">
            <v>XQ-DQ72</v>
          </cell>
          <cell r="H446">
            <v>2023</v>
          </cell>
        </row>
        <row r="447">
          <cell r="F447" t="str">
            <v>Xperia 5 V</v>
          </cell>
          <cell r="G447" t="str">
            <v>XQ-DE72</v>
          </cell>
          <cell r="H447">
            <v>2023</v>
          </cell>
        </row>
        <row r="448">
          <cell r="F448" t="str">
            <v>Xperia 5</v>
          </cell>
          <cell r="G448" t="str">
            <v>J9210</v>
          </cell>
          <cell r="H448">
            <v>2019</v>
          </cell>
        </row>
        <row r="449">
          <cell r="F449" t="str">
            <v>Xperia 5 II</v>
          </cell>
          <cell r="G449" t="str">
            <v>XQ-AS52</v>
          </cell>
          <cell r="H449">
            <v>2020</v>
          </cell>
        </row>
        <row r="450">
          <cell r="F450" t="str">
            <v>Xperia 5 III</v>
          </cell>
          <cell r="G450" t="str">
            <v>XQ-BQ72</v>
          </cell>
          <cell r="H450">
            <v>2021</v>
          </cell>
        </row>
        <row r="451">
          <cell r="F451" t="str">
            <v>Xperia 10 III</v>
          </cell>
          <cell r="G451" t="str">
            <v>XQ-BT52</v>
          </cell>
          <cell r="H451">
            <v>2021</v>
          </cell>
        </row>
        <row r="452">
          <cell r="F452" t="str">
            <v>Xperia 10 V</v>
          </cell>
          <cell r="G452" t="str">
            <v>XQ-DC72</v>
          </cell>
          <cell r="H452">
            <v>2023</v>
          </cell>
        </row>
        <row r="453">
          <cell r="F453" t="str">
            <v>Xperia PRO</v>
          </cell>
          <cell r="G453" t="str">
            <v>XQ-AQ62</v>
          </cell>
          <cell r="H453">
            <v>2021</v>
          </cell>
        </row>
        <row r="454">
          <cell r="F454" t="str">
            <v>Xperia PRO-I</v>
          </cell>
          <cell r="G454" t="str">
            <v>XQ-BE62</v>
          </cell>
          <cell r="H454">
            <v>2021</v>
          </cell>
        </row>
        <row r="455">
          <cell r="F455" t="str">
            <v>Xperia Ace</v>
          </cell>
          <cell r="G455" t="str">
            <v>SO-02L</v>
          </cell>
          <cell r="H455">
            <v>2019</v>
          </cell>
        </row>
        <row r="456">
          <cell r="F456" t="str">
            <v>Xperia Ace II</v>
          </cell>
          <cell r="G456" t="str">
            <v>SO-41B</v>
          </cell>
          <cell r="H456">
            <v>2021</v>
          </cell>
        </row>
        <row r="457">
          <cell r="F457" t="str">
            <v>Xperia Ace III</v>
          </cell>
          <cell r="G457" t="str">
            <v>SO-53C</v>
          </cell>
          <cell r="H457">
            <v>2022</v>
          </cell>
        </row>
        <row r="458">
          <cell r="F458" t="str">
            <v>Nokia 6</v>
          </cell>
          <cell r="G458" t="str">
            <v>TA-1000</v>
          </cell>
          <cell r="H458">
            <v>2017</v>
          </cell>
        </row>
        <row r="459">
          <cell r="F459" t="str">
            <v>Nokia 6.1</v>
          </cell>
          <cell r="G459" t="str">
            <v>TA-1043</v>
          </cell>
          <cell r="H459">
            <v>2018</v>
          </cell>
        </row>
        <row r="460">
          <cell r="F460" t="str">
            <v>Nokia 7 Plus</v>
          </cell>
          <cell r="G460" t="str">
            <v>TA-1046</v>
          </cell>
          <cell r="H460">
            <v>2018</v>
          </cell>
        </row>
        <row r="461">
          <cell r="F461" t="str">
            <v>Nokia 7.2</v>
          </cell>
          <cell r="G461" t="str">
            <v>TA-1196</v>
          </cell>
          <cell r="H461">
            <v>2019</v>
          </cell>
        </row>
        <row r="462">
          <cell r="F462" t="str">
            <v>Nokia 8.3 5G</v>
          </cell>
          <cell r="G462" t="str">
            <v>TA-1243</v>
          </cell>
          <cell r="H462">
            <v>2020</v>
          </cell>
        </row>
        <row r="463">
          <cell r="F463" t="str">
            <v>Nokia G20</v>
          </cell>
          <cell r="G463" t="str">
            <v>TA-1365</v>
          </cell>
          <cell r="H463">
            <v>2021</v>
          </cell>
        </row>
        <row r="464">
          <cell r="F464" t="str">
            <v>Nokia G21</v>
          </cell>
          <cell r="G464" t="str">
            <v>TA-1418</v>
          </cell>
          <cell r="H464">
            <v>2022</v>
          </cell>
        </row>
        <row r="465">
          <cell r="F465" t="str">
            <v>Nokia G42 5G</v>
          </cell>
          <cell r="G465" t="str">
            <v>TA-1591</v>
          </cell>
          <cell r="H465">
            <v>2023</v>
          </cell>
        </row>
        <row r="466">
          <cell r="F466" t="str">
            <v>Nokia XR20</v>
          </cell>
          <cell r="G466" t="str">
            <v>TA-1368</v>
          </cell>
          <cell r="H466">
            <v>2021</v>
          </cell>
        </row>
        <row r="467">
          <cell r="F467" t="str">
            <v>Nokia XR21</v>
          </cell>
          <cell r="G467" t="str">
            <v>TA-1486</v>
          </cell>
          <cell r="H467">
            <v>2023</v>
          </cell>
        </row>
        <row r="468">
          <cell r="F468" t="str">
            <v>Nokia X10</v>
          </cell>
          <cell r="G468" t="str">
            <v>TA-1332</v>
          </cell>
          <cell r="H468">
            <v>2021</v>
          </cell>
        </row>
        <row r="469">
          <cell r="F469" t="str">
            <v>Nokia X20</v>
          </cell>
          <cell r="G469" t="str">
            <v>TA-1341</v>
          </cell>
          <cell r="H469">
            <v>2021</v>
          </cell>
        </row>
        <row r="470">
          <cell r="F470" t="str">
            <v>Nokia X30 5G</v>
          </cell>
          <cell r="G470" t="str">
            <v>TA-1450</v>
          </cell>
          <cell r="H470">
            <v>2022</v>
          </cell>
        </row>
        <row r="471">
          <cell r="F471" t="str">
            <v>Nokia C21</v>
          </cell>
          <cell r="G471" t="str">
            <v>TA-1387</v>
          </cell>
          <cell r="H471">
            <v>2022</v>
          </cell>
        </row>
        <row r="472">
          <cell r="F472" t="str">
            <v>Nokia C32</v>
          </cell>
          <cell r="G472" t="str">
            <v>TA-1491</v>
          </cell>
          <cell r="H472">
            <v>2023</v>
          </cell>
        </row>
        <row r="473">
          <cell r="F473" t="str">
            <v>Nokia G60 5G</v>
          </cell>
          <cell r="G473" t="str">
            <v>TA-1481</v>
          </cell>
          <cell r="H473">
            <v>2022</v>
          </cell>
        </row>
        <row r="474">
          <cell r="F474" t="str">
            <v>Nokia G310 5G</v>
          </cell>
          <cell r="G474" t="str">
            <v>TA-1536</v>
          </cell>
          <cell r="H474">
            <v>2023</v>
          </cell>
        </row>
        <row r="475">
          <cell r="F475" t="str">
            <v>Nokia T10</v>
          </cell>
          <cell r="G475" t="str">
            <v>TA-1462</v>
          </cell>
          <cell r="H475">
            <v>2022</v>
          </cell>
        </row>
        <row r="476">
          <cell r="F476" t="str">
            <v>Nokia T21</v>
          </cell>
          <cell r="G476" t="str">
            <v>TA-1495</v>
          </cell>
          <cell r="H476">
            <v>2022</v>
          </cell>
        </row>
        <row r="477">
          <cell r="F477" t="str">
            <v>HMD Skyline</v>
          </cell>
          <cell r="G477" t="str">
            <v>TA-1688</v>
          </cell>
          <cell r="H477">
            <v>2024</v>
          </cell>
        </row>
        <row r="478">
          <cell r="F478" t="str">
            <v>Zenfone 5</v>
          </cell>
          <cell r="G478" t="str">
            <v>ZE620KL</v>
          </cell>
          <cell r="H478">
            <v>2018</v>
          </cell>
        </row>
        <row r="479">
          <cell r="F479" t="str">
            <v>Zenfone 6</v>
          </cell>
          <cell r="G479" t="str">
            <v>ZS630KL</v>
          </cell>
          <cell r="H479">
            <v>2019</v>
          </cell>
        </row>
        <row r="480">
          <cell r="F480" t="str">
            <v>Zenfone 7</v>
          </cell>
          <cell r="G480" t="str">
            <v>ZS670KS</v>
          </cell>
          <cell r="H480">
            <v>2020</v>
          </cell>
        </row>
        <row r="481">
          <cell r="F481" t="str">
            <v>Zenfone 8</v>
          </cell>
          <cell r="G481" t="str">
            <v>ZS590KS</v>
          </cell>
          <cell r="H481">
            <v>2021</v>
          </cell>
        </row>
        <row r="482">
          <cell r="F482" t="str">
            <v>Zenfone 9</v>
          </cell>
          <cell r="G482" t="str">
            <v>AI2202</v>
          </cell>
          <cell r="H482">
            <v>2022</v>
          </cell>
        </row>
        <row r="483">
          <cell r="F483" t="str">
            <v>Zenfone 10</v>
          </cell>
          <cell r="G483" t="str">
            <v>AI2302</v>
          </cell>
          <cell r="H483">
            <v>2023</v>
          </cell>
        </row>
        <row r="484">
          <cell r="F484" t="str">
            <v>ROG Phone</v>
          </cell>
          <cell r="G484" t="str">
            <v>ZS600KL</v>
          </cell>
          <cell r="H484">
            <v>2018</v>
          </cell>
        </row>
        <row r="485">
          <cell r="F485" t="str">
            <v>ROG Phone II</v>
          </cell>
          <cell r="G485" t="str">
            <v>ZS660KL</v>
          </cell>
          <cell r="H485">
            <v>2019</v>
          </cell>
        </row>
        <row r="486">
          <cell r="F486" t="str">
            <v>ROG Phone 5</v>
          </cell>
          <cell r="G486" t="str">
            <v>ZS673KS</v>
          </cell>
          <cell r="H486">
            <v>2021</v>
          </cell>
        </row>
        <row r="487">
          <cell r="F487" t="str">
            <v>ROG Phone 8 Pro</v>
          </cell>
          <cell r="G487" t="str">
            <v>AI2401</v>
          </cell>
          <cell r="H487">
            <v>2024</v>
          </cell>
        </row>
        <row r="488">
          <cell r="F488" t="str">
            <v>ROG Phone 3</v>
          </cell>
          <cell r="G488" t="str">
            <v>ZS661KS</v>
          </cell>
          <cell r="H488">
            <v>2020</v>
          </cell>
        </row>
        <row r="489">
          <cell r="F489" t="str">
            <v>ROG Phone 5s</v>
          </cell>
          <cell r="G489" t="str">
            <v>ZS676KS</v>
          </cell>
          <cell r="H489">
            <v>2021</v>
          </cell>
        </row>
        <row r="490">
          <cell r="F490" t="str">
            <v>ROG Phone 6</v>
          </cell>
          <cell r="G490" t="str">
            <v>AI2201</v>
          </cell>
          <cell r="H490">
            <v>2022</v>
          </cell>
        </row>
        <row r="491">
          <cell r="F491" t="str">
            <v>ROG Phone 6 Pro</v>
          </cell>
          <cell r="G491" t="str">
            <v>AI2201</v>
          </cell>
          <cell r="H491">
            <v>2022</v>
          </cell>
        </row>
        <row r="492">
          <cell r="F492" t="str">
            <v>ROG Phone 7</v>
          </cell>
          <cell r="G492" t="str">
            <v>AI2205</v>
          </cell>
          <cell r="H492">
            <v>2023</v>
          </cell>
        </row>
        <row r="493">
          <cell r="F493" t="str">
            <v>ROG Phone 7 Ultimate</v>
          </cell>
          <cell r="G493" t="str">
            <v>AI2205</v>
          </cell>
          <cell r="H493">
            <v>2023</v>
          </cell>
        </row>
        <row r="494">
          <cell r="F494" t="str">
            <v>ROG Phone 8</v>
          </cell>
          <cell r="G494" t="str">
            <v>AI2401</v>
          </cell>
          <cell r="H494">
            <v>2024</v>
          </cell>
        </row>
        <row r="495">
          <cell r="F495" t="str">
            <v>Zenfone 11 Ultra</v>
          </cell>
          <cell r="G495" t="str">
            <v>AI2401</v>
          </cell>
          <cell r="H495">
            <v>2024</v>
          </cell>
        </row>
        <row r="496">
          <cell r="F496" t="str">
            <v>ZenPad 3S 10</v>
          </cell>
          <cell r="G496" t="str">
            <v>Z500M</v>
          </cell>
          <cell r="H496">
            <v>2016</v>
          </cell>
        </row>
        <row r="497">
          <cell r="F497" t="str">
            <v>ROG Flow Z13</v>
          </cell>
          <cell r="G497" t="str">
            <v>GZ301</v>
          </cell>
          <cell r="H497">
            <v>2023</v>
          </cell>
        </row>
        <row r="498">
          <cell r="F498" t="str">
            <v>OnePlus One</v>
          </cell>
          <cell r="G498" t="str">
            <v>A0001</v>
          </cell>
          <cell r="H498">
            <v>2014</v>
          </cell>
        </row>
        <row r="499">
          <cell r="F499" t="str">
            <v>OnePlus 2</v>
          </cell>
          <cell r="G499" t="str">
            <v>A2001</v>
          </cell>
          <cell r="H499">
            <v>2015</v>
          </cell>
        </row>
        <row r="500">
          <cell r="F500" t="str">
            <v>OnePlus 3</v>
          </cell>
          <cell r="G500" t="str">
            <v>A3000</v>
          </cell>
          <cell r="H500">
            <v>2016</v>
          </cell>
        </row>
        <row r="501">
          <cell r="F501" t="str">
            <v>OnePlus 3T</v>
          </cell>
          <cell r="G501" t="str">
            <v>A3010</v>
          </cell>
          <cell r="H501">
            <v>2016</v>
          </cell>
        </row>
        <row r="502">
          <cell r="F502" t="str">
            <v>OnePlus 5</v>
          </cell>
          <cell r="G502" t="str">
            <v>A5000</v>
          </cell>
          <cell r="H502">
            <v>2017</v>
          </cell>
        </row>
        <row r="503">
          <cell r="F503" t="str">
            <v>OnePlus 5T</v>
          </cell>
          <cell r="G503" t="str">
            <v>A5010</v>
          </cell>
          <cell r="H503">
            <v>2017</v>
          </cell>
        </row>
        <row r="504">
          <cell r="F504" t="str">
            <v>OnePlus 6</v>
          </cell>
          <cell r="G504" t="str">
            <v>A6003</v>
          </cell>
          <cell r="H504">
            <v>2018</v>
          </cell>
        </row>
        <row r="505">
          <cell r="F505" t="str">
            <v>OnePlus 6T</v>
          </cell>
          <cell r="G505" t="str">
            <v>A6013</v>
          </cell>
          <cell r="H505">
            <v>2018</v>
          </cell>
        </row>
        <row r="506">
          <cell r="F506" t="str">
            <v>OnePlus 7</v>
          </cell>
          <cell r="G506" t="str">
            <v>GM1900</v>
          </cell>
          <cell r="H506">
            <v>2019</v>
          </cell>
        </row>
        <row r="507">
          <cell r="F507" t="str">
            <v>OnePlus 7 Pro</v>
          </cell>
          <cell r="G507" t="str">
            <v>GM1917</v>
          </cell>
          <cell r="H507">
            <v>2019</v>
          </cell>
        </row>
        <row r="508">
          <cell r="F508" t="str">
            <v>OnePlus 7T</v>
          </cell>
          <cell r="G508" t="str">
            <v>HD1905</v>
          </cell>
          <cell r="H508">
            <v>2019</v>
          </cell>
        </row>
        <row r="509">
          <cell r="F509" t="str">
            <v>OnePlus 7T Pro</v>
          </cell>
          <cell r="G509" t="str">
            <v>HD1913</v>
          </cell>
          <cell r="H509">
            <v>2019</v>
          </cell>
        </row>
        <row r="510">
          <cell r="F510" t="str">
            <v>OnePlus 8</v>
          </cell>
          <cell r="G510" t="str">
            <v>IN2015</v>
          </cell>
          <cell r="H510">
            <v>2020</v>
          </cell>
        </row>
        <row r="511">
          <cell r="F511" t="str">
            <v>OnePlus 8 Pro</v>
          </cell>
          <cell r="G511" t="str">
            <v>IN2025</v>
          </cell>
          <cell r="H511">
            <v>2020</v>
          </cell>
        </row>
        <row r="512">
          <cell r="F512" t="str">
            <v>OnePlus 8T</v>
          </cell>
          <cell r="G512" t="str">
            <v>KB2005</v>
          </cell>
          <cell r="H512">
            <v>2020</v>
          </cell>
        </row>
        <row r="513">
          <cell r="F513" t="str">
            <v>OnePlus 9</v>
          </cell>
          <cell r="G513" t="str">
            <v>LE2115</v>
          </cell>
          <cell r="H513">
            <v>2021</v>
          </cell>
        </row>
        <row r="514">
          <cell r="F514" t="str">
            <v>OnePlus 9 Pro</v>
          </cell>
          <cell r="G514" t="str">
            <v>LE2125</v>
          </cell>
          <cell r="H514">
            <v>2021</v>
          </cell>
        </row>
        <row r="515">
          <cell r="F515" t="str">
            <v>OnePlus 9R</v>
          </cell>
          <cell r="G515" t="str">
            <v>LE2101</v>
          </cell>
          <cell r="H515">
            <v>2021</v>
          </cell>
        </row>
        <row r="516">
          <cell r="F516" t="str">
            <v>OnePlus 10 Pro</v>
          </cell>
          <cell r="G516" t="str">
            <v>NE2215</v>
          </cell>
          <cell r="H516">
            <v>2022</v>
          </cell>
        </row>
        <row r="517">
          <cell r="F517" t="str">
            <v>OnePlus 10T</v>
          </cell>
          <cell r="G517" t="str">
            <v>CPH2415</v>
          </cell>
          <cell r="H517">
            <v>2022</v>
          </cell>
        </row>
        <row r="518">
          <cell r="F518" t="str">
            <v>OnePlus 11</v>
          </cell>
          <cell r="G518" t="str">
            <v>CPH2449</v>
          </cell>
          <cell r="H518">
            <v>2023</v>
          </cell>
        </row>
        <row r="519">
          <cell r="F519" t="str">
            <v>OnePlus 12</v>
          </cell>
          <cell r="G519" t="str">
            <v>CPH2583</v>
          </cell>
          <cell r="H519">
            <v>2024</v>
          </cell>
        </row>
        <row r="520">
          <cell r="F520" t="str">
            <v>OnePlus 12R</v>
          </cell>
          <cell r="G520" t="str">
            <v>CPH2611</v>
          </cell>
          <cell r="H520">
            <v>2024</v>
          </cell>
        </row>
        <row r="521">
          <cell r="F521" t="str">
            <v>OnePlus 13</v>
          </cell>
          <cell r="G521" t="str">
            <v>PJZ110</v>
          </cell>
          <cell r="H521">
            <v>2025</v>
          </cell>
        </row>
        <row r="522">
          <cell r="F522" t="str">
            <v>OnePlus Nord</v>
          </cell>
          <cell r="G522" t="str">
            <v>AC2003</v>
          </cell>
          <cell r="H522">
            <v>2020</v>
          </cell>
        </row>
        <row r="523">
          <cell r="F523" t="str">
            <v>OnePlus Nord CE 3 Lite</v>
          </cell>
          <cell r="G523" t="str">
            <v>CPH2465</v>
          </cell>
          <cell r="H523">
            <v>2023</v>
          </cell>
        </row>
        <row r="524">
          <cell r="F524" t="str">
            <v>OnePlus Nord N30 5G</v>
          </cell>
          <cell r="G524" t="str">
            <v>CPH2513</v>
          </cell>
          <cell r="H524">
            <v>2023</v>
          </cell>
        </row>
        <row r="525">
          <cell r="F525" t="str">
            <v>OnePlus Open</v>
          </cell>
          <cell r="G525" t="str">
            <v>CPH2551</v>
          </cell>
          <cell r="H525">
            <v>2023</v>
          </cell>
        </row>
        <row r="526">
          <cell r="F526" t="str">
            <v>OnePlus Pad</v>
          </cell>
          <cell r="G526" t="str">
            <v>OPD2203</v>
          </cell>
          <cell r="H526">
            <v>2023</v>
          </cell>
        </row>
        <row r="527">
          <cell r="F527" t="str">
            <v>OnePlus Pad 2</v>
          </cell>
          <cell r="G527" t="str">
            <v>OPD2404</v>
          </cell>
          <cell r="H527">
            <v>2024</v>
          </cell>
        </row>
        <row r="528">
          <cell r="F528" t="str">
            <v>Mi 8</v>
          </cell>
          <cell r="G528" t="str">
            <v>M1803E1A</v>
          </cell>
          <cell r="H528">
            <v>2018</v>
          </cell>
        </row>
        <row r="529">
          <cell r="F529" t="str">
            <v>Mi 9</v>
          </cell>
          <cell r="G529" t="str">
            <v>M1902F1G</v>
          </cell>
          <cell r="H529">
            <v>2019</v>
          </cell>
        </row>
        <row r="530">
          <cell r="F530" t="str">
            <v>Mi 10</v>
          </cell>
          <cell r="G530" t="str">
            <v>M2001J2G</v>
          </cell>
          <cell r="H530">
            <v>2020</v>
          </cell>
        </row>
        <row r="531">
          <cell r="F531" t="str">
            <v>Mi 11</v>
          </cell>
          <cell r="G531" t="str">
            <v>M2011K2G</v>
          </cell>
          <cell r="H531">
            <v>2021</v>
          </cell>
        </row>
        <row r="532">
          <cell r="F532" t="str">
            <v>Xiaomi 12</v>
          </cell>
          <cell r="G532" t="str">
            <v>2201123G</v>
          </cell>
          <cell r="H532">
            <v>2022</v>
          </cell>
        </row>
        <row r="533">
          <cell r="F533" t="str">
            <v>Xiaomi 13</v>
          </cell>
          <cell r="G533" t="str">
            <v>2211133G</v>
          </cell>
          <cell r="H533">
            <v>2023</v>
          </cell>
        </row>
        <row r="534">
          <cell r="F534" t="str">
            <v>Xiaomi 14</v>
          </cell>
          <cell r="G534" t="str">
            <v>23127PN0CG</v>
          </cell>
          <cell r="H534">
            <v>2024</v>
          </cell>
        </row>
        <row r="535">
          <cell r="F535" t="str">
            <v>Redmi Note 10</v>
          </cell>
          <cell r="G535" t="str">
            <v>M2101K7AG</v>
          </cell>
          <cell r="H535">
            <v>2021</v>
          </cell>
        </row>
        <row r="536">
          <cell r="F536" t="str">
            <v>Redmi Note 11</v>
          </cell>
          <cell r="G536" t="str">
            <v>2201117TG</v>
          </cell>
          <cell r="H536">
            <v>2022</v>
          </cell>
        </row>
        <row r="537">
          <cell r="F537" t="str">
            <v>Redmi Note 12 Pro 5G</v>
          </cell>
          <cell r="G537" t="str">
            <v>22101316G</v>
          </cell>
          <cell r="H537">
            <v>2023</v>
          </cell>
        </row>
        <row r="538">
          <cell r="F538" t="str">
            <v>Xiaomi 14 Ultra</v>
          </cell>
          <cell r="G538" t="str">
            <v>24030PN60G</v>
          </cell>
          <cell r="H538">
            <v>2024</v>
          </cell>
        </row>
        <row r="539">
          <cell r="F539" t="str">
            <v>Xiaomi 15</v>
          </cell>
          <cell r="G539" t="str">
            <v>24129PN74G</v>
          </cell>
          <cell r="H539">
            <v>2025</v>
          </cell>
        </row>
        <row r="540">
          <cell r="F540" t="str">
            <v>Xiaomi 15 Pro</v>
          </cell>
          <cell r="G540" t="str">
            <v>24129PN74C</v>
          </cell>
          <cell r="H540">
            <v>2025</v>
          </cell>
        </row>
        <row r="541">
          <cell r="F541" t="str">
            <v>Redmi Note 13 Pro 5G</v>
          </cell>
          <cell r="G541" t="str">
            <v>2312DRA50G</v>
          </cell>
          <cell r="H541">
            <v>2024</v>
          </cell>
        </row>
        <row r="542">
          <cell r="F542" t="str">
            <v>Redmi Note 14 Pro+</v>
          </cell>
          <cell r="G542" t="str">
            <v>24090RA29G</v>
          </cell>
          <cell r="H542">
            <v>2025</v>
          </cell>
        </row>
        <row r="543">
          <cell r="F543" t="str">
            <v>Redmi K70</v>
          </cell>
          <cell r="G543" t="str">
            <v>23117RK66C</v>
          </cell>
          <cell r="H543">
            <v>2023</v>
          </cell>
        </row>
        <row r="544">
          <cell r="F544" t="str">
            <v>POCO F6 Pro</v>
          </cell>
          <cell r="G544" t="str">
            <v>23113RKC6G</v>
          </cell>
          <cell r="H544">
            <v>2024</v>
          </cell>
        </row>
        <row r="545">
          <cell r="F545" t="str">
            <v>POCO X6 Pro</v>
          </cell>
          <cell r="G545" t="str">
            <v>2311DRK48G</v>
          </cell>
          <cell r="H545">
            <v>2024</v>
          </cell>
        </row>
        <row r="546">
          <cell r="F546" t="str">
            <v>POCO M6 Pro</v>
          </cell>
          <cell r="G546" t="str">
            <v>2312FPCA6G</v>
          </cell>
          <cell r="H546">
            <v>2024</v>
          </cell>
        </row>
        <row r="547">
          <cell r="F547" t="str">
            <v>Xiaomi Pad 6S Pro</v>
          </cell>
          <cell r="G547" t="str">
            <v>24018RPACC</v>
          </cell>
          <cell r="H547">
            <v>2024</v>
          </cell>
        </row>
        <row r="548">
          <cell r="F548" t="str">
            <v>OPPO Find X8 Pro</v>
          </cell>
          <cell r="G548" t="str">
            <v>PKC110</v>
          </cell>
          <cell r="H548">
            <v>2025</v>
          </cell>
        </row>
        <row r="549">
          <cell r="F549" t="str">
            <v>OPPO Find X7</v>
          </cell>
          <cell r="G549" t="str">
            <v>PHZ110</v>
          </cell>
          <cell r="H549">
            <v>2024</v>
          </cell>
        </row>
        <row r="550">
          <cell r="F550" t="str">
            <v>OPPO Find X7 Ultra</v>
          </cell>
          <cell r="G550" t="str">
            <v>PHY110</v>
          </cell>
          <cell r="H550">
            <v>2024</v>
          </cell>
        </row>
        <row r="551">
          <cell r="F551" t="str">
            <v>OPPO Reno12</v>
          </cell>
          <cell r="G551" t="str">
            <v>CPH2625</v>
          </cell>
          <cell r="H551">
            <v>2024</v>
          </cell>
        </row>
        <row r="552">
          <cell r="F552" t="str">
            <v>OPPO Reno12 Pro</v>
          </cell>
          <cell r="G552" t="str">
            <v>CPH2629</v>
          </cell>
          <cell r="H552">
            <v>2024</v>
          </cell>
        </row>
        <row r="553">
          <cell r="F553" t="str">
            <v>OPPO A98 5G</v>
          </cell>
          <cell r="G553" t="str">
            <v>CPH2529</v>
          </cell>
          <cell r="H553">
            <v>2023</v>
          </cell>
        </row>
        <row r="554">
          <cell r="F554" t="str">
            <v>OPPO A79 5G</v>
          </cell>
          <cell r="G554" t="str">
            <v>CPH2553</v>
          </cell>
          <cell r="H554">
            <v>2023</v>
          </cell>
        </row>
        <row r="555">
          <cell r="F555" t="str">
            <v>OPPO A60</v>
          </cell>
          <cell r="G555" t="str">
            <v>CPH2631</v>
          </cell>
          <cell r="H555">
            <v>2024</v>
          </cell>
        </row>
        <row r="556">
          <cell r="F556" t="str">
            <v>OPPO Find N3</v>
          </cell>
          <cell r="G556" t="str">
            <v>CPH2499</v>
          </cell>
          <cell r="H556">
            <v>2023</v>
          </cell>
        </row>
        <row r="557">
          <cell r="F557" t="str">
            <v>OPPO Find N3 Flip</v>
          </cell>
          <cell r="G557" t="str">
            <v>PHT110</v>
          </cell>
          <cell r="H557">
            <v>2023</v>
          </cell>
        </row>
        <row r="558">
          <cell r="F558" t="str">
            <v>OPPO Pad 2</v>
          </cell>
          <cell r="G558" t="str">
            <v>OPD2202</v>
          </cell>
          <cell r="H558">
            <v>2023</v>
          </cell>
        </row>
        <row r="559">
          <cell r="F559" t="str">
            <v>OPPO Reno11</v>
          </cell>
          <cell r="G559" t="str">
            <v>CPH2599</v>
          </cell>
          <cell r="H559">
            <v>2024</v>
          </cell>
        </row>
        <row r="560">
          <cell r="F560" t="str">
            <v>OPPO Reno11 Pro</v>
          </cell>
          <cell r="G560" t="str">
            <v>CPH2607</v>
          </cell>
          <cell r="H560">
            <v>2024</v>
          </cell>
        </row>
        <row r="561">
          <cell r="F561" t="str">
            <v>OPPO A58</v>
          </cell>
          <cell r="G561" t="str">
            <v>CPH2577</v>
          </cell>
          <cell r="H561">
            <v>2023</v>
          </cell>
        </row>
        <row r="562">
          <cell r="F562" t="str">
            <v>OPPO A78 5G</v>
          </cell>
          <cell r="G562" t="str">
            <v>CPH2483</v>
          </cell>
          <cell r="H562">
            <v>2023</v>
          </cell>
        </row>
        <row r="563">
          <cell r="F563" t="str">
            <v>vivo X100</v>
          </cell>
          <cell r="G563" t="str">
            <v>V2309</v>
          </cell>
          <cell r="H563">
            <v>2024</v>
          </cell>
        </row>
        <row r="564">
          <cell r="F564" t="str">
            <v>vivo X100 Pro</v>
          </cell>
          <cell r="G564" t="str">
            <v>V2309A</v>
          </cell>
          <cell r="H564">
            <v>2024</v>
          </cell>
        </row>
        <row r="565">
          <cell r="F565" t="str">
            <v>vivo V30</v>
          </cell>
          <cell r="G565" t="str">
            <v>V2318</v>
          </cell>
          <cell r="H565">
            <v>2024</v>
          </cell>
        </row>
        <row r="566">
          <cell r="F566" t="str">
            <v>iQOO 12</v>
          </cell>
          <cell r="G566" t="str">
            <v>I2302</v>
          </cell>
          <cell r="H566">
            <v>2024</v>
          </cell>
        </row>
        <row r="567">
          <cell r="F567" t="str">
            <v>vivo X100 Ultra</v>
          </cell>
          <cell r="G567" t="str">
            <v>V2366</v>
          </cell>
          <cell r="H567">
            <v>2024</v>
          </cell>
        </row>
        <row r="568">
          <cell r="F568" t="str">
            <v>vivo X200</v>
          </cell>
          <cell r="G568" t="str">
            <v>V2405</v>
          </cell>
          <cell r="H568">
            <v>2025</v>
          </cell>
        </row>
        <row r="569">
          <cell r="F569" t="str">
            <v>vivo X200 Pro</v>
          </cell>
          <cell r="G569" t="str">
            <v>V2406</v>
          </cell>
          <cell r="H569">
            <v>2025</v>
          </cell>
        </row>
        <row r="570">
          <cell r="F570" t="str">
            <v>vivo V40</v>
          </cell>
          <cell r="G570" t="str">
            <v>V2348</v>
          </cell>
          <cell r="H570">
            <v>2024</v>
          </cell>
        </row>
        <row r="571">
          <cell r="F571" t="str">
            <v>vivo Y200</v>
          </cell>
          <cell r="G571" t="str">
            <v>V2336</v>
          </cell>
          <cell r="H571">
            <v>2024</v>
          </cell>
        </row>
        <row r="572">
          <cell r="F572" t="str">
            <v>iQOO 12 Pro</v>
          </cell>
          <cell r="G572" t="str">
            <v>I2303</v>
          </cell>
          <cell r="H572">
            <v>2024</v>
          </cell>
        </row>
        <row r="573">
          <cell r="F573" t="str">
            <v>realme GT 6</v>
          </cell>
          <cell r="G573" t="str">
            <v>RMX3851</v>
          </cell>
          <cell r="H573">
            <v>2024</v>
          </cell>
        </row>
        <row r="574">
          <cell r="F574" t="str">
            <v>realme GT 6T</v>
          </cell>
          <cell r="G574" t="str">
            <v>RMX3853</v>
          </cell>
          <cell r="H574">
            <v>2024</v>
          </cell>
        </row>
        <row r="575">
          <cell r="F575" t="str">
            <v>realme 12 Pro+</v>
          </cell>
          <cell r="G575" t="str">
            <v>RMX3840</v>
          </cell>
          <cell r="H575">
            <v>2024</v>
          </cell>
        </row>
        <row r="576">
          <cell r="F576" t="str">
            <v>realme Narzo 70 Pro</v>
          </cell>
          <cell r="G576" t="str">
            <v>RMX3868</v>
          </cell>
          <cell r="H576">
            <v>2024</v>
          </cell>
        </row>
        <row r="577">
          <cell r="F577" t="str">
            <v>realme GT Neo 6</v>
          </cell>
          <cell r="G577" t="str">
            <v>RMX3852</v>
          </cell>
          <cell r="H577">
            <v>2024</v>
          </cell>
        </row>
        <row r="578">
          <cell r="F578" t="str">
            <v>realme 12 Pro</v>
          </cell>
          <cell r="G578" t="str">
            <v>RMX3842</v>
          </cell>
          <cell r="H578">
            <v>2024</v>
          </cell>
        </row>
        <row r="579">
          <cell r="F579" t="str">
            <v>realme C67</v>
          </cell>
          <cell r="G579" t="str">
            <v>RMX3890</v>
          </cell>
          <cell r="H579">
            <v>2024</v>
          </cell>
        </row>
        <row r="580">
          <cell r="F580" t="str">
            <v>realme C65</v>
          </cell>
          <cell r="G580" t="str">
            <v>RMX3910</v>
          </cell>
          <cell r="H580">
            <v>2024</v>
          </cell>
        </row>
        <row r="581">
          <cell r="F581" t="str">
            <v>HONOR Magic6</v>
          </cell>
          <cell r="G581" t="str">
            <v>BVL-AN00</v>
          </cell>
          <cell r="H581">
            <v>2024</v>
          </cell>
        </row>
        <row r="582">
          <cell r="F582" t="str">
            <v>HONOR Magic6 Pro</v>
          </cell>
          <cell r="G582" t="str">
            <v>BVL-AN16</v>
          </cell>
          <cell r="H582">
            <v>2024</v>
          </cell>
        </row>
        <row r="583">
          <cell r="F583" t="str">
            <v>HONOR Magic V2</v>
          </cell>
          <cell r="G583" t="str">
            <v>VER-AN10</v>
          </cell>
          <cell r="H583">
            <v>2023</v>
          </cell>
        </row>
        <row r="584">
          <cell r="F584" t="str">
            <v>HONOR Magic V3</v>
          </cell>
          <cell r="G584" t="str">
            <v>FCP-AN10</v>
          </cell>
          <cell r="H584">
            <v>2024</v>
          </cell>
        </row>
        <row r="585">
          <cell r="F585" t="str">
            <v>HONOR 200</v>
          </cell>
          <cell r="G585" t="str">
            <v>ELP-AN00</v>
          </cell>
          <cell r="H585">
            <v>2024</v>
          </cell>
        </row>
        <row r="586">
          <cell r="F586" t="str">
            <v>HONOR X9b</v>
          </cell>
          <cell r="G586" t="str">
            <v>ALI-NX1</v>
          </cell>
          <cell r="H586">
            <v>2024</v>
          </cell>
        </row>
        <row r="587">
          <cell r="F587" t="str">
            <v>Huawei Mate 60 Pro</v>
          </cell>
          <cell r="G587" t="str">
            <v>ALN-AL10</v>
          </cell>
          <cell r="H587">
            <v>2023</v>
          </cell>
        </row>
        <row r="588">
          <cell r="F588" t="str">
            <v>Huawei Mate X5</v>
          </cell>
          <cell r="G588" t="str">
            <v>ALT-AL10</v>
          </cell>
          <cell r="H588">
            <v>2023</v>
          </cell>
        </row>
        <row r="589">
          <cell r="F589" t="str">
            <v>Huawei P60 Pro</v>
          </cell>
          <cell r="G589" t="str">
            <v>MNA-AL00</v>
          </cell>
          <cell r="H589">
            <v>2023</v>
          </cell>
        </row>
        <row r="590">
          <cell r="F590" t="str">
            <v>Huawei Pura 70 Ultra</v>
          </cell>
          <cell r="G590" t="str">
            <v>HBN-AL80</v>
          </cell>
          <cell r="H590">
            <v>2024</v>
          </cell>
        </row>
        <row r="591">
          <cell r="F591" t="str">
            <v>Huawei Nova 12</v>
          </cell>
          <cell r="G591" t="str">
            <v>FIN-AL60</v>
          </cell>
          <cell r="H591">
            <v>2024</v>
          </cell>
        </row>
        <row r="592">
          <cell r="F592" t="str">
            <v>Huawei MatePad 11.5 S</v>
          </cell>
          <cell r="G592" t="str">
            <v>TGR-W09</v>
          </cell>
          <cell r="H592">
            <v>2024</v>
          </cell>
        </row>
        <row r="593">
          <cell r="F593" t="str">
            <v>ZTE Axon 50 Ultra</v>
          </cell>
          <cell r="G593" t="str">
            <v>A2024</v>
          </cell>
          <cell r="H593">
            <v>2023</v>
          </cell>
        </row>
        <row r="594">
          <cell r="F594" t="str">
            <v>nubia Z60 Ultra</v>
          </cell>
          <cell r="G594" t="str">
            <v>NX721J</v>
          </cell>
          <cell r="H594">
            <v>2024</v>
          </cell>
        </row>
        <row r="595">
          <cell r="F595" t="str">
            <v>Nothing Phone (2)</v>
          </cell>
          <cell r="G595" t="str">
            <v>A065</v>
          </cell>
          <cell r="H595">
            <v>2023</v>
          </cell>
        </row>
        <row r="596">
          <cell r="F596" t="str">
            <v>Nothing Phone (2a)</v>
          </cell>
          <cell r="G596" t="str">
            <v>A142</v>
          </cell>
          <cell r="H596">
            <v>2024</v>
          </cell>
        </row>
        <row r="597">
          <cell r="F597" t="str">
            <v>Nothing Phone (3a)</v>
          </cell>
          <cell r="G597" t="str">
            <v>A110</v>
          </cell>
          <cell r="H597">
            <v>2025</v>
          </cell>
        </row>
        <row r="598">
          <cell r="F598" t="str">
            <v>CMF Phone 1</v>
          </cell>
          <cell r="G598" t="str">
            <v>A015</v>
          </cell>
          <cell r="H598">
            <v>2024</v>
          </cell>
        </row>
        <row r="599">
          <cell r="F599" t="str">
            <v>TCL 50 Pro NXTPAPER</v>
          </cell>
          <cell r="G599" t="str">
            <v>T810H</v>
          </cell>
          <cell r="H599">
            <v>2024</v>
          </cell>
        </row>
        <row r="600">
          <cell r="F600" t="str">
            <v>TCL 40 XL</v>
          </cell>
          <cell r="G600" t="str">
            <v>T608DL</v>
          </cell>
          <cell r="H600">
            <v>2023</v>
          </cell>
        </row>
        <row r="601">
          <cell r="F601" t="str">
            <v>BLU G93</v>
          </cell>
          <cell r="G601" t="str">
            <v>G0930WW</v>
          </cell>
          <cell r="H601">
            <v>2024</v>
          </cell>
        </row>
        <row r="602">
          <cell r="F602" t="str">
            <v>Kyocera DuraForce Pro 3</v>
          </cell>
          <cell r="G602" t="str">
            <v>E7200</v>
          </cell>
          <cell r="H602">
            <v>2023</v>
          </cell>
        </row>
        <row r="603">
          <cell r="F603" t="str">
            <v>CAT S75</v>
          </cell>
          <cell r="G603" t="str">
            <v>S75</v>
          </cell>
          <cell r="H603">
            <v>2023</v>
          </cell>
        </row>
        <row r="604">
          <cell r="F604" t="str">
            <v>Fairphone 5</v>
          </cell>
          <cell r="G604" t="str">
            <v>FP5</v>
          </cell>
          <cell r="H604">
            <v>2023</v>
          </cell>
        </row>
        <row r="605">
          <cell r="F605" t="str">
            <v>Blackview BV9300</v>
          </cell>
          <cell r="G605" t="str">
            <v>BV9300</v>
          </cell>
          <cell r="H605">
            <v>2023</v>
          </cell>
        </row>
        <row r="606">
          <cell r="F606" t="str">
            <v>Doogee V Max</v>
          </cell>
          <cell r="G606" t="str">
            <v>V Max</v>
          </cell>
          <cell r="H606">
            <v>2023</v>
          </cell>
        </row>
        <row r="607">
          <cell r="F607" t="str">
            <v>Ulefone Armor 24</v>
          </cell>
          <cell r="G607" t="str">
            <v>Armor24</v>
          </cell>
          <cell r="H607">
            <v>2024</v>
          </cell>
        </row>
        <row r="608">
          <cell r="F608" t="str">
            <v>UMIDIGI G9</v>
          </cell>
          <cell r="G608" t="str">
            <v>G9</v>
          </cell>
          <cell r="H608">
            <v>2024</v>
          </cell>
        </row>
        <row r="609">
          <cell r="F609" t="str">
            <v>Sharp Aquos R9</v>
          </cell>
          <cell r="G609" t="str">
            <v>SH-R9</v>
          </cell>
          <cell r="H609">
            <v>2024</v>
          </cell>
        </row>
        <row r="610">
          <cell r="F610" t="str">
            <v>Meizu 21 Pro</v>
          </cell>
          <cell r="G610" t="str">
            <v>M481Q</v>
          </cell>
          <cell r="H610">
            <v>2024</v>
          </cell>
        </row>
        <row r="611">
          <cell r="F611" t="str">
            <v>Amazon Fire Max 11</v>
          </cell>
          <cell r="G611">
            <v>2023</v>
          </cell>
          <cell r="H611" t="str">
            <v>Fire OS</v>
          </cell>
        </row>
        <row r="612">
          <cell r="F612" t="str">
            <v>Lenovo Tab P12</v>
          </cell>
          <cell r="G612" t="str">
            <v>TB370FU</v>
          </cell>
          <cell r="H612">
            <v>2023</v>
          </cell>
        </row>
        <row r="613">
          <cell r="F613" t="str">
            <v>Surface Pro 11</v>
          </cell>
          <cell r="G613" t="str">
            <v>2076</v>
          </cell>
          <cell r="H613">
            <v>2024</v>
          </cell>
        </row>
        <row r="614">
          <cell r="F614" t="str">
            <v>Dell XPS 13 9350</v>
          </cell>
          <cell r="G614" t="str">
            <v>9350</v>
          </cell>
          <cell r="H614">
            <v>2025</v>
          </cell>
        </row>
        <row r="615">
          <cell r="F615" t="str">
            <v>HP Spectre x360 14</v>
          </cell>
          <cell r="G615" t="str">
            <v>14-eu</v>
          </cell>
          <cell r="H615">
            <v>2024</v>
          </cell>
        </row>
        <row r="616">
          <cell r="F616" t="str">
            <v>Lenovo ThinkPad X1 Carbon Gen12</v>
          </cell>
          <cell r="G616" t="str">
            <v>21KC</v>
          </cell>
          <cell r="H616">
            <v>2024</v>
          </cell>
        </row>
        <row r="617">
          <cell r="F617" t="str">
            <v>Dell Latitude 7450</v>
          </cell>
          <cell r="G617" t="str">
            <v>7450</v>
          </cell>
          <cell r="H617">
            <v>2024</v>
          </cell>
        </row>
        <row r="618">
          <cell r="F618" t="str">
            <v>Dell Precision 3591</v>
          </cell>
          <cell r="G618" t="str">
            <v>3591</v>
          </cell>
          <cell r="H618">
            <v>2024</v>
          </cell>
        </row>
        <row r="619">
          <cell r="F619" t="str">
            <v>HP EliteBook 840 G11</v>
          </cell>
          <cell r="G619" t="str">
            <v>840 G11</v>
          </cell>
          <cell r="H619">
            <v>2024</v>
          </cell>
        </row>
        <row r="620">
          <cell r="F620" t="str">
            <v>HP Envy x360 14</v>
          </cell>
          <cell r="G620" t="str">
            <v>14-fa</v>
          </cell>
          <cell r="H620">
            <v>2024</v>
          </cell>
        </row>
        <row r="621">
          <cell r="F621" t="str">
            <v>Lenovo Yoga 9i Gen9</v>
          </cell>
          <cell r="G621" t="str">
            <v>83AC</v>
          </cell>
          <cell r="H621">
            <v>2024</v>
          </cell>
        </row>
        <row r="622">
          <cell r="F622" t="str">
            <v>ASUS Zenbook 14 OLED</v>
          </cell>
          <cell r="G622" t="str">
            <v>UX3405</v>
          </cell>
          <cell r="H622">
            <v>2024</v>
          </cell>
        </row>
        <row r="623">
          <cell r="F623" t="str">
            <v>Acer Swift Go 14</v>
          </cell>
          <cell r="G623" t="str">
            <v>SFG14</v>
          </cell>
          <cell r="H623">
            <v>2024</v>
          </cell>
        </row>
        <row r="624">
          <cell r="F624" t="str">
            <v>MSI Stealth 16 AI</v>
          </cell>
          <cell r="G624" t="str">
            <v>A1V</v>
          </cell>
          <cell r="H624">
            <v>2024</v>
          </cell>
        </row>
        <row r="625">
          <cell r="F625" t="str">
            <v>Samsung Galaxy Book4 Pro</v>
          </cell>
          <cell r="G625" t="str">
            <v>NP940XGK</v>
          </cell>
          <cell r="H625">
            <v>2024</v>
          </cell>
        </row>
        <row r="626">
          <cell r="F626" t="str">
            <v>LG Gram 16</v>
          </cell>
          <cell r="G626" t="str">
            <v>16Z90S</v>
          </cell>
          <cell r="H626">
            <v>2024</v>
          </cell>
        </row>
        <row r="627">
          <cell r="F627" t="str">
            <v>Framework Laptop 13</v>
          </cell>
          <cell r="G627" t="str">
            <v>FW13</v>
          </cell>
          <cell r="H627">
            <v>2024</v>
          </cell>
        </row>
        <row r="628">
          <cell r="F628" t="str">
            <v>Alienware m16 R2</v>
          </cell>
          <cell r="G628" t="str">
            <v>m16R2</v>
          </cell>
          <cell r="H628">
            <v>2024</v>
          </cell>
        </row>
        <row r="629">
          <cell r="F629" t="str">
            <v>Razer Blade 16</v>
          </cell>
          <cell r="G629" t="str">
            <v>Blade16</v>
          </cell>
          <cell r="H629">
            <v>2024</v>
          </cell>
        </row>
        <row r="630">
          <cell r="F630" t="str">
            <v>Surface Laptop 7</v>
          </cell>
          <cell r="G630" t="str">
            <v>2037</v>
          </cell>
          <cell r="H630">
            <v>2024</v>
          </cell>
        </row>
        <row r="631">
          <cell r="F631" t="str">
            <v>Surface Laptop Studio 2</v>
          </cell>
          <cell r="G631" t="str">
            <v>2023</v>
          </cell>
          <cell r="H631">
            <v>2023</v>
          </cell>
        </row>
        <row r="632">
          <cell r="F632" t="str">
            <v>Nintendo Switch OLED</v>
          </cell>
          <cell r="G632" t="str">
            <v>HEG-001</v>
          </cell>
          <cell r="H632">
            <v>2021</v>
          </cell>
        </row>
        <row r="633">
          <cell r="F633" t="str">
            <v>Steam Deck OLED</v>
          </cell>
          <cell r="G633" t="str">
            <v>1030</v>
          </cell>
          <cell r="H633">
            <v>2023</v>
          </cell>
        </row>
        <row r="634">
          <cell r="F634" t="str">
            <v>ROG Ally X</v>
          </cell>
          <cell r="G634" t="str">
            <v>RC72LA</v>
          </cell>
          <cell r="H634">
            <v>2024</v>
          </cell>
        </row>
        <row r="635">
          <cell r="F635" t="str">
            <v>Lenovo Legion Go</v>
          </cell>
          <cell r="G635" t="str">
            <v>83E1</v>
          </cell>
          <cell r="H635">
            <v>2023</v>
          </cell>
        </row>
        <row r="636">
          <cell r="F636" t="str">
            <v>PlayStation Portal</v>
          </cell>
          <cell r="G636" t="str">
            <v>CFI-Y1001</v>
          </cell>
          <cell r="H636">
            <v>2023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>
        <row r="8">
          <cell r="A8" t="b">
            <v>1</v>
          </cell>
        </row>
        <row r="9">
          <cell r="A9" t="b">
            <v>0</v>
          </cell>
        </row>
      </sheetData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BF5960-759E-41A6-AEA1-93E285C3ECE4}" name="tblDashboard" displayName="tblDashboard" ref="A2:L1048576" headerRowCount="0" totalsRowShown="0" headerRowDxfId="586">
  <tableColumns count="12">
    <tableColumn id="1" xr3:uid="{AB5FAB1F-AF26-46B6-86FA-3056D498220D}" name="Column1" headerRowDxfId="585"/>
    <tableColumn id="2" xr3:uid="{44C14F6D-F11F-48B0-965A-A99CC4CB04A1}" name="Column2" headerRowDxfId="584"/>
    <tableColumn id="3" xr3:uid="{28EAC4F0-8CCD-4DDB-8C6A-DA8F0C4E97BF}" name="Column3" headerRowDxfId="583"/>
    <tableColumn id="4" xr3:uid="{AC4F1577-34CE-42E9-85E2-B5760FF96EF4}" name="Column4" headerRowDxfId="582"/>
    <tableColumn id="5" xr3:uid="{BD776DC3-5DE0-4C97-8816-9B58E772B7C2}" name="Column5" headerRowDxfId="581"/>
    <tableColumn id="6" xr3:uid="{7F4E1C7B-7694-443A-9D92-F41A712D01DD}" name="Column6" headerRowDxfId="580"/>
    <tableColumn id="7" xr3:uid="{7953A286-9EB6-4623-853D-B58FB609B6DA}" name="Column7" headerRowDxfId="579"/>
    <tableColumn id="8" xr3:uid="{6F5C450D-3224-4BFD-A36A-5A4EE9FBA0DA}" name="Column8" headerRowDxfId="578"/>
    <tableColumn id="9" xr3:uid="{D06E0047-8186-4049-8734-A7CE359C6AAF}" name="Column9" headerRowDxfId="577"/>
    <tableColumn id="10" xr3:uid="{F17777AF-035B-4AC9-B0F6-68BE190F8CC9}" name="Column10" headerRowDxfId="576"/>
    <tableColumn id="11" xr3:uid="{CCC1AD97-A9D3-4E0A-9391-DD3320D43DC3}" name="Column11" headerRowDxfId="575"/>
    <tableColumn id="12" xr3:uid="{4A3D499D-A049-44F0-8304-3E64DA3D66FB}" name="Column12" headerRowDxfId="5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211479-6DC9-4E88-B525-1CFC22632CF5}" name="tblCustomerStatus" displayName="tblCustomerStatus" ref="A99:D105" totalsRowShown="0" headerRowDxfId="573" dataDxfId="572">
  <autoFilter ref="A99:D105" xr:uid="{5DDD2DA0-2B25-424C-8124-070D642003BB}"/>
  <tableColumns count="4">
    <tableColumn id="1" xr3:uid="{34C40A4A-2EE1-49EA-AA96-AAA09F76D973}" name="CustomerStatusID" dataDxfId="571"/>
    <tableColumn id="2" xr3:uid="{A737C5E2-1DDC-49D1-82FF-1AD21BD8236E}" name="Status" dataDxfId="570"/>
    <tableColumn id="3" xr3:uid="{DBF601D9-AE51-4E4D-B40C-52A318B3950B}" name="Description" dataDxfId="569"/>
    <tableColumn id="4" xr3:uid="{8EF7479F-1606-41FC-A576-F5F32A4C7DC5}" name="Sort Order" dataDxfId="5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BD2947-86F4-4581-8473-A1B7BE150982}" name="tblCustomerTypes" displayName="tblCustomerTypes" ref="A82:E88" totalsRowShown="0" headerRowDxfId="567" dataDxfId="566">
  <autoFilter ref="A82:E88" xr:uid="{55722296-278D-42F3-99BC-279450FEA8C1}"/>
  <tableColumns count="5">
    <tableColumn id="1" xr3:uid="{A1D5BBBA-2B33-4C63-A56F-0C7E9EC6A06B}" name="CustomerTypeID" dataDxfId="565"/>
    <tableColumn id="2" xr3:uid="{3E9C54EC-B6B4-43E7-A388-BB748428D008}" name="Customer Type" dataDxfId="564"/>
    <tableColumn id="3" xr3:uid="{09BCC57C-5698-43BE-8F94-C62E30985E7E}" name="Description" dataDxfId="563"/>
    <tableColumn id="4" xr3:uid="{3B3534A6-4BFC-4588-ABA3-925081EC4749}" name="Sort Order" dataDxfId="562"/>
    <tableColumn id="5" xr3:uid="{FA98F514-07C0-4E4F-9BB5-D2D448183615}" name="IsActive" dataDxfId="5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80E219-27A0-4948-8384-354F17A43D17}" name="tblPreferredContactMethods" displayName="tblPreferredContactMethods" ref="A91:E96" totalsRowShown="0" headerRowDxfId="560" dataDxfId="559">
  <autoFilter ref="A91:E96" xr:uid="{6848E677-355F-4E69-9371-F6E9D3D1F69F}"/>
  <tableColumns count="5">
    <tableColumn id="1" xr3:uid="{F0674816-0596-4B01-A053-69CE4137BBE5}" name="PreferredContactMethodID" dataDxfId="558"/>
    <tableColumn id="2" xr3:uid="{2FC73081-4903-4A7E-B064-D2AC97DB2FA4}" name="Contact Method" dataDxfId="557"/>
    <tableColumn id="3" xr3:uid="{5849210B-600E-4883-8E98-A25C788910B3}" name="Description" dataDxfId="556"/>
    <tableColumn id="4" xr3:uid="{D8891ACC-A0AB-47BB-9C07-6DC23B0E95E0}" name="Sort Order" dataDxfId="555"/>
    <tableColumn id="5" xr3:uid="{6CB510C4-1469-45EA-9150-17952B4B138B}" name="IsActive" dataDxfId="55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464D6EF-0EA0-4479-A06C-F02835316806}" name="tblLookupStandards" displayName="tblLookupStandards" ref="B5:C10" totalsRowShown="0" headerRowDxfId="553" dataDxfId="552">
  <autoFilter ref="B5:C10" xr:uid="{A0963B80-CDAC-429B-AD23-8ADCCFFED2EA}"/>
  <tableColumns count="2">
    <tableColumn id="1" xr3:uid="{73E95DBD-585C-4B97-9CCA-DF749CB6B215}" name="Column" dataDxfId="551"/>
    <tableColumn id="2" xr3:uid="{5AF7B216-E9B0-4279-9D79-BDA71AA47D97}" name="Purpose" dataDxfId="5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5507946-A670-4AB5-8967-9E2D82CE953A}" name="tblDeviceTypes" displayName="tblDeviceTypes" ref="A111:E123" totalsRowShown="0" headerRowDxfId="549" dataDxfId="548">
  <autoFilter ref="A111:E123" xr:uid="{B97107A0-D5E8-423B-8C7F-F57946342F38}"/>
  <tableColumns count="5">
    <tableColumn id="1" xr3:uid="{1B5F4CDE-3B74-4BC5-A186-73CD3EA29A8B}" name="DeviceTypeID" dataDxfId="547"/>
    <tableColumn id="2" xr3:uid="{EFF023AC-C740-418C-8177-F5178E735BB0}" name="Device Type" dataDxfId="546"/>
    <tableColumn id="3" xr3:uid="{73D6B8B3-8832-4599-823E-BF9A93B472B1}" name="Description" dataDxfId="545"/>
    <tableColumn id="4" xr3:uid="{BD43E3BC-97A8-46DF-95EF-63877B0F27A8}" name="Sort Order" dataDxfId="544"/>
    <tableColumn id="5" xr3:uid="{5B1FB77F-FF84-469C-8E21-3A4D645DB5E5}" name="IsActive" dataDxfId="54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ADA8269-C6B5-4829-93E9-F4EA17C3D440}" name="tblManufacturers" displayName="tblManufacturers" ref="A126:E146" totalsRowShown="0" headerRowDxfId="542" dataDxfId="541">
  <autoFilter ref="A126:E146" xr:uid="{3C017E83-1B86-4C78-83A9-97A24754A160}"/>
  <tableColumns count="5">
    <tableColumn id="1" xr3:uid="{BD9E4DA4-72D0-46FA-AB26-A24188DE7D04}" name="ManufacturerID" dataDxfId="540"/>
    <tableColumn id="2" xr3:uid="{8926CC4C-7A05-42D1-8C13-EA897B1B489A}" name="Manufacturer" dataDxfId="539"/>
    <tableColumn id="3" xr3:uid="{B44773DA-F873-4E25-81E4-A804E072A720}" name="Description" dataDxfId="538"/>
    <tableColumn id="4" xr3:uid="{2540000F-C4F6-4F13-B9DD-437E9314C244}" name="Sort Order" dataDxfId="537"/>
    <tableColumn id="5" xr3:uid="{5980A8FA-3325-4A96-9282-5501C4FE65DB}" name="IsActive" dataDxfId="5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6A515FE-EEEE-4D4E-B9B8-F2B69032A422}" name="tblDeviceFamilies" displayName="tblDeviceFamilies" ref="A151:E164" totalsRowShown="0" headerRowDxfId="535" dataDxfId="534">
  <autoFilter ref="A151:E164" xr:uid="{15576653-E75A-410C-ACC5-28CE6B0DF97F}"/>
  <tableColumns count="5">
    <tableColumn id="1" xr3:uid="{1C81C8C8-BA7D-421E-8532-AB944589BED1}" name="DeviceFamilyID" dataDxfId="533"/>
    <tableColumn id="2" xr3:uid="{D4C84EF3-5CE3-46D1-B9F0-C23BA5776868}" name="Device Family" dataDxfId="532"/>
    <tableColumn id="3" xr3:uid="{32AB44F9-21A4-4860-8DFF-4671A073CB64}" name="Manufacturer" dataDxfId="531"/>
    <tableColumn id="4" xr3:uid="{E6D6E068-CA1C-4D90-AA76-23F7BF046F6D}" name="Sort Order" dataDxfId="530"/>
    <tableColumn id="5" xr3:uid="{9434188C-A0C5-41E6-BCD6-AA9FA89F6171}" name="IsActive" dataDxfId="5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C097DE-E4A5-48FA-BFBA-C435E380EBC1}" name="tblOperatingSystems" displayName="tblOperatingSystems" ref="A207:B219" totalsRowShown="0" headerRowDxfId="528" dataDxfId="527">
  <autoFilter ref="A207:B219" xr:uid="{8A41C2B5-9E43-476E-8C2C-4118801FD285}"/>
  <tableColumns count="2">
    <tableColumn id="1" xr3:uid="{A3030DE5-2469-480C-8889-84E235D6F062}" name="OperatingSystemID" dataDxfId="526"/>
    <tableColumn id="2" xr3:uid="{C674152D-D278-4BC9-A07D-8395C64E2848}" name="OperatingSystem" dataDxfId="525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84921C-710E-4BFF-8284-D56F96A92E9C}" name="ChargingTypeID" displayName="ChargingTypeID" ref="A222:B230" totalsRowShown="0" headerRowDxfId="524" dataDxfId="523">
  <autoFilter ref="A222:B230" xr:uid="{57FD418C-5590-431E-B31B-436DAE0B9EA5}"/>
  <tableColumns count="2">
    <tableColumn id="1" xr3:uid="{720A656B-40C9-46B5-BA88-73EAEE6100C0}" name="ChargingTypeID" dataDxfId="522"/>
    <tableColumn id="2" xr3:uid="{D5AADB5F-B7A5-4975-8A4D-9DAF97E870A0}" name="ChargingType" dataDxfId="521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56FC374-C4F5-4114-A7E8-A961C3250B81}" name="tblWaterResistanceRatings" displayName="tblWaterResistanceRatings" ref="A233:E241" totalsRowShown="0" headerRowDxfId="520" dataDxfId="519">
  <autoFilter ref="A233:E241" xr:uid="{F4CE2C19-4011-4782-A0A9-09509BB02917}"/>
  <tableColumns count="5">
    <tableColumn id="1" xr3:uid="{E3A9D940-7A28-434F-97A6-09C0146BE002}" name="ID" dataDxfId="518"/>
    <tableColumn id="2" xr3:uid="{8B99C24A-5CC5-4910-83F3-B63E87DD236E}" name="Name" dataDxfId="517"/>
    <tableColumn id="3" xr3:uid="{EB20C8E9-8274-49E6-98BD-4A5CB29F4FC7}" name="Description" dataDxfId="516"/>
    <tableColumn id="4" xr3:uid="{EEDCCF10-276C-4CF3-A44D-3062BA164727}" name="DisplayOrder" dataDxfId="515"/>
    <tableColumn id="5" xr3:uid="{128CDB1E-A1A3-4229-AC7E-2C3FF0E914F2}" name="Active" dataDxfId="514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C907B33-60A5-4A7F-B2D2-66A68E62F039}" name="tblSIMType" displayName="tblSIMType" ref="A244:E251" totalsRowShown="0" headerRowDxfId="513" dataDxfId="512">
  <autoFilter ref="A244:E251" xr:uid="{8770FD21-812E-4AAC-BA07-7CC324B4A177}"/>
  <tableColumns count="5">
    <tableColumn id="1" xr3:uid="{11EB20C9-F0B7-4274-8227-A7871D982FB1}" name="ID" dataDxfId="511"/>
    <tableColumn id="2" xr3:uid="{71CA2639-70C3-4B45-B663-7A05519AE117}" name="Name" dataDxfId="510"/>
    <tableColumn id="3" xr3:uid="{6515F8AF-1EDC-4026-856E-113113F81559}" name="Description" dataDxfId="509"/>
    <tableColumn id="4" xr3:uid="{87834AF8-0E21-4F90-B3F1-905D14DE2F1F}" name="DisplayOrder" dataDxfId="508"/>
    <tableColumn id="5" xr3:uid="{232C1E6E-EA2C-4E1A-8B0A-73B6C9038DBE}" name="Active" dataDxfId="507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D2DAA2E-707E-44F5-A1EB-97EFA22929BD}" name="tblNetworkGenerations" displayName="tblNetworkGenerations" ref="A254:E260" totalsRowShown="0" headerRowDxfId="506" dataDxfId="505">
  <autoFilter ref="A254:E260" xr:uid="{532F2876-1776-483F-A5B7-772D788AC543}"/>
  <tableColumns count="5">
    <tableColumn id="1" xr3:uid="{8FBA74F9-AD78-4905-8C79-E2B2E3BD8810}" name="ID" dataDxfId="504"/>
    <tableColumn id="2" xr3:uid="{D9927898-337A-4DFE-AE60-2B6811D4CCFD}" name="Name" dataDxfId="503"/>
    <tableColumn id="3" xr3:uid="{56CB852C-3D86-41A2-BFC3-BF22C28A5A9D}" name="Description" dataDxfId="502"/>
    <tableColumn id="4" xr3:uid="{585100CA-AE4D-432C-8E13-26E2D1F25B46}" name="DisplayOrder" dataDxfId="501"/>
    <tableColumn id="5" xr3:uid="{3790DDCB-6204-48F4-A0A3-B9BB4217CB14}" name="Active" dataDxfId="500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DA7E815-3ACD-4C0D-ACF4-93BD778D5B68}" name="tblScreenTechnologies" displayName="tblScreenTechnologies" ref="A263:E273" totalsRowShown="0" headerRowDxfId="499" dataDxfId="498">
  <autoFilter ref="A263:E273" xr:uid="{FB11846C-A208-4469-B169-EE8FE461314C}"/>
  <tableColumns count="5">
    <tableColumn id="1" xr3:uid="{B59E2B8F-31C9-409E-ADF7-A8DE6D86051C}" name="ID" dataDxfId="497"/>
    <tableColumn id="2" xr3:uid="{C08D6762-2EC4-492A-9A61-03F9715BA695}" name="Name" dataDxfId="496"/>
    <tableColumn id="3" xr3:uid="{E0598E02-C81A-42E1-8351-A2D6CDE9B5C3}" name="Description" dataDxfId="495"/>
    <tableColumn id="4" xr3:uid="{127239B1-9A3B-4A79-9BAD-193E9795764B}" name="DisplayOrder" dataDxfId="494"/>
    <tableColumn id="5" xr3:uid="{B64804E2-9CD4-46A1-AB8B-21535267668E}" name="Active" dataDxfId="49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3392AEE-6908-49D2-BF4F-0AE759B3DE49}" name="tblProcessorManufacturers" displayName="tblProcessorManufacturers" ref="A276:E286" totalsRowShown="0" headerRowDxfId="492" dataDxfId="491">
  <autoFilter ref="A276:E286" xr:uid="{5895A4F3-6830-4A4A-9ABC-BA6D56D57591}"/>
  <tableColumns count="5">
    <tableColumn id="1" xr3:uid="{FBEB2C5C-16D6-4A8C-9E4B-F331FEA3A8D3}" name="ID" dataDxfId="490"/>
    <tableColumn id="2" xr3:uid="{7CD09AA0-B7FD-4D33-A3D4-E13C744A3263}" name="Name" dataDxfId="489"/>
    <tableColumn id="3" xr3:uid="{64DADBD8-9EFF-4C5C-83CE-09C9D2A1F98A}" name="Description" dataDxfId="488"/>
    <tableColumn id="4" xr3:uid="{61C5DEBA-41F8-4544-805F-183EE9DE21C4}" name="DisplayOrder" dataDxfId="487"/>
    <tableColumn id="5" xr3:uid="{BBB0CA53-1F9F-44DB-B89F-782B841706F1}" name="Active" dataDxfId="486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229070C-AFF9-45AE-AF07-EDE26A697DC9}" name="tblRefreshRates" displayName="tblRefreshRates" ref="A289:E295" totalsRowShown="0" headerRowDxfId="485" dataDxfId="484">
  <autoFilter ref="A289:E295" xr:uid="{DB423316-663A-4896-84B4-EF63FE161745}"/>
  <tableColumns count="5">
    <tableColumn id="1" xr3:uid="{FDCE3B69-F5C9-414D-91E0-9F102D2EF042}" name="ID" dataDxfId="483"/>
    <tableColumn id="2" xr3:uid="{767B9A7E-E14F-450E-B6B2-D47549E73274}" name="Name" dataDxfId="482"/>
    <tableColumn id="3" xr3:uid="{86D19CB7-D3A5-4713-B543-4B4DA0AE78D2}" name="Description" dataDxfId="481"/>
    <tableColumn id="4" xr3:uid="{37FFE0F2-C631-4817-89D5-6B2040EABB64}" name="DisplayOrder" dataDxfId="480"/>
    <tableColumn id="5" xr3:uid="{883C9DA7-68CB-4A9F-8799-87F9A7F9DAF7}" name="Active" dataDxfId="479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3F29A1A-0575-476B-9B11-6B575A382277}" name="tblRepairabilityRatings" displayName="tblRepairabilityRatings" ref="A298:E308" totalsRowShown="0" headerRowDxfId="478" dataDxfId="477">
  <autoFilter ref="A298:E308" xr:uid="{0E87A28F-B9B7-429B-8743-CD91084F2355}"/>
  <tableColumns count="5">
    <tableColumn id="1" xr3:uid="{946268B4-B7B6-44D0-A02E-FA6C105B1BE9}" name="ID" dataDxfId="476"/>
    <tableColumn id="2" xr3:uid="{005A96CC-294F-44B2-A53D-28DACA5E007D}" name="Name" dataDxfId="475"/>
    <tableColumn id="3" xr3:uid="{840BE3F3-D6BC-4352-A76F-1FA0D4840471}" name="Description" dataDxfId="474"/>
    <tableColumn id="4" xr3:uid="{17862309-3FB0-4EF0-A432-EFA4804327E6}" name="DisplayOrder" dataDxfId="473"/>
    <tableColumn id="5" xr3:uid="{BFE282AF-DF79-41D4-8220-44BBC15CBFC3}" name="Active" dataDxfId="472"/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F1A429F-517A-42AC-A848-D7150CD0AD06}" name="tblDeviceStatus" displayName="tblDeviceStatus" ref="A311:E316" totalsRowShown="0" headerRowDxfId="471" dataDxfId="470">
  <autoFilter ref="A311:E316" xr:uid="{CCD04E83-5A09-4281-8E27-BE5E1959BBC9}"/>
  <tableColumns count="5">
    <tableColumn id="1" xr3:uid="{06FEF2A7-283C-48F6-9BA9-EBAF84905599}" name="ID" dataDxfId="469"/>
    <tableColumn id="2" xr3:uid="{E2965D80-8DB8-4B78-9984-81ABFDD2C1F1}" name="Name" dataDxfId="468"/>
    <tableColumn id="3" xr3:uid="{C0C3DA2C-4882-4285-80B0-F5525546E31D}" name="Description" dataDxfId="467"/>
    <tableColumn id="4" xr3:uid="{B2D48F21-CE2A-4AE5-BAB3-11AF81E602D4}" name="DisplayOrder" dataDxfId="466"/>
    <tableColumn id="5" xr3:uid="{C571DC1F-07C9-4DD7-90C7-A20696D6C2B2}" name="Active" dataDxfId="465"/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9C248A4-78AC-4F65-A7AE-8DC94152F2FF}" name="tblMarketRegions" displayName="tblMarketRegions" ref="A319:E330" totalsRowShown="0" headerRowDxfId="464" dataDxfId="463">
  <autoFilter ref="A319:E330" xr:uid="{45399B8C-6BC8-4AA7-9242-D701E0A61801}"/>
  <tableColumns count="5">
    <tableColumn id="1" xr3:uid="{C467AE27-9316-425E-8080-98E12435A307}" name="ID" dataDxfId="462"/>
    <tableColumn id="2" xr3:uid="{2B5C655C-18F6-4751-B031-74DA34AB0079}" name="Name" dataDxfId="461"/>
    <tableColumn id="3" xr3:uid="{F6CAB439-5556-403E-8DEE-536F29B980B4}" name="Description" dataDxfId="460"/>
    <tableColumn id="4" xr3:uid="{08331904-91F4-48E6-A061-6DEE29B6318E}" name="DisplayOrder" dataDxfId="459"/>
    <tableColumn id="5" xr3:uid="{0F137968-43D3-475F-B104-4887003271D4}" name="Active" dataDxfId="458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9A6BC87-DD5C-4414-8A13-DE4B2CD583D9}" name="tblMemoryOptions" displayName="tblMemoryOptions" ref="A333:E340" totalsRowShown="0" headerRowDxfId="457" dataDxfId="456">
  <autoFilter ref="A333:E340" xr:uid="{D52A5E6C-2944-412B-BED9-6F2386115A75}"/>
  <tableColumns count="5">
    <tableColumn id="1" xr3:uid="{0414B2FD-E98F-4389-93D0-7A452479E81C}" name="ID" dataDxfId="455"/>
    <tableColumn id="2" xr3:uid="{94CEA332-A10B-450F-87EB-6914CCDFDE82}" name="Name" dataDxfId="454"/>
    <tableColumn id="3" xr3:uid="{884C52B8-9092-48C2-A38C-CE0AED0C726F}" name="Description" dataDxfId="453"/>
    <tableColumn id="4" xr3:uid="{2EDC0C2D-F2DE-44EB-A574-93C09CAA5E12}" name="DisplayOrder" dataDxfId="452"/>
    <tableColumn id="5" xr3:uid="{397A2E4D-67E7-448B-9162-B1F4D435E4C9}" name="Active" dataDxfId="45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BABA41C-4E08-4271-AD48-484A5B2E0DAD}" name="tblStorageOptions" displayName="tblStorageOptions" ref="A343:E349" totalsRowShown="0" headerRowDxfId="450" dataDxfId="449">
  <autoFilter ref="A343:E349" xr:uid="{67FB48C3-B38E-4824-87B7-32172DF985A5}"/>
  <tableColumns count="5">
    <tableColumn id="1" xr3:uid="{BBE1FBA9-1AA4-4205-8949-5B3B769B8669}" name="ID" dataDxfId="448"/>
    <tableColumn id="2" xr3:uid="{0A4C101C-304A-4DBF-80B2-6D7608DD0F5B}" name="Name" dataDxfId="447"/>
    <tableColumn id="3" xr3:uid="{656AC3DA-AD99-4FFA-992A-9549D9BF0A29}" name="Description" dataDxfId="446"/>
    <tableColumn id="4" xr3:uid="{F197B153-CD70-40BB-9508-40D85A2AD57E}" name="DisplayOrder" dataDxfId="445"/>
    <tableColumn id="5" xr3:uid="{30219065-BA57-43B9-A6FD-9A57AA66B5D0}" name="Active" dataDxfId="44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AD3275F-D4F5-4097-93FF-BE21666A5343}" name="tblRepairTypes" displayName="tblRepairTypes" ref="A356:E406" totalsRowShown="0" headerRowDxfId="443" dataDxfId="442">
  <autoFilter ref="A356:E406" xr:uid="{96663708-E5ED-4C8F-A5C9-4F687B4E2820}"/>
  <tableColumns count="5">
    <tableColumn id="1" xr3:uid="{643CBD12-EA4F-44F8-82D5-3B7A4280555B}" name="ID" dataDxfId="441"/>
    <tableColumn id="2" xr3:uid="{666C01D8-63D2-4A85-A5C9-A974846481FC}" name="Name" dataDxfId="440"/>
    <tableColumn id="3" xr3:uid="{EDC4CBD0-E4A4-4EB9-A5CF-52025786FC72}" name="Description" dataDxfId="439"/>
    <tableColumn id="4" xr3:uid="{7E8349F0-710F-4D61-9E9A-D71B885FA6A0}" name="DisplayOrder" dataDxfId="438"/>
    <tableColumn id="5" xr3:uid="{0DEE11F1-C005-47BA-BD24-AA8F292D7D19}" name="Active" dataDxfId="437"/>
  </tableColumns>
  <tableStyleInfo name="TableStyleMedium3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83A6DD6-9605-4634-B217-60D8F8A0841E}" name="tblRepairCategories" displayName="tblRepairCategories" ref="A409:E421" totalsRowShown="0" headerRowDxfId="436" dataDxfId="434" headerRowBorderDxfId="435" tableBorderDxfId="433">
  <autoFilter ref="A409:E421" xr:uid="{81086039-A1D0-41B4-964A-1D5625D46722}"/>
  <tableColumns count="5">
    <tableColumn id="1" xr3:uid="{52975C11-6C73-40DC-82DE-50A6E7187F8D}" name="ID" dataDxfId="432"/>
    <tableColumn id="2" xr3:uid="{267ECA88-894D-49BB-8A0A-DECF46D12621}" name="Name" dataDxfId="431"/>
    <tableColumn id="3" xr3:uid="{A99A5291-6451-4779-8574-E0DF50AFD20D}" name="Description" dataDxfId="430"/>
    <tableColumn id="4" xr3:uid="{EBBA6B53-B11E-437C-A18C-DB5EAFD0CCDA}" name="DisplayOrder" dataDxfId="429"/>
    <tableColumn id="5" xr3:uid="{A2F515AD-98B3-4AF4-B10F-23F7B32101E1}" name="Active" dataDxfId="428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0B760D3-54A4-420A-A205-88DC1E77D55F}" name="tblRepairPriorities" displayName="tblRepairPriorities" ref="A424:E429" totalsRowShown="0" headerRowDxfId="427" dataDxfId="426">
  <autoFilter ref="A424:E429" xr:uid="{B989AA3A-C318-4FD9-8702-E215F6807945}"/>
  <tableColumns count="5">
    <tableColumn id="1" xr3:uid="{DE5A1071-C461-4AD5-BD2E-D56B26248D5D}" name="ID" dataDxfId="425"/>
    <tableColumn id="2" xr3:uid="{76AEA348-F2A5-4E8F-BD11-02A2329EF6CC}" name="Name" dataDxfId="424"/>
    <tableColumn id="3" xr3:uid="{A2531BED-7FAD-4F72-9CB5-CB73359185D0}" name="Description" dataDxfId="423"/>
    <tableColumn id="4" xr3:uid="{32116C48-711C-4F40-8855-F86252053A2D}" name="DisplayOrder" dataDxfId="422"/>
    <tableColumn id="5" xr3:uid="{49CE11E8-11A2-407F-9B4A-0D9FE6E436B5}" name="Active" dataDxfId="421"/>
  </tableColumns>
  <tableStyleInfo name="TableStyleMedium3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5CF1EE3-4D42-47CD-9283-881EF0B0C6F2}" name="tblRepairOutcomes" displayName="tblRepairOutcomes" ref="A455:E461" totalsRowShown="0" headerRowDxfId="420" dataDxfId="419">
  <autoFilter ref="A455:E461" xr:uid="{96F4B7BB-8D8A-476D-95A9-4F064F5D824A}"/>
  <tableColumns count="5">
    <tableColumn id="1" xr3:uid="{BD209B4B-40E9-4CFF-A3C0-300CF0901089}" name="ID" dataDxfId="418"/>
    <tableColumn id="2" xr3:uid="{897FA136-0FC6-48C8-A469-41F4437FAB09}" name="Name" dataDxfId="417"/>
    <tableColumn id="3" xr3:uid="{E0A8C194-D9D7-4934-AB1A-4CFF6A883F2C}" name="Description" dataDxfId="416"/>
    <tableColumn id="4" xr3:uid="{0044A54A-C11E-4E25-8872-73DD1CD5A904}" name="DisplayOrder" dataDxfId="415"/>
    <tableColumn id="5" xr3:uid="{8C77C543-62EB-445C-AD0D-B81EDAE60A6D}" name="Active" dataDxfId="414"/>
  </tableColumns>
  <tableStyleInfo name="TableStyleMedium3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99702BB-FC3A-42DB-B0A3-5F89C7351C32}" name="tblRepairComplexities" displayName="tblRepairComplexities" ref="A464:E469" totalsRowShown="0" headerRowDxfId="413" dataDxfId="412">
  <autoFilter ref="A464:E469" xr:uid="{67A65C08-CDA4-4F57-8E8C-50F80D88DDC4}"/>
  <tableColumns count="5">
    <tableColumn id="1" xr3:uid="{C2F18B2A-7A98-4F90-9850-58E6BFBDF51F}" name="ID" dataDxfId="411"/>
    <tableColumn id="2" xr3:uid="{C86CA0DB-11BA-4607-B43E-65792C8A1B43}" name="Name" dataDxfId="410"/>
    <tableColumn id="3" xr3:uid="{62AA898E-C460-4F12-8E8E-11F0D0F7DA27}" name="Description" dataDxfId="409"/>
    <tableColumn id="4" xr3:uid="{5193DDE3-BB52-4B96-B518-56F7026E0372}" name="DisplayOrder" dataDxfId="408"/>
    <tableColumn id="5" xr3:uid="{95240378-D4D8-4898-9536-DCEB32F8D5B2}" name="Active" dataDxfId="407"/>
  </tableColumns>
  <tableStyleInfo name="TableStyleMedium3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7D1774A-0675-43AA-AF8A-2361E0673C3A}" name="tblDiagnosticResults" displayName="tblDiagnosticResults" ref="A472:E480" totalsRowShown="0" headerRowDxfId="406" dataDxfId="405">
  <autoFilter ref="A472:E480" xr:uid="{44D3D509-07A9-46CC-922F-AE9836D4D79F}"/>
  <tableColumns count="5">
    <tableColumn id="1" xr3:uid="{9D1422BA-5A05-4615-B368-1D3A258F4D26}" name="ID" dataDxfId="404"/>
    <tableColumn id="2" xr3:uid="{947D4D86-49AE-4B3B-8BF4-8FD98890D74B}" name="Name" dataDxfId="403"/>
    <tableColumn id="3" xr3:uid="{701F50B0-50A1-4F1E-88DC-AAC13FC87118}" name="Description" dataDxfId="402"/>
    <tableColumn id="4" xr3:uid="{D1C983AD-5F25-4C2F-A402-9B6E37A9D845}" name="DisplayOrder" dataDxfId="401"/>
    <tableColumn id="5" xr3:uid="{23CD41CD-10D4-4104-AB61-A87F58363B7B}" name="Active" dataDxfId="400"/>
  </tableColumns>
  <tableStyleInfo name="TableStyleMedium3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13051C8-704D-4774-AD50-C789DEA51067}" name="tblPartCategories" displayName="tblPartCategories" ref="A487:E497" totalsRowShown="0" headerRowDxfId="399" dataDxfId="398">
  <autoFilter ref="A487:E497" xr:uid="{A7C70528-EBDF-4076-9E18-1EDF1776AF65}"/>
  <tableColumns count="5">
    <tableColumn id="1" xr3:uid="{FA620E55-5624-4356-9BEC-A81030E08634}" name="ID" dataDxfId="397"/>
    <tableColumn id="2" xr3:uid="{01E59F46-6BBD-4688-A7B3-67D1F6AC29EB}" name="Name" dataDxfId="396"/>
    <tableColumn id="3" xr3:uid="{C78DAF6A-136F-41F0-8F18-6BF9EC59A2A9}" name="Description" dataDxfId="395"/>
    <tableColumn id="4" xr3:uid="{140AFE65-0436-4D47-9D2C-78BD4E5AEFB5}" name="DisplayOrder" dataDxfId="394"/>
    <tableColumn id="5" xr3:uid="{89647871-7BAC-4E18-AB25-BAC0B0B5664A}" name="Active" dataDxfId="393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F30828-8D16-40AD-BB58-CCE96E57C909}" name="tblPartTypes" displayName="tblPartTypes" ref="A500:E507" totalsRowShown="0" headerRowDxfId="392" dataDxfId="391">
  <autoFilter ref="A500:E507" xr:uid="{7399D499-F20E-4AC8-B2DB-16C19525B206}"/>
  <tableColumns count="5">
    <tableColumn id="1" xr3:uid="{A0462BD1-AA26-4EF5-B881-337F8333E603}" name="ID" dataDxfId="390"/>
    <tableColumn id="2" xr3:uid="{B8EBE7C0-7F02-4303-B85C-899D7C8A406E}" name="Name" dataDxfId="389"/>
    <tableColumn id="3" xr3:uid="{96DB9E23-1081-442B-8F3F-28B134FC5F72}" name="Description" dataDxfId="388"/>
    <tableColumn id="4" xr3:uid="{01118EF8-9E54-4698-8235-AD7A2B504A91}" name="DisplayOrder" dataDxfId="387"/>
    <tableColumn id="5" xr3:uid="{69AB512B-E813-4A39-B2D4-8DA3000361BC}" name="Active" dataDxfId="386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FCCC910-D048-4E7B-B05A-11B303D7FF6B}" name="tblPartConditions" displayName="tblPartConditions" ref="A510:E517" totalsRowShown="0" headerRowDxfId="385" dataDxfId="384">
  <autoFilter ref="A510:E517" xr:uid="{2C214CE7-75A5-4033-A574-B2BC50D19210}"/>
  <tableColumns count="5">
    <tableColumn id="1" xr3:uid="{FCA71DD0-FB1F-49C1-B78A-36BBA3EE6A16}" name="ID" dataDxfId="383"/>
    <tableColumn id="2" xr3:uid="{23EF2185-E510-448D-ABF5-8A06F7A0D334}" name="Name" dataDxfId="382"/>
    <tableColumn id="3" xr3:uid="{C0FC891A-D278-418F-B9B6-6673C952AECD}" name="Description" dataDxfId="381"/>
    <tableColumn id="4" xr3:uid="{7437DF89-A7CD-45D6-9D7B-B9CC425A9B93}" name="DisplayOrder" dataDxfId="380"/>
    <tableColumn id="5" xr3:uid="{8FBAEBF7-4A1F-4C9A-9A51-9EF0F4330B3F}" name="Active" dataDxfId="37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5A3D9F6-5FA5-433E-B49F-B16D7DE285B1}" name="tblPartStatus" displayName="tblPartStatus" ref="A520:E527" totalsRowShown="0" headerRowDxfId="378" dataDxfId="377">
  <autoFilter ref="A520:E527" xr:uid="{502DDAD9-F46C-4AE4-A917-3C1F89FBD753}"/>
  <tableColumns count="5">
    <tableColumn id="1" xr3:uid="{EFCE2081-31A9-4F2D-A037-9814FCB83FDD}" name="ID" dataDxfId="376"/>
    <tableColumn id="2" xr3:uid="{D31693D9-D248-4064-B0C2-3EB7F04BD0EB}" name="Name" dataDxfId="375"/>
    <tableColumn id="3" xr3:uid="{34415D6A-169B-4CCA-8F74-3D9D3495E0A7}" name="Description" dataDxfId="374"/>
    <tableColumn id="4" xr3:uid="{AB7990BC-744A-46DE-978F-D84E567221DF}" name="DisplayOrder" dataDxfId="373"/>
    <tableColumn id="5" xr3:uid="{1F8941B1-2C0C-49D8-9F64-8C4487386387}" name="Active" dataDxfId="372"/>
  </tableColumns>
  <tableStyleInfo name="TableStyleMedium3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4C3EDF1-4698-41C0-ABFE-A14BE032BDA6}" name="tblPartManufacturers" displayName="tblPartManufacturers" ref="A530:E553" totalsRowShown="0" headerRowDxfId="371" dataDxfId="369" headerRowBorderDxfId="370" tableBorderDxfId="368">
  <autoFilter ref="A530:E553" xr:uid="{BD4C2FED-D038-4CF7-ACAC-FA7B3D4C127E}"/>
  <tableColumns count="5">
    <tableColumn id="1" xr3:uid="{B24F5221-5CA2-455E-8E0F-199031C11872}" name="ID" dataDxfId="367"/>
    <tableColumn id="2" xr3:uid="{7AB283C2-631B-4C3F-84CE-09ABB5DB20AE}" name="Name" dataDxfId="366"/>
    <tableColumn id="3" xr3:uid="{45CF1BED-757F-48CD-8A77-2C1610C53876}" name="Description" dataDxfId="365"/>
    <tableColumn id="4" xr3:uid="{034EAC0F-2B0E-4B03-B6F3-13339B098305}" name="DisplayOrder" dataDxfId="364"/>
    <tableColumn id="5" xr3:uid="{E67AB654-5B31-47D3-8073-10A3305D29A2}" name="Active" dataDxfId="363"/>
  </tableColumns>
  <tableStyleInfo name="TableStyleMedium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BF51302C-83E0-4C82-87AE-027567F56B76}" name="tblPartSuppliers" displayName="tblPartSuppliers" ref="A556:E566" totalsRowShown="0" headerRowDxfId="362" dataDxfId="360" headerRowBorderDxfId="361" tableBorderDxfId="359">
  <autoFilter ref="A556:E566" xr:uid="{81A08E5D-0C63-4EC1-B496-69D6D976FC02}"/>
  <tableColumns count="5">
    <tableColumn id="1" xr3:uid="{21B1A837-E3EA-4D25-8E1B-612D9BBDDEBF}" name="ID" dataDxfId="358"/>
    <tableColumn id="2" xr3:uid="{A3ABA563-9156-4433-973F-6B709F38C492}" name="Name" dataDxfId="357"/>
    <tableColumn id="3" xr3:uid="{BD47EB80-0369-4A9F-A98B-40509D29A13D}" name="Description" dataDxfId="356"/>
    <tableColumn id="4" xr3:uid="{D99BD613-FCFB-4EFD-B39A-AD75ED6F820C}" name="DisplayOrder" dataDxfId="355"/>
    <tableColumn id="5" xr3:uid="{D665E177-506E-4445-97BA-CD41E7D87538}" name="Active" dataDxfId="354"/>
  </tableColumns>
  <tableStyleInfo name="TableStyleMedium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7584246-FFC2-4815-8DC5-223317ED4538}" name="tblInventoryLocations" displayName="tblInventoryLocations" ref="A582:E590" totalsRowShown="0" headerRowDxfId="353" dataDxfId="352">
  <autoFilter ref="A582:E590" xr:uid="{BFC25F7A-9981-4543-AE67-BB0475B2ADF3}"/>
  <tableColumns count="5">
    <tableColumn id="1" xr3:uid="{CAC404B7-84E5-4C11-9F46-FADA751E9850}" name="ID" dataDxfId="351"/>
    <tableColumn id="2" xr3:uid="{3CBEDD5E-AD30-4120-957C-9913796B2B92}" name="Name" dataDxfId="350"/>
    <tableColumn id="3" xr3:uid="{C50ED7B5-1EC7-479A-8092-915A2DBA17F6}" name="Description" dataDxfId="349"/>
    <tableColumn id="4" xr3:uid="{391D2C4E-732B-4D05-A50E-3378FF43C203}" name="DisplayOrder" dataDxfId="348"/>
    <tableColumn id="5" xr3:uid="{4440EEDB-D68D-4DFE-ABB7-BA8EF65BDEE4}" name="Active" dataDxfId="347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2235D36A-609D-410A-A70E-99EE4BD92373}" name="tblInventoryStatus" displayName="tblInventoryStatus" ref="A593:E599" totalsRowShown="0" headerRowDxfId="346" dataDxfId="345">
  <autoFilter ref="A593:E599" xr:uid="{170E0C2D-0095-4DFE-971D-82BB5F79C5FE}"/>
  <tableColumns count="5">
    <tableColumn id="1" xr3:uid="{C1AB0B74-31C1-4A52-B3C9-F6E53F573AA9}" name="ID" dataDxfId="344"/>
    <tableColumn id="2" xr3:uid="{009331A1-873C-446A-8C19-E8C1E390D23B}" name="Name" dataDxfId="343"/>
    <tableColumn id="3" xr3:uid="{F5F77F9F-5C21-4B39-A043-76267467FD43}" name="Description" dataDxfId="342"/>
    <tableColumn id="4" xr3:uid="{1132EFF8-02C4-4784-94B1-5E31A0D1F7A0}" name="DisplayOrder" dataDxfId="341"/>
    <tableColumn id="5" xr3:uid="{92D95DE5-8169-4435-8BAA-0C02829EA6AE}" name="Active" dataDxfId="340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5A1638F-67E0-4934-9226-A1E5751814F9}" name="tblShelfLocations" displayName="tblShelfLocations" ref="A569:E575" totalsRowShown="0" headerRowDxfId="339" dataDxfId="338">
  <autoFilter ref="A569:E575" xr:uid="{137FF16C-EFA0-4725-A72D-64974F593615}"/>
  <tableColumns count="5">
    <tableColumn id="1" xr3:uid="{0FC347E3-EFA7-40D4-9578-5ED8ECA90235}" name="ID" dataDxfId="337"/>
    <tableColumn id="2" xr3:uid="{D957FE65-9827-4138-9ED3-49FD3D7C5C9A}" name="Name" dataDxfId="336"/>
    <tableColumn id="3" xr3:uid="{29D2E886-2A41-47EE-B215-0471F46FBC63}" name="Description" dataDxfId="335"/>
    <tableColumn id="4" xr3:uid="{60BE4DAE-0CC0-4B63-BBC7-FD9273CB1704}" name="DisplayOrder" dataDxfId="334"/>
    <tableColumn id="5" xr3:uid="{6E432B60-71F3-4AF1-B4D9-EA3E7E8FC65F}" name="Active" dataDxfId="333"/>
  </tableColumns>
  <tableStyleInfo name="TableStyleMedium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6CDE7615-4449-46B0-9374-F21BB08DD21A}" name="tblWarrantyTypes" displayName="tblWarrantyTypes" ref="A607:E615" totalsRowShown="0" headerRowDxfId="332" dataDxfId="331">
  <autoFilter ref="A607:E615" xr:uid="{32685804-5122-4649-9FC9-EEA23E176FC5}"/>
  <tableColumns count="5">
    <tableColumn id="1" xr3:uid="{33B63B0F-26BB-4079-9313-35D8D9700A93}" name="ID" dataDxfId="330"/>
    <tableColumn id="2" xr3:uid="{24C3DA16-6AF7-4A4C-8D85-CAE86753B01F}" name="Name" dataDxfId="329"/>
    <tableColumn id="3" xr3:uid="{EF7C6359-6760-4B51-8BB3-619C988E45C3}" name="Description" dataDxfId="328"/>
    <tableColumn id="4" xr3:uid="{CD726BC5-0329-490F-937E-9E8F14B51BE5}" name="DisplayOrder" dataDxfId="327"/>
    <tableColumn id="5" xr3:uid="{55AB9982-8B7F-47B0-8B2D-DE9FDD590223}" name="Active" dataDxfId="326"/>
  </tableColumns>
  <tableStyleInfo name="TableStyleMedium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C43A2FC-4C2E-402E-80B2-9E6FD7E5BBD5}" name="tblWarrantyStatus" displayName="tblWarrantyStatus" ref="A618:E622" totalsRowShown="0" headerRowDxfId="325" dataDxfId="324">
  <autoFilter ref="A618:E622" xr:uid="{6184A9F7-9F2A-418A-8256-FAB341E75C92}"/>
  <tableColumns count="5">
    <tableColumn id="1" xr3:uid="{46561B13-CD67-47D3-BEBA-8A7C207F361E}" name="ID" dataDxfId="323"/>
    <tableColumn id="2" xr3:uid="{52240B6C-62BC-45BB-961C-A3BF4A4B0F1C}" name="Name" dataDxfId="322"/>
    <tableColumn id="3" xr3:uid="{42A6AA2B-A23D-469B-932E-CC33B0634193}" name="Description" dataDxfId="321"/>
    <tableColumn id="4" xr3:uid="{BC1E9785-9E4F-48EB-B63B-98DA6B84B210}" name="DisplayOrder" dataDxfId="320"/>
    <tableColumn id="5" xr3:uid="{67996D0A-B53D-40A6-A203-5DED216BA9A0}" name="Active" dataDxfId="319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1412271-6DE4-4E56-B32C-0096833042B7}" name="tblWarrantyProviders" displayName="tblWarrantyProviders" ref="A625:E631" totalsRowShown="0" headerRowDxfId="318" dataDxfId="317">
  <autoFilter ref="A625:E631" xr:uid="{BB04B40C-243D-4B41-B7F0-15F9B84203FE}"/>
  <tableColumns count="5">
    <tableColumn id="1" xr3:uid="{9E7923D9-E033-4215-9724-95F0013F3B8A}" name="ID" dataDxfId="316"/>
    <tableColumn id="2" xr3:uid="{66E302F0-9257-4667-87D9-76DBB63B7ABA}" name="Name" dataDxfId="315"/>
    <tableColumn id="3" xr3:uid="{68637038-C45B-4F22-9D28-1001902C6097}" name="Description" dataDxfId="314"/>
    <tableColumn id="4" xr3:uid="{6B4E4500-B9EA-4B49-8F88-007C4B5DEEE9}" name="DisplayOrder" dataDxfId="313"/>
    <tableColumn id="5" xr3:uid="{9AD92C22-F5D5-4824-B551-55C6BA269BD9}" name="Active" dataDxfId="31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8A724828-D29E-42C5-BB4F-9A7FA853EE28}" name="tblPaymentMethods" displayName="tblPaymentMethods" ref="A638:E646" totalsRowShown="0" headerRowDxfId="311" dataDxfId="310">
  <autoFilter ref="A638:E646" xr:uid="{8BB792FB-51BD-4FF1-B27A-35C56C4BC7A6}"/>
  <tableColumns count="5">
    <tableColumn id="1" xr3:uid="{C80EA514-71CD-4861-8B07-F4EE79448E05}" name="ID" dataDxfId="309"/>
    <tableColumn id="2" xr3:uid="{D7FE221C-8D3F-41AF-88CF-A0D445AC30A1}" name="Name" dataDxfId="308"/>
    <tableColumn id="3" xr3:uid="{AD8A9B7F-E052-4FEB-96B0-A7ED3A52259C}" name="Description" dataDxfId="307"/>
    <tableColumn id="4" xr3:uid="{9E6F2BFF-B7B1-438E-8734-2E8F675FEBA7}" name="DisplayOrder" dataDxfId="306"/>
    <tableColumn id="5" xr3:uid="{61558317-08AB-4411-94C7-6687E1919D1E}" name="Active" dataDxfId="305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E051AD5-9CC2-4945-A449-0E871F4B7185}" name="tblPaymentStatus" displayName="tblPaymentStatus" ref="A649:E660" totalsRowShown="0" headerRowDxfId="304" dataDxfId="302" headerRowBorderDxfId="303" tableBorderDxfId="301">
  <autoFilter ref="A649:E660" xr:uid="{F6EB0378-7AD7-4ECF-BB6A-579CCE60D1E6}"/>
  <tableColumns count="5">
    <tableColumn id="1" xr3:uid="{3F040934-CFAB-451F-B2B7-36B0FE13FBAB}" name="ID" dataDxfId="300"/>
    <tableColumn id="2" xr3:uid="{AFFAF3DD-1A5D-4B65-BDFF-0B42FA15A88B}" name="Name" dataDxfId="299"/>
    <tableColumn id="3" xr3:uid="{5F54958C-35A9-41F6-8379-793C44BB52FD}" name="Description" dataDxfId="298"/>
    <tableColumn id="4" xr3:uid="{A93DFBE2-CD91-4DEE-92F3-8E0C0D531084}" name="DisplayOrder" dataDxfId="297"/>
    <tableColumn id="5" xr3:uid="{B5246A3A-9FAC-4E3A-A20D-2EC03220C64E}" name="Active" dataDxfId="296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28B3289-415C-4C86-8BCD-BB1898F1DBEF}" name="tblShippingMethods" displayName="tblShippingMethods" ref="A663:E669" totalsRowShown="0" headerRowDxfId="295" dataDxfId="294">
  <autoFilter ref="A663:E669" xr:uid="{EB93AF3E-1428-480B-8C55-7E28960A2767}"/>
  <tableColumns count="5">
    <tableColumn id="1" xr3:uid="{490DF3A3-382E-4C96-A58B-62F560347D63}" name="ID" dataDxfId="293"/>
    <tableColumn id="2" xr3:uid="{7988CDAA-688E-4C43-8062-2897C799F61F}" name="Name" dataDxfId="292"/>
    <tableColumn id="3" xr3:uid="{B7AA746E-5CA7-4060-8FBB-36E9229471F9}" name="Description" dataDxfId="291"/>
    <tableColumn id="4" xr3:uid="{B13F6790-703B-4352-A51E-BE183D05089C}" name="DisplayOrder" dataDxfId="290"/>
    <tableColumn id="5" xr3:uid="{2744CD3F-3B01-40E9-ADAC-FC932C289306}" name="Active" dataDxfId="289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CE2EFB23-495C-4ED6-BD28-3ABF21C530F6}" name="tblShippingStatus" displayName="tblShippingStatus" ref="A672:E683" totalsRowShown="0" headerRowDxfId="288" dataDxfId="286" headerRowBorderDxfId="287" tableBorderDxfId="285">
  <autoFilter ref="A672:E683" xr:uid="{65FE4BCA-5206-4EC6-B947-CA482151C14A}"/>
  <tableColumns count="5">
    <tableColumn id="1" xr3:uid="{FF2CCA08-069F-4216-B9BB-0C7E1C77EC24}" name="ID" dataDxfId="284"/>
    <tableColumn id="2" xr3:uid="{D61270B4-EE2B-4E08-B66D-D23AEE8101B2}" name="Name" dataDxfId="283"/>
    <tableColumn id="3" xr3:uid="{4B22915C-46A0-4919-8867-9A44D1326394}" name="Description" dataDxfId="282"/>
    <tableColumn id="4" xr3:uid="{BAD71FD0-C2D9-4D03-B17D-921B186D327F}" name="DisplayOrder" dataDxfId="281"/>
    <tableColumn id="5" xr3:uid="{2E68CACA-B754-4F11-8DDF-9642691FB3F6}" name="Active" dataDxfId="280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C0B91C43-1B69-4C58-B597-021446766A8A}" name="tblCarriers" displayName="tblCarriers" ref="A186:E196" totalsRowShown="0" headerRowDxfId="279" dataDxfId="278">
  <autoFilter ref="A186:E196" xr:uid="{09561311-DCFA-4230-9EDD-DCA1507456ED}"/>
  <tableColumns count="5">
    <tableColumn id="1" xr3:uid="{08B59683-2A37-4288-AAF6-DE58F59A0683}" name="ID" dataDxfId="277"/>
    <tableColumn id="2" xr3:uid="{010E9862-A1DB-4B8B-A850-0639C68DEBF1}" name="Name" dataDxfId="276"/>
    <tableColumn id="3" xr3:uid="{335617A1-617F-4EE4-A7D9-688011D51089}" name="Description" dataDxfId="275"/>
    <tableColumn id="4" xr3:uid="{1CE807C2-2A46-4086-BF3E-1F4662A0C978}" name="DisplayOrder" dataDxfId="274"/>
    <tableColumn id="5" xr3:uid="{66C4D1B6-207A-4BA3-A1DC-B8172AC6F987}" name="Active" dataDxfId="273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99378949-A89F-4755-A11F-617677D88FB1}" name="tblTaxRates" displayName="tblTaxRates" ref="A687:E698" totalsRowShown="0" headerRowDxfId="272" dataDxfId="271">
  <autoFilter ref="A687:E698" xr:uid="{12B69606-C822-4D74-A4CD-74DD87F01980}"/>
  <tableColumns count="5">
    <tableColumn id="1" xr3:uid="{D2CA7459-38C0-4078-ADA4-292E969452CC}" name="ID" dataDxfId="270"/>
    <tableColumn id="2" xr3:uid="{564D7A96-F20A-4B7F-873A-5C97E87F8624}" name="Name" dataDxfId="269"/>
    <tableColumn id="3" xr3:uid="{29C044CB-2D66-4B80-9D32-14CBCB7BC497}" name="Description" dataDxfId="268"/>
    <tableColumn id="4" xr3:uid="{1246CB16-C543-4682-8FBB-FA728983DC3B}" name="DisplayOrder" dataDxfId="267"/>
    <tableColumn id="5" xr3:uid="{A67002F7-F261-47FE-B305-D375D147104C}" name="Active" dataDxfId="266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33A35EC7-7345-46CF-87D9-351DE18E2122}" name="tblEmployeeRoles" displayName="tblEmployeeRoles" ref="A705:E713" totalsRowShown="0" headerRowDxfId="265" dataDxfId="264">
  <autoFilter ref="A705:E713" xr:uid="{5CE59E60-2015-4E3A-B5E6-C28552E55493}"/>
  <tableColumns count="5">
    <tableColumn id="1" xr3:uid="{6DEB6AEF-7C3C-4DB2-85FB-119B6B11ACB0}" name="ID" dataDxfId="263"/>
    <tableColumn id="2" xr3:uid="{621C10D7-555F-47AE-B1F8-4B75F7D04D0D}" name="Name" dataDxfId="262"/>
    <tableColumn id="3" xr3:uid="{FDF79AA6-189D-447C-AEF1-D6A6BF9259AE}" name="Description" dataDxfId="261"/>
    <tableColumn id="4" xr3:uid="{ACBB2E55-E99C-4A15-9293-688E4988E247}" name="DisplayOrder" dataDxfId="260"/>
    <tableColumn id="5" xr3:uid="{B62FDE94-9F3F-4A24-9B4E-F0C42E93D422}" name="Active" dataDxfId="259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A9BDE52-8A8F-4F6D-BA7B-31E58A3048D8}" name="tblEmployeeStatus" displayName="tblEmployeeStatus" ref="A716:E720" totalsRowShown="0" headerRowDxfId="258" dataDxfId="257">
  <autoFilter ref="A716:E720" xr:uid="{4A10A8FB-5C0F-4854-BF0A-0E2B6A47A372}"/>
  <tableColumns count="5">
    <tableColumn id="1" xr3:uid="{5DC91AF9-DE61-40EA-AF22-CAD1F48099D7}" name="ID" dataDxfId="256"/>
    <tableColumn id="2" xr3:uid="{CA8F6261-CE1C-42A0-9E92-98B8EC5599E4}" name="Name" dataDxfId="255"/>
    <tableColumn id="3" xr3:uid="{66C4DFE1-0543-4E10-80C1-3DE4BEA9F577}" name="Description" dataDxfId="254"/>
    <tableColumn id="4" xr3:uid="{08005910-068D-4490-9A54-C46C06556396}" name="DisplayOrder" dataDxfId="253"/>
    <tableColumn id="5" xr3:uid="{A90F6784-19AC-41AD-BF19-241F641A195C}" name="Active" dataDxfId="252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77590D05-31E4-4DD8-8D94-B62AD36807A3}" name="tblDeviceColors" displayName="tblDeviceColors" ref="A167:E183" totalsRowShown="0" headerRowDxfId="251" dataDxfId="250">
  <autoFilter ref="A167:E183" xr:uid="{45B4B11D-1858-42DA-A79C-BFDAA49CD230}"/>
  <tableColumns count="5">
    <tableColumn id="1" xr3:uid="{75522C0F-3DA9-40E8-AC61-36631531CEB6}" name="ID" dataDxfId="249"/>
    <tableColumn id="2" xr3:uid="{AA927217-F5DB-4F3A-B657-456938E9EC67}" name="Name" dataDxfId="248"/>
    <tableColumn id="3" xr3:uid="{70438393-95EB-48E9-862F-4E8A21CE936B}" name="Description" dataDxfId="247"/>
    <tableColumn id="4" xr3:uid="{0AB48F32-5FFE-4FBE-9234-C8C2C92F9030}" name="DisplayOrder" dataDxfId="246"/>
    <tableColumn id="5" xr3:uid="{94A1B043-8DA4-4323-B296-CCDD86A88AC4}" name="Active" dataDxfId="245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F0D3FDF8-5D2A-4FE6-A61F-951089221471}" name="tblStatesProvinces" displayName="tblStatesProvinces" ref="A750:E810" totalsRowShown="0" headerRowDxfId="244" dataDxfId="243">
  <autoFilter ref="A750:E810" xr:uid="{22E35055-5C90-440C-8BFA-88619AAEC672}"/>
  <tableColumns count="5">
    <tableColumn id="1" xr3:uid="{D6705773-BBC0-432C-9DAF-31837E817A26}" name="ID" dataDxfId="242"/>
    <tableColumn id="2" xr3:uid="{C75AD6B8-2127-4B9E-AECD-60D84D0B0745}" name="Name" dataDxfId="241"/>
    <tableColumn id="3" xr3:uid="{EFFAE9E7-6DB9-4B17-B3BC-996BEBDF4067}" name="Description" dataDxfId="240"/>
    <tableColumn id="4" xr3:uid="{1C99B0D0-17A3-43AD-A791-2719EE379BB5}" name="DisplayOrder" dataDxfId="239"/>
    <tableColumn id="5" xr3:uid="{300360BC-179E-4BE9-BCC3-9E6E01CDCE45}" name="Active" dataDxfId="238"/>
  </tableColumns>
  <tableStyleInfo name="TableStyleMedium3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4CCF2D7E-9917-4AB2-A0F9-4BF070B51100}" name="tblTimeZones" displayName="tblTimeZones" ref="A813:E819" totalsRowShown="0" headerRowDxfId="237" dataDxfId="236">
  <autoFilter ref="A813:E819" xr:uid="{0EB0AEF5-7E2F-4CA5-AC61-E79CD61A8658}"/>
  <tableColumns count="5">
    <tableColumn id="1" xr3:uid="{1FC7AF4E-3F69-4C7E-B40D-FD98733684E4}" name="ID" dataDxfId="235"/>
    <tableColumn id="2" xr3:uid="{960DEF8B-6A98-4B0E-9929-C5AC0B0828FF}" name="Name" dataDxfId="234"/>
    <tableColumn id="3" xr3:uid="{4C6E4004-9A41-4A3B-8F20-46E8909CC1F5}" name="Description" dataDxfId="233"/>
    <tableColumn id="4" xr3:uid="{A5271F38-B85C-4F41-B757-B7C05D1DCECB}" name="DisplayOrder" dataDxfId="232"/>
    <tableColumn id="5" xr3:uid="{DC2722DD-FD5D-4F8C-9769-B10EBADBC339}" name="Active" dataDxfId="231"/>
  </tableColumns>
  <tableStyleInfo name="TableStyleMedium3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778B454-7ED9-4748-9B59-4C22155808D4}" name="tblCountries" displayName="tblCountries" ref="A727:E747" totalsRowShown="0" headerRowDxfId="230" dataDxfId="229">
  <autoFilter ref="A727:E747" xr:uid="{0E77B367-8BD1-44B7-8F5B-65F349B293BA}"/>
  <tableColumns count="5">
    <tableColumn id="1" xr3:uid="{ABA54476-D55A-40B0-BB7F-9317A47B8A8C}" name="ID" dataDxfId="228"/>
    <tableColumn id="2" xr3:uid="{BB4B456E-88F9-44D5-96A5-BBD195958EFD}" name="Name" dataDxfId="227"/>
    <tableColumn id="3" xr3:uid="{9D0862B3-55C9-4922-ADA5-C818588992C0}" name="Description" dataDxfId="226"/>
    <tableColumn id="4" xr3:uid="{B9189DC3-3810-415D-8B86-D65AF295A321}" name="DisplayOrder" dataDxfId="225"/>
    <tableColumn id="5" xr3:uid="{97DD1139-EAA7-4C38-A002-5689EF7710E5}" name="Active" dataDxfId="224"/>
  </tableColumns>
  <tableStyleInfo name="TableStyleMedium3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BE2753CC-DFB4-4EEE-8F17-027F9D2483BF}" name="tblCarrierLockStatus" displayName="tblCarrierLockStatus" ref="A199:E204" totalsRowShown="0" headerRowDxfId="223" dataDxfId="222">
  <autoFilter ref="A199:E204" xr:uid="{9C47F77C-19BD-4456-8E47-2E2EA68F8B68}"/>
  <tableColumns count="5">
    <tableColumn id="1" xr3:uid="{9B93AA78-964B-44ED-B09B-2444C02D15DB}" name="ID" dataDxfId="221"/>
    <tableColumn id="2" xr3:uid="{F152A9B9-66E0-4254-BFF6-D234EF9E6E40}" name="Name" dataDxfId="220"/>
    <tableColumn id="3" xr3:uid="{C3ED48F0-C3CE-4543-9761-852B46FB5CE4}" name="Description" dataDxfId="219"/>
    <tableColumn id="4" xr3:uid="{1867364A-ECFE-4443-8427-A16B4AD4419F}" name="DisplayOrder" dataDxfId="218"/>
    <tableColumn id="5" xr3:uid="{30531F95-F0A1-4608-B340-217F64EE15C7}" name="Active" dataDxfId="217"/>
  </tableColumns>
  <tableStyleInfo name="TableStyleMedium3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F459367-A270-4EA7-AE63-176B91BAA17D}" name="tblRepairStatus" displayName="tblRepairStatus" ref="A432:E452" totalsRowShown="0" headerRowDxfId="216" dataDxfId="215" tableBorderDxfId="214">
  <autoFilter ref="A432:E452" xr:uid="{74077CE0-FAFE-4D6B-AAF2-7C4FDE50FD82}"/>
  <tableColumns count="5">
    <tableColumn id="1" xr3:uid="{DBA98DD0-1B6B-400C-AC9F-64844E86E543}" name="ID" dataDxfId="213"/>
    <tableColumn id="2" xr3:uid="{A109C275-6160-45C4-B639-307E57E979B4}" name="Name" dataDxfId="212"/>
    <tableColumn id="3" xr3:uid="{239AF487-ECAE-447D-AC37-03834DBC6EF9}" name="Description" dataDxfId="211"/>
    <tableColumn id="4" xr3:uid="{381571A7-6C3A-4199-AAB2-F222234F32CA}" name="DisplayOrder" dataDxfId="210"/>
    <tableColumn id="5" xr3:uid="{A369CF4E-B627-414D-8314-C9699AE16276}" name="Active" dataDxfId="209"/>
  </tableColumns>
  <tableStyleInfo name="TableStyleMedium3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5F6C4DC0-E896-41C0-BB82-613569276487}" name="tblDeviceModel" displayName="tblDeviceModel" ref="H111:P745" totalsRowShown="0" headerRowDxfId="208" dataDxfId="207">
  <autoFilter ref="H111:P745" xr:uid="{677EC615-410B-4EC8-AAE1-22A3B6E03F39}">
    <filterColumn colId="2">
      <filters>
        <filter val="DF-001"/>
      </filters>
    </filterColumn>
  </autoFilter>
  <tableColumns count="9">
    <tableColumn id="1" xr3:uid="{0D25A3AE-FD66-402D-8B99-25153EDE40FF}" name="ModelID" dataDxfId="206"/>
    <tableColumn id="2" xr3:uid="{423F8B23-F104-46AB-9D9D-8AF88092FADE}" name="ManufacturerID" dataDxfId="205"/>
    <tableColumn id="3" xr3:uid="{B08FF287-3ABF-4CEF-8E29-7AD45E15BB5D}" name="DeviceFamilyID" dataDxfId="204"/>
    <tableColumn id="4" xr3:uid="{68B08B93-B546-4A6F-8605-CBF9C3D71AE8}" name="DeviceTypeID" dataDxfId="203"/>
    <tableColumn id="5" xr3:uid="{AC718D37-D659-4454-9705-5F2F207C44D4}" name="ModelName" dataDxfId="202"/>
    <tableColumn id="6" xr3:uid="{1CDF9795-6B2A-4BAC-AD3D-05974F560A73}" name="Manufacturer Model" dataDxfId="201"/>
    <tableColumn id="7" xr3:uid="{9F9DF920-8C39-4441-85BB-5AF7236F1CE9}" name="ReleaseYear" dataDxfId="200"/>
    <tableColumn id="8" xr3:uid="{280528BA-13A6-47EE-8802-ACCC4E6AB03D}" name="SortOrder" dataDxfId="199"/>
    <tableColumn id="9" xr3:uid="{74206443-E7CB-44A8-8381-6BD9B8641281}" name="IsActive" dataDxfId="198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B72F521-6CFC-4D77-B71F-E077059BA2A5}" name="tblLookupGroups" displayName="tblLookupGroups" ref="H82:L91" totalsRowShown="0" headerRowDxfId="197" dataDxfId="196">
  <autoFilter ref="H82:L91" xr:uid="{D921AAA0-6069-4437-858E-E696D3F7D86D}"/>
  <tableColumns count="5">
    <tableColumn id="1" xr3:uid="{679D701F-FFD6-4811-BC11-6FDA122C74F2}" name="LookupGroupID" dataDxfId="195"/>
    <tableColumn id="2" xr3:uid="{8FE67150-0983-40E3-BE62-86D257B613C5}" name="GroupName" dataDxfId="194"/>
    <tableColumn id="3" xr3:uid="{ED7B8E64-6FF8-41BE-A88B-6C641F81603E}" name="Description" dataDxfId="193"/>
    <tableColumn id="4" xr3:uid="{E97CB3B9-2146-41D0-BF5D-893EB8F95F59}" name="DisplayOrder" dataDxfId="192"/>
    <tableColumn id="5" xr3:uid="{D14DD50A-BB78-489B-BEFA-227F4FD7FBFA}" name="IsActive" dataDxfId="191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CF84E86-F92C-4212-B34B-AB070F383839}" name="tblLookupCatalogID" displayName="tblLookupCatalogID" ref="A17:M73" totalsRowShown="0" headerRowDxfId="190" dataDxfId="189">
  <autoFilter ref="A17:M73" xr:uid="{5AC8F6B4-C349-4A43-9AD2-D3FEA024964F}"/>
  <tableColumns count="13">
    <tableColumn id="1" xr3:uid="{7CA8195F-828D-4816-B136-25BAD4F1D1AD}" name="LookupCatalogID" dataDxfId="188"/>
    <tableColumn id="2" xr3:uid="{2A2E3EBC-F8BD-4300-9B22-9147AB3308AC}" name="LookupGroupID" dataDxfId="187"/>
    <tableColumn id="11" xr3:uid="{43243AFB-BF36-418D-974F-6E4C0B41555B}" name="LookupGroupName" dataDxfId="186">
      <calculatedColumnFormula>_xlfn.XLOOKUP(tblLookupCatalogID[[#This Row],[LookupGroupID]],tblLookupGroups[LookupGroupID],tblLookupGroups[GroupName],"")</calculatedColumnFormula>
    </tableColumn>
    <tableColumn id="3" xr3:uid="{EF6D5548-D7BB-4D65-AD24-E66ED7DF1E0E}" name="LookupTableName" dataDxfId="185"/>
    <tableColumn id="4" xr3:uid="{D29901DA-EB57-4F78-9760-0452B43B7131}" name="DisplayName" dataDxfId="184"/>
    <tableColumn id="5" xr3:uid="{825EC879-F042-4F46-8B17-4C6FF14454CC}" name="PrimaryKeyField" dataDxfId="183"/>
    <tableColumn id="6" xr3:uid="{295CCD17-565F-4CD5-A68B-566CF05877BB}" name="PrimaryKeyPrefix" dataDxfId="182"/>
    <tableColumn id="7" xr3:uid="{8F2F58D6-12C2-4DDB-B3E4-4A3109F05CCE}" name="Description" dataDxfId="181"/>
    <tableColumn id="8" xr3:uid="{5A9CC928-4AE2-4A5D-9530-27A5F248B2A7}" name="DisplayOrder" dataDxfId="180"/>
    <tableColumn id="9" xr3:uid="{F94768A4-E778-4632-9F8E-9605725DF9DB}" name="Status" dataDxfId="179"/>
    <tableColumn id="10" xr3:uid="{7F8710CA-3F55-4702-B471-66C4A158A8BB}" name="IsSystemLookup" dataDxfId="178"/>
    <tableColumn id="12" xr3:uid="{347B9A47-CC54-4681-80ED-8CF071D848A6}" name="TableExists" dataDxfId="177">
      <calculatedColumnFormula array="1">TableExists(tblLookupCatalogID[[#This Row],[LookupTableName]])</calculatedColumnFormula>
    </tableColumn>
    <tableColumn id="13" xr3:uid="{E271DF38-5B4F-41BA-B8E9-990B12DF7663}" name="LastReviewed" dataDxfId="176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7BAA765-5950-491F-8760-092C703B0EDA}" name="tblCustomers" displayName="tblCustomers" ref="A4:Q14" totalsRowShown="0" headerRowDxfId="175">
  <autoFilter ref="A4:Q14" xr:uid="{60E8BC54-D8A9-4482-A840-0DA18D8CF627}"/>
  <tableColumns count="17">
    <tableColumn id="1" xr3:uid="{79DA622C-8CB0-4ADA-B44B-4C3F26B86167}" name="Customer ID"/>
    <tableColumn id="2" xr3:uid="{A5F9D4CF-8E4B-412E-993F-4044302C86A5}" name="Customer Type"/>
    <tableColumn id="3" xr3:uid="{D58D58B0-C7AD-4F43-9598-FA8C6152B422}" name="First Name"/>
    <tableColumn id="4" xr3:uid="{F462FB88-95E6-4741-800B-AB97BC77F106}" name="Last Name"/>
    <tableColumn id="5" xr3:uid="{5BE8C1E3-DECF-4BC0-B69A-2B0249019CB2}" name="Business Name" dataDxfId="174"/>
    <tableColumn id="6" xr3:uid="{1D247430-4F64-4869-9D82-65FEA7B12294}" name="Email" dataDxfId="173"/>
    <tableColumn id="7" xr3:uid="{2D4EC4A3-3A90-42F7-AF6D-0F6110C9D320}" name="Mobile Phone"/>
    <tableColumn id="8" xr3:uid="{3F023FE7-D23C-42DD-9F44-EBF91DFB5B7A}" name="Home Phone"/>
    <tableColumn id="9" xr3:uid="{77632BE8-6417-4865-A8D8-654314C8148C}" name="Work Phone"/>
    <tableColumn id="10" xr3:uid="{3E1F342E-02BA-4C35-AEEF-54FA0373E468}" name="Preferred Contact"/>
    <tableColumn id="11" xr3:uid="{C55A07E7-D7C4-4A6B-B8B6-E2120A7CC221}" name="Billing Address"/>
    <tableColumn id="12" xr3:uid="{E3CA9023-4CCB-4F25-98E8-D0EC097F4D6C}" name="Shipping Address"/>
    <tableColumn id="13" xr3:uid="{345FCA89-D570-4A96-9F25-B8A03A46A2C3}" name="Tax Exempt"/>
    <tableColumn id="14" xr3:uid="{DF958F5D-9131-47BF-B0AC-EA8CEF004C1F}" name="Active"/>
    <tableColumn id="15" xr3:uid="{585E477C-C991-4A39-B6F4-F4388410C9A7}" name="Date Created"/>
    <tableColumn id="16" xr3:uid="{063A1E13-1F00-4293-9112-1BCFF73F041C}" name="Last Modified"/>
    <tableColumn id="17" xr3:uid="{F1FC9656-07CF-4367-9429-FFBD5F09DDF9}" name="Notes"/>
  </tableColumns>
  <tableStyleInfo name="TableStyleMedium4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24AA1AC-7E28-429F-8798-74AD6CFCFBDB}" name="tblCustomerDevices" displayName="tblCustomerDevices" ref="A3:N4" totalsRowShown="0">
  <autoFilter ref="A3:N4" xr:uid="{B24AA1AC-7E28-429F-8798-74AD6CFCFBDB}"/>
  <tableColumns count="14">
    <tableColumn id="1" xr3:uid="{61D2343B-62DE-48A0-A880-E5E1B81EF4E4}" name="Device ID" dataDxfId="592"/>
    <tableColumn id="2" xr3:uid="{FD1C7DAA-F5CD-4921-BBAF-551CBB4ACFB8}" name="Customer ID" dataDxfId="591"/>
    <tableColumn id="3" xr3:uid="{90235C3F-11EA-4881-8115-C98EE44E4182}" name="Manufacturer" dataDxfId="590"/>
    <tableColumn id="4" xr3:uid="{8CE2C9D2-73C5-4A36-915A-6110A171AAB2}" name="Device Family" dataDxfId="589"/>
    <tableColumn id="5" xr3:uid="{896FC99D-821A-454E-8F40-9F98F22E96E0}" name="Device Model" dataDxfId="588"/>
    <tableColumn id="6" xr3:uid="{AB1DE4DA-55CF-4D8C-9C4B-5EABA16157BD}" name="Serial Number"/>
    <tableColumn id="7" xr3:uid="{7B6C6724-D6A8-4DBF-AC93-C58B0557A20D}" name="IMEI / Service Tag"/>
    <tableColumn id="8" xr3:uid="{3880C41C-8B4D-402F-A380-7D24717D04F0}" name="Color"/>
    <tableColumn id="9" xr3:uid="{37232CB1-B7F8-44C9-A1FA-5F00AAF978D7}" name="Storage"/>
    <tableColumn id="10" xr3:uid="{B2781AC3-1672-4698-A206-3CF8BD89C4B3}" name="Carrier"/>
    <tableColumn id="11" xr3:uid="{EE497EE5-C253-40D4-858A-5C605311CB32}" name="Purchase Date"/>
    <tableColumn id="12" xr3:uid="{882E1809-457C-4B48-8C48-1ECE049423C6}" name="Warranty Expiration"/>
    <tableColumn id="13" xr3:uid="{2ECD8236-C9FF-46E5-8AA8-AC54B4086D89}" name="Active" dataDxfId="587"/>
    <tableColumn id="14" xr3:uid="{37AB8CE6-0EE9-43BB-8AB9-4DE785AFA399}" name="Notes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AC7DE5F7-AE9F-4E6E-9B6B-329CF4A98C2B}" name="tblCustomerAddress" displayName="tblCustomerAddress" ref="A4:E5" totalsRowShown="0" headerRowDxfId="172" dataDxfId="170" headerRowBorderDxfId="171" tableBorderDxfId="169" totalsRowBorderDxfId="168">
  <autoFilter ref="A4:E5" xr:uid="{4F2C14BF-0EDF-4D0C-B3DD-AA903CF58AD6}"/>
  <tableColumns count="5">
    <tableColumn id="1" xr3:uid="{6E5E2309-3BFC-45A5-9A93-7464B7A9B7C4}" name="CustomerID" dataDxfId="167"/>
    <tableColumn id="2" xr3:uid="{973CC0C7-1FAA-445F-A629-C100FA3EEE77}" name="FirstName" dataDxfId="166"/>
    <tableColumn id="3" xr3:uid="{ADD0315D-51A0-4EF5-BE18-3D8256B97B4B}" name="LastName" dataDxfId="165"/>
    <tableColumn id="4" xr3:uid="{A190CD60-3C20-4481-AD03-ACFF73AEC3F2}" name="Phone" dataDxfId="164"/>
    <tableColumn id="5" xr3:uid="{E2205941-1707-4BF0-BDB2-1B3EC3729197}" name="Email" dataDxfId="163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E7551085-ACC9-4D49-A121-880B43CCB53F}" name="tblCustomerCommunications" displayName="tblCustomerCommunications" ref="A4:E5" totalsRowShown="0" headerRowDxfId="162" dataDxfId="160" headerRowBorderDxfId="161" tableBorderDxfId="159" totalsRowBorderDxfId="158">
  <autoFilter ref="A4:E5" xr:uid="{B7DAEC5C-9C3C-49DE-8082-E6C2282B916D}"/>
  <tableColumns count="5">
    <tableColumn id="1" xr3:uid="{8F01CE0D-38F4-40EC-8D4F-6D26284CADD9}" name="CustomerID" dataDxfId="157"/>
    <tableColumn id="2" xr3:uid="{648312BD-434B-477C-9B30-187DFD25D76F}" name="FirstName" dataDxfId="156"/>
    <tableColumn id="3" xr3:uid="{AAAF64E8-6AE4-431E-9659-2D122F0AFBCE}" name="LastName" dataDxfId="155"/>
    <tableColumn id="4" xr3:uid="{E361E99C-0A56-4C16-B496-8B136FA49945}" name="Phone" dataDxfId="154"/>
    <tableColumn id="5" xr3:uid="{43F88867-3B47-41E2-92CB-D3839BFCF648}" name="Email" dataDxfId="153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2608D11-5842-4351-BEA2-795EED44C658}" name="tblRepairTickets" displayName="tblRepairTickets" ref="A2:N3" totalsRowShown="0">
  <autoFilter ref="A2:N3" xr:uid="{B2608D11-5842-4351-BEA2-795EED44C658}"/>
  <tableColumns count="14">
    <tableColumn id="1" xr3:uid="{DC54D3F5-6E2C-4259-A8B8-16A28B00736F}" name="Ticket ID"/>
    <tableColumn id="2" xr3:uid="{0C5C6816-B7E3-41C1-87A5-116262AD94AE}" name="Customer ID"/>
    <tableColumn id="3" xr3:uid="{AE487A1A-9AB5-4FA6-9D9F-60C2E033B540}" name="Device ID"/>
    <tableColumn id="4" xr3:uid="{3314EA15-8AC1-4E62-8638-7C3E5B4A14D1}" name="Repair Status"/>
    <tableColumn id="5" xr3:uid="{1C7C746F-CD45-4250-8BC7-A2F2628C76A4}" name="Intake Date"/>
    <tableColumn id="6" xr3:uid="{B91ADE4B-A490-4082-9D19-368E16741432}" name="Technician"/>
    <tableColumn id="7" xr3:uid="{685EC6B6-FF0B-4FFB-91B5-C68541DBFD95}" name="Problem Description"/>
    <tableColumn id="8" xr3:uid="{CCCD521B-A3D6-4126-B961-5190BA2AA120}" name="Diagnosis"/>
    <tableColumn id="9" xr3:uid="{B2C9E8BE-06D5-419C-B3A1-4D51EF2E31A1}" name="Estimated Cost"/>
    <tableColumn id="10" xr3:uid="{AF01661D-716E-4DF1-8AD9-5249070C47BB}" name="Final Cost"/>
    <tableColumn id="11" xr3:uid="{B72799ED-1040-4FA0-B6C6-D79FBD0FBD8C}" name="Date Completed"/>
    <tableColumn id="12" xr3:uid="{F054B8CF-E3F1-4FEC-B8CD-744229C99DC1}" name="Date Picked Up"/>
    <tableColumn id="13" xr3:uid="{39E22E76-99C4-4BE1-9ABF-77B07753DBE9}" name="Warranty"/>
    <tableColumn id="14" xr3:uid="{D03ED382-EA37-43CF-84B6-93CCD50EBA97}" name="Notes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EF28CDCF-AE60-4665-BCFA-0C88A9907205}" name="tblDiagnostics" displayName="tblDiagnostics" ref="A4:E5" totalsRowShown="0" headerRowDxfId="152" dataDxfId="150" headerRowBorderDxfId="151" tableBorderDxfId="149" totalsRowBorderDxfId="148">
  <autoFilter ref="A4:E5" xr:uid="{C282810B-2910-4E93-B3E8-3883F872E68B}"/>
  <tableColumns count="5">
    <tableColumn id="1" xr3:uid="{1DE12A47-687A-496D-A6E6-ECE23E650792}" name="CustomerID" dataDxfId="147"/>
    <tableColumn id="2" xr3:uid="{7EB9DFE2-B477-4A9C-955B-36D148FF0102}" name="FirstName" dataDxfId="146"/>
    <tableColumn id="3" xr3:uid="{F28C7978-3067-4914-818E-1AFB9C6C7F23}" name="LastName" dataDxfId="145"/>
    <tableColumn id="4" xr3:uid="{27B78EF4-A59F-4910-A3FC-C374EFF48475}" name="Phone" dataDxfId="144"/>
    <tableColumn id="5" xr3:uid="{9546CBA0-7681-4681-91C2-587C906D9966}" name="Email" dataDxfId="143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731C08A2-A541-41EF-8F8F-B20720A2EE2F}" name="tblRepairNotes" displayName="tblRepairNotes" ref="A5:E6" totalsRowShown="0" headerRowDxfId="142" dataDxfId="140" headerRowBorderDxfId="141" tableBorderDxfId="139" totalsRowBorderDxfId="138">
  <autoFilter ref="A5:E6" xr:uid="{08067824-720C-4240-9798-8FDEA42D3488}"/>
  <tableColumns count="5">
    <tableColumn id="1" xr3:uid="{88A67422-5670-420D-84FD-C688B487F107}" name="CustomerID" dataDxfId="137"/>
    <tableColumn id="2" xr3:uid="{2FE9F04A-6CCE-44B6-928A-26C3FEEFF4E3}" name="FirstName" dataDxfId="136"/>
    <tableColumn id="3" xr3:uid="{F9346829-AF87-4AEE-9FB7-B5A800A10A76}" name="LastName" dataDxfId="135"/>
    <tableColumn id="4" xr3:uid="{FB84AACD-0B33-4BFF-B48B-733A4DF32541}" name="Phone" dataDxfId="134"/>
    <tableColumn id="5" xr3:uid="{EB0FDC6B-5E39-4DCA-A327-F8FA17051340}" name="Email" dataDxfId="133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45E68431-03B1-463B-924D-CCF006985BA0}" name="tblPartsUsed" displayName="tblPartsUsed" ref="A5:E6" totalsRowShown="0" headerRowDxfId="132" dataDxfId="130" headerRowBorderDxfId="131" tableBorderDxfId="129" totalsRowBorderDxfId="128">
  <autoFilter ref="A5:E6" xr:uid="{F75CE307-01BE-4343-A308-F7ED6415B9E4}"/>
  <tableColumns count="5">
    <tableColumn id="1" xr3:uid="{2E03FF8D-444E-482C-9BBC-25F34DD85F79}" name="CustomerID" dataDxfId="127"/>
    <tableColumn id="2" xr3:uid="{7665ACCA-6FBF-4DB7-A2F4-753A21AAF85E}" name="FirstName" dataDxfId="126"/>
    <tableColumn id="3" xr3:uid="{A214DBF7-D3FA-4207-A1AC-D80C09856FED}" name="LastName" dataDxfId="125"/>
    <tableColumn id="4" xr3:uid="{B4EEDFC0-B5EF-4026-98F0-E29A50126363}" name="Phone" dataDxfId="124"/>
    <tableColumn id="5" xr3:uid="{3F064DE5-243B-419E-970C-92E927050C22}" name="Email" dataDxfId="123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59419465-04C9-4D7B-AAA6-A3C662A7CC04}" name="tblQualityControl" displayName="tblQualityControl" ref="A5:E6" totalsRowShown="0" headerRowDxfId="122" dataDxfId="120" headerRowBorderDxfId="121" tableBorderDxfId="119" totalsRowBorderDxfId="118">
  <autoFilter ref="A5:E6" xr:uid="{02343358-1503-46E0-AA97-9D3E51A886CA}"/>
  <tableColumns count="5">
    <tableColumn id="1" xr3:uid="{E14F3789-5F74-44BD-8A63-8F78E05A10D7}" name="CustomerID" dataDxfId="117"/>
    <tableColumn id="2" xr3:uid="{2364B4D6-BB1A-44B8-8AE0-F4B33D0AE6BB}" name="FirstName" dataDxfId="116"/>
    <tableColumn id="3" xr3:uid="{D539D750-E437-4790-A980-FBD29DFC1A6E}" name="LastName" dataDxfId="115"/>
    <tableColumn id="4" xr3:uid="{EF0C9B51-22DE-4F8A-A0B0-06C14B1F3205}" name="Phone" dataDxfId="114"/>
    <tableColumn id="5" xr3:uid="{7D790F87-5246-44A5-BFF7-D63BEF78BD6B}" name="Email" dataDxfId="113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DBA43685-CD63-40E0-BB38-340F765454E3}" name="tblRepairTimeline" displayName="tblRepairTimeline" ref="A6:E7" totalsRowShown="0" headerRowDxfId="112" dataDxfId="111" tableBorderDxfId="110">
  <autoFilter ref="A6:E7" xr:uid="{68A76225-C66A-4334-8E5E-596E921C19F3}"/>
  <tableColumns count="5">
    <tableColumn id="1" xr3:uid="{4BBA8BFB-7903-437D-9728-18D2AA8B6BD7}" name="CustomerID" dataDxfId="109"/>
    <tableColumn id="2" xr3:uid="{076BE5AA-6C5B-4992-8EB0-307B274D9E10}" name="FirstName" dataDxfId="108"/>
    <tableColumn id="3" xr3:uid="{2C240AA9-2BF4-4359-BA82-866695760EF1}" name="LastName" dataDxfId="107"/>
    <tableColumn id="4" xr3:uid="{B1FE3B58-342A-4E7D-9D75-1C2419244377}" name="Phone" dataDxfId="106"/>
    <tableColumn id="5" xr3:uid="{F7D2A379-A5B1-47CC-B55B-9895F15B507C}" name="Email" dataDxfId="105"/>
  </tableColumns>
  <tableStyleInfo name="TableStyleMedium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E187FAFB-072A-4E61-8282-E1FCDC5A4D6F}" name="tblManufacturerCatalog" displayName="tblManufacturerCatalog" ref="A3:E38" totalsRowShown="0" headerRowDxfId="104">
  <autoFilter ref="A3:E38" xr:uid="{E3F14C53-57FC-46B2-B17B-572F8546A332}"/>
  <tableColumns count="5">
    <tableColumn id="1" xr3:uid="{FC34B557-5F19-498F-A26F-1652C0F30DDD}" name="Manufacturer ID" dataDxfId="103"/>
    <tableColumn id="2" xr3:uid="{34615201-DF11-418D-9867-8EE243F90816}" name="Manufacturer" dataDxfId="102"/>
    <tableColumn id="3" xr3:uid="{A55C394F-2467-4FF6-8A3C-5A6D4C7F4AC4}" name="Website" dataDxfId="101" dataCellStyle="Hyperlink"/>
    <tableColumn id="4" xr3:uid="{EBCD9D81-7E06-459E-A652-20BCA11B0814}" name="Active" dataDxfId="100"/>
    <tableColumn id="5" xr3:uid="{718B2EB0-D000-43B4-AAC3-94A67F520E81}" name="Notes" dataDxfId="99"/>
  </tableColumns>
  <tableStyleInfo name="TableStyleMedium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144D4435-94C0-49C3-BBC4-5D9C77A20049}" name="tblDeviceCatalog" displayName="tblDeviceCatalog" ref="A3:D10" totalsRowShown="0">
  <autoFilter ref="A3:D10" xr:uid="{5A1D1C6D-F34F-4402-B1F8-23FA06810612}"/>
  <tableColumns count="4">
    <tableColumn id="1" xr3:uid="{75FE14FA-B985-484F-BA33-9892B3988673}" name="Device Family Code"/>
    <tableColumn id="2" xr3:uid="{BBCD788A-01D4-4C2F-A2DF-A5E65DB03A75}" name="Device Family"/>
    <tableColumn id="3" xr3:uid="{EAE644D5-4E4F-4F20-A44F-2817C3E95EC2}" name="Description"/>
    <tableColumn id="4" xr3:uid="{F2253F09-815A-4057-8948-0507B0D94076}" name="Active"/>
  </tableColumns>
  <tableStyleInfo name="TableStyleMedium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239FBB38-22C2-4917-996C-CA3DEEAD2256}" name="tblMasterDevices" displayName="tblMasterDevices" ref="A1:I838" insertRowShift="1" totalsRowShown="0">
  <autoFilter ref="A1:I838" xr:uid="{0246B599-2BB8-458B-AFD4-13AA45E0FCB5}"/>
  <sortState xmlns:xlrd2="http://schemas.microsoft.com/office/spreadsheetml/2017/richdata2" ref="A2:I838">
    <sortCondition ref="A1:A838"/>
  </sortState>
  <tableColumns count="9">
    <tableColumn id="1" xr3:uid="{D75412BF-F2BE-4167-8119-2B616E603B34}" name="Device ID"/>
    <tableColumn id="2" xr3:uid="{AB752F68-590D-49AF-916E-F067431D612A}" name="Manufacturer Code" dataDxfId="98"/>
    <tableColumn id="3" xr3:uid="{486F2604-0F8C-4A31-A291-2648A874D16D}" name="Device Family Code" dataDxfId="97"/>
    <tableColumn id="4" xr3:uid="{425144A1-7631-43FB-B4C0-A451062E2B0F}" name="Device Model" dataDxfId="96"/>
    <tableColumn id="5" xr3:uid="{12AF786E-DB57-483C-A8B0-67228DA024FD}" name="Model Number" dataDxfId="95">
      <calculatedColumnFormula>_xlfn.XLOOKUP(D2,'[2]8A. Master Device Catalog'!$F$5:$F$914,'[2]8A. Master Device Catalog'!$G$5:$G$914,"")</calculatedColumnFormula>
    </tableColumn>
    <tableColumn id="6" xr3:uid="{A8985BB8-0E41-4169-ADFD-FD8EA0F2A495}" name="Release Year" dataDxfId="94">
      <calculatedColumnFormula>_xlfn.XLOOKUP(D2,'[2]8A. Master Device Catalog'!$F$5:$F$914,'[2]8A. Master Device Catalog'!$H$5:$H$914,"")</calculatedColumnFormula>
    </tableColumn>
    <tableColumn id="7" xr3:uid="{B9CFDFD5-478F-480B-97A3-7D08CB49A468}" name="End of Support"/>
    <tableColumn id="8" xr3:uid="{6A081B75-067E-47B1-96D3-6181EA8E31B1}" name="Active"/>
    <tableColumn id="9" xr3:uid="{5D229585-633E-4389-886D-6A272013A317}" name="Notes"/>
  </tableColumns>
  <tableStyleInfo name="TableStyleMedium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A9DA6FF3-85DD-4020-A46E-396A31C4B57D}" name="tblServiceTypes" displayName="tblServiceTypes" ref="B4:H33" totalsRowShown="0" headerRowDxfId="93">
  <autoFilter ref="B4:H33" xr:uid="{122A58F4-CF44-46EF-9C83-CC493FA4A8F2}"/>
  <tableColumns count="7">
    <tableColumn id="1" xr3:uid="{9E642E41-E379-43F1-83DB-AB946635D2EF}" name="Service Category" dataDxfId="92"/>
    <tableColumn id="2" xr3:uid="{D5D73321-B4DB-4012-818B-9975E1A74ABE}" name="Service Type" dataDxfId="91"/>
    <tableColumn id="3" xr3:uid="{E9C63FA8-42FD-4D3E-B24B-18E0A4F345FF}" name="Description"/>
    <tableColumn id="4" xr3:uid="{A8F84DE9-4ABA-4871-A6E1-B1C8623A4D12}" name="Default Warranty"/>
    <tableColumn id="5" xr3:uid="{A98CE364-BA41-4F1F-90EA-0B97A85D48DE}" name="Default Labor Time"/>
    <tableColumn id="6" xr3:uid="{358F71B5-96A7-444B-9548-15E9D86068D8}" name="Taxable"/>
    <tableColumn id="7" xr3:uid="{56D07796-1702-4EE0-B9BA-73A37F4AEE84}" name="Active"/>
  </tableColumns>
  <tableStyleInfo name="TableStyleMedium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80FBB8F3-5B5C-4551-B820-BBD4D6782378}" name="tblServiceType" displayName="tblServiceType" ref="L4:T74" totalsRowShown="0" dataDxfId="90">
  <autoFilter ref="L4:T74" xr:uid="{C5D17C4F-A0F8-4B82-881B-9410E340A6CC}"/>
  <tableColumns count="9">
    <tableColumn id="1" xr3:uid="{1A9FCBB9-F722-4753-B903-F4B151BE878A}" name="Service Category" dataDxfId="89"/>
    <tableColumn id="2" xr3:uid="{A2425402-61F6-4D50-8F8C-C16E8F90EF2C}" name="Service Type" dataDxfId="88"/>
    <tableColumn id="3" xr3:uid="{FA37CF8C-FEF4-4D5D-90EE-24A60ECEACA7}" name="Service Description" dataDxfId="87"/>
    <tableColumn id="4" xr3:uid="{6B8E725B-A784-4D40-90EE-6F9C1CB19D23}" name="Applies To" dataDxfId="86"/>
    <tableColumn id="5" xr3:uid="{4E8DAF16-28A3-4F1E-8B30-4B779B2C487E}" name="Estimated Time (Min)" dataDxfId="85"/>
    <tableColumn id="6" xr3:uid="{C224B14F-5F2E-44E5-8621-B04FD3C3F855}" name="Default Warranty (Days)" dataDxfId="84"/>
    <tableColumn id="7" xr3:uid="{FC91277B-10EC-4775-9435-35B7405393D9}" name="Taxable" dataDxfId="83"/>
    <tableColumn id="8" xr3:uid="{F1238CAA-F535-4B2D-BD9F-C07693A889CB}" name="Active" dataDxfId="82"/>
    <tableColumn id="9" xr3:uid="{47A814C9-ED10-4359-A422-56CE71D676BC}" name="Internal Notes" dataDxfId="81"/>
  </tableColumns>
  <tableStyleInfo name="TableStyleMedium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52B8DFF-8B14-4662-91EB-0E71BC65BBA8}" name="tblMasterServices" displayName="tblMasterServices" ref="A1:K76" totalsRowShown="0" headerRowDxfId="80" dataDxfId="79">
  <autoFilter ref="A1:K76" xr:uid="{8BE2510B-D371-4D42-BCB0-F5C23A725EE2}"/>
  <tableColumns count="11">
    <tableColumn id="1" xr3:uid="{23D78ABC-258F-4363-8AA9-F079F4B6A5EC}" name="Service ID"/>
    <tableColumn id="2" xr3:uid="{F7865EDD-2D37-4DB8-97FD-86015812739F}" name="Service Name"/>
    <tableColumn id="3" xr3:uid="{7280EDF9-8D54-421F-8C64-E2999A98BC90}" name="Service Category"/>
    <tableColumn id="4" xr3:uid="{09C4F092-E49E-46CC-853F-B0F61D0FB287}" name="Repair Type"/>
    <tableColumn id="5" xr3:uid="{43AB82AA-39DD-46BB-89BE-F8CBEDA5F96D}" name="Requires Part " dataDxfId="78"/>
    <tableColumn id="6" xr3:uid="{268A2123-3E33-45A1-8C69-508C5E74B0AF}" name="Requires Labor" dataDxfId="77"/>
    <tableColumn id="7" xr3:uid="{7B60A908-39EF-4E74-85CB-717A9CADD3DA}" name="Estimated Labor (hrs)" dataDxfId="76"/>
    <tableColumn id="8" xr3:uid="{4297EF1C-7816-4A8D-A60C-049F760E00BD}" name="Warranty Eligible" dataDxfId="75"/>
    <tableColumn id="12" xr3:uid="{45F5AEB6-BC83-4600-B7D0-D3212F8948B7}" name="Repair Difficulty"/>
    <tableColumn id="9" xr3:uid="{598706A4-F271-4026-8A9E-6AECD2BBA35F}" name="Active" dataDxfId="74"/>
    <tableColumn id="10" xr3:uid="{B050DF85-A723-491B-A1BD-2C1102995401}" name="Notes" dataDxfId="73"/>
  </tableColumns>
  <tableStyleInfo name="TableStyleMedium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B55DC00C-77CB-4DCA-B011-8779D79AE648}" name="tblCompatibilityID" displayName="tblCompatibilityID" ref="A2:F84" totalsRowShown="0" headerRowDxfId="72">
  <autoFilter ref="A2:F84" xr:uid="{C48EF949-390E-4E44-8E96-9B06F90BBB48}"/>
  <sortState xmlns:xlrd2="http://schemas.microsoft.com/office/spreadsheetml/2017/richdata2" ref="A3:F77">
    <sortCondition ref="C2:C77"/>
  </sortState>
  <tableColumns count="6">
    <tableColumn id="1" xr3:uid="{2A9B741C-627B-424D-A5F0-5ED406960F7F}" name="Compatibility ID"/>
    <tableColumn id="2" xr3:uid="{39051E57-28C5-4E65-A4EF-1328B00DAC1E}" name="Device Family"/>
    <tableColumn id="3" xr3:uid="{D193CA9F-4114-4C2A-91C1-F33D0741FC75}" name="Service Name" dataDxfId="71"/>
    <tableColumn id="4" xr3:uid="{330B0125-C05E-4F1F-B2D4-00CEA6FA5191}" name="Supported" dataDxfId="70"/>
    <tableColumn id="5" xr3:uid="{A101EAAC-40BB-4172-85AF-0FA4885977F0}" name="Requires Capability" dataDxfId="69"/>
    <tableColumn id="6" xr3:uid="{8C23E326-AE74-4C1F-AA0C-7A6F4F7B3167}" name="Notes"/>
  </tableColumns>
  <tableStyleInfo name="TableStyleMedium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BC135AA4-0A65-43D5-A823-B1734F5B9370}" name="tblPartsCatalog" displayName="tblPartsCatalog" ref="A2:J3" insertRow="1" totalsRowShown="0" headerRowDxfId="68">
  <autoFilter ref="A2:J3" xr:uid="{92EE8BC9-BA19-4CEA-B22A-D7AA8603E25C}"/>
  <tableColumns count="10">
    <tableColumn id="1" xr3:uid="{784A080E-6215-4B5D-8147-5E0681203F9D}" name="Manufacturer"/>
    <tableColumn id="2" xr3:uid="{EC9B17A0-9C76-4375-A988-F251E64BEAEA}" name="Device Type"/>
    <tableColumn id="3" xr3:uid="{F308A1A5-2E8B-4721-B95D-F649F38C1635}" name="Device Family"/>
    <tableColumn id="4" xr3:uid="{67749CBB-F0A2-4949-B2C3-2DFF8FC2AC7D}" name="Device Model"/>
    <tableColumn id="5" xr3:uid="{E7751992-ED27-4C0B-9225-92C8611DDF00}" name="Service Type"/>
    <tableColumn id="6" xr3:uid="{2DA0458F-3CF0-4555-9045-F85921C7B856}" name="Labor"/>
    <tableColumn id="7" xr3:uid="{EA8F4FA8-9696-4F23-BEE3-4B2E8F97074A}" name="Parts"/>
    <tableColumn id="8" xr3:uid="{67627DFE-F2C5-4326-AEEF-B90172D40AA7}" name="Final Price"/>
    <tableColumn id="9" xr3:uid="{889713D1-8DB0-46C8-A934-89FE8AF34C54}" name="Square Item Name"/>
    <tableColumn id="10" xr3:uid="{5E80EF87-190A-4738-9FD1-D8FD30209C8D}" name="SKU"/>
  </tableColumns>
  <tableStyleInfo name="TableStyleMedium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B3E5499D-37DD-4FAB-AE9D-24FD4F7766DB}" name="tblSupplierCatalog" displayName="tblSupplierCatalog" ref="A2:C11" totalsRowShown="0" headerRowDxfId="67" dataDxfId="66">
  <autoFilter ref="A2:C11" xr:uid="{ED765301-DC41-4952-B8D7-9709D490E693}"/>
  <tableColumns count="3">
    <tableColumn id="1" xr3:uid="{B20B6622-7068-4112-BD9D-E5A320572F8E}" name="Supplier" dataDxfId="65"/>
    <tableColumn id="2" xr3:uid="{B76151DD-8E89-41BE-A4AE-CC73D55C704C}" name="Website" dataDxfId="64"/>
    <tableColumn id="3" xr3:uid="{3E3D5D57-E545-40CC-BBF4-BEECAC89D8B8}" name="Notes" dataDxfId="63"/>
  </tableColumns>
  <tableStyleInfo name="TableStyleMedium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D5378A2-66CF-47F6-B3AE-ED6CD31CB72F}" name="tblPurchaseOrders" displayName="tblPurchaseOrders" ref="A5:G9" totalsRowShown="0">
  <autoFilter ref="A5:G9" xr:uid="{1ED845B6-4422-4755-8F92-39B1713992D0}"/>
  <tableColumns count="7">
    <tableColumn id="1" xr3:uid="{A013D15D-1AE1-4EE8-A767-54201462740E}" name="Column1"/>
    <tableColumn id="2" xr3:uid="{37DD6ED7-415C-4312-AB96-5ECEA289825E}" name="Column2"/>
    <tableColumn id="3" xr3:uid="{B1609087-9BB1-4259-B75A-2A24C788AB20}" name="Column3"/>
    <tableColumn id="4" xr3:uid="{11BADD29-AE58-44D9-B327-F0BF08B18AFE}" name="Column4"/>
    <tableColumn id="5" xr3:uid="{0015F6A7-5F46-41F5-9F8D-59A3A55E6676}" name="Column5"/>
    <tableColumn id="6" xr3:uid="{35EB891D-886A-4CE6-A905-C76317646E42}" name="Column6"/>
    <tableColumn id="7" xr3:uid="{82EE4151-8A81-4C98-A8FF-1CB0A1D0D0A2}" name="Column7"/>
  </tableColumns>
  <tableStyleInfo name="TableStyleMedium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94E7F5B-0F22-4870-96C8-1A88A3DE089F}" name="tblLaborRates" displayName="tblLaborRates" ref="B3:D13" totalsRowShown="0" headerRowDxfId="62" dataDxfId="61">
  <autoFilter ref="B3:D13" xr:uid="{AC287CB2-B754-4DC7-9317-00D56AFE3E91}"/>
  <tableColumns count="3">
    <tableColumn id="1" xr3:uid="{40432BAD-3E62-4EE2-946B-C23F106FE6EE}" name="Service Type" dataDxfId="60"/>
    <tableColumn id="2" xr3:uid="{A7B57F22-7DC8-43A8-BA0A-0575D057BF46}" name="Labor Price" dataDxfId="59"/>
    <tableColumn id="3" xr3:uid="{9D0D60D7-468B-45FE-8189-48EF05330234}" name="Estimated Time" dataDxfId="58"/>
  </tableColumns>
  <tableStyleInfo name="TableStyleMedium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E55AF198-3AFD-4FA2-BCD1-8D44603ECD14}" name="tblParts" displayName="tblParts" ref="B17:E20" totalsRowShown="0" headerRowDxfId="57" dataDxfId="56">
  <autoFilter ref="B17:E20" xr:uid="{3B1A9C4C-DBE2-45F0-A52F-424968D10CCF}"/>
  <tableColumns count="4">
    <tableColumn id="1" xr3:uid="{5DA3E773-9B58-4C22-9009-91F82A7EC05C}" name="Manufacturer" dataDxfId="55"/>
    <tableColumn id="2" xr3:uid="{9E6C9563-AA4C-452B-90B2-0BA310914D73}" name="Device Model" dataDxfId="54"/>
    <tableColumn id="3" xr3:uid="{B8C8AE58-0246-4188-A72C-1042A343B2FE}" name="Part" dataDxfId="53"/>
    <tableColumn id="4" xr3:uid="{3F3E9552-5C42-4A56-BB7F-71B0A654A096}" name="Cost" dataDxfId="52"/>
  </tableColumns>
  <tableStyleInfo name="TableStyleMedium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E7BF0BB8-CD7B-4373-85BC-0DA2930416D0}" name="tblRetailPricing" displayName="tblRetailPricing" ref="B27:F33" totalsRowShown="0" headerRowDxfId="51" dataDxfId="50">
  <autoFilter ref="B27:F33" xr:uid="{6CDCE8EB-703E-421C-9D3A-DF637F024C2B}"/>
  <tableColumns count="5">
    <tableColumn id="4" xr3:uid="{718B5C21-4373-4D36-B761-606EEFC1AE60}" name="Service Type" dataDxfId="49"/>
    <tableColumn id="1" xr3:uid="{07124466-2BEC-43DE-A758-99965DCBDC16}" name="Labor" dataDxfId="48"/>
    <tableColumn id="2" xr3:uid="{9EAAD0E6-065D-49E4-9D58-88ED0D5DA198}" name="Part" dataDxfId="47"/>
    <tableColumn id="5" xr3:uid="{D5B1EB64-3657-434F-977B-1D3E42F5F783}" name="Processing Fees" dataDxfId="46">
      <calculatedColumnFormula>(tblRetailPricing[[#This Row],[Labor]]+tblRetailPricing[[#This Row],[Part]])*0.05</calculatedColumnFormula>
    </tableColumn>
    <tableColumn id="3" xr3:uid="{57777C7A-5A28-4672-99B8-2C6EE4159A9C}" name="Retail" dataDxfId="45">
      <calculatedColumnFormula>tblRetailPricing[[#This Row],[Labor]]+tblRetailPricing[[#This Row],[Part]]+tblRetailPricing[[#This Row],[Processing Fees]]</calculatedColumnFormula>
    </tableColumn>
  </tableColumns>
  <tableStyleInfo name="TableStyleMedium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99E07442-A228-4FEC-9482-6D0F7CCB2842}" name="tblProfitMargin" displayName="tblProfitMargin" ref="B39:J41" totalsRowShown="0" headerRowDxfId="44" dataDxfId="43">
  <autoFilter ref="B39:J41" xr:uid="{61E18637-09C9-4A83-BB6D-BB2155F3DF81}"/>
  <tableColumns count="9">
    <tableColumn id="5" xr3:uid="{6B6F6597-EF40-469A-ADED-52BAFB7039F6}" name="Supplier" dataDxfId="42"/>
    <tableColumn id="6" xr3:uid="{1A52E4AB-EF17-475C-9D91-0D35DEAC0C0B}" name="Part Name" dataDxfId="41"/>
    <tableColumn id="7" xr3:uid="{1518F15E-32B0-4D8D-8AEA-8F5216C55A98}" name="Supplier SKU" dataDxfId="40"/>
    <tableColumn id="1" xr3:uid="{FC91DF8D-F473-4E53-8A98-9B797077F6A4}" name="Supplier Cost" dataDxfId="39"/>
    <tableColumn id="2" xr3:uid="{0C8C2E00-C496-4D63-85D6-77E2EF2B787C}" name="Labor Cost" dataDxfId="38"/>
    <tableColumn id="3" xr3:uid="{EB7C1E2E-9132-4AB3-AA8A-A962B150B37F}" name="Processing Fee 1%" dataDxfId="37">
      <calculatedColumnFormula>(tblProfitMargin[[#This Row],[Supplier Cost]]+tblProfitMargin[[#This Row],[Labor Cost]])</calculatedColumnFormula>
    </tableColumn>
    <tableColumn id="9" xr3:uid="{C28757A1-FA2A-4ECF-A610-1104FBD39990}" name="Profit Margin %"/>
    <tableColumn id="4" xr3:uid="{B174A2DE-0B45-431B-976D-26FAFC07770C}" name="Retail Part Markup" dataDxfId="36">
      <calculatedColumnFormula>(tblProfitMargin[[#This Row],[Supplier Cost]]+tblProfitMargin[[#This Row],[Labor Cost]])*(1+tblProfitMargin[[#This Row],[Profit Margin %]])</calculatedColumnFormula>
    </tableColumn>
    <tableColumn id="8" xr3:uid="{2BF21595-615C-4052-B14B-DABEBC5175A5}" name="Final Price" dataDxfId="35">
      <calculatedColumnFormula>ROUND(I40+G40,2)</calculatedColumnFormula>
    </tableColumn>
  </tableColumns>
  <tableStyleInfo name="TableStyleMedium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1D8AD542-6D8A-43DA-AAE9-150D5AAC6FC9}" name="tblEstimates" displayName="tblEstimates" ref="A5:E6" totalsRowShown="0" headerRowDxfId="34" dataDxfId="32" headerRowBorderDxfId="33" tableBorderDxfId="31" totalsRowBorderDxfId="30">
  <autoFilter ref="A5:E6" xr:uid="{453CA8DC-311F-4AC5-BDE4-ED444B525DBB}"/>
  <tableColumns count="5">
    <tableColumn id="1" xr3:uid="{BE7F4975-E11A-4F40-9EE4-A0EBB23DF2CD}" name="CustomerID" dataDxfId="29"/>
    <tableColumn id="2" xr3:uid="{AD8A86C5-2D40-4E7D-8C2A-168CD6AB3135}" name="FirstName" dataDxfId="28"/>
    <tableColumn id="3" xr3:uid="{803E6F0D-DBE1-49C9-8D24-DC144E32D8CE}" name="LastName" dataDxfId="27"/>
    <tableColumn id="4" xr3:uid="{962D3037-6F8F-4D7A-9539-A288D5E75FDD}" name="Phone" dataDxfId="26"/>
    <tableColumn id="5" xr3:uid="{E6477862-C300-4140-BCDC-91365A904D3B}" name="Email" dataDxfId="25"/>
  </tableColumns>
  <tableStyleInfo name="TableStyleMedium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11C9FE2-A27B-46D6-B35B-77AB36B8D1FC}" name="tblInvoices" displayName="tblInvoices" ref="A6:E7" totalsRowShown="0" headerRowDxfId="24" dataDxfId="22" headerRowBorderDxfId="23" tableBorderDxfId="21" totalsRowBorderDxfId="20">
  <autoFilter ref="A6:E7" xr:uid="{0A553C53-0CBF-48E5-85F4-F818E266DB54}"/>
  <tableColumns count="5">
    <tableColumn id="1" xr3:uid="{25003016-D792-4664-B6A5-53D9C7032C6F}" name="CustomerID" dataDxfId="19"/>
    <tableColumn id="2" xr3:uid="{080312B4-ABCA-451F-A7F4-9CDCDBAEB1EF}" name="FirstName" dataDxfId="18"/>
    <tableColumn id="3" xr3:uid="{7EDE5CB9-15A3-4159-9A57-45037138956E}" name="LastName" dataDxfId="17"/>
    <tableColumn id="4" xr3:uid="{AD7D3837-1751-488B-BC22-E5AD7384BB51}" name="Phone" dataDxfId="16"/>
    <tableColumn id="5" xr3:uid="{D6D583CE-8FCD-4910-BC55-0C86B93339A8}" name="Email" dataDxfId="15"/>
  </tableColumns>
  <tableStyleInfo name="TableStyleMedium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6B05BDE7-83F1-48F7-820B-3AA0ACEB99DE}" name="tblPayments" displayName="tblPayments" ref="A5:E6" totalsRowShown="0" headerRowDxfId="14" dataDxfId="12" headerRowBorderDxfId="13" tableBorderDxfId="11" totalsRowBorderDxfId="10">
  <autoFilter ref="A5:E6" xr:uid="{6F16BA56-478D-4E12-A4D0-4BF6F02019DE}"/>
  <tableColumns count="5">
    <tableColumn id="1" xr3:uid="{39C4B1B0-1562-4390-AD49-B3FE2AAB41A2}" name="CustomerID" dataDxfId="9"/>
    <tableColumn id="2" xr3:uid="{8C28F7A3-518F-4718-97FD-965F71668924}" name="FirstName" dataDxfId="8"/>
    <tableColumn id="3" xr3:uid="{405AA8E7-2962-4F6C-8217-4CF35B2F878E}" name="LastName" dataDxfId="7"/>
    <tableColumn id="4" xr3:uid="{C99DD77F-6400-4B0A-841E-EB58EB3B737D}" name="Phone" dataDxfId="6"/>
    <tableColumn id="5" xr3:uid="{7DEC0DF0-1BE5-4458-BD4D-C5957D226ADD}" name="Email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9" Type="http://schemas.openxmlformats.org/officeDocument/2006/relationships/table" Target="../tables/table39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42" Type="http://schemas.openxmlformats.org/officeDocument/2006/relationships/table" Target="../tables/table42.xml"/><Relationship Id="rId47" Type="http://schemas.openxmlformats.org/officeDocument/2006/relationships/table" Target="../tables/table47.xml"/><Relationship Id="rId50" Type="http://schemas.openxmlformats.org/officeDocument/2006/relationships/table" Target="../tables/table50.xml"/><Relationship Id="rId55" Type="http://schemas.openxmlformats.org/officeDocument/2006/relationships/table" Target="../tables/table55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9" Type="http://schemas.openxmlformats.org/officeDocument/2006/relationships/table" Target="../tables/table29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37" Type="http://schemas.openxmlformats.org/officeDocument/2006/relationships/table" Target="../tables/table37.xml"/><Relationship Id="rId40" Type="http://schemas.openxmlformats.org/officeDocument/2006/relationships/table" Target="../tables/table40.xml"/><Relationship Id="rId45" Type="http://schemas.openxmlformats.org/officeDocument/2006/relationships/table" Target="../tables/table45.xml"/><Relationship Id="rId53" Type="http://schemas.openxmlformats.org/officeDocument/2006/relationships/table" Target="../tables/table53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4" Type="http://schemas.openxmlformats.org/officeDocument/2006/relationships/table" Target="../tables/table44.xml"/><Relationship Id="rId52" Type="http://schemas.openxmlformats.org/officeDocument/2006/relationships/table" Target="../tables/table52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43" Type="http://schemas.openxmlformats.org/officeDocument/2006/relationships/table" Target="../tables/table43.xml"/><Relationship Id="rId48" Type="http://schemas.openxmlformats.org/officeDocument/2006/relationships/table" Target="../tables/table48.xml"/><Relationship Id="rId56" Type="http://schemas.openxmlformats.org/officeDocument/2006/relationships/table" Target="../tables/table56.xml"/><Relationship Id="rId8" Type="http://schemas.openxmlformats.org/officeDocument/2006/relationships/table" Target="../tables/table8.xml"/><Relationship Id="rId51" Type="http://schemas.openxmlformats.org/officeDocument/2006/relationships/table" Target="../tables/table51.xml"/><Relationship Id="rId3" Type="http://schemas.openxmlformats.org/officeDocument/2006/relationships/table" Target="../tables/table3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38" Type="http://schemas.openxmlformats.org/officeDocument/2006/relationships/table" Target="../tables/table38.xml"/><Relationship Id="rId46" Type="http://schemas.openxmlformats.org/officeDocument/2006/relationships/table" Target="../tables/table46.xml"/><Relationship Id="rId20" Type="http://schemas.openxmlformats.org/officeDocument/2006/relationships/table" Target="../tables/table20.xml"/><Relationship Id="rId41" Type="http://schemas.openxmlformats.org/officeDocument/2006/relationships/table" Target="../tables/table41.xml"/><Relationship Id="rId54" Type="http://schemas.openxmlformats.org/officeDocument/2006/relationships/table" Target="../tables/table5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36" Type="http://schemas.openxmlformats.org/officeDocument/2006/relationships/table" Target="../tables/table36.xml"/><Relationship Id="rId49" Type="http://schemas.openxmlformats.org/officeDocument/2006/relationships/table" Target="../tables/table4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office@harrisbuild.com" TargetMode="External"/><Relationship Id="rId3" Type="http://schemas.openxmlformats.org/officeDocument/2006/relationships/hyperlink" Target="mailto:david.thompson@email.com" TargetMode="External"/><Relationship Id="rId7" Type="http://schemas.openxmlformats.org/officeDocument/2006/relationships/hyperlink" Target="mailto:emily@carterphoto.com" TargetMode="External"/><Relationship Id="rId2" Type="http://schemas.openxmlformats.org/officeDocument/2006/relationships/hyperlink" Target="mailto:sarah.miller@email.com" TargetMode="External"/><Relationship Id="rId1" Type="http://schemas.openxmlformats.org/officeDocument/2006/relationships/hyperlink" Target="mailto:michael.johnson@email.com" TargetMode="External"/><Relationship Id="rId6" Type="http://schemas.openxmlformats.org/officeDocument/2006/relationships/hyperlink" Target="mailto:service@gmtech.com" TargetMode="External"/><Relationship Id="rId11" Type="http://schemas.openxmlformats.org/officeDocument/2006/relationships/table" Target="../tables/table57.xml"/><Relationship Id="rId5" Type="http://schemas.openxmlformats.org/officeDocument/2006/relationships/hyperlink" Target="mailto:chris.wilson@email.com" TargetMode="External"/><Relationship Id="rId10" Type="http://schemas.openxmlformats.org/officeDocument/2006/relationships/hyperlink" Target="mailto:daniel@fosterconsulting.com" TargetMode="External"/><Relationship Id="rId4" Type="http://schemas.openxmlformats.org/officeDocument/2006/relationships/hyperlink" Target="mailto:jennifer.adams@email.com" TargetMode="External"/><Relationship Id="rId9" Type="http://schemas.openxmlformats.org/officeDocument/2006/relationships/hyperlink" Target="mailto:amanda.brooks@email.co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6.x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hp.com/" TargetMode="External"/><Relationship Id="rId18" Type="http://schemas.openxmlformats.org/officeDocument/2006/relationships/hyperlink" Target="https://www.microsoft.com/" TargetMode="External"/><Relationship Id="rId26" Type="http://schemas.openxmlformats.org/officeDocument/2006/relationships/hyperlink" Target="https://www.oppo.com/" TargetMode="External"/><Relationship Id="rId3" Type="http://schemas.openxmlformats.org/officeDocument/2006/relationships/hyperlink" Target="https://www.alienware.com/" TargetMode="External"/><Relationship Id="rId21" Type="http://schemas.openxmlformats.org/officeDocument/2006/relationships/hyperlink" Target="https://www.nintendo.com/" TargetMode="External"/><Relationship Id="rId34" Type="http://schemas.openxmlformats.org/officeDocument/2006/relationships/hyperlink" Target="https://www.vivo.com/" TargetMode="External"/><Relationship Id="rId7" Type="http://schemas.openxmlformats.org/officeDocument/2006/relationships/hyperlink" Target="https://www.fitbit.com/" TargetMode="External"/><Relationship Id="rId12" Type="http://schemas.openxmlformats.org/officeDocument/2006/relationships/hyperlink" Target="https://www.honor.com/" TargetMode="External"/><Relationship Id="rId17" Type="http://schemas.openxmlformats.org/officeDocument/2006/relationships/hyperlink" Target="https://www.lg.com/" TargetMode="External"/><Relationship Id="rId25" Type="http://schemas.openxmlformats.org/officeDocument/2006/relationships/hyperlink" Target="https://www.oneplus.com/" TargetMode="External"/><Relationship Id="rId33" Type="http://schemas.openxmlformats.org/officeDocument/2006/relationships/hyperlink" Target="https://www.valvesoftware.com/" TargetMode="External"/><Relationship Id="rId2" Type="http://schemas.openxmlformats.org/officeDocument/2006/relationships/hyperlink" Target="https://www.apple.com/" TargetMode="External"/><Relationship Id="rId16" Type="http://schemas.openxmlformats.org/officeDocument/2006/relationships/hyperlink" Target="https://www.lenovo.com/" TargetMode="External"/><Relationship Id="rId20" Type="http://schemas.openxmlformats.org/officeDocument/2006/relationships/hyperlink" Target="https://www.msi.com/" TargetMode="External"/><Relationship Id="rId29" Type="http://schemas.openxmlformats.org/officeDocument/2006/relationships/hyperlink" Target="https://www.samsung.com/" TargetMode="External"/><Relationship Id="rId1" Type="http://schemas.openxmlformats.org/officeDocument/2006/relationships/hyperlink" Target="https://www.acer.com/" TargetMode="External"/><Relationship Id="rId6" Type="http://schemas.openxmlformats.org/officeDocument/2006/relationships/hyperlink" Target="https://www.dell.com/" TargetMode="External"/><Relationship Id="rId11" Type="http://schemas.openxmlformats.org/officeDocument/2006/relationships/hyperlink" Target="https://www.hmd.com/" TargetMode="External"/><Relationship Id="rId24" Type="http://schemas.openxmlformats.org/officeDocument/2006/relationships/hyperlink" Target="https://global.nubia.com/" TargetMode="External"/><Relationship Id="rId32" Type="http://schemas.openxmlformats.org/officeDocument/2006/relationships/hyperlink" Target="https://www.mi.com/" TargetMode="External"/><Relationship Id="rId5" Type="http://schemas.openxmlformats.org/officeDocument/2006/relationships/hyperlink" Target="https://www.asus.com/" TargetMode="External"/><Relationship Id="rId15" Type="http://schemas.openxmlformats.org/officeDocument/2006/relationships/hyperlink" Target="https://www.iqoo.com/" TargetMode="External"/><Relationship Id="rId23" Type="http://schemas.openxmlformats.org/officeDocument/2006/relationships/hyperlink" Target="https://nothing.tech/" TargetMode="External"/><Relationship Id="rId28" Type="http://schemas.openxmlformats.org/officeDocument/2006/relationships/hyperlink" Target="https://www.realme.com/" TargetMode="External"/><Relationship Id="rId36" Type="http://schemas.openxmlformats.org/officeDocument/2006/relationships/table" Target="../tables/table67.xml"/><Relationship Id="rId10" Type="http://schemas.openxmlformats.org/officeDocument/2006/relationships/hyperlink" Target="https://store.google.com/" TargetMode="External"/><Relationship Id="rId19" Type="http://schemas.openxmlformats.org/officeDocument/2006/relationships/hyperlink" Target="https://www.motorola.com/" TargetMode="External"/><Relationship Id="rId31" Type="http://schemas.openxmlformats.org/officeDocument/2006/relationships/hyperlink" Target="https://www.starlink.com/" TargetMode="External"/><Relationship Id="rId4" Type="http://schemas.openxmlformats.org/officeDocument/2006/relationships/hyperlink" Target="https://www.amazon.com/" TargetMode="External"/><Relationship Id="rId9" Type="http://schemas.openxmlformats.org/officeDocument/2006/relationships/hyperlink" Target="https://www.garmin.com/" TargetMode="External"/><Relationship Id="rId14" Type="http://schemas.openxmlformats.org/officeDocument/2006/relationships/hyperlink" Target="https://consumer.huawei.com/" TargetMode="External"/><Relationship Id="rId22" Type="http://schemas.openxmlformats.org/officeDocument/2006/relationships/hyperlink" Target="https://www.nokia.com/" TargetMode="External"/><Relationship Id="rId27" Type="http://schemas.openxmlformats.org/officeDocument/2006/relationships/hyperlink" Target="https://www.razer.com/" TargetMode="External"/><Relationship Id="rId30" Type="http://schemas.openxmlformats.org/officeDocument/2006/relationships/hyperlink" Target="https://www.sony.com/" TargetMode="External"/><Relationship Id="rId35" Type="http://schemas.openxmlformats.org/officeDocument/2006/relationships/hyperlink" Target="https://www.zte.com.cn/" TargetMode="External"/><Relationship Id="rId8" Type="http://schemas.openxmlformats.org/officeDocument/2006/relationships/hyperlink" Target="https://frame.work/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1.xml"/><Relationship Id="rId2" Type="http://schemas.openxmlformats.org/officeDocument/2006/relationships/table" Target="../tables/table70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2.xml"/><Relationship Id="rId1" Type="http://schemas.openxmlformats.org/officeDocument/2006/relationships/vmlDrawing" Target="../drawings/vmlDrawing2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9.xml"/><Relationship Id="rId2" Type="http://schemas.openxmlformats.org/officeDocument/2006/relationships/table" Target="../tables/table78.xml"/><Relationship Id="rId1" Type="http://schemas.openxmlformats.org/officeDocument/2006/relationships/table" Target="../tables/table77.xml"/><Relationship Id="rId4" Type="http://schemas.openxmlformats.org/officeDocument/2006/relationships/table" Target="../tables/table8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76490-B3B3-4995-A543-83495727D654}">
  <sheetPr>
    <tabColor rgb="FFFF0000"/>
  </sheetPr>
  <dimension ref="A1"/>
  <sheetViews>
    <sheetView workbookViewId="0">
      <selection activeCell="F15" sqref="F15"/>
    </sheetView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A608-C3AB-4B61-9A01-75AD0215D170}">
  <sheetPr>
    <tabColor rgb="FF002060"/>
  </sheetPr>
  <dimension ref="A1:L4"/>
  <sheetViews>
    <sheetView workbookViewId="0">
      <pane ySplit="1" topLeftCell="A2" activePane="bottomLeft" state="frozen"/>
      <selection activeCell="C6" sqref="C6"/>
      <selection pane="bottomLeft" activeCell="E13" sqref="E13"/>
    </sheetView>
  </sheetViews>
  <sheetFormatPr defaultRowHeight="14.5" x14ac:dyDescent="0.35"/>
  <cols>
    <col min="1" max="1" width="11.453125" bestFit="1" customWidth="1"/>
    <col min="2" max="2" width="13.08984375" bestFit="1" customWidth="1"/>
    <col min="3" max="3" width="14.36328125" bestFit="1" customWidth="1"/>
    <col min="4" max="4" width="14.81640625" bestFit="1" customWidth="1"/>
    <col min="5" max="5" width="8.1796875" bestFit="1" customWidth="1"/>
    <col min="6" max="6" width="17.08984375" bestFit="1" customWidth="1"/>
    <col min="7" max="7" width="14.54296875" bestFit="1" customWidth="1"/>
    <col min="8" max="8" width="14.81640625" bestFit="1" customWidth="1"/>
    <col min="9" max="9" width="25.1796875" bestFit="1" customWidth="1"/>
    <col min="10" max="10" width="10.90625" bestFit="1" customWidth="1"/>
    <col min="11" max="11" width="10.6328125" bestFit="1" customWidth="1"/>
    <col min="12" max="12" width="8.26953125" bestFit="1" customWidth="1"/>
  </cols>
  <sheetData>
    <row r="1" spans="1:12" s="1" customFormat="1" x14ac:dyDescent="0.35">
      <c r="A1" s="2" t="s">
        <v>12</v>
      </c>
      <c r="B1"/>
      <c r="C1"/>
      <c r="D1"/>
      <c r="E1"/>
      <c r="F1"/>
      <c r="G1"/>
      <c r="H1"/>
      <c r="I1"/>
      <c r="J1"/>
      <c r="K1"/>
      <c r="L1"/>
    </row>
    <row r="2" spans="1:12" x14ac:dyDescent="0.35">
      <c r="A2" s="1" t="s">
        <v>11</v>
      </c>
      <c r="B2" s="1" t="s">
        <v>10</v>
      </c>
      <c r="C2" s="1" t="s">
        <v>9</v>
      </c>
      <c r="D2" s="1" t="s">
        <v>8</v>
      </c>
      <c r="E2" s="1" t="s">
        <v>7</v>
      </c>
      <c r="F2" s="1" t="s">
        <v>6</v>
      </c>
      <c r="G2" s="1" t="s">
        <v>5</v>
      </c>
      <c r="H2" s="1" t="s">
        <v>4</v>
      </c>
      <c r="I2" s="1" t="s">
        <v>3</v>
      </c>
      <c r="J2" s="1" t="s">
        <v>2</v>
      </c>
      <c r="K2" s="1" t="s">
        <v>1</v>
      </c>
      <c r="L2" s="1" t="s">
        <v>0</v>
      </c>
    </row>
    <row r="3" spans="1:12" x14ac:dyDescent="0.35">
      <c r="A3" s="1" t="s">
        <v>11</v>
      </c>
      <c r="B3" s="1" t="s">
        <v>10</v>
      </c>
      <c r="C3" s="1" t="s">
        <v>9</v>
      </c>
      <c r="D3" s="1" t="s">
        <v>8</v>
      </c>
      <c r="E3" s="1" t="s">
        <v>7</v>
      </c>
      <c r="F3" s="1" t="s">
        <v>6</v>
      </c>
      <c r="G3" s="1" t="s">
        <v>5</v>
      </c>
      <c r="H3" s="1" t="s">
        <v>4</v>
      </c>
      <c r="I3" s="1" t="s">
        <v>3</v>
      </c>
      <c r="J3" s="1" t="s">
        <v>2</v>
      </c>
      <c r="K3" s="1" t="s">
        <v>1</v>
      </c>
      <c r="L3" s="1" t="s">
        <v>0</v>
      </c>
    </row>
    <row r="4" spans="1:12" x14ac:dyDescent="0.35">
      <c r="A4" s="1" t="s">
        <v>11</v>
      </c>
      <c r="B4" s="1" t="s">
        <v>10</v>
      </c>
      <c r="C4" s="1" t="s">
        <v>9</v>
      </c>
      <c r="D4" s="1" t="s">
        <v>8</v>
      </c>
      <c r="E4" s="1" t="s">
        <v>7</v>
      </c>
      <c r="F4" s="1" t="s">
        <v>6</v>
      </c>
      <c r="G4" s="1" t="s">
        <v>5</v>
      </c>
      <c r="H4" s="1" t="s">
        <v>4</v>
      </c>
      <c r="I4" s="1" t="s">
        <v>3</v>
      </c>
      <c r="J4" s="1" t="s">
        <v>2</v>
      </c>
      <c r="K4" s="1" t="s">
        <v>1</v>
      </c>
      <c r="L4" s="1" t="s">
        <v>0</v>
      </c>
    </row>
  </sheetData>
  <hyperlinks>
    <hyperlink ref="A1" location="'TOC - Table of Contents'!A5" display="⬅ Return to Table of Contents" xr:uid="{A58E609B-298C-41CB-BCE9-989101D53A6F}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155C1-8A75-42E5-AF2B-061151C0D674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7BE63-ABE4-410F-820F-EEED285E8A6D}">
  <sheetPr>
    <tabColor rgb="FF00206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652DC-BC64-4C07-9239-732997E17006}">
  <sheetPr>
    <tabColor rgb="FF002060"/>
  </sheetPr>
  <dimension ref="A1:P819"/>
  <sheetViews>
    <sheetView zoomScale="80" zoomScaleNormal="80" workbookViewId="0">
      <selection activeCell="A312" sqref="A312"/>
    </sheetView>
  </sheetViews>
  <sheetFormatPr defaultColWidth="20.6328125" defaultRowHeight="20" x14ac:dyDescent="0.85"/>
  <cols>
    <col min="1" max="1" width="26.90625" style="3" customWidth="1"/>
    <col min="2" max="2" width="51.1796875" style="3" customWidth="1"/>
    <col min="3" max="3" width="41.7265625" style="3" customWidth="1"/>
    <col min="4" max="4" width="35.26953125" style="4" customWidth="1"/>
    <col min="5" max="5" width="38.90625" style="4" customWidth="1"/>
    <col min="6" max="6" width="17.54296875" style="3" customWidth="1"/>
    <col min="7" max="8" width="20.6328125" style="3" customWidth="1"/>
    <col min="9" max="9" width="29.6328125" style="3" bestFit="1" customWidth="1"/>
    <col min="10" max="16384" width="20.6328125" style="3"/>
  </cols>
  <sheetData>
    <row r="1" spans="1:6" x14ac:dyDescent="0.85">
      <c r="A1" s="51" t="s">
        <v>12</v>
      </c>
    </row>
    <row r="2" spans="1:6" x14ac:dyDescent="0.85">
      <c r="A2" s="100" t="s">
        <v>3722</v>
      </c>
      <c r="B2" s="100"/>
      <c r="C2" s="100"/>
      <c r="D2" s="100"/>
      <c r="E2" s="100"/>
      <c r="F2" s="100"/>
    </row>
    <row r="3" spans="1:6" x14ac:dyDescent="0.85">
      <c r="A3" s="38"/>
      <c r="B3" s="38"/>
      <c r="C3" s="38"/>
    </row>
    <row r="4" spans="1:6" x14ac:dyDescent="0.85">
      <c r="A4" s="38"/>
      <c r="B4" s="3" t="s">
        <v>3721</v>
      </c>
    </row>
    <row r="5" spans="1:6" ht="21.5" x14ac:dyDescent="0.85">
      <c r="A5" s="38"/>
      <c r="B5" s="41" t="s">
        <v>3720</v>
      </c>
      <c r="C5" s="41" t="s">
        <v>3719</v>
      </c>
    </row>
    <row r="6" spans="1:6" ht="21.5" x14ac:dyDescent="0.85">
      <c r="A6" s="38"/>
      <c r="B6" s="16" t="s">
        <v>3718</v>
      </c>
      <c r="C6" s="16" t="s">
        <v>3717</v>
      </c>
    </row>
    <row r="7" spans="1:6" ht="21.5" x14ac:dyDescent="0.85">
      <c r="A7" s="38"/>
      <c r="B7" s="16" t="s">
        <v>3716</v>
      </c>
      <c r="C7" s="16" t="s">
        <v>3715</v>
      </c>
    </row>
    <row r="8" spans="1:6" ht="21.5" x14ac:dyDescent="0.85">
      <c r="A8" s="42"/>
      <c r="B8" s="16" t="s">
        <v>32</v>
      </c>
      <c r="C8" s="16" t="s">
        <v>3714</v>
      </c>
    </row>
    <row r="9" spans="1:6" ht="21.5" x14ac:dyDescent="0.85">
      <c r="A9" s="38"/>
      <c r="B9" s="16" t="s">
        <v>3129</v>
      </c>
      <c r="C9" s="16" t="s">
        <v>3713</v>
      </c>
    </row>
    <row r="10" spans="1:6" ht="21.5" x14ac:dyDescent="0.85">
      <c r="A10" s="42"/>
      <c r="B10" s="16" t="s">
        <v>3128</v>
      </c>
      <c r="C10" s="16" t="s">
        <v>3712</v>
      </c>
    </row>
    <row r="11" spans="1:6" x14ac:dyDescent="0.85">
      <c r="A11" s="42"/>
      <c r="B11" s="38"/>
      <c r="C11" s="38"/>
    </row>
    <row r="12" spans="1:6" ht="27.5" x14ac:dyDescent="0.85">
      <c r="A12" s="46" t="s">
        <v>3710</v>
      </c>
      <c r="B12" s="38"/>
      <c r="C12" s="38"/>
    </row>
    <row r="13" spans="1:6" ht="35" x14ac:dyDescent="0.85">
      <c r="A13" s="99" t="s">
        <v>3711</v>
      </c>
      <c r="B13" s="99"/>
      <c r="C13" s="99"/>
      <c r="D13" s="99"/>
      <c r="E13" s="99"/>
      <c r="F13" s="99"/>
    </row>
    <row r="14" spans="1:6" ht="27.5" x14ac:dyDescent="0.85">
      <c r="A14" s="46" t="s">
        <v>3710</v>
      </c>
      <c r="B14" s="38"/>
      <c r="C14" s="38"/>
    </row>
    <row r="15" spans="1:6" ht="27.5" x14ac:dyDescent="0.85">
      <c r="A15" s="46"/>
      <c r="B15" s="38"/>
      <c r="C15" s="38"/>
    </row>
    <row r="16" spans="1:6" ht="21.5" x14ac:dyDescent="0.9">
      <c r="A16" s="50" t="s">
        <v>3709</v>
      </c>
      <c r="B16" s="49"/>
      <c r="C16" s="49"/>
      <c r="D16" s="48"/>
      <c r="E16" s="48"/>
      <c r="F16" s="5"/>
    </row>
    <row r="17" spans="1:13" ht="43" x14ac:dyDescent="0.85">
      <c r="A17" s="41" t="s">
        <v>3708</v>
      </c>
      <c r="B17" s="41" t="s">
        <v>3412</v>
      </c>
      <c r="C17" s="41" t="s">
        <v>3707</v>
      </c>
      <c r="D17" s="41" t="s">
        <v>3706</v>
      </c>
      <c r="E17" s="41" t="s">
        <v>3705</v>
      </c>
      <c r="F17" s="41" t="s">
        <v>3704</v>
      </c>
      <c r="G17" s="41" t="s">
        <v>3703</v>
      </c>
      <c r="H17" s="41" t="s">
        <v>32</v>
      </c>
      <c r="I17" s="44" t="s">
        <v>31</v>
      </c>
      <c r="J17" s="41" t="s">
        <v>3346</v>
      </c>
      <c r="K17" s="41" t="s">
        <v>3702</v>
      </c>
      <c r="L17" s="41" t="s">
        <v>3701</v>
      </c>
      <c r="M17" s="41" t="s">
        <v>3700</v>
      </c>
    </row>
    <row r="18" spans="1:13" ht="43" x14ac:dyDescent="0.9">
      <c r="A18" s="16" t="s">
        <v>3699</v>
      </c>
      <c r="B18" s="16" t="s">
        <v>3401</v>
      </c>
      <c r="C18" s="5" t="str">
        <f>_xlfn.XLOOKUP(tblLookupCatalogID[[#This Row],[LookupGroupID]],tblLookupGroups[LookupGroupID],tblLookupGroups[GroupName],"")</f>
        <v>Customer</v>
      </c>
      <c r="D18" s="16" t="s">
        <v>3416</v>
      </c>
      <c r="E18" s="16" t="s">
        <v>3698</v>
      </c>
      <c r="F18" s="16" t="s">
        <v>3414</v>
      </c>
      <c r="G18" s="16" t="s">
        <v>3697</v>
      </c>
      <c r="H18" s="16" t="s">
        <v>3696</v>
      </c>
      <c r="I18" s="43">
        <v>1</v>
      </c>
      <c r="J18" s="16" t="s">
        <v>0</v>
      </c>
      <c r="K18" s="16" t="s">
        <v>220</v>
      </c>
      <c r="L18" s="17" t="e" cm="1">
        <f t="array" aca="1" ref="L18" ca="1">TableExists(tblLookupCatalogID[[#This Row],[LookupTableName]])</f>
        <v>#NAME?</v>
      </c>
      <c r="M18" s="17"/>
    </row>
    <row r="19" spans="1:13" ht="43" x14ac:dyDescent="0.9">
      <c r="A19" s="16" t="s">
        <v>3695</v>
      </c>
      <c r="B19" s="16" t="s">
        <v>3401</v>
      </c>
      <c r="C19" s="5" t="str">
        <f>_xlfn.XLOOKUP(tblLookupCatalogID[[#This Row],[LookupGroupID]],tblLookupGroups[LookupGroupID],tblLookupGroups[GroupName],"")</f>
        <v>Customer</v>
      </c>
      <c r="D19" s="16" t="s">
        <v>3372</v>
      </c>
      <c r="E19" s="16" t="s">
        <v>3694</v>
      </c>
      <c r="F19" s="16" t="s">
        <v>3368</v>
      </c>
      <c r="G19" s="16" t="s">
        <v>3693</v>
      </c>
      <c r="H19" s="16" t="s">
        <v>3692</v>
      </c>
      <c r="I19" s="43">
        <v>2</v>
      </c>
      <c r="J19" s="16" t="s">
        <v>0</v>
      </c>
      <c r="K19" s="16" t="s">
        <v>220</v>
      </c>
      <c r="L19" s="17" t="e" cm="1">
        <f t="array" aca="1" ref="L19" ca="1">TableExists(tblLookupCatalogID[[#This Row],[LookupTableName]])</f>
        <v>#NAME?</v>
      </c>
      <c r="M19" s="17"/>
    </row>
    <row r="20" spans="1:13" ht="43" x14ac:dyDescent="0.9">
      <c r="A20" s="16" t="s">
        <v>3691</v>
      </c>
      <c r="B20" s="16" t="s">
        <v>3401</v>
      </c>
      <c r="C20" s="5" t="str">
        <f>_xlfn.XLOOKUP(tblLookupCatalogID[[#This Row],[LookupGroupID]],tblLookupGroups[LookupGroupID],tblLookupGroups[GroupName],"")</f>
        <v>Customer</v>
      </c>
      <c r="D20" s="16" t="s">
        <v>3348</v>
      </c>
      <c r="E20" s="16" t="s">
        <v>3690</v>
      </c>
      <c r="F20" s="16" t="s">
        <v>3347</v>
      </c>
      <c r="G20" s="16" t="s">
        <v>3689</v>
      </c>
      <c r="H20" s="16" t="s">
        <v>3688</v>
      </c>
      <c r="I20" s="43">
        <v>3</v>
      </c>
      <c r="J20" s="16" t="s">
        <v>0</v>
      </c>
      <c r="K20" s="16" t="s">
        <v>220</v>
      </c>
      <c r="L20" s="17" t="e" cm="1">
        <f t="array" aca="1" ref="L20" ca="1">TableExists(tblLookupCatalogID[[#This Row],[LookupTableName]])</f>
        <v>#NAME?</v>
      </c>
      <c r="M20" s="17"/>
    </row>
    <row r="21" spans="1:13" ht="21.5" x14ac:dyDescent="0.9">
      <c r="A21" s="16" t="s">
        <v>3687</v>
      </c>
      <c r="B21" s="16" t="s">
        <v>3395</v>
      </c>
      <c r="C21" s="5" t="str">
        <f>_xlfn.XLOOKUP(tblLookupCatalogID[[#This Row],[LookupGroupID]],tblLookupGroups[LookupGroupID],tblLookupGroups[GroupName],"")</f>
        <v>Device</v>
      </c>
      <c r="D21" s="16" t="s">
        <v>3327</v>
      </c>
      <c r="E21" s="16" t="s">
        <v>3686</v>
      </c>
      <c r="F21" s="16" t="s">
        <v>3324</v>
      </c>
      <c r="G21" s="16" t="s">
        <v>3685</v>
      </c>
      <c r="H21" s="16" t="s">
        <v>3684</v>
      </c>
      <c r="I21" s="43">
        <v>1</v>
      </c>
      <c r="J21" s="16" t="s">
        <v>0</v>
      </c>
      <c r="K21" s="16" t="s">
        <v>220</v>
      </c>
      <c r="L21" s="17" t="e" cm="1">
        <f t="array" aca="1" ref="L21" ca="1">TableExists(tblLookupCatalogID[[#This Row],[LookupTableName]])</f>
        <v>#NAME?</v>
      </c>
      <c r="M21" s="17"/>
    </row>
    <row r="22" spans="1:13" ht="43" x14ac:dyDescent="0.9">
      <c r="A22" s="16" t="s">
        <v>3683</v>
      </c>
      <c r="B22" s="16" t="s">
        <v>3395</v>
      </c>
      <c r="C22" s="5" t="str">
        <f>_xlfn.XLOOKUP(tblLookupCatalogID[[#This Row],[LookupGroupID]],tblLookupGroups[LookupGroupID],tblLookupGroups[GroupName],"")</f>
        <v>Device</v>
      </c>
      <c r="D22" s="16" t="s">
        <v>3244</v>
      </c>
      <c r="E22" s="16" t="s">
        <v>3682</v>
      </c>
      <c r="F22" s="16" t="s">
        <v>3240</v>
      </c>
      <c r="G22" s="16" t="s">
        <v>3681</v>
      </c>
      <c r="H22" s="16" t="s">
        <v>3680</v>
      </c>
      <c r="I22" s="43">
        <v>2</v>
      </c>
      <c r="J22" s="16" t="s">
        <v>0</v>
      </c>
      <c r="K22" s="16" t="s">
        <v>220</v>
      </c>
      <c r="L22" s="17" t="e" cm="1">
        <f t="array" aca="1" ref="L22" ca="1">TableExists(tblLookupCatalogID[[#This Row],[LookupTableName]])</f>
        <v>#NAME?</v>
      </c>
      <c r="M22" s="17"/>
    </row>
    <row r="23" spans="1:13" ht="21.5" x14ac:dyDescent="0.9">
      <c r="A23" s="16" t="s">
        <v>3679</v>
      </c>
      <c r="B23" s="16" t="s">
        <v>3395</v>
      </c>
      <c r="C23" s="5" t="str">
        <f>_xlfn.XLOOKUP(tblLookupCatalogID[[#This Row],[LookupGroupID]],tblLookupGroups[LookupGroupID],tblLookupGroups[GroupName],"")</f>
        <v>Device</v>
      </c>
      <c r="D23" s="16" t="s">
        <v>3134</v>
      </c>
      <c r="E23" s="16" t="s">
        <v>3678</v>
      </c>
      <c r="F23" s="16" t="s">
        <v>3130</v>
      </c>
      <c r="G23" s="16" t="s">
        <v>3677</v>
      </c>
      <c r="H23" s="16" t="s">
        <v>3676</v>
      </c>
      <c r="I23" s="43">
        <v>3</v>
      </c>
      <c r="J23" s="16" t="s">
        <v>0</v>
      </c>
      <c r="K23" s="16" t="s">
        <v>220</v>
      </c>
      <c r="L23" s="17" t="e" cm="1">
        <f t="array" aca="1" ref="L23" ca="1">TableExists(tblLookupCatalogID[[#This Row],[LookupTableName]])</f>
        <v>#NAME?</v>
      </c>
      <c r="M23" s="17"/>
    </row>
    <row r="24" spans="1:13" ht="21.5" x14ac:dyDescent="0.9">
      <c r="A24" s="16" t="s">
        <v>3675</v>
      </c>
      <c r="B24" s="16" t="s">
        <v>3395</v>
      </c>
      <c r="C24" s="5" t="str">
        <f>_xlfn.XLOOKUP(tblLookupCatalogID[[#This Row],[LookupGroupID]],tblLookupGroups[LookupGroupID],tblLookupGroups[GroupName],"")</f>
        <v>Device</v>
      </c>
      <c r="D24" s="16" t="s">
        <v>3674</v>
      </c>
      <c r="E24" s="16" t="s">
        <v>3673</v>
      </c>
      <c r="F24" s="16" t="s">
        <v>3325</v>
      </c>
      <c r="G24" s="16" t="s">
        <v>3672</v>
      </c>
      <c r="H24" s="16" t="s">
        <v>3671</v>
      </c>
      <c r="I24" s="43">
        <v>4</v>
      </c>
      <c r="J24" s="16" t="s">
        <v>0</v>
      </c>
      <c r="K24" s="16" t="s">
        <v>3442</v>
      </c>
      <c r="L24" s="17" t="e" cm="1">
        <f t="array" aca="1" ref="L24" ca="1">TableExists(tblLookupCatalogID[[#This Row],[LookupTableName]])</f>
        <v>#NAME?</v>
      </c>
      <c r="M24" s="17"/>
    </row>
    <row r="25" spans="1:13" ht="43" x14ac:dyDescent="0.9">
      <c r="A25" s="16" t="s">
        <v>3670</v>
      </c>
      <c r="B25" s="16" t="s">
        <v>3395</v>
      </c>
      <c r="C25" s="5" t="str">
        <f>_xlfn.XLOOKUP(tblLookupCatalogID[[#This Row],[LookupGroupID]],tblLookupGroups[LookupGroupID],tblLookupGroups[GroupName],"")</f>
        <v>Device</v>
      </c>
      <c r="D25" s="16" t="s">
        <v>3056</v>
      </c>
      <c r="E25" s="16" t="s">
        <v>3669</v>
      </c>
      <c r="F25" s="16" t="s">
        <v>3668</v>
      </c>
      <c r="G25" s="16" t="s">
        <v>3667</v>
      </c>
      <c r="H25" s="16" t="s">
        <v>3666</v>
      </c>
      <c r="I25" s="43">
        <v>5</v>
      </c>
      <c r="J25" s="16" t="s">
        <v>0</v>
      </c>
      <c r="K25" s="16" t="s">
        <v>220</v>
      </c>
      <c r="L25" s="17" t="e" cm="1">
        <f t="array" aca="1" ref="L25" ca="1">TableExists(tblLookupCatalogID[[#This Row],[LookupTableName]])</f>
        <v>#NAME?</v>
      </c>
      <c r="M25" s="17"/>
    </row>
    <row r="26" spans="1:13" ht="43" x14ac:dyDescent="0.9">
      <c r="A26" s="16" t="s">
        <v>3665</v>
      </c>
      <c r="B26" s="16" t="s">
        <v>3395</v>
      </c>
      <c r="C26" s="5" t="str">
        <f>_xlfn.XLOOKUP(tblLookupCatalogID[[#This Row],[LookupGroupID]],tblLookupGroups[LookupGroupID],tblLookupGroups[GroupName],"")</f>
        <v>Device</v>
      </c>
      <c r="D26" s="16" t="s">
        <v>2867</v>
      </c>
      <c r="E26" s="16" t="s">
        <v>3664</v>
      </c>
      <c r="F26" s="16" t="s">
        <v>2863</v>
      </c>
      <c r="G26" s="16" t="s">
        <v>3663</v>
      </c>
      <c r="H26" s="16" t="s">
        <v>3662</v>
      </c>
      <c r="I26" s="43">
        <v>6</v>
      </c>
      <c r="J26" s="16" t="s">
        <v>0</v>
      </c>
      <c r="K26" s="16" t="s">
        <v>220</v>
      </c>
      <c r="L26" s="17" t="e" cm="1">
        <f t="array" aca="1" ref="L26" ca="1">TableExists(tblLookupCatalogID[[#This Row],[LookupTableName]])</f>
        <v>#NAME?</v>
      </c>
      <c r="M26" s="17"/>
    </row>
    <row r="27" spans="1:13" ht="43" x14ac:dyDescent="0.9">
      <c r="A27" s="16" t="s">
        <v>3661</v>
      </c>
      <c r="B27" s="16" t="s">
        <v>3395</v>
      </c>
      <c r="C27" s="5" t="str">
        <f>_xlfn.XLOOKUP(tblLookupCatalogID[[#This Row],[LookupGroupID]],tblLookupGroups[LookupGroupID],tblLookupGroups[GroupName],"")</f>
        <v>Device</v>
      </c>
      <c r="D27" s="16" t="s">
        <v>3660</v>
      </c>
      <c r="E27" s="16" t="s">
        <v>3659</v>
      </c>
      <c r="F27" s="16" t="s">
        <v>2791</v>
      </c>
      <c r="G27" s="16" t="s">
        <v>3658</v>
      </c>
      <c r="H27" s="16" t="s">
        <v>3657</v>
      </c>
      <c r="I27" s="43">
        <v>7</v>
      </c>
      <c r="J27" s="16" t="s">
        <v>0</v>
      </c>
      <c r="K27" s="16" t="s">
        <v>220</v>
      </c>
      <c r="L27" s="17" t="e" cm="1">
        <f t="array" aca="1" ref="L27" ca="1">TableExists(tblLookupCatalogID[[#This Row],[LookupTableName]])</f>
        <v>#NAME?</v>
      </c>
      <c r="M27" s="17"/>
    </row>
    <row r="28" spans="1:13" ht="21.5" x14ac:dyDescent="0.9">
      <c r="A28" s="16" t="s">
        <v>3656</v>
      </c>
      <c r="B28" s="16" t="s">
        <v>3395</v>
      </c>
      <c r="C28" s="5" t="str">
        <f>_xlfn.XLOOKUP(tblLookupCatalogID[[#This Row],[LookupGroupID]],tblLookupGroups[LookupGroupID],tblLookupGroups[GroupName],"")</f>
        <v>Device</v>
      </c>
      <c r="D28" s="16" t="s">
        <v>3655</v>
      </c>
      <c r="E28" s="16" t="s">
        <v>3654</v>
      </c>
      <c r="F28" s="16" t="s">
        <v>3653</v>
      </c>
      <c r="G28" s="16" t="s">
        <v>3652</v>
      </c>
      <c r="H28" s="16" t="s">
        <v>3651</v>
      </c>
      <c r="I28" s="43">
        <v>8</v>
      </c>
      <c r="J28" s="16" t="s">
        <v>0</v>
      </c>
      <c r="K28" s="16" t="s">
        <v>220</v>
      </c>
      <c r="L28" s="17" t="e" cm="1">
        <f t="array" aca="1" ref="L28" ca="1">TableExists(tblLookupCatalogID[[#This Row],[LookupTableName]])</f>
        <v>#NAME?</v>
      </c>
      <c r="M28" s="17"/>
    </row>
    <row r="29" spans="1:13" ht="43" x14ac:dyDescent="0.9">
      <c r="A29" s="16" t="s">
        <v>3650</v>
      </c>
      <c r="B29" s="16" t="s">
        <v>3395</v>
      </c>
      <c r="C29" s="5" t="str">
        <f>_xlfn.XLOOKUP(tblLookupCatalogID[[#This Row],[LookupGroupID]],tblLookupGroups[LookupGroupID],tblLookupGroups[GroupName],"")</f>
        <v>Device</v>
      </c>
      <c r="D29" s="16" t="s">
        <v>2645</v>
      </c>
      <c r="E29" s="16" t="s">
        <v>3649</v>
      </c>
      <c r="F29" s="16" t="s">
        <v>3648</v>
      </c>
      <c r="G29" s="16" t="s">
        <v>3647</v>
      </c>
      <c r="H29" s="16" t="s">
        <v>3646</v>
      </c>
      <c r="I29" s="43">
        <v>9</v>
      </c>
      <c r="J29" s="16" t="s">
        <v>0</v>
      </c>
      <c r="K29" s="16" t="s">
        <v>220</v>
      </c>
      <c r="L29" s="17" t="e" cm="1">
        <f t="array" aca="1" ref="L29" ca="1">TableExists(tblLookupCatalogID[[#This Row],[LookupTableName]])</f>
        <v>#NAME?</v>
      </c>
      <c r="M29" s="17"/>
    </row>
    <row r="30" spans="1:13" ht="43" x14ac:dyDescent="0.9">
      <c r="A30" s="16" t="s">
        <v>3645</v>
      </c>
      <c r="B30" s="16" t="s">
        <v>3395</v>
      </c>
      <c r="C30" s="5" t="str">
        <f>_xlfn.XLOOKUP(tblLookupCatalogID[[#This Row],[LookupGroupID]],tblLookupGroups[LookupGroupID],tblLookupGroups[GroupName],"")</f>
        <v>Device</v>
      </c>
      <c r="D30" s="16" t="s">
        <v>2600</v>
      </c>
      <c r="E30" s="16" t="s">
        <v>3644</v>
      </c>
      <c r="F30" s="16" t="s">
        <v>3643</v>
      </c>
      <c r="G30" s="16" t="s">
        <v>3642</v>
      </c>
      <c r="H30" s="16" t="s">
        <v>3641</v>
      </c>
      <c r="I30" s="43">
        <v>10</v>
      </c>
      <c r="J30" s="16" t="s">
        <v>0</v>
      </c>
      <c r="K30" s="16" t="s">
        <v>220</v>
      </c>
      <c r="L30" s="17" t="e" cm="1">
        <f t="array" aca="1" ref="L30" ca="1">TableExists(tblLookupCatalogID[[#This Row],[LookupTableName]])</f>
        <v>#NAME?</v>
      </c>
      <c r="M30" s="17"/>
    </row>
    <row r="31" spans="1:13" ht="43" x14ac:dyDescent="0.9">
      <c r="A31" s="16" t="s">
        <v>3640</v>
      </c>
      <c r="B31" s="16" t="s">
        <v>3395</v>
      </c>
      <c r="C31" s="5" t="str">
        <f>_xlfn.XLOOKUP(tblLookupCatalogID[[#This Row],[LookupGroupID]],tblLookupGroups[LookupGroupID],tblLookupGroups[GroupName],"")</f>
        <v>Device</v>
      </c>
      <c r="D31" s="16" t="s">
        <v>2530</v>
      </c>
      <c r="E31" s="16" t="s">
        <v>3639</v>
      </c>
      <c r="F31" s="16" t="s">
        <v>3638</v>
      </c>
      <c r="G31" s="16" t="s">
        <v>3637</v>
      </c>
      <c r="H31" s="16" t="s">
        <v>3636</v>
      </c>
      <c r="I31" s="43">
        <v>11</v>
      </c>
      <c r="J31" s="16" t="s">
        <v>0</v>
      </c>
      <c r="K31" s="16" t="s">
        <v>220</v>
      </c>
      <c r="L31" s="17" t="e" cm="1">
        <f t="array" aca="1" ref="L31" ca="1">TableExists(tblLookupCatalogID[[#This Row],[LookupTableName]])</f>
        <v>#NAME?</v>
      </c>
      <c r="M31" s="17"/>
    </row>
    <row r="32" spans="1:13" ht="43" x14ac:dyDescent="0.9">
      <c r="A32" s="16" t="s">
        <v>3635</v>
      </c>
      <c r="B32" s="16" t="s">
        <v>3395</v>
      </c>
      <c r="C32" s="5" t="str">
        <f>_xlfn.XLOOKUP(tblLookupCatalogID[[#This Row],[LookupGroupID]],tblLookupGroups[LookupGroupID],tblLookupGroups[GroupName],"")</f>
        <v>Device</v>
      </c>
      <c r="D32" s="16" t="s">
        <v>2253</v>
      </c>
      <c r="E32" s="16" t="s">
        <v>3634</v>
      </c>
      <c r="F32" s="16" t="s">
        <v>3633</v>
      </c>
      <c r="G32" s="16" t="s">
        <v>3632</v>
      </c>
      <c r="H32" s="16" t="s">
        <v>3631</v>
      </c>
      <c r="I32" s="43">
        <v>12</v>
      </c>
      <c r="J32" s="16" t="s">
        <v>0</v>
      </c>
      <c r="K32" s="16" t="s">
        <v>220</v>
      </c>
      <c r="L32" s="17" t="e" cm="1">
        <f t="array" aca="1" ref="L32" ca="1">TableExists(tblLookupCatalogID[[#This Row],[LookupTableName]])</f>
        <v>#NAME?</v>
      </c>
      <c r="M32" s="17"/>
    </row>
    <row r="33" spans="1:13" ht="43" x14ac:dyDescent="0.9">
      <c r="A33" s="16" t="s">
        <v>3630</v>
      </c>
      <c r="B33" s="16" t="s">
        <v>3395</v>
      </c>
      <c r="C33" s="5" t="str">
        <f>_xlfn.XLOOKUP(tblLookupCatalogID[[#This Row],[LookupGroupID]],tblLookupGroups[LookupGroupID],tblLookupGroups[GroupName],"")</f>
        <v>Device</v>
      </c>
      <c r="D33" s="16" t="s">
        <v>2208</v>
      </c>
      <c r="E33" s="16" t="s">
        <v>3629</v>
      </c>
      <c r="F33" s="16" t="s">
        <v>3628</v>
      </c>
      <c r="G33" s="16" t="s">
        <v>3627</v>
      </c>
      <c r="H33" s="16" t="s">
        <v>3626</v>
      </c>
      <c r="I33" s="43">
        <v>13</v>
      </c>
      <c r="J33" s="16" t="s">
        <v>0</v>
      </c>
      <c r="K33" s="16" t="s">
        <v>220</v>
      </c>
      <c r="L33" s="17" t="e" cm="1">
        <f t="array" aca="1" ref="L33" ca="1">TableExists(tblLookupCatalogID[[#This Row],[LookupTableName]])</f>
        <v>#NAME?</v>
      </c>
      <c r="M33" s="17"/>
    </row>
    <row r="34" spans="1:13" ht="43" x14ac:dyDescent="0.9">
      <c r="A34" s="16" t="s">
        <v>3625</v>
      </c>
      <c r="B34" s="16" t="s">
        <v>3395</v>
      </c>
      <c r="C34" s="5" t="str">
        <f>_xlfn.XLOOKUP(tblLookupCatalogID[[#This Row],[LookupGroupID]],tblLookupGroups[LookupGroupID],tblLookupGroups[GroupName],"")</f>
        <v>Device</v>
      </c>
      <c r="D34" s="16" t="s">
        <v>2467</v>
      </c>
      <c r="E34" s="16" t="s">
        <v>3624</v>
      </c>
      <c r="F34" s="16" t="s">
        <v>3623</v>
      </c>
      <c r="G34" s="16" t="s">
        <v>3622</v>
      </c>
      <c r="H34" s="16" t="s">
        <v>3621</v>
      </c>
      <c r="I34" s="43">
        <v>14</v>
      </c>
      <c r="J34" s="16" t="s">
        <v>0</v>
      </c>
      <c r="K34" s="16" t="s">
        <v>220</v>
      </c>
      <c r="L34" s="17" t="e" cm="1">
        <f t="array" aca="1" ref="L34" ca="1">TableExists(tblLookupCatalogID[[#This Row],[LookupTableName]])</f>
        <v>#NAME?</v>
      </c>
      <c r="M34" s="17"/>
    </row>
    <row r="35" spans="1:13" ht="43" x14ac:dyDescent="0.9">
      <c r="A35" s="16" t="s">
        <v>3620</v>
      </c>
      <c r="B35" s="16" t="s">
        <v>3395</v>
      </c>
      <c r="C35" s="5" t="str">
        <f>_xlfn.XLOOKUP(tblLookupCatalogID[[#This Row],[LookupGroupID]],tblLookupGroups[LookupGroupID],tblLookupGroups[GroupName],"")</f>
        <v>Device</v>
      </c>
      <c r="D35" s="16" t="s">
        <v>2741</v>
      </c>
      <c r="E35" s="16" t="s">
        <v>3619</v>
      </c>
      <c r="F35" s="16" t="s">
        <v>3618</v>
      </c>
      <c r="G35" s="16" t="s">
        <v>3617</v>
      </c>
      <c r="H35" s="16" t="s">
        <v>3616</v>
      </c>
      <c r="I35" s="43">
        <v>15</v>
      </c>
      <c r="J35" s="16" t="s">
        <v>0</v>
      </c>
      <c r="K35" s="16" t="s">
        <v>220</v>
      </c>
      <c r="L35" s="17" t="e" cm="1">
        <f t="array" aca="1" ref="L35" ca="1">TableExists(tblLookupCatalogID[[#This Row],[LookupTableName]])</f>
        <v>#NAME?</v>
      </c>
      <c r="M35" s="17"/>
    </row>
    <row r="36" spans="1:13" ht="43" x14ac:dyDescent="0.9">
      <c r="A36" s="16" t="s">
        <v>3615</v>
      </c>
      <c r="B36" s="16" t="s">
        <v>3395</v>
      </c>
      <c r="C36" s="5" t="str">
        <f>_xlfn.XLOOKUP(tblLookupCatalogID[[#This Row],[LookupGroupID]],tblLookupGroups[LookupGroupID],tblLookupGroups[GroupName],"")</f>
        <v>Device</v>
      </c>
      <c r="D36" s="16" t="s">
        <v>2902</v>
      </c>
      <c r="E36" s="16" t="s">
        <v>3614</v>
      </c>
      <c r="F36" s="16" t="s">
        <v>3613</v>
      </c>
      <c r="G36" s="16" t="s">
        <v>3612</v>
      </c>
      <c r="H36" s="16" t="s">
        <v>3611</v>
      </c>
      <c r="I36" s="43">
        <v>16</v>
      </c>
      <c r="J36" s="16" t="s">
        <v>0</v>
      </c>
      <c r="K36" s="16" t="s">
        <v>220</v>
      </c>
      <c r="L36" s="17" t="e" cm="1">
        <f t="array" aca="1" ref="L36" ca="1">TableExists(tblLookupCatalogID[[#This Row],[LookupTableName]])</f>
        <v>#NAME?</v>
      </c>
      <c r="M36" s="17"/>
    </row>
    <row r="37" spans="1:13" ht="21.5" x14ac:dyDescent="0.9">
      <c r="A37" s="16" t="s">
        <v>3610</v>
      </c>
      <c r="B37" s="16" t="s">
        <v>3395</v>
      </c>
      <c r="C37" s="5" t="str">
        <f>_xlfn.XLOOKUP(tblLookupCatalogID[[#This Row],[LookupGroupID]],tblLookupGroups[LookupGroupID],tblLookupGroups[GroupName],"")</f>
        <v>Device</v>
      </c>
      <c r="D37" s="16" t="s">
        <v>2963</v>
      </c>
      <c r="E37" s="16" t="s">
        <v>3609</v>
      </c>
      <c r="F37" s="16" t="s">
        <v>3608</v>
      </c>
      <c r="G37" s="16" t="s">
        <v>3607</v>
      </c>
      <c r="H37" s="16" t="s">
        <v>3606</v>
      </c>
      <c r="I37" s="43">
        <v>17</v>
      </c>
      <c r="J37" s="16" t="s">
        <v>0</v>
      </c>
      <c r="K37" s="16" t="s">
        <v>3442</v>
      </c>
      <c r="L37" s="17" t="e" cm="1">
        <f t="array" aca="1" ref="L37" ca="1">TableExists(tblLookupCatalogID[[#This Row],[LookupTableName]])</f>
        <v>#NAME?</v>
      </c>
      <c r="M37" s="17"/>
    </row>
    <row r="38" spans="1:13" ht="43" x14ac:dyDescent="0.9">
      <c r="A38" s="16" t="s">
        <v>3605</v>
      </c>
      <c r="B38" s="16" t="s">
        <v>3395</v>
      </c>
      <c r="C38" s="5" t="str">
        <f>_xlfn.XLOOKUP(tblLookupCatalogID[[#This Row],[LookupGroupID]],tblLookupGroups[LookupGroupID],tblLookupGroups[GroupName],"")</f>
        <v>Device</v>
      </c>
      <c r="D38" s="16" t="s">
        <v>2317</v>
      </c>
      <c r="E38" s="16" t="s">
        <v>3604</v>
      </c>
      <c r="F38" s="16" t="s">
        <v>3603</v>
      </c>
      <c r="G38" s="16" t="s">
        <v>3602</v>
      </c>
      <c r="H38" s="16" t="s">
        <v>3601</v>
      </c>
      <c r="I38" s="43">
        <v>18</v>
      </c>
      <c r="J38" s="16" t="s">
        <v>0</v>
      </c>
      <c r="K38" s="16" t="s">
        <v>220</v>
      </c>
      <c r="L38" s="17" t="e" cm="1">
        <f t="array" aca="1" ref="L38" ca="1">TableExists(tblLookupCatalogID[[#This Row],[LookupTableName]])</f>
        <v>#NAME?</v>
      </c>
      <c r="M38" s="17"/>
    </row>
    <row r="39" spans="1:13" ht="43" x14ac:dyDescent="0.9">
      <c r="A39" s="16" t="s">
        <v>3600</v>
      </c>
      <c r="B39" s="16" t="s">
        <v>3395</v>
      </c>
      <c r="C39" s="5" t="str">
        <f>_xlfn.XLOOKUP(tblLookupCatalogID[[#This Row],[LookupGroupID]],tblLookupGroups[LookupGroupID],tblLookupGroups[GroupName],"")</f>
        <v>Device</v>
      </c>
      <c r="D39" s="16" t="s">
        <v>2427</v>
      </c>
      <c r="E39" s="16" t="s">
        <v>3599</v>
      </c>
      <c r="F39" s="16" t="s">
        <v>3598</v>
      </c>
      <c r="G39" s="16" t="s">
        <v>3597</v>
      </c>
      <c r="H39" s="16" t="s">
        <v>3596</v>
      </c>
      <c r="I39" s="43">
        <v>19</v>
      </c>
      <c r="J39" s="16" t="s">
        <v>0</v>
      </c>
      <c r="K39" s="16" t="s">
        <v>220</v>
      </c>
      <c r="L39" s="17" t="e" cm="1">
        <f t="array" aca="1" ref="L39" ca="1">TableExists(tblLookupCatalogID[[#This Row],[LookupTableName]])</f>
        <v>#NAME?</v>
      </c>
      <c r="M39" s="17"/>
    </row>
    <row r="40" spans="1:13" ht="43" x14ac:dyDescent="0.9">
      <c r="A40" s="16" t="s">
        <v>3595</v>
      </c>
      <c r="B40" s="16" t="s">
        <v>3395</v>
      </c>
      <c r="C40" s="5" t="str">
        <f>_xlfn.XLOOKUP(tblLookupCatalogID[[#This Row],[LookupGroupID]],tblLookupGroups[LookupGroupID],tblLookupGroups[GroupName],"")</f>
        <v>Device</v>
      </c>
      <c r="D40" s="16" t="s">
        <v>2356</v>
      </c>
      <c r="E40" s="16" t="s">
        <v>3594</v>
      </c>
      <c r="F40" s="16" t="s">
        <v>3593</v>
      </c>
      <c r="G40" s="16" t="s">
        <v>3592</v>
      </c>
      <c r="H40" s="16" t="s">
        <v>3591</v>
      </c>
      <c r="I40" s="43">
        <v>20</v>
      </c>
      <c r="J40" s="16" t="s">
        <v>0</v>
      </c>
      <c r="K40" s="16" t="s">
        <v>220</v>
      </c>
      <c r="L40" s="17" t="e" cm="1">
        <f t="array" aca="1" ref="L40" ca="1">TableExists(tblLookupCatalogID[[#This Row],[LookupTableName]])</f>
        <v>#NAME?</v>
      </c>
      <c r="M40" s="17"/>
    </row>
    <row r="41" spans="1:13" ht="43" x14ac:dyDescent="0.9">
      <c r="A41" s="16" t="s">
        <v>3590</v>
      </c>
      <c r="B41" s="16" t="s">
        <v>3389</v>
      </c>
      <c r="C41" s="5" t="str">
        <f>_xlfn.XLOOKUP(tblLookupCatalogID[[#This Row],[LookupGroupID]],tblLookupGroups[LookupGroupID],tblLookupGroups[GroupName],"")</f>
        <v>Repair</v>
      </c>
      <c r="D41" s="16" t="s">
        <v>1897</v>
      </c>
      <c r="E41" s="16" t="s">
        <v>3589</v>
      </c>
      <c r="F41" s="16" t="s">
        <v>3588</v>
      </c>
      <c r="G41" s="16" t="s">
        <v>3587</v>
      </c>
      <c r="H41" s="16" t="s">
        <v>3586</v>
      </c>
      <c r="I41" s="43">
        <v>1</v>
      </c>
      <c r="J41" s="16" t="s">
        <v>0</v>
      </c>
      <c r="K41" s="16" t="s">
        <v>220</v>
      </c>
      <c r="L41" s="17" t="e" cm="1">
        <f t="array" aca="1" ref="L41" ca="1">TableExists(tblLookupCatalogID[[#This Row],[LookupTableName]])</f>
        <v>#NAME?</v>
      </c>
      <c r="M41" s="17"/>
    </row>
    <row r="42" spans="1:13" ht="21.5" x14ac:dyDescent="0.9">
      <c r="A42" s="16" t="s">
        <v>3585</v>
      </c>
      <c r="B42" s="16" t="s">
        <v>3389</v>
      </c>
      <c r="C42" s="5" t="str">
        <f>_xlfn.XLOOKUP(tblLookupCatalogID[[#This Row],[LookupGroupID]],tblLookupGroups[LookupGroupID],tblLookupGroups[GroupName],"")</f>
        <v>Repair</v>
      </c>
      <c r="D42" s="16" t="s">
        <v>2155</v>
      </c>
      <c r="E42" s="16" t="s">
        <v>3584</v>
      </c>
      <c r="F42" s="16" t="s">
        <v>3583</v>
      </c>
      <c r="G42" s="16" t="s">
        <v>3582</v>
      </c>
      <c r="H42" s="16" t="s">
        <v>3581</v>
      </c>
      <c r="I42" s="43">
        <v>2</v>
      </c>
      <c r="J42" s="16" t="s">
        <v>0</v>
      </c>
      <c r="K42" s="16" t="s">
        <v>220</v>
      </c>
      <c r="L42" s="17" t="e" cm="1">
        <f t="array" aca="1" ref="L42" ca="1">TableExists(tblLookupCatalogID[[#This Row],[LookupTableName]])</f>
        <v>#NAME?</v>
      </c>
      <c r="M42" s="17"/>
    </row>
    <row r="43" spans="1:13" ht="43" x14ac:dyDescent="0.9">
      <c r="A43" s="16" t="s">
        <v>3580</v>
      </c>
      <c r="B43" s="16" t="s">
        <v>3389</v>
      </c>
      <c r="C43" s="5" t="str">
        <f>_xlfn.XLOOKUP(tblLookupCatalogID[[#This Row],[LookupGroupID]],tblLookupGroups[LookupGroupID],tblLookupGroups[GroupName],"")</f>
        <v>Repair</v>
      </c>
      <c r="D43" s="16" t="s">
        <v>1791</v>
      </c>
      <c r="E43" s="16" t="s">
        <v>3579</v>
      </c>
      <c r="F43" s="16" t="s">
        <v>3578</v>
      </c>
      <c r="G43" s="16" t="s">
        <v>3577</v>
      </c>
      <c r="H43" s="16" t="s">
        <v>3576</v>
      </c>
      <c r="I43" s="43">
        <v>3</v>
      </c>
      <c r="J43" s="16" t="s">
        <v>0</v>
      </c>
      <c r="K43" s="16" t="s">
        <v>220</v>
      </c>
      <c r="L43" s="17" t="e" cm="1">
        <f t="array" aca="1" ref="L43" ca="1">TableExists(tblLookupCatalogID[[#This Row],[LookupTableName]])</f>
        <v>#NAME?</v>
      </c>
      <c r="M43" s="17"/>
    </row>
    <row r="44" spans="1:13" ht="21.5" x14ac:dyDescent="0.9">
      <c r="A44" s="16" t="s">
        <v>3575</v>
      </c>
      <c r="B44" s="16" t="s">
        <v>3389</v>
      </c>
      <c r="C44" s="5" t="str">
        <f>_xlfn.XLOOKUP(tblLookupCatalogID[[#This Row],[LookupGroupID]],tblLookupGroups[LookupGroupID],tblLookupGroups[GroupName],"")</f>
        <v>Repair</v>
      </c>
      <c r="D44" s="16" t="s">
        <v>1826</v>
      </c>
      <c r="E44" s="16" t="s">
        <v>3574</v>
      </c>
      <c r="F44" s="16" t="s">
        <v>3573</v>
      </c>
      <c r="G44" s="16" t="s">
        <v>3572</v>
      </c>
      <c r="H44" s="16" t="s">
        <v>3571</v>
      </c>
      <c r="I44" s="43">
        <v>4</v>
      </c>
      <c r="J44" s="16" t="s">
        <v>0</v>
      </c>
      <c r="K44" s="16" t="s">
        <v>220</v>
      </c>
      <c r="L44" s="17" t="e" cm="1">
        <f t="array" aca="1" ref="L44" ca="1">TableExists(tblLookupCatalogID[[#This Row],[LookupTableName]])</f>
        <v>#NAME?</v>
      </c>
      <c r="M44" s="17"/>
    </row>
    <row r="45" spans="1:13" ht="43" x14ac:dyDescent="0.9">
      <c r="A45" s="16" t="s">
        <v>3570</v>
      </c>
      <c r="B45" s="16" t="s">
        <v>3389</v>
      </c>
      <c r="C45" s="5" t="str">
        <f>_xlfn.XLOOKUP(tblLookupCatalogID[[#This Row],[LookupGroupID]],tblLookupGroups[LookupGroupID],tblLookupGroups[GroupName],"")</f>
        <v>Repair</v>
      </c>
      <c r="D45" s="16" t="s">
        <v>1683</v>
      </c>
      <c r="E45" s="16" t="s">
        <v>3569</v>
      </c>
      <c r="F45" s="16" t="s">
        <v>3568</v>
      </c>
      <c r="G45" s="16" t="s">
        <v>3567</v>
      </c>
      <c r="H45" s="16" t="s">
        <v>3566</v>
      </c>
      <c r="I45" s="43">
        <v>5</v>
      </c>
      <c r="J45" s="16" t="s">
        <v>0</v>
      </c>
      <c r="K45" s="16" t="s">
        <v>220</v>
      </c>
      <c r="L45" s="17" t="e" cm="1">
        <f t="array" aca="1" ref="L45" ca="1">TableExists(tblLookupCatalogID[[#This Row],[LookupTableName]])</f>
        <v>#NAME?</v>
      </c>
      <c r="M45" s="17"/>
    </row>
    <row r="46" spans="1:13" ht="43" x14ac:dyDescent="0.9">
      <c r="A46" s="16" t="s">
        <v>3565</v>
      </c>
      <c r="B46" s="16" t="s">
        <v>3389</v>
      </c>
      <c r="C46" s="5" t="str">
        <f>_xlfn.XLOOKUP(tblLookupCatalogID[[#This Row],[LookupGroupID]],tblLookupGroups[LookupGroupID],tblLookupGroups[GroupName],"")</f>
        <v>Repair</v>
      </c>
      <c r="D46" s="16" t="s">
        <v>1642</v>
      </c>
      <c r="E46" s="16" t="s">
        <v>3564</v>
      </c>
      <c r="F46" s="16" t="s">
        <v>3564</v>
      </c>
      <c r="G46" s="16" t="s">
        <v>3563</v>
      </c>
      <c r="H46" s="16" t="s">
        <v>3562</v>
      </c>
      <c r="I46" s="43">
        <v>6</v>
      </c>
      <c r="J46" s="16" t="s">
        <v>0</v>
      </c>
      <c r="K46" s="16" t="s">
        <v>220</v>
      </c>
      <c r="L46" s="17" t="e" cm="1">
        <f t="array" aca="1" ref="L46" ca="1">TableExists(tblLookupCatalogID[[#This Row],[LookupTableName]])</f>
        <v>#NAME?</v>
      </c>
      <c r="M46" s="17"/>
    </row>
    <row r="47" spans="1:13" ht="43" x14ac:dyDescent="0.9">
      <c r="A47" s="16" t="s">
        <v>3561</v>
      </c>
      <c r="B47" s="16" t="s">
        <v>3389</v>
      </c>
      <c r="C47" s="5" t="str">
        <f>_xlfn.XLOOKUP(tblLookupCatalogID[[#This Row],[LookupGroupID]],tblLookupGroups[LookupGroupID],tblLookupGroups[GroupName],"")</f>
        <v>Repair</v>
      </c>
      <c r="D47" s="16" t="s">
        <v>3560</v>
      </c>
      <c r="E47" s="16" t="s">
        <v>3559</v>
      </c>
      <c r="F47" s="16" t="s">
        <v>3558</v>
      </c>
      <c r="G47" s="16" t="s">
        <v>3557</v>
      </c>
      <c r="H47" s="16" t="s">
        <v>3556</v>
      </c>
      <c r="I47" s="43">
        <v>7</v>
      </c>
      <c r="J47" s="16" t="s">
        <v>0</v>
      </c>
      <c r="K47" s="16" t="s">
        <v>220</v>
      </c>
      <c r="L47" s="17" t="e" cm="1">
        <f t="array" aca="1" ref="L47" ca="1">TableExists(tblLookupCatalogID[[#This Row],[LookupTableName]])</f>
        <v>#NAME?</v>
      </c>
      <c r="M47" s="17"/>
    </row>
    <row r="48" spans="1:13" ht="43" x14ac:dyDescent="0.9">
      <c r="A48" s="16" t="s">
        <v>3555</v>
      </c>
      <c r="B48" s="16" t="s">
        <v>3389</v>
      </c>
      <c r="C48" s="5" t="str">
        <f>_xlfn.XLOOKUP(tblLookupCatalogID[[#This Row],[LookupGroupID]],tblLookupGroups[LookupGroupID],tblLookupGroups[GroupName],"")</f>
        <v>Repair</v>
      </c>
      <c r="D48" s="16" t="s">
        <v>1599</v>
      </c>
      <c r="E48" s="16" t="s">
        <v>3554</v>
      </c>
      <c r="F48" s="16" t="s">
        <v>3553</v>
      </c>
      <c r="G48" s="16" t="s">
        <v>3552</v>
      </c>
      <c r="H48" s="16" t="s">
        <v>3551</v>
      </c>
      <c r="I48" s="43">
        <v>8</v>
      </c>
      <c r="J48" s="16" t="s">
        <v>0</v>
      </c>
      <c r="K48" s="16" t="s">
        <v>220</v>
      </c>
      <c r="L48" s="17" t="e" cm="1">
        <f t="array" aca="1" ref="L48" ca="1">TableExists(tblLookupCatalogID[[#This Row],[LookupTableName]])</f>
        <v>#NAME?</v>
      </c>
      <c r="M48" s="17"/>
    </row>
    <row r="49" spans="1:13" ht="43" x14ac:dyDescent="0.9">
      <c r="A49" s="16" t="s">
        <v>3550</v>
      </c>
      <c r="B49" s="16" t="s">
        <v>3389</v>
      </c>
      <c r="C49" s="5" t="str">
        <f>_xlfn.XLOOKUP(tblLookupCatalogID[[#This Row],[LookupGroupID]],tblLookupGroups[LookupGroupID],tblLookupGroups[GroupName],"")</f>
        <v>Repair</v>
      </c>
      <c r="D49" s="16" t="s">
        <v>3549</v>
      </c>
      <c r="E49" s="16" t="s">
        <v>3548</v>
      </c>
      <c r="F49" s="16" t="s">
        <v>3547</v>
      </c>
      <c r="G49" s="16" t="s">
        <v>3546</v>
      </c>
      <c r="H49" s="16" t="s">
        <v>3545</v>
      </c>
      <c r="I49" s="43">
        <v>9</v>
      </c>
      <c r="J49" s="16" t="s">
        <v>0</v>
      </c>
      <c r="K49" s="16" t="s">
        <v>220</v>
      </c>
      <c r="L49" s="17" t="e" cm="1">
        <f t="array" aca="1" ref="L49" ca="1">TableExists(tblLookupCatalogID[[#This Row],[LookupTableName]])</f>
        <v>#NAME?</v>
      </c>
      <c r="M49" s="17"/>
    </row>
    <row r="50" spans="1:13" ht="43" x14ac:dyDescent="0.9">
      <c r="A50" s="16" t="s">
        <v>3544</v>
      </c>
      <c r="B50" s="16" t="s">
        <v>3389</v>
      </c>
      <c r="C50" s="5" t="str">
        <f>_xlfn.XLOOKUP(tblLookupCatalogID[[#This Row],[LookupGroupID]],tblLookupGroups[LookupGroupID],tblLookupGroups[GroupName],"")</f>
        <v>Repair</v>
      </c>
      <c r="D50" s="16" t="s">
        <v>3543</v>
      </c>
      <c r="E50" s="16" t="s">
        <v>3542</v>
      </c>
      <c r="F50" s="16" t="s">
        <v>3541</v>
      </c>
      <c r="G50" s="16" t="s">
        <v>3540</v>
      </c>
      <c r="H50" s="16" t="s">
        <v>3539</v>
      </c>
      <c r="I50" s="43">
        <v>10</v>
      </c>
      <c r="J50" s="16" t="s">
        <v>0</v>
      </c>
      <c r="K50" s="16" t="s">
        <v>220</v>
      </c>
      <c r="L50" s="17" t="e" cm="1">
        <f t="array" aca="1" ref="L50" ca="1">TableExists(tblLookupCatalogID[[#This Row],[LookupTableName]])</f>
        <v>#NAME?</v>
      </c>
      <c r="M50" s="17"/>
    </row>
    <row r="51" spans="1:13" ht="43" x14ac:dyDescent="0.9">
      <c r="A51" s="16" t="s">
        <v>3538</v>
      </c>
      <c r="B51" s="16" t="s">
        <v>3389</v>
      </c>
      <c r="C51" s="5" t="str">
        <f>_xlfn.XLOOKUP(tblLookupCatalogID[[#This Row],[LookupGroupID]],tblLookupGroups[LookupGroupID],tblLookupGroups[GroupName],"")</f>
        <v>Repair</v>
      </c>
      <c r="D51" s="16" t="s">
        <v>3537</v>
      </c>
      <c r="E51" s="16" t="s">
        <v>3536</v>
      </c>
      <c r="F51" s="16" t="s">
        <v>3535</v>
      </c>
      <c r="G51" s="16" t="s">
        <v>3534</v>
      </c>
      <c r="H51" s="16" t="s">
        <v>3533</v>
      </c>
      <c r="I51" s="43">
        <v>11</v>
      </c>
      <c r="J51" s="16" t="s">
        <v>0</v>
      </c>
      <c r="K51" s="16" t="s">
        <v>220</v>
      </c>
      <c r="L51" s="17" t="e" cm="1">
        <f t="array" aca="1" ref="L51" ca="1">TableExists(tblLookupCatalogID[[#This Row],[LookupTableName]])</f>
        <v>#NAME?</v>
      </c>
      <c r="M51" s="17"/>
    </row>
    <row r="52" spans="1:13" ht="43" x14ac:dyDescent="0.9">
      <c r="A52" s="16" t="s">
        <v>3532</v>
      </c>
      <c r="B52" s="16" t="s">
        <v>3389</v>
      </c>
      <c r="C52" s="5" t="str">
        <f>_xlfn.XLOOKUP(tblLookupCatalogID[[#This Row],[LookupGroupID]],tblLookupGroups[LookupGroupID],tblLookupGroups[GroupName],"")</f>
        <v>Repair</v>
      </c>
      <c r="D52" s="16" t="s">
        <v>3531</v>
      </c>
      <c r="E52" s="16" t="s">
        <v>3530</v>
      </c>
      <c r="F52" s="16" t="s">
        <v>3529</v>
      </c>
      <c r="G52" s="16" t="s">
        <v>3528</v>
      </c>
      <c r="H52" s="16" t="s">
        <v>3527</v>
      </c>
      <c r="I52" s="43">
        <v>12</v>
      </c>
      <c r="J52" s="16" t="s">
        <v>0</v>
      </c>
      <c r="K52" s="16" t="s">
        <v>220</v>
      </c>
      <c r="L52" s="17" t="e" cm="1">
        <f t="array" aca="1" ref="L52" ca="1">TableExists(tblLookupCatalogID[[#This Row],[LookupTableName]])</f>
        <v>#NAME?</v>
      </c>
      <c r="M52" s="17"/>
    </row>
    <row r="53" spans="1:13" ht="43" x14ac:dyDescent="0.9">
      <c r="A53" s="16" t="s">
        <v>3526</v>
      </c>
      <c r="B53" s="16" t="s">
        <v>3383</v>
      </c>
      <c r="C53" s="5" t="str">
        <f>_xlfn.XLOOKUP(tblLookupCatalogID[[#This Row],[LookupGroupID]],tblLookupGroups[LookupGroupID],tblLookupGroups[GroupName],"")</f>
        <v>Services</v>
      </c>
      <c r="D53" s="16" t="s">
        <v>3525</v>
      </c>
      <c r="E53" s="16" t="s">
        <v>3524</v>
      </c>
      <c r="F53" s="16" t="s">
        <v>3523</v>
      </c>
      <c r="G53" s="16" t="s">
        <v>3522</v>
      </c>
      <c r="H53" s="16" t="s">
        <v>3521</v>
      </c>
      <c r="I53" s="43">
        <v>1</v>
      </c>
      <c r="J53" s="16" t="s">
        <v>0</v>
      </c>
      <c r="K53" s="16" t="s">
        <v>220</v>
      </c>
      <c r="L53" s="17" t="e" cm="1">
        <f t="array" aca="1" ref="L53" ca="1">TableExists(tblLookupCatalogID[[#This Row],[LookupTableName]])</f>
        <v>#NAME?</v>
      </c>
      <c r="M53" s="17"/>
    </row>
    <row r="54" spans="1:13" ht="43" x14ac:dyDescent="0.9">
      <c r="A54" s="16" t="s">
        <v>3520</v>
      </c>
      <c r="B54" s="16" t="s">
        <v>3377</v>
      </c>
      <c r="C54" s="5" t="str">
        <f>_xlfn.XLOOKUP(tblLookupCatalogID[[#This Row],[LookupGroupID]],tblLookupGroups[LookupGroupID],tblLookupGroups[GroupName],"")</f>
        <v>Finance</v>
      </c>
      <c r="D54" s="16" t="s">
        <v>833</v>
      </c>
      <c r="E54" s="16" t="s">
        <v>3519</v>
      </c>
      <c r="F54" s="16" t="s">
        <v>3518</v>
      </c>
      <c r="G54" s="16" t="s">
        <v>3517</v>
      </c>
      <c r="H54" s="16" t="s">
        <v>3516</v>
      </c>
      <c r="I54" s="43">
        <v>1</v>
      </c>
      <c r="J54" s="16" t="s">
        <v>0</v>
      </c>
      <c r="K54" s="16" t="s">
        <v>220</v>
      </c>
      <c r="L54" s="17" t="e" cm="1">
        <f t="array" aca="1" ref="L54" ca="1">TableExists(tblLookupCatalogID[[#This Row],[LookupTableName]])</f>
        <v>#NAME?</v>
      </c>
      <c r="M54" s="17"/>
    </row>
    <row r="55" spans="1:13" ht="43" x14ac:dyDescent="0.9">
      <c r="A55" s="16" t="s">
        <v>3515</v>
      </c>
      <c r="B55" s="16" t="s">
        <v>3377</v>
      </c>
      <c r="C55" s="5" t="str">
        <f>_xlfn.XLOOKUP(tblLookupCatalogID[[#This Row],[LookupGroupID]],tblLookupGroups[LookupGroupID],tblLookupGroups[GroupName],"")</f>
        <v>Finance</v>
      </c>
      <c r="D55" s="16" t="s">
        <v>777</v>
      </c>
      <c r="E55" s="16" t="s">
        <v>3514</v>
      </c>
      <c r="F55" s="16" t="s">
        <v>3513</v>
      </c>
      <c r="G55" s="16" t="s">
        <v>3512</v>
      </c>
      <c r="H55" s="16" t="s">
        <v>3511</v>
      </c>
      <c r="I55" s="43">
        <v>2</v>
      </c>
      <c r="J55" s="16" t="s">
        <v>0</v>
      </c>
      <c r="K55" s="16" t="s">
        <v>220</v>
      </c>
      <c r="L55" s="17" t="e" cm="1">
        <f t="array" aca="1" ref="L55" ca="1">TableExists(tblLookupCatalogID[[#This Row],[LookupTableName]])</f>
        <v>#NAME?</v>
      </c>
      <c r="M55" s="17"/>
    </row>
    <row r="56" spans="1:13" ht="21.5" x14ac:dyDescent="0.9">
      <c r="A56" s="16" t="s">
        <v>3510</v>
      </c>
      <c r="B56" s="16" t="s">
        <v>3377</v>
      </c>
      <c r="C56" s="5" t="str">
        <f>_xlfn.XLOOKUP(tblLookupCatalogID[[#This Row],[LookupGroupID]],tblLookupGroups[LookupGroupID],tblLookupGroups[GroupName],"")</f>
        <v>Finance</v>
      </c>
      <c r="D56" s="16" t="s">
        <v>3509</v>
      </c>
      <c r="E56" s="16" t="s">
        <v>3508</v>
      </c>
      <c r="F56" s="16" t="s">
        <v>3507</v>
      </c>
      <c r="G56" s="16" t="s">
        <v>3506</v>
      </c>
      <c r="H56" s="16" t="s">
        <v>3505</v>
      </c>
      <c r="I56" s="43">
        <v>3</v>
      </c>
      <c r="J56" s="16" t="s">
        <v>0</v>
      </c>
      <c r="K56" s="16" t="s">
        <v>220</v>
      </c>
      <c r="L56" s="17" t="e" cm="1">
        <f t="array" aca="1" ref="L56" ca="1">TableExists(tblLookupCatalogID[[#This Row],[LookupTableName]])</f>
        <v>#NAME?</v>
      </c>
      <c r="M56" s="17"/>
    </row>
    <row r="57" spans="1:13" ht="43" x14ac:dyDescent="0.9">
      <c r="A57" s="16" t="s">
        <v>3504</v>
      </c>
      <c r="B57" s="16" t="s">
        <v>3377</v>
      </c>
      <c r="C57" s="5" t="str">
        <f>_xlfn.XLOOKUP(tblLookupCatalogID[[#This Row],[LookupGroupID]],tblLookupGroups[LookupGroupID],tblLookupGroups[GroupName],"")</f>
        <v>Finance</v>
      </c>
      <c r="D57" s="16" t="s">
        <v>3503</v>
      </c>
      <c r="E57" s="16" t="s">
        <v>3502</v>
      </c>
      <c r="F57" s="16" t="s">
        <v>3501</v>
      </c>
      <c r="G57" s="16" t="s">
        <v>3500</v>
      </c>
      <c r="H57" s="16" t="s">
        <v>3499</v>
      </c>
      <c r="I57" s="43">
        <v>4</v>
      </c>
      <c r="J57" s="16" t="s">
        <v>0</v>
      </c>
      <c r="K57" s="16" t="s">
        <v>220</v>
      </c>
      <c r="L57" s="17" t="e" cm="1">
        <f t="array" aca="1" ref="L57" ca="1">TableExists(tblLookupCatalogID[[#This Row],[LookupTableName]])</f>
        <v>#NAME?</v>
      </c>
      <c r="M57" s="17"/>
    </row>
    <row r="58" spans="1:13" ht="21.5" x14ac:dyDescent="0.9">
      <c r="A58" s="16" t="s">
        <v>3498</v>
      </c>
      <c r="B58" s="16" t="s">
        <v>3377</v>
      </c>
      <c r="C58" s="5" t="str">
        <f>_xlfn.XLOOKUP(tblLookupCatalogID[[#This Row],[LookupGroupID]],tblLookupGroups[LookupGroupID],tblLookupGroups[GroupName],"")</f>
        <v>Finance</v>
      </c>
      <c r="D58" s="16" t="s">
        <v>3497</v>
      </c>
      <c r="E58" s="16" t="s">
        <v>3496</v>
      </c>
      <c r="F58" s="16" t="s">
        <v>3495</v>
      </c>
      <c r="G58" s="16" t="s">
        <v>3494</v>
      </c>
      <c r="H58" s="16" t="s">
        <v>3493</v>
      </c>
      <c r="I58" s="43">
        <v>5</v>
      </c>
      <c r="J58" s="16" t="s">
        <v>0</v>
      </c>
      <c r="K58" s="16" t="s">
        <v>220</v>
      </c>
      <c r="L58" s="17" t="e" cm="1">
        <f t="array" aca="1" ref="L58" ca="1">TableExists(tblLookupCatalogID[[#This Row],[LookupTableName]])</f>
        <v>#NAME?</v>
      </c>
      <c r="M58" s="17"/>
    </row>
    <row r="59" spans="1:13" ht="21.5" x14ac:dyDescent="0.9">
      <c r="A59" s="16" t="s">
        <v>3492</v>
      </c>
      <c r="B59" s="16" t="s">
        <v>3377</v>
      </c>
      <c r="C59" s="5" t="str">
        <f>_xlfn.XLOOKUP(tblLookupCatalogID[[#This Row],[LookupGroupID]],tblLookupGroups[LookupGroupID],tblLookupGroups[GroupName],"")</f>
        <v>Finance</v>
      </c>
      <c r="D59" s="16" t="s">
        <v>971</v>
      </c>
      <c r="E59" s="16" t="s">
        <v>3491</v>
      </c>
      <c r="F59" s="16" t="s">
        <v>3490</v>
      </c>
      <c r="G59" s="16" t="s">
        <v>3489</v>
      </c>
      <c r="H59" s="16" t="s">
        <v>3488</v>
      </c>
      <c r="I59" s="43">
        <v>6</v>
      </c>
      <c r="J59" s="16" t="s">
        <v>0</v>
      </c>
      <c r="K59" s="16" t="s">
        <v>220</v>
      </c>
      <c r="L59" s="17" t="e" cm="1">
        <f t="array" aca="1" ref="L59" ca="1">TableExists(tblLookupCatalogID[[#This Row],[LookupTableName]])</f>
        <v>#NAME?</v>
      </c>
      <c r="M59" s="17"/>
    </row>
    <row r="60" spans="1:13" ht="43" x14ac:dyDescent="0.9">
      <c r="A60" s="16" t="s">
        <v>3487</v>
      </c>
      <c r="B60" s="16" t="s">
        <v>3377</v>
      </c>
      <c r="C60" s="5" t="str">
        <f>_xlfn.XLOOKUP(tblLookupCatalogID[[#This Row],[LookupGroupID]],tblLookupGroups[LookupGroupID],tblLookupGroups[GroupName],"")</f>
        <v>Finance</v>
      </c>
      <c r="D60" s="16" t="s">
        <v>703</v>
      </c>
      <c r="E60" s="16" t="s">
        <v>3486</v>
      </c>
      <c r="F60" s="16" t="s">
        <v>3485</v>
      </c>
      <c r="G60" s="16" t="s">
        <v>3484</v>
      </c>
      <c r="H60" s="16" t="s">
        <v>3483</v>
      </c>
      <c r="I60" s="43">
        <v>7</v>
      </c>
      <c r="J60" s="16" t="s">
        <v>0</v>
      </c>
      <c r="K60" s="16" t="s">
        <v>220</v>
      </c>
      <c r="L60" s="17" t="e" cm="1">
        <f t="array" aca="1" ref="L60" ca="1">TableExists(tblLookupCatalogID[[#This Row],[LookupTableName]])</f>
        <v>#NAME?</v>
      </c>
      <c r="M60" s="17"/>
    </row>
    <row r="61" spans="1:13" ht="43" x14ac:dyDescent="0.9">
      <c r="A61" s="16" t="s">
        <v>3482</v>
      </c>
      <c r="B61" s="16" t="s">
        <v>3377</v>
      </c>
      <c r="C61" s="5" t="str">
        <f>_xlfn.XLOOKUP(tblLookupCatalogID[[#This Row],[LookupGroupID]],tblLookupGroups[LookupGroupID],tblLookupGroups[GroupName],"")</f>
        <v>Finance</v>
      </c>
      <c r="D61" s="16" t="s">
        <v>658</v>
      </c>
      <c r="E61" s="16" t="s">
        <v>3481</v>
      </c>
      <c r="F61" s="16" t="s">
        <v>3480</v>
      </c>
      <c r="G61" s="16" t="s">
        <v>3479</v>
      </c>
      <c r="H61" s="16" t="s">
        <v>3478</v>
      </c>
      <c r="I61" s="43">
        <v>8</v>
      </c>
      <c r="J61" s="16" t="s">
        <v>0</v>
      </c>
      <c r="K61" s="16" t="s">
        <v>220</v>
      </c>
      <c r="L61" s="17" t="e" cm="1">
        <f t="array" aca="1" ref="L61" ca="1">TableExists(tblLookupCatalogID[[#This Row],[LookupTableName]])</f>
        <v>#NAME?</v>
      </c>
      <c r="M61" s="17"/>
    </row>
    <row r="62" spans="1:13" ht="21.5" x14ac:dyDescent="0.9">
      <c r="A62" s="16" t="s">
        <v>3477</v>
      </c>
      <c r="B62" s="16" t="s">
        <v>3374</v>
      </c>
      <c r="C62" s="5" t="str">
        <f>_xlfn.XLOOKUP(tblLookupCatalogID[[#This Row],[LookupGroupID]],tblLookupGroups[LookupGroupID],tblLookupGroups[GroupName],"")</f>
        <v>Inventory</v>
      </c>
      <c r="D62" s="16" t="s">
        <v>1536</v>
      </c>
      <c r="E62" s="16" t="s">
        <v>3476</v>
      </c>
      <c r="F62" s="16" t="s">
        <v>3475</v>
      </c>
      <c r="G62" s="16" t="s">
        <v>3474</v>
      </c>
      <c r="H62" s="16" t="s">
        <v>3473</v>
      </c>
      <c r="I62" s="43">
        <v>1</v>
      </c>
      <c r="J62" s="16" t="s">
        <v>0</v>
      </c>
      <c r="K62" s="16" t="s">
        <v>220</v>
      </c>
      <c r="L62" s="17" t="e" cm="1">
        <f t="array" aca="1" ref="L62" ca="1">TableExists(tblLookupCatalogID[[#This Row],[LookupTableName]])</f>
        <v>#NAME?</v>
      </c>
      <c r="M62" s="17"/>
    </row>
    <row r="63" spans="1:13" ht="21.5" x14ac:dyDescent="0.9">
      <c r="A63" s="16" t="s">
        <v>3472</v>
      </c>
      <c r="B63" s="16" t="s">
        <v>3374</v>
      </c>
      <c r="C63" s="5" t="str">
        <f>_xlfn.XLOOKUP(tblLookupCatalogID[[#This Row],[LookupGroupID]],tblLookupGroups[LookupGroupID],tblLookupGroups[GroupName],"")</f>
        <v>Inventory</v>
      </c>
      <c r="D63" s="16" t="s">
        <v>1463</v>
      </c>
      <c r="E63" s="16" t="s">
        <v>3471</v>
      </c>
      <c r="F63" s="16" t="s">
        <v>3470</v>
      </c>
      <c r="G63" s="16" t="s">
        <v>3469</v>
      </c>
      <c r="H63" s="16" t="s">
        <v>3468</v>
      </c>
      <c r="I63" s="43">
        <v>2</v>
      </c>
      <c r="J63" s="16" t="s">
        <v>0</v>
      </c>
      <c r="K63" s="16" t="s">
        <v>220</v>
      </c>
      <c r="L63" s="17" t="e" cm="1">
        <f t="array" aca="1" ref="L63" ca="1">TableExists(tblLookupCatalogID[[#This Row],[LookupTableName]])</f>
        <v>#NAME?</v>
      </c>
      <c r="M63" s="17"/>
    </row>
    <row r="64" spans="1:13" ht="43" x14ac:dyDescent="0.9">
      <c r="A64" s="16" t="s">
        <v>3467</v>
      </c>
      <c r="B64" s="16" t="s">
        <v>3374</v>
      </c>
      <c r="C64" s="5" t="str">
        <f>_xlfn.XLOOKUP(tblLookupCatalogID[[#This Row],[LookupGroupID]],tblLookupGroups[LookupGroupID],tblLookupGroups[GroupName],"")</f>
        <v>Inventory</v>
      </c>
      <c r="D64" s="16" t="s">
        <v>1421</v>
      </c>
      <c r="E64" s="16" t="s">
        <v>3466</v>
      </c>
      <c r="F64" s="16" t="s">
        <v>3465</v>
      </c>
      <c r="G64" s="16" t="s">
        <v>3464</v>
      </c>
      <c r="H64" s="16" t="s">
        <v>3463</v>
      </c>
      <c r="I64" s="43">
        <v>3</v>
      </c>
      <c r="J64" s="16" t="s">
        <v>0</v>
      </c>
      <c r="K64" s="16" t="s">
        <v>220</v>
      </c>
      <c r="L64" s="17" t="e" cm="1">
        <f t="array" aca="1" ref="L64" ca="1">TableExists(tblLookupCatalogID[[#This Row],[LookupTableName]])</f>
        <v>#NAME?</v>
      </c>
      <c r="M64" s="17"/>
    </row>
    <row r="65" spans="1:13" ht="43" x14ac:dyDescent="0.9">
      <c r="A65" s="16" t="s">
        <v>3462</v>
      </c>
      <c r="B65" s="16" t="s">
        <v>3374</v>
      </c>
      <c r="C65" s="5" t="str">
        <f>_xlfn.XLOOKUP(tblLookupCatalogID[[#This Row],[LookupGroupID]],tblLookupGroups[LookupGroupID],tblLookupGroups[GroupName],"")</f>
        <v>Inventory</v>
      </c>
      <c r="D65" s="16" t="s">
        <v>1319</v>
      </c>
      <c r="E65" s="16" t="s">
        <v>3461</v>
      </c>
      <c r="F65" s="16" t="s">
        <v>3460</v>
      </c>
      <c r="G65" s="16" t="s">
        <v>3459</v>
      </c>
      <c r="H65" s="16" t="s">
        <v>3458</v>
      </c>
      <c r="I65" s="43">
        <v>4</v>
      </c>
      <c r="J65" s="16" t="s">
        <v>0</v>
      </c>
      <c r="K65" s="16" t="s">
        <v>3442</v>
      </c>
      <c r="L65" s="17" t="e" cm="1">
        <f t="array" aca="1" ref="L65" ca="1">TableExists(tblLookupCatalogID[[#This Row],[LookupTableName]])</f>
        <v>#NAME?</v>
      </c>
      <c r="M65" s="17"/>
    </row>
    <row r="66" spans="1:13" ht="43" x14ac:dyDescent="0.9">
      <c r="A66" s="16" t="s">
        <v>3457</v>
      </c>
      <c r="B66" s="16" t="s">
        <v>3374</v>
      </c>
      <c r="C66" s="5" t="str">
        <f>_xlfn.XLOOKUP(tblLookupCatalogID[[#This Row],[LookupGroupID]],tblLookupGroups[LookupGroupID],tblLookupGroups[GroupName],"")</f>
        <v>Inventory</v>
      </c>
      <c r="D66" s="16" t="s">
        <v>1188</v>
      </c>
      <c r="E66" s="16" t="s">
        <v>3456</v>
      </c>
      <c r="F66" s="16" t="s">
        <v>3455</v>
      </c>
      <c r="G66" s="16" t="s">
        <v>3454</v>
      </c>
      <c r="H66" s="16" t="s">
        <v>3453</v>
      </c>
      <c r="I66" s="43">
        <v>5</v>
      </c>
      <c r="J66" s="16" t="s">
        <v>0</v>
      </c>
      <c r="K66" s="16" t="s">
        <v>3442</v>
      </c>
      <c r="L66" s="17" t="e" cm="1">
        <f t="array" aca="1" ref="L66" ca="1">TableExists(tblLookupCatalogID[[#This Row],[LookupTableName]])</f>
        <v>#NAME?</v>
      </c>
      <c r="M66" s="17"/>
    </row>
    <row r="67" spans="1:13" ht="43" x14ac:dyDescent="0.9">
      <c r="A67" s="16" t="s">
        <v>3452</v>
      </c>
      <c r="B67" s="16" t="s">
        <v>3374</v>
      </c>
      <c r="C67" s="5" t="str">
        <f>_xlfn.XLOOKUP(tblLookupCatalogID[[#This Row],[LookupGroupID]],tblLookupGroups[LookupGroupID],tblLookupGroups[GroupName],"")</f>
        <v>Inventory</v>
      </c>
      <c r="D67" s="16" t="s">
        <v>1022</v>
      </c>
      <c r="E67" s="16" t="s">
        <v>3451</v>
      </c>
      <c r="F67" s="16" t="s">
        <v>3450</v>
      </c>
      <c r="G67" s="16" t="s">
        <v>3449</v>
      </c>
      <c r="H67" s="16" t="s">
        <v>3448</v>
      </c>
      <c r="I67" s="43">
        <v>6</v>
      </c>
      <c r="J67" s="16" t="s">
        <v>0</v>
      </c>
      <c r="K67" s="16" t="s">
        <v>220</v>
      </c>
      <c r="L67" s="17" t="e" cm="1">
        <f t="array" aca="1" ref="L67" ca="1">TableExists(tblLookupCatalogID[[#This Row],[LookupTableName]])</f>
        <v>#NAME?</v>
      </c>
      <c r="M67" s="17"/>
    </row>
    <row r="68" spans="1:13" ht="43" x14ac:dyDescent="0.9">
      <c r="A68" s="16" t="s">
        <v>3447</v>
      </c>
      <c r="B68" s="16" t="s">
        <v>3374</v>
      </c>
      <c r="C68" s="5" t="str">
        <f>_xlfn.XLOOKUP(tblLookupCatalogID[[#This Row],[LookupGroupID]],tblLookupGroups[LookupGroupID],tblLookupGroups[GroupName],"")</f>
        <v>Inventory</v>
      </c>
      <c r="D68" s="16" t="s">
        <v>1077</v>
      </c>
      <c r="E68" s="16" t="s">
        <v>3446</v>
      </c>
      <c r="F68" s="16" t="s">
        <v>3445</v>
      </c>
      <c r="G68" s="16" t="s">
        <v>3444</v>
      </c>
      <c r="H68" s="16" t="s">
        <v>3443</v>
      </c>
      <c r="I68" s="43">
        <v>7</v>
      </c>
      <c r="J68" s="16" t="s">
        <v>0</v>
      </c>
      <c r="K68" s="16" t="s">
        <v>3442</v>
      </c>
      <c r="L68" s="17" t="e" cm="1">
        <f t="array" aca="1" ref="L68" ca="1">TableExists(tblLookupCatalogID[[#This Row],[LookupTableName]])</f>
        <v>#NAME?</v>
      </c>
      <c r="M68" s="17"/>
    </row>
    <row r="69" spans="1:13" ht="21.5" x14ac:dyDescent="0.9">
      <c r="A69" s="16" t="s">
        <v>3441</v>
      </c>
      <c r="B69" s="16" t="s">
        <v>3371</v>
      </c>
      <c r="C69" s="5" t="str">
        <f>_xlfn.XLOOKUP(tblLookupCatalogID[[#This Row],[LookupGroupID]],tblLookupGroups[LookupGroupID],tblLookupGroups[GroupName],"")</f>
        <v>Employee</v>
      </c>
      <c r="D69" s="16" t="s">
        <v>497</v>
      </c>
      <c r="E69" s="16" t="s">
        <v>3440</v>
      </c>
      <c r="F69" s="16" t="s">
        <v>3439</v>
      </c>
      <c r="G69" s="16" t="s">
        <v>3438</v>
      </c>
      <c r="H69" s="16" t="s">
        <v>3437</v>
      </c>
      <c r="I69" s="43">
        <v>1</v>
      </c>
      <c r="J69" s="16" t="s">
        <v>0</v>
      </c>
      <c r="K69" s="16" t="s">
        <v>220</v>
      </c>
      <c r="L69" s="17" t="e" cm="1">
        <f t="array" aca="1" ref="L69" ca="1">TableExists(tblLookupCatalogID[[#This Row],[LookupTableName]])</f>
        <v>#NAME?</v>
      </c>
      <c r="M69" s="17"/>
    </row>
    <row r="70" spans="1:13" ht="43" x14ac:dyDescent="0.9">
      <c r="A70" s="16" t="s">
        <v>3436</v>
      </c>
      <c r="B70" s="16" t="s">
        <v>3371</v>
      </c>
      <c r="C70" s="5" t="str">
        <f>_xlfn.XLOOKUP(tblLookupCatalogID[[#This Row],[LookupGroupID]],tblLookupGroups[LookupGroupID],tblLookupGroups[GroupName],"")</f>
        <v>Employee</v>
      </c>
      <c r="D70" s="16" t="s">
        <v>432</v>
      </c>
      <c r="E70" s="16" t="s">
        <v>3435</v>
      </c>
      <c r="F70" s="16" t="s">
        <v>3434</v>
      </c>
      <c r="G70" s="16" t="s">
        <v>3433</v>
      </c>
      <c r="H70" s="16" t="s">
        <v>3432</v>
      </c>
      <c r="I70" s="43">
        <v>2</v>
      </c>
      <c r="J70" s="16" t="s">
        <v>0</v>
      </c>
      <c r="K70" s="16" t="s">
        <v>220</v>
      </c>
      <c r="L70" s="17" t="e" cm="1">
        <f t="array" aca="1" ref="L70" ca="1">TableExists(tblLookupCatalogID[[#This Row],[LookupTableName]])</f>
        <v>#NAME?</v>
      </c>
      <c r="M70" s="17"/>
    </row>
    <row r="71" spans="1:13" ht="43" x14ac:dyDescent="0.9">
      <c r="A71" s="16" t="s">
        <v>3431</v>
      </c>
      <c r="B71" s="16" t="s">
        <v>3366</v>
      </c>
      <c r="C71" s="5" t="str">
        <f>_xlfn.XLOOKUP(tblLookupCatalogID[[#This Row],[LookupGroupID]],tblLookupGroups[LookupGroupID],tblLookupGroups[GroupName],"")</f>
        <v>Geographic</v>
      </c>
      <c r="D71" s="16" t="s">
        <v>369</v>
      </c>
      <c r="E71" s="16" t="s">
        <v>3430</v>
      </c>
      <c r="F71" s="16" t="s">
        <v>3429</v>
      </c>
      <c r="G71" s="16" t="s">
        <v>3428</v>
      </c>
      <c r="H71" s="16" t="s">
        <v>3427</v>
      </c>
      <c r="I71" s="43">
        <v>1</v>
      </c>
      <c r="J71" s="16" t="s">
        <v>0</v>
      </c>
      <c r="K71" s="16" t="s">
        <v>220</v>
      </c>
      <c r="L71" s="17" t="e" cm="1">
        <f t="array" aca="1" ref="L71" ca="1">TableExists(tblLookupCatalogID[[#This Row],[LookupTableName]])</f>
        <v>#NAME?</v>
      </c>
      <c r="M71" s="17"/>
    </row>
    <row r="72" spans="1:13" ht="43" x14ac:dyDescent="0.9">
      <c r="A72" s="16" t="s">
        <v>3426</v>
      </c>
      <c r="B72" s="16" t="s">
        <v>3366</v>
      </c>
      <c r="C72" s="5" t="str">
        <f>_xlfn.XLOOKUP(tblLookupCatalogID[[#This Row],[LookupGroupID]],tblLookupGroups[LookupGroupID],tblLookupGroups[GroupName],"")</f>
        <v>Geographic</v>
      </c>
      <c r="D72" s="16" t="s">
        <v>213</v>
      </c>
      <c r="E72" s="16" t="s">
        <v>3425</v>
      </c>
      <c r="F72" s="16" t="s">
        <v>3424</v>
      </c>
      <c r="G72" s="16" t="s">
        <v>3423</v>
      </c>
      <c r="H72" s="16" t="s">
        <v>3422</v>
      </c>
      <c r="I72" s="43">
        <v>2</v>
      </c>
      <c r="J72" s="16" t="s">
        <v>0</v>
      </c>
      <c r="K72" s="16" t="s">
        <v>220</v>
      </c>
      <c r="L72" s="17" t="e" cm="1">
        <f t="array" aca="1" ref="L72" ca="1">TableExists(tblLookupCatalogID[[#This Row],[LookupTableName]])</f>
        <v>#NAME?</v>
      </c>
      <c r="M72" s="17"/>
    </row>
    <row r="73" spans="1:13" ht="43" x14ac:dyDescent="0.9">
      <c r="A73" s="16" t="s">
        <v>3421</v>
      </c>
      <c r="B73" s="16" t="s">
        <v>3366</v>
      </c>
      <c r="C73" s="5" t="str">
        <f>_xlfn.XLOOKUP(tblLookupCatalogID[[#This Row],[LookupGroupID]],tblLookupGroups[LookupGroupID],tblLookupGroups[GroupName],"")</f>
        <v>Geographic</v>
      </c>
      <c r="D73" s="16" t="s">
        <v>35</v>
      </c>
      <c r="E73" s="16" t="s">
        <v>3420</v>
      </c>
      <c r="F73" s="16" t="s">
        <v>3419</v>
      </c>
      <c r="G73" s="16" t="s">
        <v>3418</v>
      </c>
      <c r="H73" s="16" t="s">
        <v>3417</v>
      </c>
      <c r="I73" s="43">
        <v>3</v>
      </c>
      <c r="J73" s="16" t="s">
        <v>0</v>
      </c>
      <c r="K73" s="16" t="s">
        <v>220</v>
      </c>
      <c r="L73" s="17" t="e" cm="1">
        <f t="array" aca="1" ref="L73" ca="1">TableExists(tblLookupCatalogID[[#This Row],[LookupTableName]])</f>
        <v>#NAME?</v>
      </c>
      <c r="M73" s="17"/>
    </row>
    <row r="74" spans="1:13" ht="21.5" x14ac:dyDescent="0.85">
      <c r="A74" s="16"/>
      <c r="B74" s="16"/>
      <c r="C74" s="16"/>
      <c r="D74" s="16"/>
      <c r="E74" s="16"/>
      <c r="F74" s="16"/>
      <c r="G74" s="16"/>
    </row>
    <row r="75" spans="1:13" ht="21.5" x14ac:dyDescent="0.85">
      <c r="A75" s="16"/>
      <c r="B75" s="16"/>
      <c r="C75" s="16"/>
      <c r="D75" s="16"/>
      <c r="E75" s="16"/>
      <c r="F75" s="16"/>
      <c r="G75" s="16"/>
    </row>
    <row r="76" spans="1:13" ht="21.5" x14ac:dyDescent="0.85">
      <c r="A76" s="16"/>
      <c r="B76" s="16"/>
      <c r="C76" s="16"/>
      <c r="D76" s="16"/>
      <c r="E76" s="16"/>
      <c r="F76" s="16"/>
      <c r="G76" s="16"/>
    </row>
    <row r="77" spans="1:13" ht="21.5" x14ac:dyDescent="0.85">
      <c r="A77" s="16"/>
      <c r="B77" s="16"/>
      <c r="C77" s="16"/>
      <c r="D77" s="16"/>
      <c r="E77" s="16"/>
      <c r="F77" s="16"/>
      <c r="G77" s="16"/>
    </row>
    <row r="78" spans="1:13" ht="21.5" x14ac:dyDescent="0.85">
      <c r="A78" s="16"/>
      <c r="B78" s="16"/>
      <c r="C78" s="16"/>
      <c r="D78" s="16"/>
      <c r="E78" s="16"/>
      <c r="F78" s="16"/>
      <c r="G78" s="16"/>
    </row>
    <row r="79" spans="1:13" ht="21.5" x14ac:dyDescent="0.85">
      <c r="A79" s="16"/>
      <c r="B79" s="16"/>
      <c r="C79" s="16"/>
      <c r="D79" s="16"/>
      <c r="E79" s="16"/>
      <c r="F79" s="16"/>
      <c r="G79" s="16"/>
    </row>
    <row r="80" spans="1:13" x14ac:dyDescent="0.85">
      <c r="B80" s="38"/>
      <c r="C80" s="38"/>
    </row>
    <row r="81" spans="1:12" x14ac:dyDescent="0.85">
      <c r="A81" s="42" t="s">
        <v>3416</v>
      </c>
      <c r="B81" s="47"/>
      <c r="C81" s="38"/>
      <c r="H81" s="3" t="s">
        <v>3415</v>
      </c>
    </row>
    <row r="82" spans="1:12" ht="21.5" x14ac:dyDescent="0.85">
      <c r="A82" s="41" t="s">
        <v>3414</v>
      </c>
      <c r="B82" s="41" t="s">
        <v>3413</v>
      </c>
      <c r="C82" s="41" t="s">
        <v>32</v>
      </c>
      <c r="D82" s="44" t="s">
        <v>3129</v>
      </c>
      <c r="E82" s="41" t="s">
        <v>3128</v>
      </c>
      <c r="H82" s="41" t="s">
        <v>3412</v>
      </c>
      <c r="I82" s="41" t="s">
        <v>3411</v>
      </c>
      <c r="J82" s="41" t="s">
        <v>32</v>
      </c>
      <c r="K82" s="41" t="s">
        <v>31</v>
      </c>
      <c r="L82" s="41" t="s">
        <v>3128</v>
      </c>
    </row>
    <row r="83" spans="1:12" ht="43" x14ac:dyDescent="0.85">
      <c r="A83" s="16" t="s">
        <v>3410</v>
      </c>
      <c r="B83" s="16" t="s">
        <v>3409</v>
      </c>
      <c r="C83" s="16" t="s">
        <v>3408</v>
      </c>
      <c r="D83" s="43">
        <v>1</v>
      </c>
      <c r="E83" s="40" t="s">
        <v>220</v>
      </c>
      <c r="H83" s="16" t="s">
        <v>3407</v>
      </c>
      <c r="I83" s="16" t="s">
        <v>3406</v>
      </c>
      <c r="J83" s="16" t="s">
        <v>3405</v>
      </c>
      <c r="K83" s="43">
        <v>1</v>
      </c>
      <c r="L83" s="40" t="s">
        <v>220</v>
      </c>
    </row>
    <row r="84" spans="1:12" ht="43" x14ac:dyDescent="0.85">
      <c r="A84" s="16" t="s">
        <v>3404</v>
      </c>
      <c r="B84" s="16" t="s">
        <v>3403</v>
      </c>
      <c r="C84" s="16" t="s">
        <v>3402</v>
      </c>
      <c r="D84" s="43">
        <v>2</v>
      </c>
      <c r="E84" s="40" t="s">
        <v>220</v>
      </c>
      <c r="H84" s="16" t="s">
        <v>3401</v>
      </c>
      <c r="I84" s="16" t="s">
        <v>3400</v>
      </c>
      <c r="J84" s="16" t="s">
        <v>3399</v>
      </c>
      <c r="K84" s="43">
        <v>2</v>
      </c>
      <c r="L84" s="40" t="s">
        <v>220</v>
      </c>
    </row>
    <row r="85" spans="1:12" ht="43" x14ac:dyDescent="0.85">
      <c r="A85" s="16" t="s">
        <v>3398</v>
      </c>
      <c r="B85" s="16" t="s">
        <v>3397</v>
      </c>
      <c r="C85" s="16" t="s">
        <v>3396</v>
      </c>
      <c r="D85" s="43">
        <v>3</v>
      </c>
      <c r="E85" s="40" t="s">
        <v>220</v>
      </c>
      <c r="H85" s="16" t="s">
        <v>3395</v>
      </c>
      <c r="I85" s="16" t="s">
        <v>3394</v>
      </c>
      <c r="J85" s="16" t="s">
        <v>3393</v>
      </c>
      <c r="K85" s="43">
        <v>3</v>
      </c>
      <c r="L85" s="40" t="s">
        <v>220</v>
      </c>
    </row>
    <row r="86" spans="1:12" ht="43" x14ac:dyDescent="0.85">
      <c r="A86" s="16" t="s">
        <v>3392</v>
      </c>
      <c r="B86" s="16" t="s">
        <v>3391</v>
      </c>
      <c r="C86" s="16" t="s">
        <v>3390</v>
      </c>
      <c r="D86" s="43">
        <v>4</v>
      </c>
      <c r="E86" s="40" t="s">
        <v>220</v>
      </c>
      <c r="H86" s="16" t="s">
        <v>3389</v>
      </c>
      <c r="I86" s="16" t="s">
        <v>3388</v>
      </c>
      <c r="J86" s="16" t="s">
        <v>3387</v>
      </c>
      <c r="K86" s="43">
        <v>4</v>
      </c>
      <c r="L86" s="40" t="s">
        <v>220</v>
      </c>
    </row>
    <row r="87" spans="1:12" ht="43" x14ac:dyDescent="0.85">
      <c r="A87" s="16" t="s">
        <v>3386</v>
      </c>
      <c r="B87" s="16" t="s">
        <v>3385</v>
      </c>
      <c r="C87" s="16" t="s">
        <v>3384</v>
      </c>
      <c r="D87" s="43">
        <v>5</v>
      </c>
      <c r="E87" s="40" t="s">
        <v>220</v>
      </c>
      <c r="H87" s="16" t="s">
        <v>3383</v>
      </c>
      <c r="I87" s="16" t="s">
        <v>3382</v>
      </c>
      <c r="J87" s="16" t="s">
        <v>3381</v>
      </c>
      <c r="K87" s="43">
        <v>5</v>
      </c>
      <c r="L87" s="40" t="s">
        <v>220</v>
      </c>
    </row>
    <row r="88" spans="1:12" ht="43" x14ac:dyDescent="0.85">
      <c r="A88" s="16" t="s">
        <v>3380</v>
      </c>
      <c r="B88" s="16" t="s">
        <v>3379</v>
      </c>
      <c r="C88" s="16" t="s">
        <v>3378</v>
      </c>
      <c r="D88" s="43">
        <v>6</v>
      </c>
      <c r="E88" s="40" t="s">
        <v>220</v>
      </c>
      <c r="H88" s="16" t="s">
        <v>3377</v>
      </c>
      <c r="I88" s="16" t="s">
        <v>3376</v>
      </c>
      <c r="J88" s="16" t="s">
        <v>3375</v>
      </c>
      <c r="K88" s="43">
        <v>6</v>
      </c>
      <c r="L88" s="40" t="s">
        <v>220</v>
      </c>
    </row>
    <row r="89" spans="1:12" ht="43" x14ac:dyDescent="0.85">
      <c r="A89" s="42"/>
      <c r="B89" s="38"/>
      <c r="C89" s="38"/>
      <c r="H89" s="16" t="s">
        <v>3374</v>
      </c>
      <c r="I89" s="16" t="s">
        <v>457</v>
      </c>
      <c r="J89" s="16" t="s">
        <v>3373</v>
      </c>
      <c r="K89" s="43">
        <v>7</v>
      </c>
      <c r="L89" s="40" t="s">
        <v>220</v>
      </c>
    </row>
    <row r="90" spans="1:12" ht="43" x14ac:dyDescent="0.85">
      <c r="A90" s="42" t="s">
        <v>3372</v>
      </c>
      <c r="B90" s="38"/>
      <c r="C90" s="38"/>
      <c r="H90" s="16" t="s">
        <v>3371</v>
      </c>
      <c r="I90" s="16" t="s">
        <v>3370</v>
      </c>
      <c r="J90" s="16" t="s">
        <v>3369</v>
      </c>
      <c r="K90" s="43">
        <v>8</v>
      </c>
      <c r="L90" s="40" t="s">
        <v>220</v>
      </c>
    </row>
    <row r="91" spans="1:12" ht="43" x14ac:dyDescent="0.85">
      <c r="A91" s="41" t="s">
        <v>3368</v>
      </c>
      <c r="B91" s="41" t="s">
        <v>3367</v>
      </c>
      <c r="C91" s="41" t="s">
        <v>32</v>
      </c>
      <c r="D91" s="44" t="s">
        <v>3129</v>
      </c>
      <c r="E91" s="41" t="s">
        <v>3128</v>
      </c>
      <c r="H91" s="16" t="s">
        <v>3366</v>
      </c>
      <c r="I91" s="16" t="s">
        <v>3365</v>
      </c>
      <c r="J91" s="16" t="s">
        <v>3364</v>
      </c>
      <c r="K91" s="43">
        <v>9</v>
      </c>
      <c r="L91" s="40" t="s">
        <v>220</v>
      </c>
    </row>
    <row r="92" spans="1:12" ht="21.5" x14ac:dyDescent="0.85">
      <c r="A92" s="16" t="s">
        <v>3363</v>
      </c>
      <c r="B92" s="16" t="s">
        <v>3362</v>
      </c>
      <c r="C92" s="16" t="s">
        <v>3361</v>
      </c>
      <c r="D92" s="43">
        <v>1</v>
      </c>
      <c r="E92" s="40" t="s">
        <v>220</v>
      </c>
    </row>
    <row r="93" spans="1:12" ht="21.5" x14ac:dyDescent="0.85">
      <c r="A93" s="16" t="s">
        <v>3360</v>
      </c>
      <c r="B93" s="16" t="s">
        <v>3359</v>
      </c>
      <c r="C93" s="16" t="s">
        <v>3358</v>
      </c>
      <c r="D93" s="43">
        <v>2</v>
      </c>
      <c r="E93" s="40" t="s">
        <v>220</v>
      </c>
    </row>
    <row r="94" spans="1:12" ht="21.5" x14ac:dyDescent="0.85">
      <c r="A94" s="16" t="s">
        <v>3357</v>
      </c>
      <c r="B94" s="16" t="s">
        <v>3356</v>
      </c>
      <c r="C94" s="16" t="s">
        <v>3355</v>
      </c>
      <c r="D94" s="43">
        <v>3</v>
      </c>
      <c r="E94" s="40" t="s">
        <v>220</v>
      </c>
    </row>
    <row r="95" spans="1:12" ht="21.5" x14ac:dyDescent="0.85">
      <c r="A95" s="16" t="s">
        <v>3354</v>
      </c>
      <c r="B95" s="16" t="s">
        <v>3353</v>
      </c>
      <c r="C95" s="16" t="s">
        <v>3352</v>
      </c>
      <c r="D95" s="43">
        <v>4</v>
      </c>
      <c r="E95" s="40" t="s">
        <v>220</v>
      </c>
    </row>
    <row r="96" spans="1:12" ht="21.5" x14ac:dyDescent="0.85">
      <c r="A96" s="16" t="s">
        <v>3351</v>
      </c>
      <c r="B96" s="16" t="s">
        <v>3350</v>
      </c>
      <c r="C96" s="16" t="s">
        <v>3349</v>
      </c>
      <c r="D96" s="43">
        <v>5</v>
      </c>
      <c r="E96" s="40" t="s">
        <v>220</v>
      </c>
    </row>
    <row r="97" spans="1:16" x14ac:dyDescent="0.85">
      <c r="A97" s="42"/>
      <c r="B97" s="38"/>
      <c r="C97" s="38"/>
    </row>
    <row r="98" spans="1:16" x14ac:dyDescent="0.85">
      <c r="A98" s="42" t="s">
        <v>3348</v>
      </c>
      <c r="B98" s="38"/>
      <c r="C98" s="38"/>
    </row>
    <row r="99" spans="1:16" ht="21.5" x14ac:dyDescent="0.85">
      <c r="A99" s="41" t="s">
        <v>3347</v>
      </c>
      <c r="B99" s="41" t="s">
        <v>3346</v>
      </c>
      <c r="C99" s="41" t="s">
        <v>32</v>
      </c>
      <c r="D99" s="44" t="s">
        <v>3129</v>
      </c>
    </row>
    <row r="100" spans="1:16" ht="21.5" x14ac:dyDescent="0.85">
      <c r="A100" s="16" t="s">
        <v>3345</v>
      </c>
      <c r="B100" s="16" t="s">
        <v>0</v>
      </c>
      <c r="C100" s="16" t="s">
        <v>3344</v>
      </c>
      <c r="D100" s="43">
        <v>1</v>
      </c>
    </row>
    <row r="101" spans="1:16" ht="21.5" x14ac:dyDescent="0.85">
      <c r="A101" s="16" t="s">
        <v>3343</v>
      </c>
      <c r="B101" s="16" t="s">
        <v>407</v>
      </c>
      <c r="C101" s="16" t="s">
        <v>3342</v>
      </c>
      <c r="D101" s="43">
        <v>2</v>
      </c>
    </row>
    <row r="102" spans="1:16" ht="21.5" x14ac:dyDescent="0.85">
      <c r="A102" s="16" t="s">
        <v>3341</v>
      </c>
      <c r="B102" s="16" t="s">
        <v>3340</v>
      </c>
      <c r="C102" s="16" t="s">
        <v>3339</v>
      </c>
      <c r="D102" s="43">
        <v>3</v>
      </c>
    </row>
    <row r="103" spans="1:16" ht="21.5" x14ac:dyDescent="0.85">
      <c r="A103" s="16" t="s">
        <v>3338</v>
      </c>
      <c r="B103" s="16" t="s">
        <v>3337</v>
      </c>
      <c r="C103" s="16" t="s">
        <v>3336</v>
      </c>
      <c r="D103" s="43">
        <v>4</v>
      </c>
    </row>
    <row r="104" spans="1:16" ht="21.5" x14ac:dyDescent="0.85">
      <c r="A104" s="16" t="s">
        <v>3335</v>
      </c>
      <c r="B104" s="16" t="s">
        <v>3334</v>
      </c>
      <c r="C104" s="16" t="s">
        <v>3333</v>
      </c>
      <c r="D104" s="43">
        <v>5</v>
      </c>
    </row>
    <row r="105" spans="1:16" ht="21.5" x14ac:dyDescent="0.85">
      <c r="A105" s="16" t="s">
        <v>3332</v>
      </c>
      <c r="B105" s="16" t="s">
        <v>3331</v>
      </c>
      <c r="C105" s="16" t="s">
        <v>3330</v>
      </c>
      <c r="D105" s="43">
        <v>6</v>
      </c>
    </row>
    <row r="107" spans="1:16" ht="27.5" x14ac:dyDescent="0.85">
      <c r="A107" s="46" t="s">
        <v>3328</v>
      </c>
    </row>
    <row r="108" spans="1:16" ht="35" x14ac:dyDescent="0.85">
      <c r="A108" s="99" t="s">
        <v>3329</v>
      </c>
      <c r="B108" s="99"/>
      <c r="C108" s="99"/>
      <c r="D108" s="99"/>
      <c r="E108" s="99"/>
    </row>
    <row r="109" spans="1:16" ht="27.5" x14ac:dyDescent="0.85">
      <c r="A109" s="46" t="s">
        <v>3328</v>
      </c>
      <c r="B109" s="38"/>
      <c r="C109" s="38"/>
    </row>
    <row r="110" spans="1:16" x14ac:dyDescent="0.85">
      <c r="A110" s="42" t="s">
        <v>3327</v>
      </c>
      <c r="B110" s="38"/>
      <c r="C110" s="38"/>
      <c r="H110" s="3" t="s">
        <v>3326</v>
      </c>
    </row>
    <row r="111" spans="1:16" ht="21.5" x14ac:dyDescent="0.9">
      <c r="A111" s="41" t="s">
        <v>3324</v>
      </c>
      <c r="B111" s="41" t="s">
        <v>10</v>
      </c>
      <c r="C111" s="41" t="s">
        <v>32</v>
      </c>
      <c r="D111" s="44" t="s">
        <v>3129</v>
      </c>
      <c r="E111" s="41" t="s">
        <v>3128</v>
      </c>
      <c r="G111" s="41"/>
      <c r="H111" s="5" t="s">
        <v>3325</v>
      </c>
      <c r="I111" s="5" t="s">
        <v>3240</v>
      </c>
      <c r="J111" s="5" t="s">
        <v>3130</v>
      </c>
      <c r="K111" s="5" t="s">
        <v>3324</v>
      </c>
      <c r="L111" s="5" t="s">
        <v>3323</v>
      </c>
      <c r="M111" s="5" t="s">
        <v>3322</v>
      </c>
      <c r="N111" s="5" t="s">
        <v>3321</v>
      </c>
      <c r="O111" s="5" t="s">
        <v>3320</v>
      </c>
      <c r="P111" s="5" t="s">
        <v>3128</v>
      </c>
    </row>
    <row r="112" spans="1:16" ht="21.5" x14ac:dyDescent="0.9">
      <c r="A112" s="16" t="s">
        <v>3319</v>
      </c>
      <c r="B112" s="16" t="s">
        <v>3318</v>
      </c>
      <c r="C112" s="16" t="s">
        <v>3317</v>
      </c>
      <c r="D112" s="43">
        <v>1</v>
      </c>
      <c r="E112" s="40" t="s">
        <v>220</v>
      </c>
      <c r="G112" s="16"/>
      <c r="H112" s="9" t="s">
        <v>3316</v>
      </c>
      <c r="I112" s="37" t="s">
        <v>2613</v>
      </c>
      <c r="J112" s="37" t="s">
        <v>3084</v>
      </c>
      <c r="K112" s="37" t="s">
        <v>403</v>
      </c>
      <c r="L112" s="36" t="s">
        <v>3315</v>
      </c>
      <c r="M112" s="36" t="s">
        <v>3314</v>
      </c>
      <c r="N112" s="35">
        <v>2007</v>
      </c>
      <c r="O112" s="5">
        <v>1</v>
      </c>
      <c r="P112" s="5" t="s">
        <v>220</v>
      </c>
    </row>
    <row r="113" spans="1:16" ht="21.5" x14ac:dyDescent="0.9">
      <c r="A113" s="16" t="s">
        <v>3313</v>
      </c>
      <c r="B113" s="16" t="s">
        <v>3312</v>
      </c>
      <c r="C113" s="16" t="s">
        <v>3311</v>
      </c>
      <c r="D113" s="43">
        <v>2</v>
      </c>
      <c r="E113" s="40" t="s">
        <v>220</v>
      </c>
      <c r="G113" s="16"/>
      <c r="H113" s="9" t="s">
        <v>3310</v>
      </c>
      <c r="I113" s="37" t="s">
        <v>2613</v>
      </c>
      <c r="J113" s="37" t="s">
        <v>3084</v>
      </c>
      <c r="K113" s="37" t="s">
        <v>403</v>
      </c>
      <c r="L113" s="36" t="s">
        <v>3309</v>
      </c>
      <c r="M113" s="36" t="s">
        <v>3308</v>
      </c>
      <c r="N113" s="35">
        <v>2008</v>
      </c>
      <c r="O113" s="5">
        <v>2</v>
      </c>
      <c r="P113" s="5" t="s">
        <v>220</v>
      </c>
    </row>
    <row r="114" spans="1:16" ht="21.5" x14ac:dyDescent="0.9">
      <c r="A114" s="16" t="s">
        <v>3307</v>
      </c>
      <c r="B114" s="16" t="s">
        <v>3306</v>
      </c>
      <c r="C114" s="16" t="s">
        <v>3305</v>
      </c>
      <c r="D114" s="43">
        <v>3</v>
      </c>
      <c r="E114" s="40" t="s">
        <v>220</v>
      </c>
      <c r="G114" s="16"/>
      <c r="H114" s="9" t="s">
        <v>3304</v>
      </c>
      <c r="I114" s="37" t="s">
        <v>2613</v>
      </c>
      <c r="J114" s="37" t="s">
        <v>3084</v>
      </c>
      <c r="K114" s="37" t="s">
        <v>403</v>
      </c>
      <c r="L114" s="36" t="s">
        <v>3303</v>
      </c>
      <c r="M114" s="36" t="s">
        <v>3302</v>
      </c>
      <c r="N114" s="35">
        <v>2009</v>
      </c>
      <c r="O114" s="5">
        <v>3</v>
      </c>
      <c r="P114" s="5" t="s">
        <v>220</v>
      </c>
    </row>
    <row r="115" spans="1:16" ht="21.5" x14ac:dyDescent="0.9">
      <c r="A115" s="16" t="s">
        <v>3301</v>
      </c>
      <c r="B115" s="16" t="s">
        <v>3300</v>
      </c>
      <c r="C115" s="16" t="s">
        <v>3299</v>
      </c>
      <c r="D115" s="43">
        <v>4</v>
      </c>
      <c r="E115" s="40" t="s">
        <v>220</v>
      </c>
      <c r="G115" s="16"/>
      <c r="H115" s="9" t="s">
        <v>3298</v>
      </c>
      <c r="I115" s="37" t="s">
        <v>2613</v>
      </c>
      <c r="J115" s="37" t="s">
        <v>3084</v>
      </c>
      <c r="K115" s="37" t="s">
        <v>403</v>
      </c>
      <c r="L115" s="36" t="s">
        <v>3297</v>
      </c>
      <c r="M115" s="36" t="s">
        <v>3296</v>
      </c>
      <c r="N115" s="35">
        <v>2010</v>
      </c>
      <c r="O115" s="5">
        <v>4</v>
      </c>
      <c r="P115" s="5" t="s">
        <v>220</v>
      </c>
    </row>
    <row r="116" spans="1:16" ht="21.5" x14ac:dyDescent="0.9">
      <c r="A116" s="16" t="s">
        <v>3295</v>
      </c>
      <c r="B116" s="16" t="s">
        <v>3294</v>
      </c>
      <c r="C116" s="16" t="s">
        <v>3293</v>
      </c>
      <c r="D116" s="43">
        <v>5</v>
      </c>
      <c r="E116" s="40" t="s">
        <v>220</v>
      </c>
      <c r="G116" s="16"/>
      <c r="H116" s="9" t="s">
        <v>3292</v>
      </c>
      <c r="I116" s="37" t="s">
        <v>2613</v>
      </c>
      <c r="J116" s="37" t="s">
        <v>3084</v>
      </c>
      <c r="K116" s="37" t="s">
        <v>403</v>
      </c>
      <c r="L116" s="36" t="s">
        <v>3291</v>
      </c>
      <c r="M116" s="36" t="s">
        <v>3290</v>
      </c>
      <c r="N116" s="35">
        <v>2011</v>
      </c>
      <c r="O116" s="5">
        <v>5</v>
      </c>
      <c r="P116" s="5" t="s">
        <v>220</v>
      </c>
    </row>
    <row r="117" spans="1:16" ht="21.5" x14ac:dyDescent="0.9">
      <c r="A117" s="16" t="s">
        <v>3289</v>
      </c>
      <c r="B117" s="16" t="s">
        <v>3288</v>
      </c>
      <c r="C117" s="16" t="s">
        <v>3287</v>
      </c>
      <c r="D117" s="43">
        <v>6</v>
      </c>
      <c r="E117" s="40" t="s">
        <v>220</v>
      </c>
      <c r="G117" s="16"/>
      <c r="H117" s="9" t="s">
        <v>3286</v>
      </c>
      <c r="I117" s="37" t="s">
        <v>2613</v>
      </c>
      <c r="J117" s="37" t="s">
        <v>3084</v>
      </c>
      <c r="K117" s="37" t="s">
        <v>403</v>
      </c>
      <c r="L117" s="36" t="s">
        <v>3285</v>
      </c>
      <c r="M117" s="36" t="s">
        <v>3284</v>
      </c>
      <c r="N117" s="35">
        <v>2012</v>
      </c>
      <c r="O117" s="5">
        <v>6</v>
      </c>
      <c r="P117" s="5" t="s">
        <v>220</v>
      </c>
    </row>
    <row r="118" spans="1:16" ht="21.5" x14ac:dyDescent="0.9">
      <c r="A118" s="16" t="s">
        <v>3283</v>
      </c>
      <c r="B118" s="16" t="s">
        <v>3282</v>
      </c>
      <c r="C118" s="16" t="s">
        <v>3281</v>
      </c>
      <c r="D118" s="43">
        <v>7</v>
      </c>
      <c r="E118" s="40" t="s">
        <v>220</v>
      </c>
      <c r="G118" s="16"/>
      <c r="H118" s="9" t="s">
        <v>3280</v>
      </c>
      <c r="I118" s="37" t="s">
        <v>2613</v>
      </c>
      <c r="J118" s="37" t="s">
        <v>3084</v>
      </c>
      <c r="K118" s="37" t="s">
        <v>403</v>
      </c>
      <c r="L118" s="36" t="s">
        <v>3279</v>
      </c>
      <c r="M118" s="36" t="s">
        <v>3278</v>
      </c>
      <c r="N118" s="35">
        <v>2013</v>
      </c>
      <c r="O118" s="5">
        <v>7</v>
      </c>
      <c r="P118" s="5" t="s">
        <v>220</v>
      </c>
    </row>
    <row r="119" spans="1:16" ht="21.5" x14ac:dyDescent="0.9">
      <c r="A119" s="16" t="s">
        <v>3277</v>
      </c>
      <c r="B119" s="16" t="s">
        <v>3276</v>
      </c>
      <c r="C119" s="16" t="s">
        <v>3275</v>
      </c>
      <c r="D119" s="43">
        <v>8</v>
      </c>
      <c r="E119" s="40" t="s">
        <v>220</v>
      </c>
      <c r="G119" s="16"/>
      <c r="H119" s="9" t="s">
        <v>3274</v>
      </c>
      <c r="I119" s="37" t="s">
        <v>2613</v>
      </c>
      <c r="J119" s="37" t="s">
        <v>3084</v>
      </c>
      <c r="K119" s="37" t="s">
        <v>403</v>
      </c>
      <c r="L119" s="36" t="s">
        <v>3273</v>
      </c>
      <c r="M119" s="36" t="s">
        <v>3272</v>
      </c>
      <c r="N119" s="35">
        <v>2013</v>
      </c>
      <c r="O119" s="5">
        <v>8</v>
      </c>
      <c r="P119" s="5" t="s">
        <v>220</v>
      </c>
    </row>
    <row r="120" spans="1:16" ht="21.5" x14ac:dyDescent="0.9">
      <c r="A120" s="16" t="s">
        <v>3271</v>
      </c>
      <c r="B120" s="16" t="s">
        <v>3270</v>
      </c>
      <c r="C120" s="16" t="s">
        <v>3269</v>
      </c>
      <c r="D120" s="43">
        <v>9</v>
      </c>
      <c r="E120" s="40" t="s">
        <v>220</v>
      </c>
      <c r="G120" s="16"/>
      <c r="H120" s="9" t="s">
        <v>3268</v>
      </c>
      <c r="I120" s="37" t="s">
        <v>2613</v>
      </c>
      <c r="J120" s="37" t="s">
        <v>3084</v>
      </c>
      <c r="K120" s="37" t="s">
        <v>403</v>
      </c>
      <c r="L120" s="36" t="s">
        <v>3267</v>
      </c>
      <c r="M120" s="36" t="s">
        <v>3266</v>
      </c>
      <c r="N120" s="35">
        <v>2014</v>
      </c>
      <c r="O120" s="5">
        <v>9</v>
      </c>
      <c r="P120" s="5" t="s">
        <v>220</v>
      </c>
    </row>
    <row r="121" spans="1:16" ht="21.5" x14ac:dyDescent="0.9">
      <c r="A121" s="16" t="s">
        <v>3265</v>
      </c>
      <c r="B121" s="16" t="s">
        <v>3264</v>
      </c>
      <c r="C121" s="16" t="s">
        <v>3263</v>
      </c>
      <c r="D121" s="43">
        <v>10</v>
      </c>
      <c r="E121" s="40" t="s">
        <v>220</v>
      </c>
      <c r="G121" s="16"/>
      <c r="H121" s="9" t="s">
        <v>3262</v>
      </c>
      <c r="I121" s="37" t="s">
        <v>2613</v>
      </c>
      <c r="J121" s="37" t="s">
        <v>3084</v>
      </c>
      <c r="K121" s="37" t="s">
        <v>403</v>
      </c>
      <c r="L121" s="36" t="s">
        <v>3261</v>
      </c>
      <c r="M121" s="36" t="s">
        <v>3260</v>
      </c>
      <c r="N121" s="35">
        <v>2014</v>
      </c>
      <c r="O121" s="5">
        <v>10</v>
      </c>
      <c r="P121" s="5" t="s">
        <v>220</v>
      </c>
    </row>
    <row r="122" spans="1:16" ht="21.5" x14ac:dyDescent="0.9">
      <c r="A122" s="16" t="s">
        <v>3259</v>
      </c>
      <c r="B122" s="16" t="s">
        <v>3258</v>
      </c>
      <c r="C122" s="16" t="s">
        <v>3257</v>
      </c>
      <c r="D122" s="43">
        <v>11</v>
      </c>
      <c r="E122" s="40" t="s">
        <v>220</v>
      </c>
      <c r="F122" s="34"/>
      <c r="G122" s="16"/>
      <c r="H122" s="9" t="s">
        <v>3256</v>
      </c>
      <c r="I122" s="37" t="s">
        <v>2613</v>
      </c>
      <c r="J122" s="37" t="s">
        <v>3084</v>
      </c>
      <c r="K122" s="37" t="s">
        <v>403</v>
      </c>
      <c r="L122" s="36" t="s">
        <v>3255</v>
      </c>
      <c r="M122" s="36" t="s">
        <v>3254</v>
      </c>
      <c r="N122" s="35">
        <v>2015</v>
      </c>
      <c r="O122" s="5">
        <v>11</v>
      </c>
      <c r="P122" s="5" t="s">
        <v>220</v>
      </c>
    </row>
    <row r="123" spans="1:16" ht="21.5" x14ac:dyDescent="0.9">
      <c r="A123" s="16" t="s">
        <v>3253</v>
      </c>
      <c r="B123" s="16" t="s">
        <v>3252</v>
      </c>
      <c r="C123" s="16" t="s">
        <v>3251</v>
      </c>
      <c r="D123" s="43">
        <v>99</v>
      </c>
      <c r="E123" s="40" t="s">
        <v>220</v>
      </c>
      <c r="G123" s="16"/>
      <c r="H123" s="9" t="s">
        <v>3250</v>
      </c>
      <c r="I123" s="37" t="s">
        <v>2613</v>
      </c>
      <c r="J123" s="37" t="s">
        <v>3084</v>
      </c>
      <c r="K123" s="37" t="s">
        <v>403</v>
      </c>
      <c r="L123" s="36" t="s">
        <v>3249</v>
      </c>
      <c r="M123" s="36" t="s">
        <v>3248</v>
      </c>
      <c r="N123" s="35">
        <v>2015</v>
      </c>
      <c r="O123" s="5">
        <v>12</v>
      </c>
      <c r="P123" s="5" t="s">
        <v>220</v>
      </c>
    </row>
    <row r="124" spans="1:16" ht="21.5" x14ac:dyDescent="0.9">
      <c r="A124" s="17"/>
      <c r="B124" s="17"/>
      <c r="C124" s="38"/>
      <c r="G124" s="16"/>
      <c r="H124" s="9" t="s">
        <v>3247</v>
      </c>
      <c r="I124" s="37" t="s">
        <v>2613</v>
      </c>
      <c r="J124" s="37" t="s">
        <v>3084</v>
      </c>
      <c r="K124" s="37" t="s">
        <v>403</v>
      </c>
      <c r="L124" s="36" t="s">
        <v>3246</v>
      </c>
      <c r="M124" s="36" t="s">
        <v>3245</v>
      </c>
      <c r="N124" s="35">
        <v>2016</v>
      </c>
      <c r="O124" s="5">
        <v>13</v>
      </c>
      <c r="P124" s="5" t="s">
        <v>220</v>
      </c>
    </row>
    <row r="125" spans="1:16" ht="21.5" x14ac:dyDescent="0.9">
      <c r="A125" s="42" t="s">
        <v>3244</v>
      </c>
      <c r="B125" s="17"/>
      <c r="C125" s="38"/>
      <c r="G125" s="16"/>
      <c r="H125" s="9" t="s">
        <v>3243</v>
      </c>
      <c r="I125" s="37" t="s">
        <v>2613</v>
      </c>
      <c r="J125" s="37" t="s">
        <v>3084</v>
      </c>
      <c r="K125" s="37" t="s">
        <v>403</v>
      </c>
      <c r="L125" s="36" t="s">
        <v>3242</v>
      </c>
      <c r="M125" s="36" t="s">
        <v>3241</v>
      </c>
      <c r="N125" s="35">
        <v>2016</v>
      </c>
      <c r="O125" s="5">
        <v>14</v>
      </c>
      <c r="P125" s="5" t="s">
        <v>220</v>
      </c>
    </row>
    <row r="126" spans="1:16" ht="21.5" x14ac:dyDescent="0.9">
      <c r="A126" s="41" t="s">
        <v>3240</v>
      </c>
      <c r="B126" s="41" t="s">
        <v>9</v>
      </c>
      <c r="C126" s="41" t="s">
        <v>32</v>
      </c>
      <c r="D126" s="44" t="s">
        <v>3129</v>
      </c>
      <c r="E126" s="41" t="s">
        <v>3128</v>
      </c>
      <c r="G126" s="16"/>
      <c r="H126" s="9" t="s">
        <v>3239</v>
      </c>
      <c r="I126" s="37" t="s">
        <v>2613</v>
      </c>
      <c r="J126" s="37" t="s">
        <v>3084</v>
      </c>
      <c r="K126" s="37" t="s">
        <v>403</v>
      </c>
      <c r="L126" s="36" t="s">
        <v>3238</v>
      </c>
      <c r="M126" s="36" t="s">
        <v>3237</v>
      </c>
      <c r="N126" s="35">
        <v>2016</v>
      </c>
      <c r="O126" s="5">
        <v>15</v>
      </c>
      <c r="P126" s="5" t="s">
        <v>220</v>
      </c>
    </row>
    <row r="127" spans="1:16" ht="21.5" x14ac:dyDescent="0.9">
      <c r="A127" s="16" t="s">
        <v>3236</v>
      </c>
      <c r="B127" s="16" t="s">
        <v>801</v>
      </c>
      <c r="C127" s="16" t="s">
        <v>3235</v>
      </c>
      <c r="D127" s="43">
        <v>1</v>
      </c>
      <c r="E127" s="40" t="s">
        <v>220</v>
      </c>
      <c r="G127" s="16"/>
      <c r="H127" s="9" t="s">
        <v>3234</v>
      </c>
      <c r="I127" s="37" t="s">
        <v>2613</v>
      </c>
      <c r="J127" s="37" t="s">
        <v>3084</v>
      </c>
      <c r="K127" s="37" t="s">
        <v>403</v>
      </c>
      <c r="L127" s="36" t="s">
        <v>3233</v>
      </c>
      <c r="M127" s="36" t="s">
        <v>3232</v>
      </c>
      <c r="N127" s="35">
        <v>2017</v>
      </c>
      <c r="O127" s="5">
        <v>16</v>
      </c>
      <c r="P127" s="5" t="s">
        <v>220</v>
      </c>
    </row>
    <row r="128" spans="1:16" ht="21.5" x14ac:dyDescent="0.9">
      <c r="A128" s="16" t="s">
        <v>3231</v>
      </c>
      <c r="B128" s="16" t="s">
        <v>873</v>
      </c>
      <c r="C128" s="16" t="s">
        <v>3230</v>
      </c>
      <c r="D128" s="43">
        <v>2</v>
      </c>
      <c r="E128" s="40" t="s">
        <v>220</v>
      </c>
      <c r="G128" s="16"/>
      <c r="H128" s="9" t="s">
        <v>3229</v>
      </c>
      <c r="I128" s="37" t="s">
        <v>2613</v>
      </c>
      <c r="J128" s="37" t="s">
        <v>3084</v>
      </c>
      <c r="K128" s="37" t="s">
        <v>403</v>
      </c>
      <c r="L128" s="36" t="s">
        <v>3228</v>
      </c>
      <c r="M128" s="36" t="s">
        <v>3227</v>
      </c>
      <c r="N128" s="35">
        <v>2017</v>
      </c>
      <c r="O128" s="5">
        <v>17</v>
      </c>
      <c r="P128" s="5" t="s">
        <v>220</v>
      </c>
    </row>
    <row r="129" spans="1:16" ht="21.5" x14ac:dyDescent="0.9">
      <c r="A129" s="16" t="s">
        <v>3226</v>
      </c>
      <c r="B129" s="16" t="s">
        <v>795</v>
      </c>
      <c r="C129" s="16" t="s">
        <v>3225</v>
      </c>
      <c r="D129" s="43">
        <v>3</v>
      </c>
      <c r="E129" s="40" t="s">
        <v>220</v>
      </c>
      <c r="G129" s="16"/>
      <c r="H129" s="9" t="s">
        <v>3224</v>
      </c>
      <c r="I129" s="37" t="s">
        <v>2613</v>
      </c>
      <c r="J129" s="37" t="s">
        <v>3084</v>
      </c>
      <c r="K129" s="37" t="s">
        <v>403</v>
      </c>
      <c r="L129" s="36" t="s">
        <v>3223</v>
      </c>
      <c r="M129" s="36" t="s">
        <v>3222</v>
      </c>
      <c r="N129" s="35">
        <v>2017</v>
      </c>
      <c r="O129" s="5">
        <v>18</v>
      </c>
      <c r="P129" s="5" t="s">
        <v>220</v>
      </c>
    </row>
    <row r="130" spans="1:16" ht="21.5" x14ac:dyDescent="0.9">
      <c r="A130" s="16" t="s">
        <v>3221</v>
      </c>
      <c r="B130" s="16" t="s">
        <v>1298</v>
      </c>
      <c r="C130" s="16" t="s">
        <v>3220</v>
      </c>
      <c r="D130" s="43">
        <v>4</v>
      </c>
      <c r="E130" s="40" t="s">
        <v>220</v>
      </c>
      <c r="G130" s="16"/>
      <c r="H130" s="9" t="s">
        <v>3219</v>
      </c>
      <c r="I130" s="37" t="s">
        <v>2613</v>
      </c>
      <c r="J130" s="37" t="s">
        <v>3084</v>
      </c>
      <c r="K130" s="37" t="s">
        <v>403</v>
      </c>
      <c r="L130" s="36" t="s">
        <v>3218</v>
      </c>
      <c r="M130" s="36" t="s">
        <v>3217</v>
      </c>
      <c r="N130" s="35">
        <v>2018</v>
      </c>
      <c r="O130" s="5">
        <v>19</v>
      </c>
      <c r="P130" s="5" t="s">
        <v>220</v>
      </c>
    </row>
    <row r="131" spans="1:16" ht="21.5" x14ac:dyDescent="0.9">
      <c r="A131" s="16" t="s">
        <v>3216</v>
      </c>
      <c r="B131" s="16" t="s">
        <v>1282</v>
      </c>
      <c r="C131" s="16" t="s">
        <v>1282</v>
      </c>
      <c r="D131" s="43">
        <v>5</v>
      </c>
      <c r="E131" s="40" t="s">
        <v>220</v>
      </c>
      <c r="G131" s="16"/>
      <c r="H131" s="9" t="s">
        <v>3215</v>
      </c>
      <c r="I131" s="37" t="s">
        <v>2613</v>
      </c>
      <c r="J131" s="37" t="s">
        <v>3084</v>
      </c>
      <c r="K131" s="37" t="s">
        <v>403</v>
      </c>
      <c r="L131" s="36" t="s">
        <v>3214</v>
      </c>
      <c r="M131" s="36" t="s">
        <v>3213</v>
      </c>
      <c r="N131" s="35">
        <v>2018</v>
      </c>
      <c r="O131" s="5">
        <v>20</v>
      </c>
      <c r="P131" s="5" t="s">
        <v>220</v>
      </c>
    </row>
    <row r="132" spans="1:16" ht="21.5" x14ac:dyDescent="0.9">
      <c r="A132" s="16" t="s">
        <v>3212</v>
      </c>
      <c r="B132" s="16" t="s">
        <v>1288</v>
      </c>
      <c r="C132" s="16" t="s">
        <v>3211</v>
      </c>
      <c r="D132" s="43">
        <v>6</v>
      </c>
      <c r="E132" s="40" t="s">
        <v>220</v>
      </c>
      <c r="F132" s="17"/>
      <c r="G132" s="16"/>
      <c r="H132" s="9" t="s">
        <v>3210</v>
      </c>
      <c r="I132" s="37" t="s">
        <v>2613</v>
      </c>
      <c r="J132" s="37" t="s">
        <v>3084</v>
      </c>
      <c r="K132" s="37" t="s">
        <v>403</v>
      </c>
      <c r="L132" s="36" t="s">
        <v>3209</v>
      </c>
      <c r="M132" s="36" t="s">
        <v>3208</v>
      </c>
      <c r="N132" s="35">
        <v>2018</v>
      </c>
      <c r="O132" s="5">
        <v>21</v>
      </c>
      <c r="P132" s="5" t="s">
        <v>220</v>
      </c>
    </row>
    <row r="133" spans="1:16" ht="21.5" x14ac:dyDescent="0.9">
      <c r="A133" s="16" t="s">
        <v>3207</v>
      </c>
      <c r="B133" s="16" t="s">
        <v>1293</v>
      </c>
      <c r="C133" s="16" t="s">
        <v>3206</v>
      </c>
      <c r="D133" s="43">
        <v>7</v>
      </c>
      <c r="E133" s="40" t="s">
        <v>220</v>
      </c>
      <c r="F133" s="17"/>
      <c r="G133" s="16"/>
      <c r="H133" s="9" t="s">
        <v>3205</v>
      </c>
      <c r="I133" s="37" t="s">
        <v>2613</v>
      </c>
      <c r="J133" s="37" t="s">
        <v>3084</v>
      </c>
      <c r="K133" s="37" t="s">
        <v>403</v>
      </c>
      <c r="L133" s="36" t="s">
        <v>3204</v>
      </c>
      <c r="M133" s="36" t="s">
        <v>3203</v>
      </c>
      <c r="N133" s="35">
        <v>2019</v>
      </c>
      <c r="O133" s="5">
        <v>22</v>
      </c>
      <c r="P133" s="5" t="s">
        <v>220</v>
      </c>
    </row>
    <row r="134" spans="1:16" ht="21.5" x14ac:dyDescent="0.9">
      <c r="A134" s="16" t="s">
        <v>3202</v>
      </c>
      <c r="B134" s="16" t="s">
        <v>3201</v>
      </c>
      <c r="C134" s="16" t="s">
        <v>3200</v>
      </c>
      <c r="D134" s="43">
        <v>8</v>
      </c>
      <c r="E134" s="40" t="s">
        <v>220</v>
      </c>
      <c r="G134" s="16"/>
      <c r="H134" s="9" t="s">
        <v>3199</v>
      </c>
      <c r="I134" s="37" t="s">
        <v>2613</v>
      </c>
      <c r="J134" s="37" t="s">
        <v>3084</v>
      </c>
      <c r="K134" s="37" t="s">
        <v>403</v>
      </c>
      <c r="L134" s="36" t="s">
        <v>3198</v>
      </c>
      <c r="M134" s="36" t="s">
        <v>3197</v>
      </c>
      <c r="N134" s="35">
        <v>2019</v>
      </c>
      <c r="O134" s="5">
        <v>23</v>
      </c>
      <c r="P134" s="5" t="s">
        <v>220</v>
      </c>
    </row>
    <row r="135" spans="1:16" ht="21.5" x14ac:dyDescent="0.9">
      <c r="A135" s="16" t="s">
        <v>3196</v>
      </c>
      <c r="B135" s="16" t="s">
        <v>3069</v>
      </c>
      <c r="C135" s="16" t="s">
        <v>3195</v>
      </c>
      <c r="D135" s="43">
        <v>9</v>
      </c>
      <c r="E135" s="40" t="s">
        <v>220</v>
      </c>
      <c r="G135" s="16"/>
      <c r="H135" s="9" t="s">
        <v>3194</v>
      </c>
      <c r="I135" s="37" t="s">
        <v>2613</v>
      </c>
      <c r="J135" s="37" t="s">
        <v>3084</v>
      </c>
      <c r="K135" s="37" t="s">
        <v>403</v>
      </c>
      <c r="L135" s="36" t="s">
        <v>3193</v>
      </c>
      <c r="M135" s="36" t="s">
        <v>3192</v>
      </c>
      <c r="N135" s="35">
        <v>2019</v>
      </c>
      <c r="O135" s="5">
        <v>24</v>
      </c>
      <c r="P135" s="5" t="s">
        <v>220</v>
      </c>
    </row>
    <row r="136" spans="1:16" ht="43" x14ac:dyDescent="0.9">
      <c r="A136" s="16" t="s">
        <v>3191</v>
      </c>
      <c r="B136" s="16" t="s">
        <v>1260</v>
      </c>
      <c r="C136" s="16" t="s">
        <v>3190</v>
      </c>
      <c r="D136" s="43">
        <v>10</v>
      </c>
      <c r="E136" s="40" t="s">
        <v>220</v>
      </c>
      <c r="G136" s="16"/>
      <c r="H136" s="9" t="s">
        <v>3189</v>
      </c>
      <c r="I136" s="37" t="s">
        <v>2613</v>
      </c>
      <c r="J136" s="37" t="s">
        <v>3084</v>
      </c>
      <c r="K136" s="37" t="s">
        <v>403</v>
      </c>
      <c r="L136" s="36" t="s">
        <v>3188</v>
      </c>
      <c r="M136" s="36" t="s">
        <v>3187</v>
      </c>
      <c r="N136" s="35">
        <v>2020</v>
      </c>
      <c r="O136" s="5">
        <v>25</v>
      </c>
      <c r="P136" s="5" t="s">
        <v>220</v>
      </c>
    </row>
    <row r="137" spans="1:16" ht="21.5" x14ac:dyDescent="0.9">
      <c r="A137" s="16" t="s">
        <v>3186</v>
      </c>
      <c r="B137" s="16" t="s">
        <v>1254</v>
      </c>
      <c r="C137" s="16" t="s">
        <v>3185</v>
      </c>
      <c r="D137" s="43">
        <v>11</v>
      </c>
      <c r="E137" s="40" t="s">
        <v>220</v>
      </c>
      <c r="G137" s="16"/>
      <c r="H137" s="9" t="s">
        <v>3184</v>
      </c>
      <c r="I137" s="37" t="s">
        <v>2613</v>
      </c>
      <c r="J137" s="37" t="s">
        <v>3084</v>
      </c>
      <c r="K137" s="37" t="s">
        <v>403</v>
      </c>
      <c r="L137" s="36" t="s">
        <v>3183</v>
      </c>
      <c r="M137" s="36" t="s">
        <v>3182</v>
      </c>
      <c r="N137" s="35">
        <v>2020</v>
      </c>
      <c r="O137" s="5">
        <v>26</v>
      </c>
      <c r="P137" s="5" t="s">
        <v>220</v>
      </c>
    </row>
    <row r="138" spans="1:16" ht="21.5" x14ac:dyDescent="0.9">
      <c r="A138" s="16" t="s">
        <v>3181</v>
      </c>
      <c r="B138" s="16" t="s">
        <v>1249</v>
      </c>
      <c r="C138" s="16" t="s">
        <v>1249</v>
      </c>
      <c r="D138" s="43">
        <v>12</v>
      </c>
      <c r="E138" s="40" t="s">
        <v>220</v>
      </c>
      <c r="G138" s="16"/>
      <c r="H138" s="9" t="s">
        <v>3180</v>
      </c>
      <c r="I138" s="37" t="s">
        <v>2613</v>
      </c>
      <c r="J138" s="37" t="s">
        <v>3084</v>
      </c>
      <c r="K138" s="37" t="s">
        <v>403</v>
      </c>
      <c r="L138" s="36" t="s">
        <v>3179</v>
      </c>
      <c r="M138" s="36" t="s">
        <v>3178</v>
      </c>
      <c r="N138" s="35">
        <v>2020</v>
      </c>
      <c r="O138" s="5">
        <v>27</v>
      </c>
      <c r="P138" s="5" t="s">
        <v>220</v>
      </c>
    </row>
    <row r="139" spans="1:16" ht="21.5" x14ac:dyDescent="0.9">
      <c r="A139" s="16" t="s">
        <v>3177</v>
      </c>
      <c r="B139" s="16" t="s">
        <v>1265</v>
      </c>
      <c r="C139" s="16" t="s">
        <v>1265</v>
      </c>
      <c r="D139" s="43">
        <v>13</v>
      </c>
      <c r="E139" s="40" t="s">
        <v>220</v>
      </c>
      <c r="F139" s="45"/>
      <c r="G139" s="16"/>
      <c r="H139" s="9" t="s">
        <v>3176</v>
      </c>
      <c r="I139" s="37" t="s">
        <v>2613</v>
      </c>
      <c r="J139" s="37" t="s">
        <v>3084</v>
      </c>
      <c r="K139" s="37" t="s">
        <v>403</v>
      </c>
      <c r="L139" s="36" t="s">
        <v>3175</v>
      </c>
      <c r="M139" s="36" t="s">
        <v>3174</v>
      </c>
      <c r="N139" s="35">
        <v>2020</v>
      </c>
      <c r="O139" s="5">
        <v>28</v>
      </c>
      <c r="P139" s="5" t="s">
        <v>220</v>
      </c>
    </row>
    <row r="140" spans="1:16" ht="21.5" x14ac:dyDescent="0.9">
      <c r="A140" s="16" t="s">
        <v>3173</v>
      </c>
      <c r="B140" s="16" t="s">
        <v>3172</v>
      </c>
      <c r="C140" s="16" t="s">
        <v>3172</v>
      </c>
      <c r="D140" s="43">
        <v>14</v>
      </c>
      <c r="E140" s="40" t="s">
        <v>220</v>
      </c>
      <c r="F140" s="45"/>
      <c r="G140" s="16"/>
      <c r="H140" s="9" t="s">
        <v>3171</v>
      </c>
      <c r="I140" s="37" t="s">
        <v>2613</v>
      </c>
      <c r="J140" s="37" t="s">
        <v>3084</v>
      </c>
      <c r="K140" s="37" t="s">
        <v>403</v>
      </c>
      <c r="L140" s="36" t="s">
        <v>3170</v>
      </c>
      <c r="M140" s="36" t="s">
        <v>3169</v>
      </c>
      <c r="N140" s="35">
        <v>2020</v>
      </c>
      <c r="O140" s="5">
        <v>29</v>
      </c>
      <c r="P140" s="5" t="s">
        <v>220</v>
      </c>
    </row>
    <row r="141" spans="1:16" ht="21.5" x14ac:dyDescent="0.9">
      <c r="A141" s="16" t="s">
        <v>3168</v>
      </c>
      <c r="B141" s="16" t="s">
        <v>3167</v>
      </c>
      <c r="C141" s="16" t="s">
        <v>3167</v>
      </c>
      <c r="D141" s="43">
        <v>15</v>
      </c>
      <c r="E141" s="40" t="s">
        <v>220</v>
      </c>
      <c r="F141" s="45"/>
      <c r="G141" s="16"/>
      <c r="H141" s="9" t="s">
        <v>3166</v>
      </c>
      <c r="I141" s="37" t="s">
        <v>2613</v>
      </c>
      <c r="J141" s="37" t="s">
        <v>3084</v>
      </c>
      <c r="K141" s="37" t="s">
        <v>403</v>
      </c>
      <c r="L141" s="36" t="s">
        <v>3165</v>
      </c>
      <c r="M141" s="36" t="s">
        <v>3164</v>
      </c>
      <c r="N141" s="35">
        <v>2021</v>
      </c>
      <c r="O141" s="5">
        <v>30</v>
      </c>
      <c r="P141" s="5" t="s">
        <v>220</v>
      </c>
    </row>
    <row r="142" spans="1:16" ht="21.5" x14ac:dyDescent="0.9">
      <c r="A142" s="16" t="s">
        <v>3163</v>
      </c>
      <c r="B142" s="16" t="s">
        <v>3063</v>
      </c>
      <c r="C142" s="16" t="s">
        <v>3063</v>
      </c>
      <c r="D142" s="43">
        <v>16</v>
      </c>
      <c r="E142" s="40" t="s">
        <v>220</v>
      </c>
      <c r="F142" s="45"/>
      <c r="G142" s="16"/>
      <c r="H142" s="9" t="s">
        <v>3162</v>
      </c>
      <c r="I142" s="37" t="s">
        <v>2613</v>
      </c>
      <c r="J142" s="37" t="s">
        <v>3084</v>
      </c>
      <c r="K142" s="37" t="s">
        <v>403</v>
      </c>
      <c r="L142" s="36" t="s">
        <v>3161</v>
      </c>
      <c r="M142" s="36" t="s">
        <v>3160</v>
      </c>
      <c r="N142" s="35">
        <v>2021</v>
      </c>
      <c r="O142" s="5">
        <v>31</v>
      </c>
      <c r="P142" s="5" t="s">
        <v>220</v>
      </c>
    </row>
    <row r="143" spans="1:16" ht="21.5" x14ac:dyDescent="0.9">
      <c r="A143" s="16" t="s">
        <v>3159</v>
      </c>
      <c r="B143" s="16" t="s">
        <v>3158</v>
      </c>
      <c r="C143" s="16" t="s">
        <v>3075</v>
      </c>
      <c r="D143" s="43">
        <v>17</v>
      </c>
      <c r="E143" s="40" t="s">
        <v>220</v>
      </c>
      <c r="G143" s="16"/>
      <c r="H143" s="9" t="s">
        <v>3157</v>
      </c>
      <c r="I143" s="37" t="s">
        <v>2613</v>
      </c>
      <c r="J143" s="37" t="s">
        <v>3084</v>
      </c>
      <c r="K143" s="37" t="s">
        <v>403</v>
      </c>
      <c r="L143" s="36" t="s">
        <v>3156</v>
      </c>
      <c r="M143" s="36" t="s">
        <v>3155</v>
      </c>
      <c r="N143" s="35">
        <v>2021</v>
      </c>
      <c r="O143" s="5">
        <v>32</v>
      </c>
      <c r="P143" s="5" t="s">
        <v>220</v>
      </c>
    </row>
    <row r="144" spans="1:16" ht="21.5" x14ac:dyDescent="0.9">
      <c r="A144" s="16" t="s">
        <v>3154</v>
      </c>
      <c r="B144" s="16" t="s">
        <v>3153</v>
      </c>
      <c r="C144" s="16" t="s">
        <v>3070</v>
      </c>
      <c r="D144" s="43">
        <v>18</v>
      </c>
      <c r="E144" s="40" t="s">
        <v>220</v>
      </c>
      <c r="G144" s="16"/>
      <c r="H144" s="9" t="s">
        <v>3152</v>
      </c>
      <c r="I144" s="37" t="s">
        <v>2613</v>
      </c>
      <c r="J144" s="37" t="s">
        <v>3084</v>
      </c>
      <c r="K144" s="37" t="s">
        <v>403</v>
      </c>
      <c r="L144" s="36" t="s">
        <v>3151</v>
      </c>
      <c r="M144" s="36" t="s">
        <v>3150</v>
      </c>
      <c r="N144" s="35">
        <v>2021</v>
      </c>
      <c r="O144" s="5">
        <v>33</v>
      </c>
      <c r="P144" s="5" t="s">
        <v>220</v>
      </c>
    </row>
    <row r="145" spans="1:16" ht="43" x14ac:dyDescent="0.9">
      <c r="A145" s="16" t="s">
        <v>3149</v>
      </c>
      <c r="B145" s="16" t="s">
        <v>3148</v>
      </c>
      <c r="C145" s="16" t="s">
        <v>3147</v>
      </c>
      <c r="D145" s="43">
        <v>19</v>
      </c>
      <c r="E145" s="40" t="s">
        <v>220</v>
      </c>
      <c r="G145" s="16"/>
      <c r="H145" s="9" t="s">
        <v>3146</v>
      </c>
      <c r="I145" s="37" t="s">
        <v>2613</v>
      </c>
      <c r="J145" s="37" t="s">
        <v>3084</v>
      </c>
      <c r="K145" s="37" t="s">
        <v>403</v>
      </c>
      <c r="L145" s="36" t="s">
        <v>3145</v>
      </c>
      <c r="M145" s="36" t="s">
        <v>3144</v>
      </c>
      <c r="N145" s="35">
        <v>2022</v>
      </c>
      <c r="O145" s="5">
        <v>34</v>
      </c>
      <c r="P145" s="5" t="s">
        <v>220</v>
      </c>
    </row>
    <row r="146" spans="1:16" ht="21.5" x14ac:dyDescent="0.9">
      <c r="A146" s="16" t="s">
        <v>3143</v>
      </c>
      <c r="B146" s="16" t="s">
        <v>3142</v>
      </c>
      <c r="C146" s="16" t="s">
        <v>3141</v>
      </c>
      <c r="D146" s="43">
        <v>20</v>
      </c>
      <c r="E146" s="40" t="s">
        <v>220</v>
      </c>
      <c r="F146" s="17"/>
      <c r="G146" s="16"/>
      <c r="H146" s="9" t="s">
        <v>3140</v>
      </c>
      <c r="I146" s="37" t="s">
        <v>2613</v>
      </c>
      <c r="J146" s="37" t="s">
        <v>3084</v>
      </c>
      <c r="K146" s="37" t="s">
        <v>403</v>
      </c>
      <c r="L146" s="36" t="s">
        <v>3139</v>
      </c>
      <c r="M146" s="36" t="s">
        <v>3138</v>
      </c>
      <c r="N146" s="35">
        <v>2022</v>
      </c>
      <c r="O146" s="5">
        <v>35</v>
      </c>
      <c r="P146" s="5" t="s">
        <v>220</v>
      </c>
    </row>
    <row r="147" spans="1:16" ht="21.5" x14ac:dyDescent="0.9">
      <c r="A147" s="16"/>
      <c r="B147" s="16"/>
      <c r="C147" s="16"/>
      <c r="D147" s="43"/>
      <c r="E147" s="40"/>
      <c r="F147" s="17"/>
      <c r="G147" s="16"/>
      <c r="H147" s="9"/>
      <c r="I147" s="37"/>
      <c r="J147" s="37"/>
      <c r="K147" s="37"/>
      <c r="L147" s="8"/>
      <c r="M147" s="8"/>
      <c r="N147" s="35"/>
      <c r="O147" s="5"/>
      <c r="P147" s="5"/>
    </row>
    <row r="148" spans="1:16" ht="21.5" x14ac:dyDescent="0.9">
      <c r="A148" s="16"/>
      <c r="B148" s="16"/>
      <c r="C148" s="16"/>
      <c r="D148" s="43"/>
      <c r="E148" s="40"/>
      <c r="F148" s="17"/>
      <c r="G148" s="16"/>
      <c r="H148" s="9"/>
      <c r="I148" s="37"/>
      <c r="J148" s="37"/>
      <c r="K148" s="37"/>
      <c r="L148" s="8"/>
      <c r="M148" s="8"/>
      <c r="N148" s="35"/>
      <c r="O148" s="5"/>
      <c r="P148" s="5"/>
    </row>
    <row r="149" spans="1:16" ht="21.5" x14ac:dyDescent="0.9">
      <c r="A149" s="17"/>
      <c r="B149" s="17"/>
      <c r="C149" s="17"/>
      <c r="D149" s="17"/>
      <c r="E149" s="39"/>
      <c r="F149" s="17"/>
      <c r="G149" s="16"/>
      <c r="H149" s="9" t="s">
        <v>3137</v>
      </c>
      <c r="I149" s="37" t="s">
        <v>2613</v>
      </c>
      <c r="J149" s="37" t="s">
        <v>3084</v>
      </c>
      <c r="K149" s="37" t="s">
        <v>403</v>
      </c>
      <c r="L149" s="36" t="s">
        <v>3136</v>
      </c>
      <c r="M149" s="36" t="s">
        <v>3135</v>
      </c>
      <c r="N149" s="35">
        <v>2022</v>
      </c>
      <c r="O149" s="5">
        <v>36</v>
      </c>
      <c r="P149" s="5" t="s">
        <v>220</v>
      </c>
    </row>
    <row r="150" spans="1:16" ht="21.5" x14ac:dyDescent="0.9">
      <c r="A150" s="42" t="s">
        <v>3134</v>
      </c>
      <c r="B150" s="17"/>
      <c r="C150" s="17"/>
      <c r="D150" s="17"/>
      <c r="E150" s="39"/>
      <c r="F150" s="17"/>
      <c r="G150" s="16"/>
      <c r="H150" s="9" t="s">
        <v>3133</v>
      </c>
      <c r="I150" s="37" t="s">
        <v>2613</v>
      </c>
      <c r="J150" s="37" t="s">
        <v>3084</v>
      </c>
      <c r="K150" s="37" t="s">
        <v>403</v>
      </c>
      <c r="L150" s="36" t="s">
        <v>3132</v>
      </c>
      <c r="M150" s="36" t="s">
        <v>3131</v>
      </c>
      <c r="N150" s="35">
        <v>2022</v>
      </c>
      <c r="O150" s="5">
        <v>37</v>
      </c>
      <c r="P150" s="5" t="s">
        <v>220</v>
      </c>
    </row>
    <row r="151" spans="1:16" ht="21.5" x14ac:dyDescent="0.9">
      <c r="A151" s="41" t="s">
        <v>3130</v>
      </c>
      <c r="B151" s="41" t="s">
        <v>8</v>
      </c>
      <c r="C151" s="41" t="s">
        <v>9</v>
      </c>
      <c r="D151" s="44" t="s">
        <v>3129</v>
      </c>
      <c r="E151" s="41" t="s">
        <v>3128</v>
      </c>
      <c r="F151" s="17"/>
      <c r="G151" s="16"/>
      <c r="H151" s="9" t="s">
        <v>3127</v>
      </c>
      <c r="I151" s="37" t="s">
        <v>2613</v>
      </c>
      <c r="J151" s="37" t="s">
        <v>3084</v>
      </c>
      <c r="K151" s="37" t="s">
        <v>403</v>
      </c>
      <c r="L151" s="36" t="s">
        <v>3126</v>
      </c>
      <c r="M151" s="36" t="s">
        <v>3125</v>
      </c>
      <c r="N151" s="35">
        <v>2022</v>
      </c>
      <c r="O151" s="5">
        <v>38</v>
      </c>
      <c r="P151" s="5" t="s">
        <v>220</v>
      </c>
    </row>
    <row r="152" spans="1:16" ht="21.5" x14ac:dyDescent="0.9">
      <c r="A152" s="16" t="s">
        <v>3124</v>
      </c>
      <c r="B152" s="16" t="s">
        <v>3123</v>
      </c>
      <c r="C152" s="16" t="s">
        <v>801</v>
      </c>
      <c r="D152" s="43">
        <v>1</v>
      </c>
      <c r="E152" s="40" t="s">
        <v>220</v>
      </c>
      <c r="F152" s="17"/>
      <c r="G152" s="16"/>
      <c r="H152" s="9" t="s">
        <v>3122</v>
      </c>
      <c r="I152" s="37" t="s">
        <v>2613</v>
      </c>
      <c r="J152" s="37" t="s">
        <v>3084</v>
      </c>
      <c r="K152" s="37" t="s">
        <v>403</v>
      </c>
      <c r="L152" s="36" t="s">
        <v>3121</v>
      </c>
      <c r="M152" s="36" t="s">
        <v>3120</v>
      </c>
      <c r="N152" s="35">
        <v>2023</v>
      </c>
      <c r="O152" s="5">
        <v>39</v>
      </c>
      <c r="P152" s="5" t="s">
        <v>220</v>
      </c>
    </row>
    <row r="153" spans="1:16" ht="21.5" x14ac:dyDescent="0.9">
      <c r="A153" s="16" t="s">
        <v>3119</v>
      </c>
      <c r="B153" s="16" t="s">
        <v>3118</v>
      </c>
      <c r="C153" s="16" t="s">
        <v>801</v>
      </c>
      <c r="D153" s="43">
        <v>2</v>
      </c>
      <c r="E153" s="40" t="s">
        <v>220</v>
      </c>
      <c r="F153" s="17"/>
      <c r="G153" s="17"/>
      <c r="H153" s="9" t="s">
        <v>3117</v>
      </c>
      <c r="I153" s="37" t="s">
        <v>2613</v>
      </c>
      <c r="J153" s="37" t="s">
        <v>3084</v>
      </c>
      <c r="K153" s="37" t="s">
        <v>403</v>
      </c>
      <c r="L153" s="36" t="s">
        <v>3116</v>
      </c>
      <c r="M153" s="36" t="s">
        <v>3115</v>
      </c>
      <c r="N153" s="35">
        <v>2023</v>
      </c>
      <c r="O153" s="5">
        <v>40</v>
      </c>
      <c r="P153" s="5" t="s">
        <v>220</v>
      </c>
    </row>
    <row r="154" spans="1:16" ht="21.5" x14ac:dyDescent="0.9">
      <c r="A154" s="16" t="s">
        <v>3114</v>
      </c>
      <c r="B154" s="16" t="s">
        <v>3113</v>
      </c>
      <c r="C154" s="16" t="s">
        <v>801</v>
      </c>
      <c r="D154" s="43">
        <v>3</v>
      </c>
      <c r="E154" s="40" t="s">
        <v>220</v>
      </c>
      <c r="F154" s="17"/>
      <c r="G154" s="17"/>
      <c r="H154" s="9" t="s">
        <v>3112</v>
      </c>
      <c r="I154" s="37" t="s">
        <v>2613</v>
      </c>
      <c r="J154" s="37" t="s">
        <v>3084</v>
      </c>
      <c r="K154" s="37" t="s">
        <v>403</v>
      </c>
      <c r="L154" s="36" t="s">
        <v>3111</v>
      </c>
      <c r="M154" s="36" t="s">
        <v>3110</v>
      </c>
      <c r="N154" s="35">
        <v>2023</v>
      </c>
      <c r="O154" s="5">
        <v>41</v>
      </c>
      <c r="P154" s="5" t="s">
        <v>220</v>
      </c>
    </row>
    <row r="155" spans="1:16" ht="21.5" x14ac:dyDescent="0.9">
      <c r="A155" s="16" t="s">
        <v>3109</v>
      </c>
      <c r="B155" s="16" t="s">
        <v>2605</v>
      </c>
      <c r="C155" s="16" t="s">
        <v>873</v>
      </c>
      <c r="D155" s="43">
        <v>4</v>
      </c>
      <c r="E155" s="40" t="s">
        <v>220</v>
      </c>
      <c r="F155" s="17"/>
      <c r="G155" s="17"/>
      <c r="H155" s="9" t="s">
        <v>3108</v>
      </c>
      <c r="I155" s="37" t="s">
        <v>2613</v>
      </c>
      <c r="J155" s="37" t="s">
        <v>3084</v>
      </c>
      <c r="K155" s="37" t="s">
        <v>403</v>
      </c>
      <c r="L155" s="36" t="s">
        <v>3107</v>
      </c>
      <c r="M155" s="36" t="s">
        <v>3106</v>
      </c>
      <c r="N155" s="35">
        <v>2023</v>
      </c>
      <c r="O155" s="5">
        <v>42</v>
      </c>
      <c r="P155" s="5" t="s">
        <v>220</v>
      </c>
    </row>
    <row r="156" spans="1:16" ht="21.5" x14ac:dyDescent="0.9">
      <c r="A156" s="16" t="s">
        <v>3105</v>
      </c>
      <c r="B156" s="16" t="s">
        <v>2397</v>
      </c>
      <c r="C156" s="16" t="s">
        <v>873</v>
      </c>
      <c r="D156" s="43">
        <v>5</v>
      </c>
      <c r="E156" s="40" t="s">
        <v>220</v>
      </c>
      <c r="F156" s="17"/>
      <c r="G156" s="17"/>
      <c r="H156" s="9" t="s">
        <v>3104</v>
      </c>
      <c r="I156" s="37" t="s">
        <v>2613</v>
      </c>
      <c r="J156" s="37" t="s">
        <v>3084</v>
      </c>
      <c r="K156" s="37" t="s">
        <v>403</v>
      </c>
      <c r="L156" s="36" t="s">
        <v>3103</v>
      </c>
      <c r="M156" s="36" t="s">
        <v>3102</v>
      </c>
      <c r="N156" s="35">
        <v>2024</v>
      </c>
      <c r="O156" s="5">
        <v>43</v>
      </c>
      <c r="P156" s="5" t="s">
        <v>220</v>
      </c>
    </row>
    <row r="157" spans="1:16" ht="21.5" x14ac:dyDescent="0.9">
      <c r="A157" s="16" t="s">
        <v>3101</v>
      </c>
      <c r="B157" s="16" t="s">
        <v>3100</v>
      </c>
      <c r="C157" s="16" t="s">
        <v>873</v>
      </c>
      <c r="D157" s="43">
        <v>6</v>
      </c>
      <c r="E157" s="40" t="s">
        <v>220</v>
      </c>
      <c r="F157" s="17"/>
      <c r="G157" s="17"/>
      <c r="H157" s="9" t="s">
        <v>3099</v>
      </c>
      <c r="I157" s="37" t="s">
        <v>2613</v>
      </c>
      <c r="J157" s="37" t="s">
        <v>3084</v>
      </c>
      <c r="K157" s="37" t="s">
        <v>403</v>
      </c>
      <c r="L157" s="36" t="s">
        <v>3098</v>
      </c>
      <c r="M157" s="36" t="s">
        <v>3097</v>
      </c>
      <c r="N157" s="35">
        <v>2024</v>
      </c>
      <c r="O157" s="5">
        <v>44</v>
      </c>
      <c r="P157" s="5" t="s">
        <v>220</v>
      </c>
    </row>
    <row r="158" spans="1:16" ht="21.5" x14ac:dyDescent="0.9">
      <c r="A158" s="16" t="s">
        <v>3096</v>
      </c>
      <c r="B158" s="16" t="s">
        <v>1610</v>
      </c>
      <c r="C158" s="16" t="s">
        <v>795</v>
      </c>
      <c r="D158" s="43">
        <v>7</v>
      </c>
      <c r="E158" s="40" t="s">
        <v>220</v>
      </c>
      <c r="H158" s="9" t="s">
        <v>3095</v>
      </c>
      <c r="I158" s="37" t="s">
        <v>2613</v>
      </c>
      <c r="J158" s="37" t="s">
        <v>3084</v>
      </c>
      <c r="K158" s="37" t="s">
        <v>403</v>
      </c>
      <c r="L158" s="36" t="s">
        <v>3094</v>
      </c>
      <c r="M158" s="36" t="s">
        <v>3093</v>
      </c>
      <c r="N158" s="35">
        <v>2024</v>
      </c>
      <c r="O158" s="5">
        <v>45</v>
      </c>
      <c r="P158" s="5" t="s">
        <v>220</v>
      </c>
    </row>
    <row r="159" spans="1:16" ht="21.5" x14ac:dyDescent="0.9">
      <c r="A159" s="16" t="s">
        <v>3092</v>
      </c>
      <c r="B159" s="16" t="s">
        <v>3091</v>
      </c>
      <c r="C159" s="16" t="s">
        <v>3069</v>
      </c>
      <c r="D159" s="43">
        <v>8</v>
      </c>
      <c r="E159" s="40" t="s">
        <v>220</v>
      </c>
      <c r="H159" s="9" t="s">
        <v>3090</v>
      </c>
      <c r="I159" s="37" t="s">
        <v>2613</v>
      </c>
      <c r="J159" s="37" t="s">
        <v>3084</v>
      </c>
      <c r="K159" s="37" t="s">
        <v>403</v>
      </c>
      <c r="L159" s="36" t="s">
        <v>3089</v>
      </c>
      <c r="M159" s="36" t="s">
        <v>3088</v>
      </c>
      <c r="N159" s="35">
        <v>2024</v>
      </c>
      <c r="O159" s="5">
        <v>46</v>
      </c>
      <c r="P159" s="5" t="s">
        <v>220</v>
      </c>
    </row>
    <row r="160" spans="1:16" ht="21.5" x14ac:dyDescent="0.9">
      <c r="A160" s="16" t="s">
        <v>3087</v>
      </c>
      <c r="B160" s="16" t="s">
        <v>3086</v>
      </c>
      <c r="C160" s="16" t="s">
        <v>1260</v>
      </c>
      <c r="D160" s="43">
        <v>9</v>
      </c>
      <c r="E160" s="40" t="s">
        <v>220</v>
      </c>
      <c r="H160" s="9" t="s">
        <v>3085</v>
      </c>
      <c r="I160" s="37" t="s">
        <v>2613</v>
      </c>
      <c r="J160" s="37" t="s">
        <v>3084</v>
      </c>
      <c r="K160" s="37" t="s">
        <v>403</v>
      </c>
      <c r="L160" s="36" t="s">
        <v>3083</v>
      </c>
      <c r="M160" s="36" t="s">
        <v>3082</v>
      </c>
      <c r="N160" s="35">
        <v>2025</v>
      </c>
      <c r="O160" s="5">
        <v>47</v>
      </c>
      <c r="P160" s="5" t="s">
        <v>220</v>
      </c>
    </row>
    <row r="161" spans="1:16" ht="43" x14ac:dyDescent="0.9">
      <c r="A161" s="16" t="s">
        <v>3081</v>
      </c>
      <c r="B161" s="16" t="s">
        <v>3080</v>
      </c>
      <c r="C161" s="16" t="s">
        <v>1260</v>
      </c>
      <c r="D161" s="43">
        <v>10</v>
      </c>
      <c r="E161" s="40" t="s">
        <v>220</v>
      </c>
      <c r="H161" s="9" t="s">
        <v>3079</v>
      </c>
      <c r="I161" s="37" t="s">
        <v>2613</v>
      </c>
      <c r="J161" s="37" t="s">
        <v>3036</v>
      </c>
      <c r="K161" s="37" t="s">
        <v>386</v>
      </c>
      <c r="L161" s="36" t="s">
        <v>3078</v>
      </c>
      <c r="M161" s="36" t="s">
        <v>3077</v>
      </c>
      <c r="N161" s="35">
        <v>2010</v>
      </c>
      <c r="O161" s="5">
        <v>48</v>
      </c>
      <c r="P161" s="5" t="s">
        <v>220</v>
      </c>
    </row>
    <row r="162" spans="1:16" ht="21.5" x14ac:dyDescent="0.9">
      <c r="A162" s="16" t="s">
        <v>3076</v>
      </c>
      <c r="B162" s="16" t="s">
        <v>3075</v>
      </c>
      <c r="C162" s="16" t="s">
        <v>1293</v>
      </c>
      <c r="D162" s="43">
        <v>11</v>
      </c>
      <c r="E162" s="40" t="s">
        <v>220</v>
      </c>
      <c r="H162" s="9" t="s">
        <v>3074</v>
      </c>
      <c r="I162" s="37" t="s">
        <v>2613</v>
      </c>
      <c r="J162" s="37" t="s">
        <v>3036</v>
      </c>
      <c r="K162" s="37" t="s">
        <v>386</v>
      </c>
      <c r="L162" s="36" t="s">
        <v>3073</v>
      </c>
      <c r="M162" s="36" t="s">
        <v>3072</v>
      </c>
      <c r="N162" s="35">
        <v>2011</v>
      </c>
      <c r="O162" s="5">
        <v>49</v>
      </c>
      <c r="P162" s="5" t="s">
        <v>220</v>
      </c>
    </row>
    <row r="163" spans="1:16" ht="43" x14ac:dyDescent="0.9">
      <c r="A163" s="16" t="s">
        <v>3071</v>
      </c>
      <c r="B163" s="16" t="s">
        <v>3070</v>
      </c>
      <c r="C163" s="16" t="s">
        <v>3069</v>
      </c>
      <c r="D163" s="43">
        <v>12</v>
      </c>
      <c r="E163" s="40" t="s">
        <v>220</v>
      </c>
      <c r="H163" s="9" t="s">
        <v>3068</v>
      </c>
      <c r="I163" s="37" t="s">
        <v>2613</v>
      </c>
      <c r="J163" s="37" t="s">
        <v>3036</v>
      </c>
      <c r="K163" s="37" t="s">
        <v>386</v>
      </c>
      <c r="L163" s="36" t="s">
        <v>3067</v>
      </c>
      <c r="M163" s="36" t="s">
        <v>3066</v>
      </c>
      <c r="N163" s="35">
        <v>2012</v>
      </c>
      <c r="O163" s="5">
        <v>50</v>
      </c>
      <c r="P163" s="5" t="s">
        <v>220</v>
      </c>
    </row>
    <row r="164" spans="1:16" ht="43" x14ac:dyDescent="0.9">
      <c r="A164" s="16" t="s">
        <v>3065</v>
      </c>
      <c r="B164" s="16" t="s">
        <v>3064</v>
      </c>
      <c r="C164" s="16" t="s">
        <v>3063</v>
      </c>
      <c r="D164" s="43">
        <v>13</v>
      </c>
      <c r="E164" s="40" t="s">
        <v>220</v>
      </c>
      <c r="H164" s="9" t="s">
        <v>3062</v>
      </c>
      <c r="I164" s="37" t="s">
        <v>2613</v>
      </c>
      <c r="J164" s="37" t="s">
        <v>3036</v>
      </c>
      <c r="K164" s="37" t="s">
        <v>386</v>
      </c>
      <c r="L164" s="36" t="s">
        <v>3061</v>
      </c>
      <c r="M164" s="36" t="s">
        <v>3060</v>
      </c>
      <c r="N164" s="35">
        <v>2012</v>
      </c>
      <c r="O164" s="5">
        <v>51</v>
      </c>
      <c r="P164" s="5" t="s">
        <v>220</v>
      </c>
    </row>
    <row r="165" spans="1:16" ht="43" x14ac:dyDescent="0.9">
      <c r="A165" s="16"/>
      <c r="B165" s="16"/>
      <c r="C165" s="16"/>
      <c r="D165" s="43"/>
      <c r="E165" s="40"/>
      <c r="H165" s="9" t="s">
        <v>3059</v>
      </c>
      <c r="I165" s="37" t="s">
        <v>2613</v>
      </c>
      <c r="J165" s="37" t="s">
        <v>3036</v>
      </c>
      <c r="K165" s="37" t="s">
        <v>386</v>
      </c>
      <c r="L165" s="36" t="s">
        <v>3058</v>
      </c>
      <c r="M165" s="36" t="s">
        <v>3057</v>
      </c>
      <c r="N165" s="35">
        <v>2017</v>
      </c>
      <c r="O165" s="5">
        <v>52</v>
      </c>
      <c r="P165" s="5" t="s">
        <v>220</v>
      </c>
    </row>
    <row r="166" spans="1:16" ht="43" x14ac:dyDescent="0.9">
      <c r="A166" s="3" t="s">
        <v>3056</v>
      </c>
      <c r="H166" s="9" t="s">
        <v>3055</v>
      </c>
      <c r="I166" s="37" t="s">
        <v>2613</v>
      </c>
      <c r="J166" s="37" t="s">
        <v>3036</v>
      </c>
      <c r="K166" s="37" t="s">
        <v>386</v>
      </c>
      <c r="L166" s="36" t="s">
        <v>3054</v>
      </c>
      <c r="M166" s="36" t="s">
        <v>3053</v>
      </c>
      <c r="N166" s="35">
        <v>2018</v>
      </c>
      <c r="O166" s="5">
        <v>53</v>
      </c>
      <c r="P166" s="5" t="s">
        <v>220</v>
      </c>
    </row>
    <row r="167" spans="1:16" ht="43" x14ac:dyDescent="0.9">
      <c r="A167" s="6" t="s">
        <v>34</v>
      </c>
      <c r="B167" s="6" t="s">
        <v>33</v>
      </c>
      <c r="C167" s="6" t="s">
        <v>32</v>
      </c>
      <c r="D167" s="6" t="s">
        <v>31</v>
      </c>
      <c r="E167" s="6" t="s">
        <v>0</v>
      </c>
      <c r="H167" s="9" t="s">
        <v>3052</v>
      </c>
      <c r="I167" s="37" t="s">
        <v>2613</v>
      </c>
      <c r="J167" s="37" t="s">
        <v>3036</v>
      </c>
      <c r="K167" s="37" t="s">
        <v>386</v>
      </c>
      <c r="L167" s="36" t="s">
        <v>3051</v>
      </c>
      <c r="M167" s="36" t="s">
        <v>3050</v>
      </c>
      <c r="N167" s="35">
        <v>2019</v>
      </c>
      <c r="O167" s="5">
        <v>54</v>
      </c>
      <c r="P167" s="5" t="s">
        <v>220</v>
      </c>
    </row>
    <row r="168" spans="1:16" ht="43" x14ac:dyDescent="0.9">
      <c r="A168" s="5" t="s">
        <v>3049</v>
      </c>
      <c r="B168" s="5" t="s">
        <v>3048</v>
      </c>
      <c r="C168" s="5" t="s">
        <v>3048</v>
      </c>
      <c r="D168" s="5">
        <v>1</v>
      </c>
      <c r="E168" s="5" t="b">
        <v>1</v>
      </c>
      <c r="H168" s="9" t="s">
        <v>3047</v>
      </c>
      <c r="I168" s="37" t="s">
        <v>2613</v>
      </c>
      <c r="J168" s="37" t="s">
        <v>3036</v>
      </c>
      <c r="K168" s="37" t="s">
        <v>386</v>
      </c>
      <c r="L168" s="36" t="s">
        <v>3046</v>
      </c>
      <c r="M168" s="36" t="s">
        <v>3045</v>
      </c>
      <c r="N168" s="35">
        <v>2020</v>
      </c>
      <c r="O168" s="5">
        <v>55</v>
      </c>
      <c r="P168" s="5" t="s">
        <v>220</v>
      </c>
    </row>
    <row r="169" spans="1:16" ht="43" x14ac:dyDescent="0.9">
      <c r="A169" s="5" t="s">
        <v>3044</v>
      </c>
      <c r="B169" s="5" t="s">
        <v>3043</v>
      </c>
      <c r="C169" s="5" t="s">
        <v>3043</v>
      </c>
      <c r="D169" s="5">
        <v>2</v>
      </c>
      <c r="E169" s="5" t="b">
        <v>1</v>
      </c>
      <c r="H169" s="9" t="s">
        <v>3042</v>
      </c>
      <c r="I169" s="37" t="s">
        <v>2613</v>
      </c>
      <c r="J169" s="37" t="s">
        <v>3036</v>
      </c>
      <c r="K169" s="37" t="s">
        <v>386</v>
      </c>
      <c r="L169" s="36" t="s">
        <v>3041</v>
      </c>
      <c r="M169" s="36" t="s">
        <v>3040</v>
      </c>
      <c r="N169" s="35">
        <v>2021</v>
      </c>
      <c r="O169" s="5">
        <v>56</v>
      </c>
      <c r="P169" s="5" t="s">
        <v>220</v>
      </c>
    </row>
    <row r="170" spans="1:16" ht="43" x14ac:dyDescent="0.9">
      <c r="A170" s="5" t="s">
        <v>3039</v>
      </c>
      <c r="B170" s="5" t="s">
        <v>3038</v>
      </c>
      <c r="C170" s="5" t="s">
        <v>3038</v>
      </c>
      <c r="D170" s="5">
        <v>3</v>
      </c>
      <c r="E170" s="5" t="b">
        <v>1</v>
      </c>
      <c r="H170" s="9" t="s">
        <v>3037</v>
      </c>
      <c r="I170" s="37" t="s">
        <v>2613</v>
      </c>
      <c r="J170" s="37" t="s">
        <v>3036</v>
      </c>
      <c r="K170" s="37" t="s">
        <v>386</v>
      </c>
      <c r="L170" s="36" t="s">
        <v>3035</v>
      </c>
      <c r="M170" s="36" t="s">
        <v>3034</v>
      </c>
      <c r="N170" s="35">
        <v>2022</v>
      </c>
      <c r="O170" s="5">
        <v>57</v>
      </c>
      <c r="P170" s="5" t="s">
        <v>220</v>
      </c>
    </row>
    <row r="171" spans="1:16" ht="21.5" x14ac:dyDescent="0.9">
      <c r="A171" s="5" t="s">
        <v>3033</v>
      </c>
      <c r="B171" s="5" t="s">
        <v>3032</v>
      </c>
      <c r="C171" s="5" t="s">
        <v>3032</v>
      </c>
      <c r="D171" s="5">
        <v>4</v>
      </c>
      <c r="E171" s="5" t="b">
        <v>1</v>
      </c>
      <c r="H171" s="9" t="s">
        <v>3031</v>
      </c>
      <c r="I171" s="37" t="s">
        <v>2613</v>
      </c>
      <c r="J171" s="37" t="s">
        <v>3005</v>
      </c>
      <c r="K171" s="37" t="s">
        <v>386</v>
      </c>
      <c r="L171" s="36" t="s">
        <v>3030</v>
      </c>
      <c r="M171" s="36" t="s">
        <v>3029</v>
      </c>
      <c r="N171" s="35">
        <v>2012</v>
      </c>
      <c r="O171" s="5">
        <v>58</v>
      </c>
      <c r="P171" s="5" t="s">
        <v>220</v>
      </c>
    </row>
    <row r="172" spans="1:16" ht="21.5" x14ac:dyDescent="0.9">
      <c r="A172" s="5" t="s">
        <v>3028</v>
      </c>
      <c r="B172" s="5" t="s">
        <v>3027</v>
      </c>
      <c r="C172" s="5" t="s">
        <v>3027</v>
      </c>
      <c r="D172" s="5">
        <v>5</v>
      </c>
      <c r="E172" s="5" t="b">
        <v>1</v>
      </c>
      <c r="H172" s="9" t="s">
        <v>3026</v>
      </c>
      <c r="I172" s="37" t="s">
        <v>2613</v>
      </c>
      <c r="J172" s="37" t="s">
        <v>3005</v>
      </c>
      <c r="K172" s="37" t="s">
        <v>386</v>
      </c>
      <c r="L172" s="36" t="s">
        <v>3025</v>
      </c>
      <c r="M172" s="36" t="s">
        <v>3024</v>
      </c>
      <c r="N172" s="35">
        <v>2013</v>
      </c>
      <c r="O172" s="5">
        <v>59</v>
      </c>
      <c r="P172" s="5" t="s">
        <v>220</v>
      </c>
    </row>
    <row r="173" spans="1:16" ht="21.5" x14ac:dyDescent="0.9">
      <c r="A173" s="5" t="s">
        <v>3023</v>
      </c>
      <c r="B173" s="5" t="s">
        <v>3022</v>
      </c>
      <c r="C173" s="5" t="s">
        <v>3022</v>
      </c>
      <c r="D173" s="5">
        <v>6</v>
      </c>
      <c r="E173" s="5" t="b">
        <v>1</v>
      </c>
      <c r="H173" s="9" t="s">
        <v>3021</v>
      </c>
      <c r="I173" s="37" t="s">
        <v>2613</v>
      </c>
      <c r="J173" s="37" t="s">
        <v>3005</v>
      </c>
      <c r="K173" s="37" t="s">
        <v>386</v>
      </c>
      <c r="L173" s="36" t="s">
        <v>3020</v>
      </c>
      <c r="M173" s="36" t="s">
        <v>3019</v>
      </c>
      <c r="N173" s="35">
        <v>2014</v>
      </c>
      <c r="O173" s="5">
        <v>60</v>
      </c>
      <c r="P173" s="5" t="s">
        <v>220</v>
      </c>
    </row>
    <row r="174" spans="1:16" ht="21.5" x14ac:dyDescent="0.9">
      <c r="A174" s="5" t="s">
        <v>3018</v>
      </c>
      <c r="B174" s="5" t="s">
        <v>3017</v>
      </c>
      <c r="C174" s="5" t="s">
        <v>3017</v>
      </c>
      <c r="D174" s="5">
        <v>7</v>
      </c>
      <c r="E174" s="5" t="b">
        <v>1</v>
      </c>
      <c r="H174" s="9" t="s">
        <v>3016</v>
      </c>
      <c r="I174" s="37" t="s">
        <v>2613</v>
      </c>
      <c r="J174" s="37" t="s">
        <v>3005</v>
      </c>
      <c r="K174" s="37" t="s">
        <v>386</v>
      </c>
      <c r="L174" s="36" t="s">
        <v>3015</v>
      </c>
      <c r="M174" s="36" t="s">
        <v>3014</v>
      </c>
      <c r="N174" s="35">
        <v>2015</v>
      </c>
      <c r="O174" s="5">
        <v>61</v>
      </c>
      <c r="P174" s="5" t="s">
        <v>220</v>
      </c>
    </row>
    <row r="175" spans="1:16" ht="43" x14ac:dyDescent="0.9">
      <c r="A175" s="5" t="s">
        <v>3013</v>
      </c>
      <c r="B175" s="5" t="s">
        <v>3012</v>
      </c>
      <c r="C175" s="5" t="s">
        <v>3012</v>
      </c>
      <c r="D175" s="5">
        <v>8</v>
      </c>
      <c r="E175" s="5" t="b">
        <v>1</v>
      </c>
      <c r="H175" s="9" t="s">
        <v>3011</v>
      </c>
      <c r="I175" s="37" t="s">
        <v>2613</v>
      </c>
      <c r="J175" s="37" t="s">
        <v>3005</v>
      </c>
      <c r="K175" s="37" t="s">
        <v>386</v>
      </c>
      <c r="L175" s="36" t="s">
        <v>3010</v>
      </c>
      <c r="M175" s="36" t="s">
        <v>3009</v>
      </c>
      <c r="N175" s="35">
        <v>2019</v>
      </c>
      <c r="O175" s="5">
        <v>62</v>
      </c>
      <c r="P175" s="5" t="s">
        <v>220</v>
      </c>
    </row>
    <row r="176" spans="1:16" ht="43" x14ac:dyDescent="0.9">
      <c r="A176" s="5" t="s">
        <v>3008</v>
      </c>
      <c r="B176" s="5" t="s">
        <v>3007</v>
      </c>
      <c r="C176" s="5" t="s">
        <v>3007</v>
      </c>
      <c r="D176" s="5">
        <v>9</v>
      </c>
      <c r="E176" s="5" t="b">
        <v>1</v>
      </c>
      <c r="H176" s="9" t="s">
        <v>3006</v>
      </c>
      <c r="I176" s="37" t="s">
        <v>2613</v>
      </c>
      <c r="J176" s="37" t="s">
        <v>3005</v>
      </c>
      <c r="K176" s="37" t="s">
        <v>386</v>
      </c>
      <c r="L176" s="36" t="s">
        <v>3004</v>
      </c>
      <c r="M176" s="36" t="s">
        <v>3003</v>
      </c>
      <c r="N176" s="35">
        <v>2021</v>
      </c>
      <c r="O176" s="5">
        <v>63</v>
      </c>
      <c r="P176" s="5" t="s">
        <v>220</v>
      </c>
    </row>
    <row r="177" spans="1:16" ht="21.5" x14ac:dyDescent="0.9">
      <c r="A177" s="5" t="s">
        <v>3002</v>
      </c>
      <c r="B177" s="5" t="s">
        <v>3001</v>
      </c>
      <c r="C177" s="5" t="s">
        <v>3001</v>
      </c>
      <c r="D177" s="5">
        <v>10</v>
      </c>
      <c r="E177" s="5" t="b">
        <v>1</v>
      </c>
      <c r="H177" s="9" t="s">
        <v>3000</v>
      </c>
      <c r="I177" s="37" t="s">
        <v>2613</v>
      </c>
      <c r="J177" s="37" t="s">
        <v>2969</v>
      </c>
      <c r="K177" s="37" t="s">
        <v>386</v>
      </c>
      <c r="L177" s="36" t="s">
        <v>2999</v>
      </c>
      <c r="M177" s="36" t="s">
        <v>2998</v>
      </c>
      <c r="N177" s="35">
        <v>2013</v>
      </c>
      <c r="O177" s="5">
        <v>64</v>
      </c>
      <c r="P177" s="5" t="s">
        <v>220</v>
      </c>
    </row>
    <row r="178" spans="1:16" ht="21.5" x14ac:dyDescent="0.9">
      <c r="A178" s="5" t="s">
        <v>2997</v>
      </c>
      <c r="B178" s="5" t="s">
        <v>2996</v>
      </c>
      <c r="C178" s="5" t="s">
        <v>2996</v>
      </c>
      <c r="D178" s="5">
        <v>11</v>
      </c>
      <c r="E178" s="5" t="b">
        <v>1</v>
      </c>
      <c r="H178" s="9" t="s">
        <v>2995</v>
      </c>
      <c r="I178" s="37" t="s">
        <v>2613</v>
      </c>
      <c r="J178" s="37" t="s">
        <v>2969</v>
      </c>
      <c r="K178" s="37" t="s">
        <v>386</v>
      </c>
      <c r="L178" s="36" t="s">
        <v>2994</v>
      </c>
      <c r="M178" s="36" t="s">
        <v>2993</v>
      </c>
      <c r="N178" s="35">
        <v>2014</v>
      </c>
      <c r="O178" s="5">
        <v>65</v>
      </c>
      <c r="P178" s="5" t="s">
        <v>220</v>
      </c>
    </row>
    <row r="179" spans="1:16" ht="43" x14ac:dyDescent="0.9">
      <c r="A179" s="5" t="s">
        <v>2992</v>
      </c>
      <c r="B179" s="5" t="s">
        <v>2991</v>
      </c>
      <c r="C179" s="5" t="s">
        <v>2991</v>
      </c>
      <c r="D179" s="5">
        <v>12</v>
      </c>
      <c r="E179" s="5" t="b">
        <v>1</v>
      </c>
      <c r="H179" s="9" t="s">
        <v>2990</v>
      </c>
      <c r="I179" s="37" t="s">
        <v>2613</v>
      </c>
      <c r="J179" s="37" t="s">
        <v>2969</v>
      </c>
      <c r="K179" s="37" t="s">
        <v>386</v>
      </c>
      <c r="L179" s="36" t="s">
        <v>2989</v>
      </c>
      <c r="M179" s="36" t="s">
        <v>2988</v>
      </c>
      <c r="N179" s="35">
        <v>2019</v>
      </c>
      <c r="O179" s="5">
        <v>66</v>
      </c>
      <c r="P179" s="5" t="s">
        <v>220</v>
      </c>
    </row>
    <row r="180" spans="1:16" ht="43" x14ac:dyDescent="0.9">
      <c r="A180" s="5" t="s">
        <v>2987</v>
      </c>
      <c r="B180" s="5" t="s">
        <v>2986</v>
      </c>
      <c r="C180" s="5" t="s">
        <v>2986</v>
      </c>
      <c r="D180" s="5">
        <v>13</v>
      </c>
      <c r="E180" s="5" t="b">
        <v>1</v>
      </c>
      <c r="H180" s="9" t="s">
        <v>2985</v>
      </c>
      <c r="I180" s="37" t="s">
        <v>2613</v>
      </c>
      <c r="J180" s="37" t="s">
        <v>2969</v>
      </c>
      <c r="K180" s="37" t="s">
        <v>386</v>
      </c>
      <c r="L180" s="36" t="s">
        <v>2984</v>
      </c>
      <c r="M180" s="36" t="s">
        <v>2983</v>
      </c>
      <c r="N180" s="35">
        <v>2020</v>
      </c>
      <c r="O180" s="5">
        <v>67</v>
      </c>
      <c r="P180" s="5" t="s">
        <v>220</v>
      </c>
    </row>
    <row r="181" spans="1:16" ht="43" x14ac:dyDescent="0.9">
      <c r="A181" s="5" t="s">
        <v>2982</v>
      </c>
      <c r="B181" s="5" t="s">
        <v>2981</v>
      </c>
      <c r="C181" s="5" t="s">
        <v>2981</v>
      </c>
      <c r="D181" s="5">
        <v>14</v>
      </c>
      <c r="E181" s="5" t="b">
        <v>1</v>
      </c>
      <c r="H181" s="9" t="s">
        <v>2980</v>
      </c>
      <c r="I181" s="37" t="s">
        <v>2613</v>
      </c>
      <c r="J181" s="37" t="s">
        <v>2969</v>
      </c>
      <c r="K181" s="37" t="s">
        <v>386</v>
      </c>
      <c r="L181" s="36" t="s">
        <v>2979</v>
      </c>
      <c r="M181" s="36" t="s">
        <v>2978</v>
      </c>
      <c r="N181" s="35">
        <v>2022</v>
      </c>
      <c r="O181" s="5">
        <v>68</v>
      </c>
      <c r="P181" s="5" t="s">
        <v>220</v>
      </c>
    </row>
    <row r="182" spans="1:16" ht="43" x14ac:dyDescent="0.9">
      <c r="A182" s="5" t="s">
        <v>2977</v>
      </c>
      <c r="B182" s="5" t="s">
        <v>2976</v>
      </c>
      <c r="C182" s="5" t="s">
        <v>2976</v>
      </c>
      <c r="D182" s="5">
        <v>15</v>
      </c>
      <c r="E182" s="5" t="b">
        <v>1</v>
      </c>
      <c r="H182" s="9" t="s">
        <v>2975</v>
      </c>
      <c r="I182" s="37" t="s">
        <v>2613</v>
      </c>
      <c r="J182" s="37" t="s">
        <v>2969</v>
      </c>
      <c r="K182" s="37" t="s">
        <v>386</v>
      </c>
      <c r="L182" s="36" t="s">
        <v>2974</v>
      </c>
      <c r="M182" s="36" t="s">
        <v>2973</v>
      </c>
      <c r="N182" s="35">
        <v>2024</v>
      </c>
      <c r="O182" s="5">
        <v>69</v>
      </c>
      <c r="P182" s="5" t="s">
        <v>220</v>
      </c>
    </row>
    <row r="183" spans="1:16" ht="43" x14ac:dyDescent="0.9">
      <c r="A183" s="5" t="s">
        <v>2972</v>
      </c>
      <c r="B183" s="5" t="s">
        <v>2971</v>
      </c>
      <c r="C183" s="5" t="s">
        <v>2971</v>
      </c>
      <c r="D183" s="5">
        <v>16</v>
      </c>
      <c r="E183" s="5" t="b">
        <v>1</v>
      </c>
      <c r="H183" s="9" t="s">
        <v>2970</v>
      </c>
      <c r="I183" s="37" t="s">
        <v>2613</v>
      </c>
      <c r="J183" s="37" t="s">
        <v>2969</v>
      </c>
      <c r="K183" s="37" t="s">
        <v>386</v>
      </c>
      <c r="L183" s="36" t="s">
        <v>2968</v>
      </c>
      <c r="M183" s="36" t="s">
        <v>2967</v>
      </c>
      <c r="N183" s="35">
        <v>2024</v>
      </c>
      <c r="O183" s="5">
        <v>70</v>
      </c>
      <c r="P183" s="5" t="s">
        <v>220</v>
      </c>
    </row>
    <row r="184" spans="1:16" ht="43" x14ac:dyDescent="0.9">
      <c r="A184" s="16"/>
      <c r="B184" s="16"/>
      <c r="C184" s="16"/>
      <c r="D184" s="43"/>
      <c r="E184" s="40"/>
      <c r="H184" s="9" t="s">
        <v>2966</v>
      </c>
      <c r="I184" s="37" t="s">
        <v>2613</v>
      </c>
      <c r="J184" s="37" t="s">
        <v>2905</v>
      </c>
      <c r="K184" s="37" t="s">
        <v>386</v>
      </c>
      <c r="L184" s="36" t="s">
        <v>2965</v>
      </c>
      <c r="M184" s="36" t="s">
        <v>2964</v>
      </c>
      <c r="N184" s="35">
        <v>2015</v>
      </c>
      <c r="O184" s="5">
        <v>71</v>
      </c>
      <c r="P184" s="5" t="s">
        <v>220</v>
      </c>
    </row>
    <row r="185" spans="1:16" ht="21.5" x14ac:dyDescent="0.9">
      <c r="A185" s="3" t="s">
        <v>2963</v>
      </c>
      <c r="H185" s="9" t="s">
        <v>2962</v>
      </c>
      <c r="I185" s="37" t="s">
        <v>2613</v>
      </c>
      <c r="J185" s="37" t="s">
        <v>2905</v>
      </c>
      <c r="K185" s="37" t="s">
        <v>386</v>
      </c>
      <c r="L185" s="36" t="s">
        <v>2961</v>
      </c>
      <c r="M185" s="36" t="s">
        <v>2960</v>
      </c>
      <c r="N185" s="35">
        <v>2016</v>
      </c>
      <c r="O185" s="5">
        <v>72</v>
      </c>
      <c r="P185" s="5" t="s">
        <v>220</v>
      </c>
    </row>
    <row r="186" spans="1:16" ht="21.5" x14ac:dyDescent="0.9">
      <c r="A186" s="6" t="s">
        <v>34</v>
      </c>
      <c r="B186" s="6" t="s">
        <v>33</v>
      </c>
      <c r="C186" s="6" t="s">
        <v>32</v>
      </c>
      <c r="D186" s="6" t="s">
        <v>31</v>
      </c>
      <c r="E186" s="6" t="s">
        <v>0</v>
      </c>
      <c r="H186" s="9" t="s">
        <v>2959</v>
      </c>
      <c r="I186" s="37" t="s">
        <v>2613</v>
      </c>
      <c r="J186" s="37" t="s">
        <v>2905</v>
      </c>
      <c r="K186" s="37" t="s">
        <v>386</v>
      </c>
      <c r="L186" s="36" t="s">
        <v>2958</v>
      </c>
      <c r="M186" s="36" t="s">
        <v>2957</v>
      </c>
      <c r="N186" s="35">
        <v>2017</v>
      </c>
      <c r="O186" s="5">
        <v>73</v>
      </c>
      <c r="P186" s="5" t="s">
        <v>220</v>
      </c>
    </row>
    <row r="187" spans="1:16" ht="43" x14ac:dyDescent="0.9">
      <c r="A187" s="5" t="s">
        <v>2956</v>
      </c>
      <c r="B187" s="5" t="s">
        <v>2955</v>
      </c>
      <c r="C187" s="5" t="s">
        <v>357</v>
      </c>
      <c r="D187" s="5">
        <v>1</v>
      </c>
      <c r="E187" s="5" t="b">
        <v>1</v>
      </c>
      <c r="H187" s="9" t="s">
        <v>2954</v>
      </c>
      <c r="I187" s="37" t="s">
        <v>2613</v>
      </c>
      <c r="J187" s="37" t="s">
        <v>2905</v>
      </c>
      <c r="K187" s="37" t="s">
        <v>386</v>
      </c>
      <c r="L187" s="36" t="s">
        <v>2953</v>
      </c>
      <c r="M187" s="36" t="s">
        <v>2952</v>
      </c>
      <c r="N187" s="35">
        <v>2017</v>
      </c>
      <c r="O187" s="5">
        <v>74</v>
      </c>
      <c r="P187" s="5" t="s">
        <v>220</v>
      </c>
    </row>
    <row r="188" spans="1:16" ht="43" x14ac:dyDescent="0.9">
      <c r="A188" s="5" t="s">
        <v>2951</v>
      </c>
      <c r="B188" s="5" t="s">
        <v>2950</v>
      </c>
      <c r="C188" s="5" t="s">
        <v>357</v>
      </c>
      <c r="D188" s="5">
        <v>2</v>
      </c>
      <c r="E188" s="5" t="b">
        <v>1</v>
      </c>
      <c r="H188" s="9" t="s">
        <v>2949</v>
      </c>
      <c r="I188" s="37" t="s">
        <v>2613</v>
      </c>
      <c r="J188" s="37" t="s">
        <v>2905</v>
      </c>
      <c r="K188" s="37" t="s">
        <v>386</v>
      </c>
      <c r="L188" s="36" t="s">
        <v>2948</v>
      </c>
      <c r="M188" s="36" t="s">
        <v>2947</v>
      </c>
      <c r="N188" s="35">
        <v>2018</v>
      </c>
      <c r="O188" s="5">
        <v>75</v>
      </c>
      <c r="P188" s="5" t="s">
        <v>220</v>
      </c>
    </row>
    <row r="189" spans="1:16" ht="43" x14ac:dyDescent="0.9">
      <c r="A189" s="5" t="s">
        <v>2946</v>
      </c>
      <c r="B189" s="5" t="s">
        <v>2945</v>
      </c>
      <c r="C189" s="5" t="s">
        <v>357</v>
      </c>
      <c r="D189" s="5">
        <v>3</v>
      </c>
      <c r="E189" s="5" t="b">
        <v>1</v>
      </c>
      <c r="H189" s="9" t="s">
        <v>2944</v>
      </c>
      <c r="I189" s="37" t="s">
        <v>2613</v>
      </c>
      <c r="J189" s="37" t="s">
        <v>2905</v>
      </c>
      <c r="K189" s="37" t="s">
        <v>386</v>
      </c>
      <c r="L189" s="36" t="s">
        <v>2943</v>
      </c>
      <c r="M189" s="36" t="s">
        <v>2942</v>
      </c>
      <c r="N189" s="35">
        <v>2018</v>
      </c>
      <c r="O189" s="5">
        <v>76</v>
      </c>
      <c r="P189" s="5" t="s">
        <v>220</v>
      </c>
    </row>
    <row r="190" spans="1:16" ht="43" x14ac:dyDescent="0.9">
      <c r="A190" s="5" t="s">
        <v>2941</v>
      </c>
      <c r="B190" s="5" t="s">
        <v>2940</v>
      </c>
      <c r="C190" s="5" t="s">
        <v>357</v>
      </c>
      <c r="D190" s="5">
        <v>4</v>
      </c>
      <c r="E190" s="5" t="b">
        <v>1</v>
      </c>
      <c r="H190" s="9" t="s">
        <v>2939</v>
      </c>
      <c r="I190" s="37" t="s">
        <v>2613</v>
      </c>
      <c r="J190" s="37" t="s">
        <v>2905</v>
      </c>
      <c r="K190" s="37" t="s">
        <v>386</v>
      </c>
      <c r="L190" s="36" t="s">
        <v>2938</v>
      </c>
      <c r="M190" s="36" t="s">
        <v>2937</v>
      </c>
      <c r="N190" s="35">
        <v>2020</v>
      </c>
      <c r="O190" s="5">
        <v>77</v>
      </c>
      <c r="P190" s="5" t="s">
        <v>220</v>
      </c>
    </row>
    <row r="191" spans="1:16" ht="43" x14ac:dyDescent="0.9">
      <c r="A191" s="5" t="s">
        <v>2936</v>
      </c>
      <c r="B191" s="5" t="s">
        <v>2935</v>
      </c>
      <c r="C191" s="5" t="s">
        <v>357</v>
      </c>
      <c r="D191" s="5">
        <v>5</v>
      </c>
      <c r="E191" s="5" t="b">
        <v>1</v>
      </c>
      <c r="H191" s="9" t="s">
        <v>2934</v>
      </c>
      <c r="I191" s="37" t="s">
        <v>2613</v>
      </c>
      <c r="J191" s="37" t="s">
        <v>2905</v>
      </c>
      <c r="K191" s="37" t="s">
        <v>386</v>
      </c>
      <c r="L191" s="36" t="s">
        <v>2933</v>
      </c>
      <c r="M191" s="36" t="s">
        <v>2932</v>
      </c>
      <c r="N191" s="35">
        <v>2020</v>
      </c>
      <c r="O191" s="5">
        <v>78</v>
      </c>
      <c r="P191" s="5" t="s">
        <v>220</v>
      </c>
    </row>
    <row r="192" spans="1:16" ht="43" x14ac:dyDescent="0.9">
      <c r="A192" s="5" t="s">
        <v>2931</v>
      </c>
      <c r="B192" s="5" t="s">
        <v>2930</v>
      </c>
      <c r="C192" s="5" t="s">
        <v>357</v>
      </c>
      <c r="D192" s="5">
        <v>6</v>
      </c>
      <c r="E192" s="5">
        <v>1</v>
      </c>
      <c r="H192" s="9" t="s">
        <v>2929</v>
      </c>
      <c r="I192" s="37" t="s">
        <v>2613</v>
      </c>
      <c r="J192" s="37" t="s">
        <v>2905</v>
      </c>
      <c r="K192" s="37" t="s">
        <v>386</v>
      </c>
      <c r="L192" s="36" t="s">
        <v>2928</v>
      </c>
      <c r="M192" s="36" t="s">
        <v>2927</v>
      </c>
      <c r="N192" s="35">
        <v>2021</v>
      </c>
      <c r="O192" s="5">
        <v>79</v>
      </c>
      <c r="P192" s="5" t="s">
        <v>220</v>
      </c>
    </row>
    <row r="193" spans="1:16" ht="43" x14ac:dyDescent="0.9">
      <c r="A193" s="5" t="s">
        <v>2926</v>
      </c>
      <c r="B193" s="5" t="s">
        <v>2925</v>
      </c>
      <c r="C193" s="5" t="s">
        <v>357</v>
      </c>
      <c r="D193" s="5">
        <v>7</v>
      </c>
      <c r="E193" s="5" t="b">
        <v>1</v>
      </c>
      <c r="H193" s="9" t="s">
        <v>2924</v>
      </c>
      <c r="I193" s="37" t="s">
        <v>2613</v>
      </c>
      <c r="J193" s="37" t="s">
        <v>2905</v>
      </c>
      <c r="K193" s="37" t="s">
        <v>386</v>
      </c>
      <c r="L193" s="36" t="s">
        <v>2923</v>
      </c>
      <c r="M193" s="36" t="s">
        <v>2922</v>
      </c>
      <c r="N193" s="35">
        <v>2021</v>
      </c>
      <c r="O193" s="5">
        <v>80</v>
      </c>
      <c r="P193" s="5" t="s">
        <v>220</v>
      </c>
    </row>
    <row r="194" spans="1:16" ht="43" x14ac:dyDescent="0.9">
      <c r="A194" s="5" t="s">
        <v>2921</v>
      </c>
      <c r="B194" s="5" t="s">
        <v>2920</v>
      </c>
      <c r="C194" s="5" t="s">
        <v>357</v>
      </c>
      <c r="D194" s="5">
        <v>8</v>
      </c>
      <c r="E194" s="5" t="b">
        <v>1</v>
      </c>
      <c r="H194" s="9" t="s">
        <v>2919</v>
      </c>
      <c r="I194" s="37" t="s">
        <v>2613</v>
      </c>
      <c r="J194" s="37" t="s">
        <v>2905</v>
      </c>
      <c r="K194" s="37" t="s">
        <v>386</v>
      </c>
      <c r="L194" s="36" t="s">
        <v>2918</v>
      </c>
      <c r="M194" s="36" t="s">
        <v>2917</v>
      </c>
      <c r="N194" s="35">
        <v>2022</v>
      </c>
      <c r="O194" s="5">
        <v>81</v>
      </c>
      <c r="P194" s="5" t="s">
        <v>220</v>
      </c>
    </row>
    <row r="195" spans="1:16" ht="43" x14ac:dyDescent="0.9">
      <c r="A195" s="5" t="s">
        <v>2916</v>
      </c>
      <c r="B195" s="5" t="s">
        <v>2915</v>
      </c>
      <c r="C195" s="5" t="s">
        <v>357</v>
      </c>
      <c r="D195" s="5">
        <v>9</v>
      </c>
      <c r="E195" s="5" t="b">
        <v>1</v>
      </c>
      <c r="H195" s="9" t="s">
        <v>2914</v>
      </c>
      <c r="I195" s="37" t="s">
        <v>2613</v>
      </c>
      <c r="J195" s="37" t="s">
        <v>2905</v>
      </c>
      <c r="K195" s="37" t="s">
        <v>386</v>
      </c>
      <c r="L195" s="36" t="s">
        <v>2913</v>
      </c>
      <c r="M195" s="36" t="s">
        <v>2912</v>
      </c>
      <c r="N195" s="35">
        <v>2022</v>
      </c>
      <c r="O195" s="5">
        <v>82</v>
      </c>
      <c r="P195" s="5" t="s">
        <v>220</v>
      </c>
    </row>
    <row r="196" spans="1:16" ht="43" x14ac:dyDescent="0.9">
      <c r="A196" s="5" t="s">
        <v>2911</v>
      </c>
      <c r="B196" s="5" t="s">
        <v>2910</v>
      </c>
      <c r="C196" s="5" t="s">
        <v>357</v>
      </c>
      <c r="D196" s="5">
        <v>10</v>
      </c>
      <c r="E196" s="5" t="b">
        <v>1</v>
      </c>
      <c r="H196" s="9" t="s">
        <v>2909</v>
      </c>
      <c r="I196" s="37" t="s">
        <v>2613</v>
      </c>
      <c r="J196" s="37" t="s">
        <v>2905</v>
      </c>
      <c r="K196" s="37" t="s">
        <v>386</v>
      </c>
      <c r="L196" s="36" t="s">
        <v>2908</v>
      </c>
      <c r="M196" s="36" t="s">
        <v>2907</v>
      </c>
      <c r="N196" s="35">
        <v>2024</v>
      </c>
      <c r="O196" s="5">
        <v>83</v>
      </c>
      <c r="P196" s="5" t="s">
        <v>220</v>
      </c>
    </row>
    <row r="197" spans="1:16" ht="43" x14ac:dyDescent="0.9">
      <c r="A197" s="16"/>
      <c r="B197" s="16"/>
      <c r="C197" s="16"/>
      <c r="D197" s="43"/>
      <c r="E197" s="40"/>
      <c r="H197" s="9" t="s">
        <v>2906</v>
      </c>
      <c r="I197" s="37" t="s">
        <v>2613</v>
      </c>
      <c r="J197" s="37" t="s">
        <v>2905</v>
      </c>
      <c r="K197" s="37" t="s">
        <v>386</v>
      </c>
      <c r="L197" s="36" t="s">
        <v>2904</v>
      </c>
      <c r="M197" s="36" t="s">
        <v>2903</v>
      </c>
      <c r="N197" s="35">
        <v>2024</v>
      </c>
      <c r="O197" s="5">
        <v>84</v>
      </c>
      <c r="P197" s="5" t="s">
        <v>220</v>
      </c>
    </row>
    <row r="198" spans="1:16" ht="21.5" x14ac:dyDescent="0.9">
      <c r="A198" s="3" t="s">
        <v>2902</v>
      </c>
      <c r="H198" s="9" t="s">
        <v>2901</v>
      </c>
      <c r="I198" s="37" t="s">
        <v>2613</v>
      </c>
      <c r="J198" s="37" t="s">
        <v>2893</v>
      </c>
      <c r="K198" s="37" t="s">
        <v>262</v>
      </c>
      <c r="L198" s="36" t="s">
        <v>2900</v>
      </c>
      <c r="M198" s="36" t="s">
        <v>2899</v>
      </c>
      <c r="N198" s="35">
        <v>2006</v>
      </c>
      <c r="O198" s="5">
        <v>85</v>
      </c>
      <c r="P198" s="5" t="s">
        <v>220</v>
      </c>
    </row>
    <row r="199" spans="1:16" ht="43" x14ac:dyDescent="0.9">
      <c r="A199" s="6" t="s">
        <v>34</v>
      </c>
      <c r="B199" s="6" t="s">
        <v>33</v>
      </c>
      <c r="C199" s="6" t="s">
        <v>32</v>
      </c>
      <c r="D199" s="6" t="s">
        <v>31</v>
      </c>
      <c r="E199" s="6" t="s">
        <v>0</v>
      </c>
      <c r="H199" s="9" t="s">
        <v>2898</v>
      </c>
      <c r="I199" s="37" t="s">
        <v>2613</v>
      </c>
      <c r="J199" s="37" t="s">
        <v>2893</v>
      </c>
      <c r="K199" s="37" t="s">
        <v>262</v>
      </c>
      <c r="L199" s="36" t="s">
        <v>2897</v>
      </c>
      <c r="M199" s="36" t="s">
        <v>2843</v>
      </c>
      <c r="N199" s="35">
        <v>2008</v>
      </c>
      <c r="O199" s="5">
        <v>86</v>
      </c>
      <c r="P199" s="5" t="s">
        <v>220</v>
      </c>
    </row>
    <row r="200" spans="1:16" ht="43" x14ac:dyDescent="0.9">
      <c r="A200" s="5" t="s">
        <v>2896</v>
      </c>
      <c r="B200" s="5" t="s">
        <v>2895</v>
      </c>
      <c r="C200" s="5" t="s">
        <v>2895</v>
      </c>
      <c r="D200" s="5">
        <v>1</v>
      </c>
      <c r="E200" s="5" t="b">
        <v>1</v>
      </c>
      <c r="H200" s="9" t="s">
        <v>2894</v>
      </c>
      <c r="I200" s="37" t="s">
        <v>2613</v>
      </c>
      <c r="J200" s="37" t="s">
        <v>2893</v>
      </c>
      <c r="K200" s="37" t="s">
        <v>262</v>
      </c>
      <c r="L200" s="36" t="s">
        <v>2892</v>
      </c>
      <c r="M200" s="36" t="s">
        <v>2891</v>
      </c>
      <c r="N200" s="35">
        <v>2015</v>
      </c>
      <c r="O200" s="5">
        <v>87</v>
      </c>
      <c r="P200" s="5" t="s">
        <v>220</v>
      </c>
    </row>
    <row r="201" spans="1:16" ht="43" x14ac:dyDescent="0.9">
      <c r="A201" s="5" t="s">
        <v>2890</v>
      </c>
      <c r="B201" s="5" t="s">
        <v>2889</v>
      </c>
      <c r="C201" s="5" t="s">
        <v>2889</v>
      </c>
      <c r="D201" s="5">
        <v>2</v>
      </c>
      <c r="E201" s="5" t="b">
        <v>1</v>
      </c>
      <c r="H201" s="9" t="s">
        <v>2888</v>
      </c>
      <c r="I201" s="37" t="s">
        <v>2613</v>
      </c>
      <c r="J201" s="37" t="s">
        <v>2850</v>
      </c>
      <c r="K201" s="37" t="s">
        <v>262</v>
      </c>
      <c r="L201" s="36" t="s">
        <v>2887</v>
      </c>
      <c r="M201" s="36" t="s">
        <v>2886</v>
      </c>
      <c r="N201" s="35">
        <v>2008</v>
      </c>
      <c r="O201" s="5">
        <v>88</v>
      </c>
      <c r="P201" s="5" t="s">
        <v>220</v>
      </c>
    </row>
    <row r="202" spans="1:16" ht="21.5" x14ac:dyDescent="0.9">
      <c r="A202" s="5" t="s">
        <v>2885</v>
      </c>
      <c r="B202" s="5" t="s">
        <v>2884</v>
      </c>
      <c r="C202" s="5" t="s">
        <v>2884</v>
      </c>
      <c r="D202" s="5">
        <v>3</v>
      </c>
      <c r="E202" s="5" t="b">
        <v>1</v>
      </c>
      <c r="H202" s="9" t="s">
        <v>2883</v>
      </c>
      <c r="I202" s="37" t="s">
        <v>2613</v>
      </c>
      <c r="J202" s="37" t="s">
        <v>2850</v>
      </c>
      <c r="K202" s="37" t="s">
        <v>262</v>
      </c>
      <c r="L202" s="36" t="s">
        <v>2882</v>
      </c>
      <c r="M202" s="36" t="s">
        <v>2881</v>
      </c>
      <c r="N202" s="35">
        <v>2010</v>
      </c>
      <c r="O202" s="5">
        <v>89</v>
      </c>
      <c r="P202" s="5" t="s">
        <v>220</v>
      </c>
    </row>
    <row r="203" spans="1:16" ht="43" x14ac:dyDescent="0.9">
      <c r="A203" s="5" t="s">
        <v>2880</v>
      </c>
      <c r="B203" s="5" t="s">
        <v>2879</v>
      </c>
      <c r="C203" s="5" t="s">
        <v>2879</v>
      </c>
      <c r="D203" s="5">
        <v>4</v>
      </c>
      <c r="E203" s="5" t="b">
        <v>1</v>
      </c>
      <c r="H203" s="9" t="s">
        <v>2878</v>
      </c>
      <c r="I203" s="37" t="s">
        <v>2613</v>
      </c>
      <c r="J203" s="37" t="s">
        <v>2850</v>
      </c>
      <c r="K203" s="37" t="s">
        <v>262</v>
      </c>
      <c r="L203" s="36" t="s">
        <v>2877</v>
      </c>
      <c r="M203" s="36" t="s">
        <v>2876</v>
      </c>
      <c r="N203" s="35">
        <v>2010</v>
      </c>
      <c r="O203" s="5">
        <v>90</v>
      </c>
      <c r="P203" s="5" t="s">
        <v>220</v>
      </c>
    </row>
    <row r="204" spans="1:16" ht="43" x14ac:dyDescent="0.9">
      <c r="A204" s="5" t="s">
        <v>2875</v>
      </c>
      <c r="B204" s="5" t="s">
        <v>2874</v>
      </c>
      <c r="C204" s="5" t="s">
        <v>2874</v>
      </c>
      <c r="D204" s="5">
        <v>5</v>
      </c>
      <c r="E204" s="5" t="b">
        <v>1</v>
      </c>
      <c r="H204" s="9" t="s">
        <v>2873</v>
      </c>
      <c r="I204" s="37" t="s">
        <v>2613</v>
      </c>
      <c r="J204" s="37" t="s">
        <v>2850</v>
      </c>
      <c r="K204" s="37" t="s">
        <v>262</v>
      </c>
      <c r="L204" s="36" t="s">
        <v>2872</v>
      </c>
      <c r="M204" s="36" t="s">
        <v>2871</v>
      </c>
      <c r="N204" s="35">
        <v>2018</v>
      </c>
      <c r="O204" s="5">
        <v>91</v>
      </c>
      <c r="P204" s="5" t="s">
        <v>220</v>
      </c>
    </row>
    <row r="205" spans="1:16" ht="21.5" x14ac:dyDescent="0.9">
      <c r="A205" s="16"/>
      <c r="B205" s="16"/>
      <c r="C205" s="16"/>
      <c r="D205" s="43"/>
      <c r="E205" s="40"/>
      <c r="H205" s="9" t="s">
        <v>2870</v>
      </c>
      <c r="I205" s="37" t="s">
        <v>2613</v>
      </c>
      <c r="J205" s="37" t="s">
        <v>2850</v>
      </c>
      <c r="K205" s="37" t="s">
        <v>262</v>
      </c>
      <c r="L205" s="36" t="s">
        <v>2869</v>
      </c>
      <c r="M205" s="36" t="s">
        <v>2868</v>
      </c>
      <c r="N205" s="35">
        <v>2020</v>
      </c>
      <c r="O205" s="5">
        <v>92</v>
      </c>
      <c r="P205" s="5" t="s">
        <v>220</v>
      </c>
    </row>
    <row r="206" spans="1:16" ht="21.5" x14ac:dyDescent="0.9">
      <c r="A206" s="42" t="s">
        <v>2867</v>
      </c>
      <c r="B206" s="38"/>
      <c r="H206" s="9" t="s">
        <v>2866</v>
      </c>
      <c r="I206" s="37" t="s">
        <v>2613</v>
      </c>
      <c r="J206" s="37" t="s">
        <v>2850</v>
      </c>
      <c r="K206" s="37" t="s">
        <v>262</v>
      </c>
      <c r="L206" s="36" t="s">
        <v>2865</v>
      </c>
      <c r="M206" s="36" t="s">
        <v>2864</v>
      </c>
      <c r="N206" s="35">
        <v>2022</v>
      </c>
      <c r="O206" s="5">
        <v>93</v>
      </c>
      <c r="P206" s="5" t="s">
        <v>220</v>
      </c>
    </row>
    <row r="207" spans="1:16" ht="43" x14ac:dyDescent="0.9">
      <c r="A207" s="6" t="s">
        <v>2863</v>
      </c>
      <c r="B207" s="6" t="s">
        <v>2862</v>
      </c>
      <c r="C207" s="17"/>
      <c r="D207" s="17"/>
      <c r="E207" s="17"/>
      <c r="F207" s="17"/>
      <c r="G207" s="17"/>
      <c r="H207" s="9" t="s">
        <v>2861</v>
      </c>
      <c r="I207" s="37" t="s">
        <v>2613</v>
      </c>
      <c r="J207" s="37" t="s">
        <v>2850</v>
      </c>
      <c r="K207" s="37" t="s">
        <v>262</v>
      </c>
      <c r="L207" s="36" t="s">
        <v>2860</v>
      </c>
      <c r="M207" s="36" t="s">
        <v>2859</v>
      </c>
      <c r="N207" s="35">
        <v>2023</v>
      </c>
      <c r="O207" s="5">
        <v>94</v>
      </c>
      <c r="P207" s="5" t="s">
        <v>220</v>
      </c>
    </row>
    <row r="208" spans="1:16" ht="21.5" x14ac:dyDescent="0.9">
      <c r="A208" s="16" t="s">
        <v>2858</v>
      </c>
      <c r="B208" s="5" t="s">
        <v>2857</v>
      </c>
      <c r="C208" s="17"/>
      <c r="D208" s="17"/>
      <c r="E208" s="17"/>
      <c r="F208" s="17"/>
      <c r="G208" s="17"/>
      <c r="H208" s="9" t="s">
        <v>2856</v>
      </c>
      <c r="I208" s="37" t="s">
        <v>2613</v>
      </c>
      <c r="J208" s="37" t="s">
        <v>2850</v>
      </c>
      <c r="K208" s="37" t="s">
        <v>262</v>
      </c>
      <c r="L208" s="36" t="s">
        <v>2855</v>
      </c>
      <c r="M208" s="36" t="s">
        <v>2854</v>
      </c>
      <c r="N208" s="35">
        <v>2024</v>
      </c>
      <c r="O208" s="5">
        <v>95</v>
      </c>
      <c r="P208" s="5" t="s">
        <v>220</v>
      </c>
    </row>
    <row r="209" spans="1:16" ht="43" x14ac:dyDescent="0.9">
      <c r="A209" s="16" t="s">
        <v>2853</v>
      </c>
      <c r="B209" s="5" t="s">
        <v>2852</v>
      </c>
      <c r="H209" s="9" t="s">
        <v>2851</v>
      </c>
      <c r="I209" s="37" t="s">
        <v>2613</v>
      </c>
      <c r="J209" s="37" t="s">
        <v>2850</v>
      </c>
      <c r="K209" s="37" t="s">
        <v>262</v>
      </c>
      <c r="L209" s="36" t="s">
        <v>2849</v>
      </c>
      <c r="M209" s="36" t="s">
        <v>2848</v>
      </c>
      <c r="N209" s="35">
        <v>2024</v>
      </c>
      <c r="O209" s="5">
        <v>96</v>
      </c>
      <c r="P209" s="5" t="s">
        <v>220</v>
      </c>
    </row>
    <row r="210" spans="1:16" ht="43" x14ac:dyDescent="0.9">
      <c r="A210" s="16" t="s">
        <v>2847</v>
      </c>
      <c r="B210" s="5" t="s">
        <v>2846</v>
      </c>
      <c r="C210" s="41"/>
      <c r="D210" s="41"/>
      <c r="H210" s="9" t="s">
        <v>2845</v>
      </c>
      <c r="I210" s="37" t="s">
        <v>2613</v>
      </c>
      <c r="J210" s="37" t="s">
        <v>2820</v>
      </c>
      <c r="K210" s="37" t="s">
        <v>262</v>
      </c>
      <c r="L210" s="36" t="s">
        <v>2844</v>
      </c>
      <c r="M210" s="36" t="s">
        <v>2843</v>
      </c>
      <c r="N210" s="35">
        <v>2009</v>
      </c>
      <c r="O210" s="5">
        <v>97</v>
      </c>
      <c r="P210" s="5" t="s">
        <v>220</v>
      </c>
    </row>
    <row r="211" spans="1:16" ht="43" x14ac:dyDescent="0.9">
      <c r="A211" s="16" t="s">
        <v>2842</v>
      </c>
      <c r="B211" s="5" t="s">
        <v>2841</v>
      </c>
      <c r="C211" s="40"/>
      <c r="D211" s="16"/>
      <c r="H211" s="9" t="s">
        <v>2840</v>
      </c>
      <c r="I211" s="37" t="s">
        <v>2613</v>
      </c>
      <c r="J211" s="37" t="s">
        <v>2820</v>
      </c>
      <c r="K211" s="37" t="s">
        <v>262</v>
      </c>
      <c r="L211" s="36" t="s">
        <v>2839</v>
      </c>
      <c r="M211" s="36" t="s">
        <v>2838</v>
      </c>
      <c r="N211" s="35">
        <v>2012</v>
      </c>
      <c r="O211" s="5">
        <v>98</v>
      </c>
      <c r="P211" s="5" t="s">
        <v>220</v>
      </c>
    </row>
    <row r="212" spans="1:16" ht="43" x14ac:dyDescent="0.9">
      <c r="A212" s="16" t="s">
        <v>2837</v>
      </c>
      <c r="B212" s="5" t="s">
        <v>2836</v>
      </c>
      <c r="C212" s="40"/>
      <c r="D212" s="16"/>
      <c r="E212" s="39"/>
      <c r="F212" s="17"/>
      <c r="G212" s="33"/>
      <c r="H212" s="9" t="s">
        <v>2835</v>
      </c>
      <c r="I212" s="37" t="s">
        <v>2613</v>
      </c>
      <c r="J212" s="37" t="s">
        <v>2820</v>
      </c>
      <c r="K212" s="37" t="s">
        <v>262</v>
      </c>
      <c r="L212" s="36" t="s">
        <v>2834</v>
      </c>
      <c r="M212" s="36" t="s">
        <v>2833</v>
      </c>
      <c r="N212" s="35">
        <v>2021</v>
      </c>
      <c r="O212" s="5">
        <v>99</v>
      </c>
      <c r="P212" s="5" t="s">
        <v>220</v>
      </c>
    </row>
    <row r="213" spans="1:16" ht="43" x14ac:dyDescent="0.9">
      <c r="A213" s="16" t="s">
        <v>2832</v>
      </c>
      <c r="B213" s="5" t="s">
        <v>2831</v>
      </c>
      <c r="C213" s="40"/>
      <c r="D213" s="16"/>
      <c r="H213" s="9" t="s">
        <v>2830</v>
      </c>
      <c r="I213" s="37" t="s">
        <v>2613</v>
      </c>
      <c r="J213" s="37" t="s">
        <v>2820</v>
      </c>
      <c r="K213" s="37" t="s">
        <v>262</v>
      </c>
      <c r="L213" s="36" t="s">
        <v>2829</v>
      </c>
      <c r="M213" s="36" t="s">
        <v>2828</v>
      </c>
      <c r="N213" s="35">
        <v>2021</v>
      </c>
      <c r="O213" s="5">
        <v>100</v>
      </c>
      <c r="P213" s="5" t="s">
        <v>220</v>
      </c>
    </row>
    <row r="214" spans="1:16" ht="43" x14ac:dyDescent="0.9">
      <c r="A214" s="16" t="s">
        <v>2827</v>
      </c>
      <c r="B214" s="5" t="s">
        <v>2826</v>
      </c>
      <c r="C214" s="40"/>
      <c r="D214" s="16"/>
      <c r="H214" s="9" t="s">
        <v>2825</v>
      </c>
      <c r="I214" s="37" t="s">
        <v>2613</v>
      </c>
      <c r="J214" s="37" t="s">
        <v>2820</v>
      </c>
      <c r="K214" s="37" t="s">
        <v>262</v>
      </c>
      <c r="L214" s="36" t="s">
        <v>2824</v>
      </c>
      <c r="M214" s="36" t="s">
        <v>2823</v>
      </c>
      <c r="N214" s="35">
        <v>2023</v>
      </c>
      <c r="O214" s="5">
        <v>101</v>
      </c>
      <c r="P214" s="5" t="s">
        <v>220</v>
      </c>
    </row>
    <row r="215" spans="1:16" ht="43" x14ac:dyDescent="0.9">
      <c r="A215" s="16" t="s">
        <v>2822</v>
      </c>
      <c r="B215" s="5" t="s">
        <v>394</v>
      </c>
      <c r="C215" s="40"/>
      <c r="D215" s="16"/>
      <c r="H215" s="9" t="s">
        <v>2821</v>
      </c>
      <c r="I215" s="37" t="s">
        <v>2613</v>
      </c>
      <c r="J215" s="37" t="s">
        <v>2820</v>
      </c>
      <c r="K215" s="37" t="s">
        <v>262</v>
      </c>
      <c r="L215" s="36" t="s">
        <v>2819</v>
      </c>
      <c r="M215" s="36" t="s">
        <v>2818</v>
      </c>
      <c r="N215" s="35">
        <v>2023</v>
      </c>
      <c r="O215" s="5">
        <v>102</v>
      </c>
      <c r="P215" s="5" t="s">
        <v>220</v>
      </c>
    </row>
    <row r="216" spans="1:16" ht="21.5" x14ac:dyDescent="0.9">
      <c r="A216" s="16" t="s">
        <v>2817</v>
      </c>
      <c r="B216" s="5" t="s">
        <v>2816</v>
      </c>
      <c r="C216" s="40"/>
      <c r="D216" s="16"/>
      <c r="E216" s="39"/>
      <c r="F216" s="17"/>
      <c r="G216" s="17"/>
      <c r="H216" s="9" t="s">
        <v>2815</v>
      </c>
      <c r="I216" s="37" t="s">
        <v>2613</v>
      </c>
      <c r="J216" s="37" t="s">
        <v>2778</v>
      </c>
      <c r="K216" s="37" t="s">
        <v>223</v>
      </c>
      <c r="L216" s="36" t="s">
        <v>2814</v>
      </c>
      <c r="M216" s="36" t="s">
        <v>2813</v>
      </c>
      <c r="N216" s="35">
        <v>1998</v>
      </c>
      <c r="O216" s="5">
        <v>103</v>
      </c>
      <c r="P216" s="5" t="s">
        <v>220</v>
      </c>
    </row>
    <row r="217" spans="1:16" ht="21.5" x14ac:dyDescent="0.9">
      <c r="A217" s="16" t="s">
        <v>2812</v>
      </c>
      <c r="B217" s="5" t="s">
        <v>2811</v>
      </c>
      <c r="C217" s="40"/>
      <c r="D217" s="16"/>
      <c r="H217" s="9" t="s">
        <v>2810</v>
      </c>
      <c r="I217" s="37" t="s">
        <v>2613</v>
      </c>
      <c r="J217" s="37" t="s">
        <v>2778</v>
      </c>
      <c r="K217" s="37" t="s">
        <v>223</v>
      </c>
      <c r="L217" s="36" t="s">
        <v>2809</v>
      </c>
      <c r="M217" s="36" t="s">
        <v>2808</v>
      </c>
      <c r="N217" s="35">
        <v>2002</v>
      </c>
      <c r="O217" s="5">
        <v>104</v>
      </c>
      <c r="P217" s="5" t="s">
        <v>220</v>
      </c>
    </row>
    <row r="218" spans="1:16" ht="21.5" x14ac:dyDescent="0.9">
      <c r="A218" s="16" t="s">
        <v>2807</v>
      </c>
      <c r="B218" s="5" t="s">
        <v>2806</v>
      </c>
      <c r="C218" s="40"/>
      <c r="D218" s="16"/>
      <c r="E218" s="39"/>
      <c r="F218" s="17"/>
      <c r="G218" s="33"/>
      <c r="H218" s="9" t="s">
        <v>2805</v>
      </c>
      <c r="I218" s="37" t="s">
        <v>2613</v>
      </c>
      <c r="J218" s="37" t="s">
        <v>2778</v>
      </c>
      <c r="K218" s="37" t="s">
        <v>223</v>
      </c>
      <c r="L218" s="36" t="s">
        <v>2804</v>
      </c>
      <c r="M218" s="36" t="s">
        <v>2803</v>
      </c>
      <c r="N218" s="35">
        <v>2004</v>
      </c>
      <c r="O218" s="5">
        <v>105</v>
      </c>
      <c r="P218" s="5" t="s">
        <v>220</v>
      </c>
    </row>
    <row r="219" spans="1:16" ht="21.5" x14ac:dyDescent="0.9">
      <c r="A219" s="16" t="s">
        <v>2802</v>
      </c>
      <c r="B219" s="5" t="s">
        <v>2801</v>
      </c>
      <c r="C219" s="40"/>
      <c r="D219" s="16"/>
      <c r="E219" s="39"/>
      <c r="F219" s="17"/>
      <c r="G219" s="33"/>
      <c r="H219" s="9" t="s">
        <v>2800</v>
      </c>
      <c r="I219" s="37" t="s">
        <v>2613</v>
      </c>
      <c r="J219" s="37" t="s">
        <v>2778</v>
      </c>
      <c r="K219" s="37" t="s">
        <v>223</v>
      </c>
      <c r="L219" s="36" t="s">
        <v>2799</v>
      </c>
      <c r="M219" s="36" t="s">
        <v>2798</v>
      </c>
      <c r="N219" s="35">
        <v>2006</v>
      </c>
      <c r="O219" s="5">
        <v>106</v>
      </c>
      <c r="P219" s="5" t="s">
        <v>220</v>
      </c>
    </row>
    <row r="220" spans="1:16" ht="21.5" x14ac:dyDescent="0.9">
      <c r="A220" s="16"/>
      <c r="B220" s="16"/>
      <c r="C220" s="40"/>
      <c r="D220" s="16"/>
      <c r="E220" s="39"/>
      <c r="F220" s="17"/>
      <c r="G220" s="17"/>
      <c r="H220" s="9" t="s">
        <v>2797</v>
      </c>
      <c r="I220" s="37" t="s">
        <v>2613</v>
      </c>
      <c r="J220" s="37" t="s">
        <v>2778</v>
      </c>
      <c r="K220" s="37" t="s">
        <v>223</v>
      </c>
      <c r="L220" s="36" t="s">
        <v>2796</v>
      </c>
      <c r="M220" s="36" t="s">
        <v>2795</v>
      </c>
      <c r="N220" s="35">
        <v>2009</v>
      </c>
      <c r="O220" s="5">
        <v>107</v>
      </c>
      <c r="P220" s="5" t="s">
        <v>220</v>
      </c>
    </row>
    <row r="221" spans="1:16" ht="21.5" x14ac:dyDescent="0.9">
      <c r="A221" s="3" t="s">
        <v>2791</v>
      </c>
      <c r="H221" s="9" t="s">
        <v>2794</v>
      </c>
      <c r="I221" s="37" t="s">
        <v>2613</v>
      </c>
      <c r="J221" s="37" t="s">
        <v>2778</v>
      </c>
      <c r="K221" s="37" t="s">
        <v>223</v>
      </c>
      <c r="L221" s="36" t="s">
        <v>2793</v>
      </c>
      <c r="M221" s="36" t="s">
        <v>2792</v>
      </c>
      <c r="N221" s="35">
        <v>2009</v>
      </c>
      <c r="O221" s="5">
        <v>108</v>
      </c>
      <c r="P221" s="5" t="s">
        <v>220</v>
      </c>
    </row>
    <row r="222" spans="1:16" ht="21.5" x14ac:dyDescent="0.9">
      <c r="A222" s="6" t="s">
        <v>2791</v>
      </c>
      <c r="B222" s="6" t="s">
        <v>2790</v>
      </c>
      <c r="H222" s="9" t="s">
        <v>2789</v>
      </c>
      <c r="I222" s="37" t="s">
        <v>2613</v>
      </c>
      <c r="J222" s="37" t="s">
        <v>2778</v>
      </c>
      <c r="K222" s="37" t="s">
        <v>223</v>
      </c>
      <c r="L222" s="36" t="s">
        <v>2788</v>
      </c>
      <c r="M222" s="36" t="s">
        <v>2787</v>
      </c>
      <c r="N222" s="35">
        <v>2015</v>
      </c>
      <c r="O222" s="5">
        <v>109</v>
      </c>
      <c r="P222" s="5" t="s">
        <v>220</v>
      </c>
    </row>
    <row r="223" spans="1:16" ht="21.5" x14ac:dyDescent="0.9">
      <c r="A223" s="16" t="s">
        <v>2786</v>
      </c>
      <c r="B223" s="5" t="s">
        <v>2785</v>
      </c>
      <c r="H223" s="9" t="s">
        <v>2784</v>
      </c>
      <c r="I223" s="37" t="s">
        <v>2613</v>
      </c>
      <c r="J223" s="37" t="s">
        <v>2778</v>
      </c>
      <c r="K223" s="37" t="s">
        <v>223</v>
      </c>
      <c r="L223" s="36" t="s">
        <v>2783</v>
      </c>
      <c r="M223" s="36" t="s">
        <v>2782</v>
      </c>
      <c r="N223" s="35">
        <v>2015</v>
      </c>
      <c r="O223" s="5">
        <v>110</v>
      </c>
      <c r="P223" s="5" t="s">
        <v>220</v>
      </c>
    </row>
    <row r="224" spans="1:16" ht="21.5" x14ac:dyDescent="0.9">
      <c r="A224" s="16" t="s">
        <v>2781</v>
      </c>
      <c r="B224" s="5" t="s">
        <v>2780</v>
      </c>
      <c r="H224" s="9" t="s">
        <v>2779</v>
      </c>
      <c r="I224" s="37" t="s">
        <v>2613</v>
      </c>
      <c r="J224" s="37" t="s">
        <v>2778</v>
      </c>
      <c r="K224" s="37" t="s">
        <v>223</v>
      </c>
      <c r="L224" s="36" t="s">
        <v>2777</v>
      </c>
      <c r="M224" s="36" t="s">
        <v>2776</v>
      </c>
      <c r="N224" s="35">
        <v>2021</v>
      </c>
      <c r="O224" s="5">
        <v>111</v>
      </c>
      <c r="P224" s="5" t="s">
        <v>220</v>
      </c>
    </row>
    <row r="225" spans="1:16" ht="21.5" x14ac:dyDescent="0.9">
      <c r="A225" s="16" t="s">
        <v>2775</v>
      </c>
      <c r="B225" s="5" t="s">
        <v>2774</v>
      </c>
      <c r="H225" s="9" t="s">
        <v>2773</v>
      </c>
      <c r="I225" s="37" t="s">
        <v>2613</v>
      </c>
      <c r="J225" s="37" t="s">
        <v>2772</v>
      </c>
      <c r="K225" s="37" t="s">
        <v>223</v>
      </c>
      <c r="L225" s="36" t="s">
        <v>2771</v>
      </c>
      <c r="M225" s="36" t="s">
        <v>2770</v>
      </c>
      <c r="N225" s="35">
        <v>2017</v>
      </c>
      <c r="O225" s="5">
        <v>112</v>
      </c>
      <c r="P225" s="5" t="s">
        <v>220</v>
      </c>
    </row>
    <row r="226" spans="1:16" ht="43" x14ac:dyDescent="0.9">
      <c r="A226" s="16" t="s">
        <v>2769</v>
      </c>
      <c r="B226" s="5" t="s">
        <v>2768</v>
      </c>
      <c r="H226" s="9" t="s">
        <v>2767</v>
      </c>
      <c r="I226" s="37" t="s">
        <v>2613</v>
      </c>
      <c r="J226" s="37" t="s">
        <v>2751</v>
      </c>
      <c r="K226" s="37" t="s">
        <v>223</v>
      </c>
      <c r="L226" s="36" t="s">
        <v>2766</v>
      </c>
      <c r="M226" s="36" t="s">
        <v>2765</v>
      </c>
      <c r="N226" s="35">
        <v>2005</v>
      </c>
      <c r="O226" s="5">
        <v>113</v>
      </c>
      <c r="P226" s="5" t="s">
        <v>220</v>
      </c>
    </row>
    <row r="227" spans="1:16" ht="21.5" x14ac:dyDescent="0.9">
      <c r="A227" s="16" t="s">
        <v>2764</v>
      </c>
      <c r="B227" s="5" t="s">
        <v>2763</v>
      </c>
      <c r="H227" s="9" t="s">
        <v>2762</v>
      </c>
      <c r="I227" s="37" t="s">
        <v>2613</v>
      </c>
      <c r="J227" s="37" t="s">
        <v>2751</v>
      </c>
      <c r="K227" s="37" t="s">
        <v>223</v>
      </c>
      <c r="L227" s="36" t="s">
        <v>2761</v>
      </c>
      <c r="M227" s="36" t="s">
        <v>2760</v>
      </c>
      <c r="N227" s="35">
        <v>2006</v>
      </c>
      <c r="O227" s="5">
        <v>114</v>
      </c>
      <c r="P227" s="5" t="s">
        <v>220</v>
      </c>
    </row>
    <row r="228" spans="1:16" ht="21.5" x14ac:dyDescent="0.9">
      <c r="A228" s="16" t="s">
        <v>2759</v>
      </c>
      <c r="B228" s="5" t="s">
        <v>2758</v>
      </c>
      <c r="H228" s="9" t="s">
        <v>2757</v>
      </c>
      <c r="I228" s="37" t="s">
        <v>2613</v>
      </c>
      <c r="J228" s="37" t="s">
        <v>2751</v>
      </c>
      <c r="K228" s="37" t="s">
        <v>223</v>
      </c>
      <c r="L228" s="36" t="s">
        <v>2756</v>
      </c>
      <c r="M228" s="36" t="s">
        <v>2755</v>
      </c>
      <c r="N228" s="35">
        <v>2020</v>
      </c>
      <c r="O228" s="5">
        <v>115</v>
      </c>
      <c r="P228" s="5" t="s">
        <v>220</v>
      </c>
    </row>
    <row r="229" spans="1:16" ht="21.5" x14ac:dyDescent="0.9">
      <c r="A229" s="16" t="s">
        <v>2754</v>
      </c>
      <c r="B229" s="5" t="s">
        <v>2753</v>
      </c>
      <c r="H229" s="9" t="s">
        <v>2752</v>
      </c>
      <c r="I229" s="37" t="s">
        <v>2613</v>
      </c>
      <c r="J229" s="37" t="s">
        <v>2751</v>
      </c>
      <c r="K229" s="37" t="s">
        <v>223</v>
      </c>
      <c r="L229" s="36" t="s">
        <v>2750</v>
      </c>
      <c r="M229" s="36" t="s">
        <v>2749</v>
      </c>
      <c r="N229" s="35">
        <v>2023</v>
      </c>
      <c r="O229" s="5">
        <v>116</v>
      </c>
      <c r="P229" s="5" t="s">
        <v>220</v>
      </c>
    </row>
    <row r="230" spans="1:16" ht="43" x14ac:dyDescent="0.9">
      <c r="A230" s="16" t="s">
        <v>2748</v>
      </c>
      <c r="B230" s="5" t="s">
        <v>2747</v>
      </c>
      <c r="C230" s="17"/>
      <c r="D230" s="17"/>
      <c r="E230" s="39"/>
      <c r="F230" s="17"/>
      <c r="G230" s="33"/>
      <c r="H230" s="9" t="s">
        <v>2746</v>
      </c>
      <c r="I230" s="37" t="s">
        <v>2613</v>
      </c>
      <c r="J230" s="37" t="s">
        <v>2737</v>
      </c>
      <c r="K230" s="37" t="s">
        <v>223</v>
      </c>
      <c r="L230" s="36" t="s">
        <v>2745</v>
      </c>
      <c r="M230" s="36" t="s">
        <v>2742</v>
      </c>
      <c r="N230" s="35">
        <v>2022</v>
      </c>
      <c r="O230" s="5">
        <v>117</v>
      </c>
      <c r="P230" s="5" t="s">
        <v>220</v>
      </c>
    </row>
    <row r="231" spans="1:16" ht="43" x14ac:dyDescent="0.9">
      <c r="H231" s="9" t="s">
        <v>2744</v>
      </c>
      <c r="I231" s="37" t="s">
        <v>2613</v>
      </c>
      <c r="J231" s="37" t="s">
        <v>2737</v>
      </c>
      <c r="K231" s="37" t="s">
        <v>223</v>
      </c>
      <c r="L231" s="36" t="s">
        <v>2743</v>
      </c>
      <c r="M231" s="36" t="s">
        <v>2742</v>
      </c>
      <c r="N231" s="35">
        <v>2022</v>
      </c>
      <c r="O231" s="5">
        <v>118</v>
      </c>
      <c r="P231" s="5" t="s">
        <v>220</v>
      </c>
    </row>
    <row r="232" spans="1:16" ht="43" x14ac:dyDescent="0.9">
      <c r="A232" s="3" t="s">
        <v>2741</v>
      </c>
      <c r="H232" s="9" t="s">
        <v>2740</v>
      </c>
      <c r="I232" s="37" t="s">
        <v>2613</v>
      </c>
      <c r="J232" s="37" t="s">
        <v>2737</v>
      </c>
      <c r="K232" s="37" t="s">
        <v>223</v>
      </c>
      <c r="L232" s="36" t="s">
        <v>2739</v>
      </c>
      <c r="M232" s="36" t="s">
        <v>2735</v>
      </c>
      <c r="N232" s="35">
        <v>2023</v>
      </c>
      <c r="O232" s="5">
        <v>119</v>
      </c>
      <c r="P232" s="5" t="s">
        <v>220</v>
      </c>
    </row>
    <row r="233" spans="1:16" ht="43" x14ac:dyDescent="0.9">
      <c r="A233" s="6" t="s">
        <v>34</v>
      </c>
      <c r="B233" s="6" t="s">
        <v>33</v>
      </c>
      <c r="C233" s="6" t="s">
        <v>32</v>
      </c>
      <c r="D233" s="6" t="s">
        <v>31</v>
      </c>
      <c r="E233" s="6" t="s">
        <v>0</v>
      </c>
      <c r="H233" s="9" t="s">
        <v>2738</v>
      </c>
      <c r="I233" s="37" t="s">
        <v>2613</v>
      </c>
      <c r="J233" s="37" t="s">
        <v>2737</v>
      </c>
      <c r="K233" s="37" t="s">
        <v>223</v>
      </c>
      <c r="L233" s="36" t="s">
        <v>2736</v>
      </c>
      <c r="M233" s="36" t="s">
        <v>2735</v>
      </c>
      <c r="N233" s="35">
        <v>2023</v>
      </c>
      <c r="O233" s="5">
        <v>120</v>
      </c>
      <c r="P233" s="5" t="s">
        <v>220</v>
      </c>
    </row>
    <row r="234" spans="1:16" ht="43" x14ac:dyDescent="0.9">
      <c r="A234" s="5" t="s">
        <v>2734</v>
      </c>
      <c r="B234" s="5" t="s">
        <v>2733</v>
      </c>
      <c r="C234" s="5" t="s">
        <v>2733</v>
      </c>
      <c r="D234" s="5">
        <v>1</v>
      </c>
      <c r="E234" s="5" t="b">
        <v>1</v>
      </c>
      <c r="F234" s="17"/>
      <c r="G234" s="33"/>
      <c r="H234" s="9" t="s">
        <v>2732</v>
      </c>
      <c r="I234" s="37" t="s">
        <v>2613</v>
      </c>
      <c r="J234" s="37" t="s">
        <v>2721</v>
      </c>
      <c r="K234" s="37" t="s">
        <v>223</v>
      </c>
      <c r="L234" s="36" t="s">
        <v>2731</v>
      </c>
      <c r="M234" s="36" t="s">
        <v>2730</v>
      </c>
      <c r="N234" s="35">
        <v>2013</v>
      </c>
      <c r="O234" s="5">
        <v>121</v>
      </c>
      <c r="P234" s="5" t="s">
        <v>220</v>
      </c>
    </row>
    <row r="235" spans="1:16" ht="21.5" x14ac:dyDescent="0.9">
      <c r="A235" s="5" t="s">
        <v>2729</v>
      </c>
      <c r="B235" s="5" t="s">
        <v>2728</v>
      </c>
      <c r="C235" s="5" t="s">
        <v>2728</v>
      </c>
      <c r="D235" s="5">
        <v>2</v>
      </c>
      <c r="E235" s="5" t="b">
        <v>1</v>
      </c>
      <c r="H235" s="9" t="s">
        <v>2727</v>
      </c>
      <c r="I235" s="37" t="s">
        <v>2613</v>
      </c>
      <c r="J235" s="37" t="s">
        <v>2721</v>
      </c>
      <c r="K235" s="37" t="s">
        <v>223</v>
      </c>
      <c r="L235" s="36" t="s">
        <v>2726</v>
      </c>
      <c r="M235" s="36" t="s">
        <v>2725</v>
      </c>
      <c r="N235" s="35">
        <v>2019</v>
      </c>
      <c r="O235" s="5">
        <v>122</v>
      </c>
      <c r="P235" s="5" t="s">
        <v>220</v>
      </c>
    </row>
    <row r="236" spans="1:16" ht="21.5" x14ac:dyDescent="0.9">
      <c r="A236" s="5" t="s">
        <v>2724</v>
      </c>
      <c r="B236" s="5" t="s">
        <v>2723</v>
      </c>
      <c r="C236" s="5" t="s">
        <v>2723</v>
      </c>
      <c r="D236" s="5">
        <v>3</v>
      </c>
      <c r="E236" s="5" t="b">
        <v>1</v>
      </c>
      <c r="F236" s="17"/>
      <c r="G236" s="33"/>
      <c r="H236" s="9" t="s">
        <v>2722</v>
      </c>
      <c r="I236" s="37" t="s">
        <v>2613</v>
      </c>
      <c r="J236" s="37" t="s">
        <v>2721</v>
      </c>
      <c r="K236" s="37" t="s">
        <v>223</v>
      </c>
      <c r="L236" s="36" t="s">
        <v>2720</v>
      </c>
      <c r="M236" s="36" t="s">
        <v>2719</v>
      </c>
      <c r="N236" s="35">
        <v>2023</v>
      </c>
      <c r="O236" s="5">
        <v>123</v>
      </c>
      <c r="P236" s="5" t="s">
        <v>220</v>
      </c>
    </row>
    <row r="237" spans="1:16" ht="43" x14ac:dyDescent="0.9">
      <c r="A237" s="5" t="s">
        <v>2718</v>
      </c>
      <c r="B237" s="5" t="s">
        <v>2717</v>
      </c>
      <c r="C237" s="5" t="s">
        <v>2717</v>
      </c>
      <c r="D237" s="5">
        <v>4</v>
      </c>
      <c r="E237" s="5" t="b">
        <v>1</v>
      </c>
      <c r="F237" s="17"/>
      <c r="G237" s="33"/>
      <c r="H237" s="9" t="s">
        <v>2716</v>
      </c>
      <c r="I237" s="37" t="s">
        <v>2613</v>
      </c>
      <c r="J237" s="37" t="s">
        <v>2651</v>
      </c>
      <c r="K237" s="37" t="s">
        <v>1617</v>
      </c>
      <c r="L237" s="36" t="s">
        <v>2715</v>
      </c>
      <c r="M237" s="36" t="s">
        <v>2714</v>
      </c>
      <c r="N237" s="35">
        <v>2015</v>
      </c>
      <c r="O237" s="5">
        <v>124</v>
      </c>
      <c r="P237" s="5" t="s">
        <v>220</v>
      </c>
    </row>
    <row r="238" spans="1:16" ht="43" x14ac:dyDescent="0.9">
      <c r="A238" s="5" t="s">
        <v>2713</v>
      </c>
      <c r="B238" s="5" t="s">
        <v>2712</v>
      </c>
      <c r="C238" s="5" t="s">
        <v>2712</v>
      </c>
      <c r="D238" s="5">
        <v>5</v>
      </c>
      <c r="E238" s="5" t="b">
        <v>1</v>
      </c>
      <c r="H238" s="9" t="s">
        <v>2711</v>
      </c>
      <c r="I238" s="37" t="s">
        <v>2613</v>
      </c>
      <c r="J238" s="37" t="s">
        <v>2651</v>
      </c>
      <c r="K238" s="37" t="s">
        <v>1617</v>
      </c>
      <c r="L238" s="36" t="s">
        <v>2710</v>
      </c>
      <c r="M238" s="36" t="s">
        <v>2709</v>
      </c>
      <c r="N238" s="35">
        <v>2016</v>
      </c>
      <c r="O238" s="5">
        <v>125</v>
      </c>
      <c r="P238" s="5" t="s">
        <v>220</v>
      </c>
    </row>
    <row r="239" spans="1:16" ht="43" x14ac:dyDescent="0.9">
      <c r="A239" s="5" t="s">
        <v>2708</v>
      </c>
      <c r="B239" s="5" t="s">
        <v>2707</v>
      </c>
      <c r="C239" s="5" t="s">
        <v>2707</v>
      </c>
      <c r="D239" s="5">
        <v>6</v>
      </c>
      <c r="E239" s="5" t="b">
        <v>1</v>
      </c>
      <c r="H239" s="9" t="s">
        <v>2706</v>
      </c>
      <c r="I239" s="37" t="s">
        <v>2613</v>
      </c>
      <c r="J239" s="37" t="s">
        <v>2651</v>
      </c>
      <c r="K239" s="37" t="s">
        <v>1617</v>
      </c>
      <c r="L239" s="36" t="s">
        <v>2705</v>
      </c>
      <c r="M239" s="36" t="s">
        <v>2704</v>
      </c>
      <c r="N239" s="35">
        <v>2016</v>
      </c>
      <c r="O239" s="5">
        <v>126</v>
      </c>
      <c r="P239" s="5" t="s">
        <v>220</v>
      </c>
    </row>
    <row r="240" spans="1:16" ht="43" x14ac:dyDescent="0.9">
      <c r="A240" s="5" t="s">
        <v>2703</v>
      </c>
      <c r="B240" s="5" t="s">
        <v>2702</v>
      </c>
      <c r="C240" s="5" t="s">
        <v>2702</v>
      </c>
      <c r="D240" s="5">
        <v>7</v>
      </c>
      <c r="E240" s="5" t="b">
        <v>1</v>
      </c>
      <c r="H240" s="9" t="s">
        <v>2701</v>
      </c>
      <c r="I240" s="37" t="s">
        <v>2613</v>
      </c>
      <c r="J240" s="37" t="s">
        <v>2651</v>
      </c>
      <c r="K240" s="37" t="s">
        <v>1617</v>
      </c>
      <c r="L240" s="36" t="s">
        <v>2700</v>
      </c>
      <c r="M240" s="36" t="s">
        <v>2699</v>
      </c>
      <c r="N240" s="35">
        <v>2017</v>
      </c>
      <c r="O240" s="5">
        <v>127</v>
      </c>
      <c r="P240" s="5" t="s">
        <v>220</v>
      </c>
    </row>
    <row r="241" spans="1:16" ht="43" x14ac:dyDescent="0.9">
      <c r="A241" s="5" t="s">
        <v>2698</v>
      </c>
      <c r="B241" s="5" t="s">
        <v>2697</v>
      </c>
      <c r="C241" s="5" t="s">
        <v>2697</v>
      </c>
      <c r="D241" s="5">
        <v>8</v>
      </c>
      <c r="E241" s="5" t="b">
        <v>1</v>
      </c>
      <c r="H241" s="9" t="s">
        <v>2696</v>
      </c>
      <c r="I241" s="37" t="s">
        <v>2613</v>
      </c>
      <c r="J241" s="37" t="s">
        <v>2651</v>
      </c>
      <c r="K241" s="37" t="s">
        <v>1617</v>
      </c>
      <c r="L241" s="36" t="s">
        <v>2695</v>
      </c>
      <c r="M241" s="36" t="s">
        <v>2694</v>
      </c>
      <c r="N241" s="35">
        <v>2018</v>
      </c>
      <c r="O241" s="5">
        <v>128</v>
      </c>
      <c r="P241" s="5" t="s">
        <v>220</v>
      </c>
    </row>
    <row r="242" spans="1:16" ht="43" x14ac:dyDescent="0.9">
      <c r="H242" s="9" t="s">
        <v>2693</v>
      </c>
      <c r="I242" s="37" t="s">
        <v>2613</v>
      </c>
      <c r="J242" s="37" t="s">
        <v>2651</v>
      </c>
      <c r="K242" s="37" t="s">
        <v>1617</v>
      </c>
      <c r="L242" s="36" t="s">
        <v>2692</v>
      </c>
      <c r="M242" s="36" t="s">
        <v>2691</v>
      </c>
      <c r="N242" s="35">
        <v>2019</v>
      </c>
      <c r="O242" s="5">
        <v>129</v>
      </c>
      <c r="P242" s="5" t="s">
        <v>220</v>
      </c>
    </row>
    <row r="243" spans="1:16" ht="43" x14ac:dyDescent="0.9">
      <c r="A243" s="3" t="s">
        <v>2690</v>
      </c>
      <c r="H243" s="9" t="s">
        <v>2689</v>
      </c>
      <c r="I243" s="37" t="s">
        <v>2613</v>
      </c>
      <c r="J243" s="37" t="s">
        <v>2651</v>
      </c>
      <c r="K243" s="37" t="s">
        <v>1617</v>
      </c>
      <c r="L243" s="36" t="s">
        <v>2688</v>
      </c>
      <c r="M243" s="36" t="s">
        <v>2687</v>
      </c>
      <c r="N243" s="35">
        <v>2020</v>
      </c>
      <c r="O243" s="5">
        <v>130</v>
      </c>
      <c r="P243" s="5" t="s">
        <v>220</v>
      </c>
    </row>
    <row r="244" spans="1:16" ht="43" x14ac:dyDescent="0.9">
      <c r="A244" s="6" t="s">
        <v>34</v>
      </c>
      <c r="B244" s="6" t="s">
        <v>33</v>
      </c>
      <c r="C244" s="6" t="s">
        <v>32</v>
      </c>
      <c r="D244" s="6" t="s">
        <v>31</v>
      </c>
      <c r="E244" s="6" t="s">
        <v>0</v>
      </c>
      <c r="H244" s="9" t="s">
        <v>2686</v>
      </c>
      <c r="I244" s="37" t="s">
        <v>2613</v>
      </c>
      <c r="J244" s="37" t="s">
        <v>2651</v>
      </c>
      <c r="K244" s="37" t="s">
        <v>1617</v>
      </c>
      <c r="L244" s="36" t="s">
        <v>2685</v>
      </c>
      <c r="M244" s="36" t="s">
        <v>2684</v>
      </c>
      <c r="N244" s="35">
        <v>2020</v>
      </c>
      <c r="O244" s="5">
        <v>131</v>
      </c>
      <c r="P244" s="5" t="s">
        <v>220</v>
      </c>
    </row>
    <row r="245" spans="1:16" ht="43" x14ac:dyDescent="0.9">
      <c r="A245" s="5" t="s">
        <v>2683</v>
      </c>
      <c r="B245" s="5" t="s">
        <v>2682</v>
      </c>
      <c r="C245" s="5" t="s">
        <v>2682</v>
      </c>
      <c r="D245" s="5">
        <v>1</v>
      </c>
      <c r="E245" s="5" t="b">
        <v>1</v>
      </c>
      <c r="H245" s="9" t="s">
        <v>2681</v>
      </c>
      <c r="I245" s="37" t="s">
        <v>2613</v>
      </c>
      <c r="J245" s="37" t="s">
        <v>2651</v>
      </c>
      <c r="K245" s="37" t="s">
        <v>1617</v>
      </c>
      <c r="L245" s="36" t="s">
        <v>2680</v>
      </c>
      <c r="M245" s="36" t="s">
        <v>2679</v>
      </c>
      <c r="N245" s="35">
        <v>2021</v>
      </c>
      <c r="O245" s="5">
        <v>132</v>
      </c>
      <c r="P245" s="5" t="s">
        <v>220</v>
      </c>
    </row>
    <row r="246" spans="1:16" ht="43" x14ac:dyDescent="0.9">
      <c r="A246" s="5" t="s">
        <v>2678</v>
      </c>
      <c r="B246" s="5" t="s">
        <v>2677</v>
      </c>
      <c r="C246" s="5" t="s">
        <v>2677</v>
      </c>
      <c r="D246" s="5">
        <v>2</v>
      </c>
      <c r="E246" s="5" t="b">
        <v>1</v>
      </c>
      <c r="H246" s="9" t="s">
        <v>2676</v>
      </c>
      <c r="I246" s="37" t="s">
        <v>2613</v>
      </c>
      <c r="J246" s="37" t="s">
        <v>2651</v>
      </c>
      <c r="K246" s="37" t="s">
        <v>1617</v>
      </c>
      <c r="L246" s="36" t="s">
        <v>2675</v>
      </c>
      <c r="M246" s="36" t="s">
        <v>2674</v>
      </c>
      <c r="N246" s="35">
        <v>2022</v>
      </c>
      <c r="O246" s="5">
        <v>133</v>
      </c>
      <c r="P246" s="5" t="s">
        <v>220</v>
      </c>
    </row>
    <row r="247" spans="1:16" ht="21.5" x14ac:dyDescent="0.9">
      <c r="A247" s="5" t="s">
        <v>2673</v>
      </c>
      <c r="B247" s="5" t="s">
        <v>2672</v>
      </c>
      <c r="C247" s="5" t="s">
        <v>2672</v>
      </c>
      <c r="D247" s="5">
        <v>3</v>
      </c>
      <c r="E247" s="5" t="b">
        <v>1</v>
      </c>
      <c r="F247" s="17"/>
      <c r="G247" s="33"/>
      <c r="H247" s="9" t="s">
        <v>2671</v>
      </c>
      <c r="I247" s="37" t="s">
        <v>2613</v>
      </c>
      <c r="J247" s="37" t="s">
        <v>2651</v>
      </c>
      <c r="K247" s="37" t="s">
        <v>1617</v>
      </c>
      <c r="L247" s="36" t="s">
        <v>2670</v>
      </c>
      <c r="M247" s="36" t="s">
        <v>2669</v>
      </c>
      <c r="N247" s="35">
        <v>2022</v>
      </c>
      <c r="O247" s="5">
        <v>134</v>
      </c>
      <c r="P247" s="5" t="s">
        <v>220</v>
      </c>
    </row>
    <row r="248" spans="1:16" ht="43" x14ac:dyDescent="0.9">
      <c r="A248" s="5" t="s">
        <v>2668</v>
      </c>
      <c r="B248" s="5" t="s">
        <v>2667</v>
      </c>
      <c r="C248" s="5" t="s">
        <v>2667</v>
      </c>
      <c r="D248" s="5">
        <v>4</v>
      </c>
      <c r="E248" s="5" t="b">
        <v>1</v>
      </c>
      <c r="H248" s="9" t="s">
        <v>2666</v>
      </c>
      <c r="I248" s="37" t="s">
        <v>2613</v>
      </c>
      <c r="J248" s="37" t="s">
        <v>2651</v>
      </c>
      <c r="K248" s="37" t="s">
        <v>1617</v>
      </c>
      <c r="L248" s="36" t="s">
        <v>2665</v>
      </c>
      <c r="M248" s="36" t="s">
        <v>2664</v>
      </c>
      <c r="N248" s="35">
        <v>2022</v>
      </c>
      <c r="O248" s="5">
        <v>135</v>
      </c>
      <c r="P248" s="5" t="s">
        <v>220</v>
      </c>
    </row>
    <row r="249" spans="1:16" ht="43" x14ac:dyDescent="0.9">
      <c r="A249" s="5" t="s">
        <v>2663</v>
      </c>
      <c r="B249" s="5" t="s">
        <v>2662</v>
      </c>
      <c r="C249" s="5" t="s">
        <v>2662</v>
      </c>
      <c r="D249" s="5">
        <v>5</v>
      </c>
      <c r="E249" s="5" t="b">
        <v>1</v>
      </c>
      <c r="H249" s="9" t="s">
        <v>2661</v>
      </c>
      <c r="I249" s="37" t="s">
        <v>2613</v>
      </c>
      <c r="J249" s="37" t="s">
        <v>2651</v>
      </c>
      <c r="K249" s="37" t="s">
        <v>1617</v>
      </c>
      <c r="L249" s="36" t="s">
        <v>2660</v>
      </c>
      <c r="M249" s="36" t="s">
        <v>2659</v>
      </c>
      <c r="N249" s="35">
        <v>2023</v>
      </c>
      <c r="O249" s="5">
        <v>136</v>
      </c>
      <c r="P249" s="5" t="s">
        <v>220</v>
      </c>
    </row>
    <row r="250" spans="1:16" ht="43" x14ac:dyDescent="0.9">
      <c r="A250" s="5" t="s">
        <v>2658</v>
      </c>
      <c r="B250" s="5" t="s">
        <v>2657</v>
      </c>
      <c r="C250" s="5" t="s">
        <v>2657</v>
      </c>
      <c r="D250" s="5">
        <v>6</v>
      </c>
      <c r="E250" s="5" t="b">
        <v>1</v>
      </c>
      <c r="H250" s="9" t="s">
        <v>2656</v>
      </c>
      <c r="I250" s="37" t="s">
        <v>2613</v>
      </c>
      <c r="J250" s="37" t="s">
        <v>2651</v>
      </c>
      <c r="K250" s="37" t="s">
        <v>1617</v>
      </c>
      <c r="L250" s="36" t="s">
        <v>2655</v>
      </c>
      <c r="M250" s="36" t="s">
        <v>2654</v>
      </c>
      <c r="N250" s="35">
        <v>2023</v>
      </c>
      <c r="O250" s="5">
        <v>137</v>
      </c>
      <c r="P250" s="5" t="s">
        <v>220</v>
      </c>
    </row>
    <row r="251" spans="1:16" ht="43" x14ac:dyDescent="0.9">
      <c r="A251" s="5" t="s">
        <v>2653</v>
      </c>
      <c r="B251" s="5" t="s">
        <v>2615</v>
      </c>
      <c r="C251" s="5" t="s">
        <v>2615</v>
      </c>
      <c r="D251" s="5">
        <v>7</v>
      </c>
      <c r="E251" s="5" t="b">
        <v>1</v>
      </c>
      <c r="F251" s="17"/>
      <c r="G251" s="33"/>
      <c r="H251" s="9" t="s">
        <v>2652</v>
      </c>
      <c r="I251" s="37" t="s">
        <v>2613</v>
      </c>
      <c r="J251" s="37" t="s">
        <v>2651</v>
      </c>
      <c r="K251" s="37" t="s">
        <v>1617</v>
      </c>
      <c r="L251" s="36" t="s">
        <v>2650</v>
      </c>
      <c r="M251" s="36" t="s">
        <v>2649</v>
      </c>
      <c r="N251" s="35">
        <v>2024</v>
      </c>
      <c r="O251" s="5">
        <v>138</v>
      </c>
      <c r="P251" s="5" t="s">
        <v>220</v>
      </c>
    </row>
    <row r="252" spans="1:16" ht="43" x14ac:dyDescent="0.9">
      <c r="A252" s="5"/>
      <c r="B252" s="5"/>
      <c r="C252" s="5"/>
      <c r="D252" s="5"/>
      <c r="E252" s="5"/>
      <c r="F252" s="17"/>
      <c r="G252" s="33"/>
      <c r="H252" s="9" t="s">
        <v>2648</v>
      </c>
      <c r="I252" s="37" t="s">
        <v>2613</v>
      </c>
      <c r="J252" s="37" t="s">
        <v>2620</v>
      </c>
      <c r="K252" s="37" t="s">
        <v>2619</v>
      </c>
      <c r="L252" s="36" t="s">
        <v>2647</v>
      </c>
      <c r="M252" s="36" t="s">
        <v>2646</v>
      </c>
      <c r="N252" s="35">
        <v>2007</v>
      </c>
      <c r="O252" s="5">
        <v>139</v>
      </c>
      <c r="P252" s="5" t="s">
        <v>220</v>
      </c>
    </row>
    <row r="253" spans="1:16" ht="43" x14ac:dyDescent="0.9">
      <c r="A253" s="3" t="s">
        <v>2645</v>
      </c>
      <c r="C253" s="38"/>
      <c r="H253" s="9" t="s">
        <v>2644</v>
      </c>
      <c r="I253" s="37" t="s">
        <v>2613</v>
      </c>
      <c r="J253" s="37" t="s">
        <v>2620</v>
      </c>
      <c r="K253" s="37" t="s">
        <v>2619</v>
      </c>
      <c r="L253" s="36" t="s">
        <v>2643</v>
      </c>
      <c r="M253" s="36" t="s">
        <v>2642</v>
      </c>
      <c r="N253" s="35">
        <v>2010</v>
      </c>
      <c r="O253" s="5">
        <v>140</v>
      </c>
      <c r="P253" s="5" t="s">
        <v>220</v>
      </c>
    </row>
    <row r="254" spans="1:16" ht="43" x14ac:dyDescent="0.9">
      <c r="A254" s="6" t="s">
        <v>34</v>
      </c>
      <c r="B254" s="6" t="s">
        <v>33</v>
      </c>
      <c r="C254" s="6" t="s">
        <v>32</v>
      </c>
      <c r="D254" s="6" t="s">
        <v>31</v>
      </c>
      <c r="E254" s="6" t="s">
        <v>0</v>
      </c>
      <c r="F254" s="17"/>
      <c r="G254" s="33"/>
      <c r="H254" s="9" t="s">
        <v>2641</v>
      </c>
      <c r="I254" s="37" t="s">
        <v>2613</v>
      </c>
      <c r="J254" s="37" t="s">
        <v>2620</v>
      </c>
      <c r="K254" s="37" t="s">
        <v>2619</v>
      </c>
      <c r="L254" s="36" t="s">
        <v>2640</v>
      </c>
      <c r="M254" s="36" t="s">
        <v>2639</v>
      </c>
      <c r="N254" s="35">
        <v>2012</v>
      </c>
      <c r="O254" s="5">
        <v>141</v>
      </c>
      <c r="P254" s="5" t="s">
        <v>220</v>
      </c>
    </row>
    <row r="255" spans="1:16" ht="21.5" x14ac:dyDescent="0.9">
      <c r="A255" s="5" t="s">
        <v>2638</v>
      </c>
      <c r="B255" s="5" t="s">
        <v>2637</v>
      </c>
      <c r="C255" s="5" t="s">
        <v>2637</v>
      </c>
      <c r="D255" s="5">
        <v>1</v>
      </c>
      <c r="E255" s="5" t="b">
        <v>1</v>
      </c>
      <c r="F255" s="17"/>
      <c r="G255" s="33"/>
      <c r="H255" s="9" t="s">
        <v>2636</v>
      </c>
      <c r="I255" s="37" t="s">
        <v>2613</v>
      </c>
      <c r="J255" s="37" t="s">
        <v>2620</v>
      </c>
      <c r="K255" s="37" t="s">
        <v>2619</v>
      </c>
      <c r="L255" s="36" t="s">
        <v>2635</v>
      </c>
      <c r="M255" s="36" t="s">
        <v>2634</v>
      </c>
      <c r="N255" s="35">
        <v>2015</v>
      </c>
      <c r="O255" s="5">
        <v>142</v>
      </c>
      <c r="P255" s="5" t="s">
        <v>220</v>
      </c>
    </row>
    <row r="256" spans="1:16" ht="43" x14ac:dyDescent="0.9">
      <c r="A256" s="5" t="s">
        <v>2633</v>
      </c>
      <c r="B256" s="5" t="s">
        <v>2632</v>
      </c>
      <c r="C256" s="5" t="s">
        <v>2632</v>
      </c>
      <c r="D256" s="5">
        <v>2</v>
      </c>
      <c r="E256" s="5" t="b">
        <v>1</v>
      </c>
      <c r="H256" s="9" t="s">
        <v>2631</v>
      </c>
      <c r="I256" s="37" t="s">
        <v>2613</v>
      </c>
      <c r="J256" s="37" t="s">
        <v>2620</v>
      </c>
      <c r="K256" s="37" t="s">
        <v>2619</v>
      </c>
      <c r="L256" s="36" t="s">
        <v>2630</v>
      </c>
      <c r="M256" s="36" t="s">
        <v>2629</v>
      </c>
      <c r="N256" s="35">
        <v>2017</v>
      </c>
      <c r="O256" s="5">
        <v>143</v>
      </c>
      <c r="P256" s="5" t="s">
        <v>220</v>
      </c>
    </row>
    <row r="257" spans="1:16" ht="43" x14ac:dyDescent="0.9">
      <c r="A257" s="5" t="s">
        <v>2628</v>
      </c>
      <c r="B257" s="5" t="s">
        <v>2627</v>
      </c>
      <c r="C257" s="5" t="s">
        <v>2627</v>
      </c>
      <c r="D257" s="5">
        <v>3</v>
      </c>
      <c r="E257" s="5" t="b">
        <v>1</v>
      </c>
      <c r="H257" s="9" t="s">
        <v>2626</v>
      </c>
      <c r="I257" s="37" t="s">
        <v>2613</v>
      </c>
      <c r="J257" s="37" t="s">
        <v>2620</v>
      </c>
      <c r="K257" s="37" t="s">
        <v>2619</v>
      </c>
      <c r="L257" s="36" t="s">
        <v>2625</v>
      </c>
      <c r="M257" s="36" t="s">
        <v>2624</v>
      </c>
      <c r="N257" s="35">
        <v>2021</v>
      </c>
      <c r="O257" s="5">
        <v>144</v>
      </c>
      <c r="P257" s="5" t="s">
        <v>220</v>
      </c>
    </row>
    <row r="258" spans="1:16" ht="43" x14ac:dyDescent="0.9">
      <c r="A258" s="5" t="s">
        <v>2623</v>
      </c>
      <c r="B258" s="5" t="s">
        <v>2622</v>
      </c>
      <c r="C258" s="5" t="s">
        <v>2622</v>
      </c>
      <c r="D258" s="5">
        <v>4</v>
      </c>
      <c r="E258" s="5" t="b">
        <v>1</v>
      </c>
      <c r="H258" s="9" t="s">
        <v>2621</v>
      </c>
      <c r="I258" s="37" t="s">
        <v>2613</v>
      </c>
      <c r="J258" s="37" t="s">
        <v>2620</v>
      </c>
      <c r="K258" s="37" t="s">
        <v>2619</v>
      </c>
      <c r="L258" s="36" t="s">
        <v>2618</v>
      </c>
      <c r="M258" s="36" t="s">
        <v>2617</v>
      </c>
      <c r="N258" s="35">
        <v>2022</v>
      </c>
      <c r="O258" s="5">
        <v>145</v>
      </c>
      <c r="P258" s="5" t="s">
        <v>220</v>
      </c>
    </row>
    <row r="259" spans="1:16" ht="21.5" x14ac:dyDescent="0.9">
      <c r="A259" s="5" t="s">
        <v>2616</v>
      </c>
      <c r="B259" s="5" t="s">
        <v>2615</v>
      </c>
      <c r="C259" s="5" t="s">
        <v>2615</v>
      </c>
      <c r="D259" s="5">
        <v>5</v>
      </c>
      <c r="E259" s="5" t="b">
        <v>1</v>
      </c>
      <c r="H259" s="9" t="s">
        <v>2614</v>
      </c>
      <c r="I259" s="37" t="s">
        <v>2613</v>
      </c>
      <c r="J259" s="37" t="s">
        <v>2612</v>
      </c>
      <c r="K259" s="37" t="s">
        <v>2611</v>
      </c>
      <c r="L259" s="36" t="s">
        <v>2610</v>
      </c>
      <c r="M259" s="36" t="s">
        <v>2609</v>
      </c>
      <c r="N259" s="35">
        <v>2024</v>
      </c>
      <c r="O259" s="5">
        <v>146</v>
      </c>
      <c r="P259" s="5" t="s">
        <v>220</v>
      </c>
    </row>
    <row r="260" spans="1:16" ht="21.5" x14ac:dyDescent="0.9">
      <c r="A260" s="5" t="s">
        <v>2608</v>
      </c>
      <c r="B260" s="5" t="s">
        <v>2607</v>
      </c>
      <c r="C260" s="5" t="s">
        <v>2607</v>
      </c>
      <c r="D260" s="5">
        <v>6</v>
      </c>
      <c r="E260" s="5" t="b">
        <v>1</v>
      </c>
      <c r="H260" s="9" t="s">
        <v>2606</v>
      </c>
      <c r="I260" s="7" t="s">
        <v>1619</v>
      </c>
      <c r="J260" s="7" t="s">
        <v>2404</v>
      </c>
      <c r="K260" s="7" t="s">
        <v>403</v>
      </c>
      <c r="L260" s="8" t="s">
        <v>2605</v>
      </c>
      <c r="M260" s="8" t="s">
        <v>2604</v>
      </c>
      <c r="N260" s="7">
        <v>2010</v>
      </c>
      <c r="O260" s="5">
        <v>147</v>
      </c>
      <c r="P260" s="5" t="s">
        <v>220</v>
      </c>
    </row>
    <row r="261" spans="1:16" ht="21.5" x14ac:dyDescent="0.9">
      <c r="H261" s="9" t="s">
        <v>2603</v>
      </c>
      <c r="I261" s="7" t="s">
        <v>1619</v>
      </c>
      <c r="J261" s="7" t="s">
        <v>2404</v>
      </c>
      <c r="K261" s="7" t="s">
        <v>403</v>
      </c>
      <c r="L261" s="8" t="s">
        <v>2602</v>
      </c>
      <c r="M261" s="8" t="s">
        <v>2601</v>
      </c>
      <c r="N261" s="7">
        <v>2011</v>
      </c>
      <c r="O261" s="5">
        <v>148</v>
      </c>
      <c r="P261" s="5" t="s">
        <v>220</v>
      </c>
    </row>
    <row r="262" spans="1:16" ht="21.5" x14ac:dyDescent="0.9">
      <c r="A262" s="3" t="s">
        <v>2600</v>
      </c>
      <c r="H262" s="9" t="s">
        <v>2599</v>
      </c>
      <c r="I262" s="7" t="s">
        <v>1619</v>
      </c>
      <c r="J262" s="7" t="s">
        <v>2404</v>
      </c>
      <c r="K262" s="7" t="s">
        <v>403</v>
      </c>
      <c r="L262" s="8" t="s">
        <v>2598</v>
      </c>
      <c r="M262" s="8" t="s">
        <v>2597</v>
      </c>
      <c r="N262" s="7">
        <v>2012</v>
      </c>
      <c r="O262" s="5">
        <v>149</v>
      </c>
      <c r="P262" s="5" t="s">
        <v>220</v>
      </c>
    </row>
    <row r="263" spans="1:16" ht="21.5" x14ac:dyDescent="0.9">
      <c r="A263" s="6" t="s">
        <v>34</v>
      </c>
      <c r="B263" s="6" t="s">
        <v>33</v>
      </c>
      <c r="C263" s="6" t="s">
        <v>32</v>
      </c>
      <c r="D263" s="6" t="s">
        <v>31</v>
      </c>
      <c r="E263" s="6" t="s">
        <v>0</v>
      </c>
      <c r="H263" s="9" t="s">
        <v>2596</v>
      </c>
      <c r="I263" s="7" t="s">
        <v>1619</v>
      </c>
      <c r="J263" s="7" t="s">
        <v>2404</v>
      </c>
      <c r="K263" s="7" t="s">
        <v>403</v>
      </c>
      <c r="L263" s="8" t="s">
        <v>2595</v>
      </c>
      <c r="M263" s="8" t="s">
        <v>2594</v>
      </c>
      <c r="N263" s="7">
        <v>2013</v>
      </c>
      <c r="O263" s="5">
        <v>150</v>
      </c>
      <c r="P263" s="5" t="s">
        <v>220</v>
      </c>
    </row>
    <row r="264" spans="1:16" ht="21.5" x14ac:dyDescent="0.9">
      <c r="A264" s="5" t="s">
        <v>2593</v>
      </c>
      <c r="B264" s="5" t="s">
        <v>2592</v>
      </c>
      <c r="C264" s="5" t="s">
        <v>2591</v>
      </c>
      <c r="D264" s="5">
        <v>1</v>
      </c>
      <c r="E264" s="5" t="b">
        <v>1</v>
      </c>
      <c r="H264" s="9" t="s">
        <v>2590</v>
      </c>
      <c r="I264" s="7" t="s">
        <v>1619</v>
      </c>
      <c r="J264" s="7" t="s">
        <v>2404</v>
      </c>
      <c r="K264" s="7" t="s">
        <v>403</v>
      </c>
      <c r="L264" s="8" t="s">
        <v>2589</v>
      </c>
      <c r="M264" s="8" t="s">
        <v>2588</v>
      </c>
      <c r="N264" s="7">
        <v>2014</v>
      </c>
      <c r="O264" s="5">
        <v>151</v>
      </c>
      <c r="P264" s="5" t="s">
        <v>220</v>
      </c>
    </row>
    <row r="265" spans="1:16" ht="21.5" x14ac:dyDescent="0.9">
      <c r="A265" s="5" t="s">
        <v>2587</v>
      </c>
      <c r="B265" s="5" t="s">
        <v>2586</v>
      </c>
      <c r="C265" s="5" t="s">
        <v>2585</v>
      </c>
      <c r="D265" s="5">
        <v>2</v>
      </c>
      <c r="E265" s="5" t="b">
        <v>1</v>
      </c>
      <c r="F265" s="17"/>
      <c r="G265" s="33"/>
      <c r="H265" s="9" t="s">
        <v>2584</v>
      </c>
      <c r="I265" s="7" t="s">
        <v>1619</v>
      </c>
      <c r="J265" s="7" t="s">
        <v>2404</v>
      </c>
      <c r="K265" s="7" t="s">
        <v>403</v>
      </c>
      <c r="L265" s="8" t="s">
        <v>2583</v>
      </c>
      <c r="M265" s="8" t="s">
        <v>2582</v>
      </c>
      <c r="N265" s="7">
        <v>2015</v>
      </c>
      <c r="O265" s="5">
        <v>152</v>
      </c>
      <c r="P265" s="5" t="s">
        <v>220</v>
      </c>
    </row>
    <row r="266" spans="1:16" ht="21.5" x14ac:dyDescent="0.9">
      <c r="A266" s="5" t="s">
        <v>2581</v>
      </c>
      <c r="B266" s="5" t="s">
        <v>2580</v>
      </c>
      <c r="C266" s="5" t="s">
        <v>2579</v>
      </c>
      <c r="D266" s="5">
        <v>3</v>
      </c>
      <c r="E266" s="5" t="b">
        <v>1</v>
      </c>
      <c r="H266" s="9" t="s">
        <v>2578</v>
      </c>
      <c r="I266" s="7" t="s">
        <v>1619</v>
      </c>
      <c r="J266" s="7" t="s">
        <v>2404</v>
      </c>
      <c r="K266" s="7" t="s">
        <v>403</v>
      </c>
      <c r="L266" s="8" t="s">
        <v>2577</v>
      </c>
      <c r="M266" s="8" t="s">
        <v>2576</v>
      </c>
      <c r="N266" s="7">
        <v>2015</v>
      </c>
      <c r="O266" s="5">
        <v>153</v>
      </c>
      <c r="P266" s="5" t="s">
        <v>220</v>
      </c>
    </row>
    <row r="267" spans="1:16" ht="21.5" x14ac:dyDescent="0.9">
      <c r="A267" s="5" t="s">
        <v>2575</v>
      </c>
      <c r="B267" s="5" t="s">
        <v>2574</v>
      </c>
      <c r="C267" s="5" t="s">
        <v>2573</v>
      </c>
      <c r="D267" s="5">
        <v>4</v>
      </c>
      <c r="E267" s="5" t="b">
        <v>1</v>
      </c>
      <c r="H267" s="9" t="s">
        <v>2572</v>
      </c>
      <c r="I267" s="7" t="s">
        <v>1619</v>
      </c>
      <c r="J267" s="7" t="s">
        <v>2404</v>
      </c>
      <c r="K267" s="7" t="s">
        <v>403</v>
      </c>
      <c r="L267" s="8" t="s">
        <v>2571</v>
      </c>
      <c r="M267" s="8" t="s">
        <v>2570</v>
      </c>
      <c r="N267" s="7">
        <v>2015</v>
      </c>
      <c r="O267" s="5">
        <v>154</v>
      </c>
      <c r="P267" s="5" t="s">
        <v>220</v>
      </c>
    </row>
    <row r="268" spans="1:16" ht="21.5" x14ac:dyDescent="0.9">
      <c r="A268" s="5" t="s">
        <v>2569</v>
      </c>
      <c r="B268" s="5" t="s">
        <v>2568</v>
      </c>
      <c r="C268" s="5" t="s">
        <v>2567</v>
      </c>
      <c r="D268" s="5">
        <v>5</v>
      </c>
      <c r="E268" s="5" t="b">
        <v>1</v>
      </c>
      <c r="H268" s="9" t="s">
        <v>2566</v>
      </c>
      <c r="I268" s="7" t="s">
        <v>1619</v>
      </c>
      <c r="J268" s="7" t="s">
        <v>2404</v>
      </c>
      <c r="K268" s="7" t="s">
        <v>403</v>
      </c>
      <c r="L268" s="8" t="s">
        <v>2565</v>
      </c>
      <c r="M268" s="8" t="s">
        <v>2564</v>
      </c>
      <c r="N268" s="7">
        <v>2015</v>
      </c>
      <c r="O268" s="5">
        <v>155</v>
      </c>
      <c r="P268" s="5" t="s">
        <v>220</v>
      </c>
    </row>
    <row r="269" spans="1:16" ht="21.5" x14ac:dyDescent="0.9">
      <c r="A269" s="5" t="s">
        <v>2563</v>
      </c>
      <c r="B269" s="5" t="s">
        <v>2562</v>
      </c>
      <c r="C269" s="5" t="s">
        <v>2561</v>
      </c>
      <c r="D269" s="5">
        <v>6</v>
      </c>
      <c r="E269" s="5" t="b">
        <v>1</v>
      </c>
      <c r="F269" s="17"/>
      <c r="G269" s="33"/>
      <c r="H269" s="9" t="s">
        <v>2560</v>
      </c>
      <c r="I269" s="7" t="s">
        <v>1619</v>
      </c>
      <c r="J269" s="7" t="s">
        <v>2404</v>
      </c>
      <c r="K269" s="7" t="s">
        <v>403</v>
      </c>
      <c r="L269" s="8" t="s">
        <v>2559</v>
      </c>
      <c r="M269" s="8" t="s">
        <v>2558</v>
      </c>
      <c r="N269" s="7">
        <v>2016</v>
      </c>
      <c r="O269" s="5">
        <v>156</v>
      </c>
      <c r="P269" s="5" t="s">
        <v>220</v>
      </c>
    </row>
    <row r="270" spans="1:16" ht="21.5" x14ac:dyDescent="0.9">
      <c r="A270" s="5" t="s">
        <v>2557</v>
      </c>
      <c r="B270" s="5" t="s">
        <v>2556</v>
      </c>
      <c r="C270" s="5" t="s">
        <v>2555</v>
      </c>
      <c r="D270" s="5">
        <v>7</v>
      </c>
      <c r="E270" s="5" t="b">
        <v>1</v>
      </c>
      <c r="F270" s="34"/>
      <c r="G270" s="34"/>
      <c r="H270" s="9" t="s">
        <v>2554</v>
      </c>
      <c r="I270" s="7" t="s">
        <v>1619</v>
      </c>
      <c r="J270" s="7" t="s">
        <v>2404</v>
      </c>
      <c r="K270" s="7" t="s">
        <v>403</v>
      </c>
      <c r="L270" s="8" t="s">
        <v>2553</v>
      </c>
      <c r="M270" s="8" t="s">
        <v>2552</v>
      </c>
      <c r="N270" s="7">
        <v>2016</v>
      </c>
      <c r="O270" s="5">
        <v>157</v>
      </c>
      <c r="P270" s="5" t="s">
        <v>220</v>
      </c>
    </row>
    <row r="271" spans="1:16" ht="21.5" x14ac:dyDescent="0.9">
      <c r="A271" s="5" t="s">
        <v>2551</v>
      </c>
      <c r="B271" s="5" t="s">
        <v>2550</v>
      </c>
      <c r="C271" s="5" t="s">
        <v>2549</v>
      </c>
      <c r="D271" s="5">
        <v>8</v>
      </c>
      <c r="E271" s="5" t="b">
        <v>1</v>
      </c>
      <c r="F271" s="17"/>
      <c r="G271" s="33"/>
      <c r="H271" s="9" t="s">
        <v>2548</v>
      </c>
      <c r="I271" s="7" t="s">
        <v>1619</v>
      </c>
      <c r="J271" s="7" t="s">
        <v>2404</v>
      </c>
      <c r="K271" s="7" t="s">
        <v>403</v>
      </c>
      <c r="L271" s="8" t="s">
        <v>2547</v>
      </c>
      <c r="M271" s="8" t="s">
        <v>2546</v>
      </c>
      <c r="N271" s="7">
        <v>2017</v>
      </c>
      <c r="O271" s="5">
        <v>158</v>
      </c>
      <c r="P271" s="5" t="s">
        <v>220</v>
      </c>
    </row>
    <row r="272" spans="1:16" ht="21.5" x14ac:dyDescent="0.9">
      <c r="A272" s="5" t="s">
        <v>2545</v>
      </c>
      <c r="B272" s="5" t="s">
        <v>2544</v>
      </c>
      <c r="C272" s="5" t="s">
        <v>2543</v>
      </c>
      <c r="D272" s="5">
        <v>9</v>
      </c>
      <c r="E272" s="5" t="b">
        <v>1</v>
      </c>
      <c r="F272" s="17"/>
      <c r="G272" s="33"/>
      <c r="H272" s="9" t="s">
        <v>2542</v>
      </c>
      <c r="I272" s="7" t="s">
        <v>1619</v>
      </c>
      <c r="J272" s="7" t="s">
        <v>2404</v>
      </c>
      <c r="K272" s="7" t="s">
        <v>403</v>
      </c>
      <c r="L272" s="8" t="s">
        <v>2541</v>
      </c>
      <c r="M272" s="8" t="s">
        <v>2540</v>
      </c>
      <c r="N272" s="7">
        <v>2017</v>
      </c>
      <c r="O272" s="5">
        <v>159</v>
      </c>
      <c r="P272" s="5" t="s">
        <v>220</v>
      </c>
    </row>
    <row r="273" spans="1:16" ht="21.5" x14ac:dyDescent="0.9">
      <c r="A273" s="5" t="s">
        <v>2539</v>
      </c>
      <c r="B273" s="5" t="s">
        <v>2538</v>
      </c>
      <c r="C273" s="5" t="s">
        <v>2537</v>
      </c>
      <c r="D273" s="5">
        <v>10</v>
      </c>
      <c r="E273" s="5" t="b">
        <v>1</v>
      </c>
      <c r="H273" s="9" t="s">
        <v>2536</v>
      </c>
      <c r="I273" s="7" t="s">
        <v>1619</v>
      </c>
      <c r="J273" s="7" t="s">
        <v>2404</v>
      </c>
      <c r="K273" s="7" t="s">
        <v>403</v>
      </c>
      <c r="L273" s="8" t="s">
        <v>2535</v>
      </c>
      <c r="M273" s="8" t="s">
        <v>2534</v>
      </c>
      <c r="N273" s="7">
        <v>2018</v>
      </c>
      <c r="O273" s="5">
        <v>160</v>
      </c>
      <c r="P273" s="5" t="s">
        <v>220</v>
      </c>
    </row>
    <row r="274" spans="1:16" ht="21.5" x14ac:dyDescent="0.9">
      <c r="H274" s="9" t="s">
        <v>2533</v>
      </c>
      <c r="I274" s="7" t="s">
        <v>1619</v>
      </c>
      <c r="J274" s="7" t="s">
        <v>2404</v>
      </c>
      <c r="K274" s="7" t="s">
        <v>403</v>
      </c>
      <c r="L274" s="8" t="s">
        <v>2532</v>
      </c>
      <c r="M274" s="8" t="s">
        <v>2531</v>
      </c>
      <c r="N274" s="7">
        <v>2018</v>
      </c>
      <c r="O274" s="5">
        <v>161</v>
      </c>
      <c r="P274" s="5" t="s">
        <v>220</v>
      </c>
    </row>
    <row r="275" spans="1:16" ht="21.5" x14ac:dyDescent="0.9">
      <c r="A275" s="3" t="s">
        <v>2530</v>
      </c>
      <c r="H275" s="9" t="s">
        <v>2529</v>
      </c>
      <c r="I275" s="7" t="s">
        <v>1619</v>
      </c>
      <c r="J275" s="7" t="s">
        <v>2404</v>
      </c>
      <c r="K275" s="7" t="s">
        <v>403</v>
      </c>
      <c r="L275" s="8" t="s">
        <v>2528</v>
      </c>
      <c r="M275" s="8" t="s">
        <v>2527</v>
      </c>
      <c r="N275" s="7">
        <v>2019</v>
      </c>
      <c r="O275" s="5">
        <v>162</v>
      </c>
      <c r="P275" s="5" t="s">
        <v>220</v>
      </c>
    </row>
    <row r="276" spans="1:16" ht="21.5" x14ac:dyDescent="0.9">
      <c r="A276" s="6" t="s">
        <v>34</v>
      </c>
      <c r="B276" s="6" t="s">
        <v>33</v>
      </c>
      <c r="C276" s="6" t="s">
        <v>32</v>
      </c>
      <c r="D276" s="6" t="s">
        <v>31</v>
      </c>
      <c r="E276" s="6" t="s">
        <v>0</v>
      </c>
      <c r="H276" s="9" t="s">
        <v>2526</v>
      </c>
      <c r="I276" s="7" t="s">
        <v>1619</v>
      </c>
      <c r="J276" s="7" t="s">
        <v>2404</v>
      </c>
      <c r="K276" s="7" t="s">
        <v>403</v>
      </c>
      <c r="L276" s="8" t="s">
        <v>2525</v>
      </c>
      <c r="M276" s="8" t="s">
        <v>2524</v>
      </c>
      <c r="N276" s="7">
        <v>2019</v>
      </c>
      <c r="O276" s="5">
        <v>163</v>
      </c>
      <c r="P276" s="5" t="s">
        <v>220</v>
      </c>
    </row>
    <row r="277" spans="1:16" ht="21.5" x14ac:dyDescent="0.9">
      <c r="A277" s="5" t="s">
        <v>2523</v>
      </c>
      <c r="B277" s="5" t="s">
        <v>801</v>
      </c>
      <c r="C277" s="5" t="s">
        <v>2522</v>
      </c>
      <c r="D277" s="5">
        <v>1</v>
      </c>
      <c r="E277" s="5" t="b">
        <v>1</v>
      </c>
      <c r="H277" s="9" t="s">
        <v>2521</v>
      </c>
      <c r="I277" s="7" t="s">
        <v>1619</v>
      </c>
      <c r="J277" s="7" t="s">
        <v>2404</v>
      </c>
      <c r="K277" s="7" t="s">
        <v>403</v>
      </c>
      <c r="L277" s="8" t="s">
        <v>2520</v>
      </c>
      <c r="M277" s="8" t="s">
        <v>2519</v>
      </c>
      <c r="N277" s="7">
        <v>2019</v>
      </c>
      <c r="O277" s="5">
        <v>164</v>
      </c>
      <c r="P277" s="5" t="s">
        <v>220</v>
      </c>
    </row>
    <row r="278" spans="1:16" ht="21.5" x14ac:dyDescent="0.9">
      <c r="A278" s="5" t="s">
        <v>2518</v>
      </c>
      <c r="B278" s="5" t="s">
        <v>1233</v>
      </c>
      <c r="C278" s="5" t="s">
        <v>2517</v>
      </c>
      <c r="D278" s="5">
        <v>2</v>
      </c>
      <c r="E278" s="5" t="b">
        <v>1</v>
      </c>
      <c r="H278" s="9" t="s">
        <v>2516</v>
      </c>
      <c r="I278" s="7" t="s">
        <v>1619</v>
      </c>
      <c r="J278" s="7" t="s">
        <v>2404</v>
      </c>
      <c r="K278" s="7" t="s">
        <v>403</v>
      </c>
      <c r="L278" s="8" t="s">
        <v>2515</v>
      </c>
      <c r="M278" s="8" t="s">
        <v>2514</v>
      </c>
      <c r="N278" s="7">
        <v>2019</v>
      </c>
      <c r="O278" s="5">
        <v>165</v>
      </c>
      <c r="P278" s="5" t="s">
        <v>220</v>
      </c>
    </row>
    <row r="279" spans="1:16" ht="21.5" x14ac:dyDescent="0.9">
      <c r="A279" s="5" t="s">
        <v>2513</v>
      </c>
      <c r="B279" s="5" t="s">
        <v>1226</v>
      </c>
      <c r="C279" s="5" t="s">
        <v>2512</v>
      </c>
      <c r="D279" s="5">
        <v>3</v>
      </c>
      <c r="E279" s="5" t="b">
        <v>1</v>
      </c>
      <c r="H279" s="9" t="s">
        <v>2511</v>
      </c>
      <c r="I279" s="7" t="s">
        <v>1619</v>
      </c>
      <c r="J279" s="7" t="s">
        <v>2404</v>
      </c>
      <c r="K279" s="7" t="s">
        <v>403</v>
      </c>
      <c r="L279" s="8" t="s">
        <v>2510</v>
      </c>
      <c r="M279" s="8" t="s">
        <v>2509</v>
      </c>
      <c r="N279" s="7">
        <v>2020</v>
      </c>
      <c r="O279" s="5">
        <v>166</v>
      </c>
      <c r="P279" s="5" t="s">
        <v>220</v>
      </c>
    </row>
    <row r="280" spans="1:16" ht="21.5" x14ac:dyDescent="0.9">
      <c r="A280" s="5" t="s">
        <v>2508</v>
      </c>
      <c r="B280" s="5" t="s">
        <v>2507</v>
      </c>
      <c r="C280" s="5" t="s">
        <v>2506</v>
      </c>
      <c r="D280" s="5">
        <v>4</v>
      </c>
      <c r="E280" s="5" t="b">
        <v>1</v>
      </c>
      <c r="H280" s="9" t="s">
        <v>2505</v>
      </c>
      <c r="I280" s="7" t="s">
        <v>1619</v>
      </c>
      <c r="J280" s="7" t="s">
        <v>2404</v>
      </c>
      <c r="K280" s="7" t="s">
        <v>403</v>
      </c>
      <c r="L280" s="8" t="s">
        <v>2504</v>
      </c>
      <c r="M280" s="8" t="s">
        <v>2503</v>
      </c>
      <c r="N280" s="7">
        <v>2020</v>
      </c>
      <c r="O280" s="5">
        <v>167</v>
      </c>
      <c r="P280" s="5" t="s">
        <v>220</v>
      </c>
    </row>
    <row r="281" spans="1:16" ht="21.5" x14ac:dyDescent="0.9">
      <c r="A281" s="5" t="s">
        <v>2502</v>
      </c>
      <c r="B281" s="5" t="s">
        <v>795</v>
      </c>
      <c r="C281" s="5" t="s">
        <v>2501</v>
      </c>
      <c r="D281" s="5">
        <v>5</v>
      </c>
      <c r="E281" s="5" t="b">
        <v>1</v>
      </c>
      <c r="H281" s="9" t="s">
        <v>2500</v>
      </c>
      <c r="I281" s="7" t="s">
        <v>1619</v>
      </c>
      <c r="J281" s="7" t="s">
        <v>2404</v>
      </c>
      <c r="K281" s="7" t="s">
        <v>403</v>
      </c>
      <c r="L281" s="8" t="s">
        <v>2499</v>
      </c>
      <c r="M281" s="8" t="s">
        <v>2498</v>
      </c>
      <c r="N281" s="7">
        <v>2020</v>
      </c>
      <c r="O281" s="5">
        <v>168</v>
      </c>
      <c r="P281" s="5" t="s">
        <v>220</v>
      </c>
    </row>
    <row r="282" spans="1:16" ht="21.5" x14ac:dyDescent="0.9">
      <c r="A282" s="5" t="s">
        <v>2497</v>
      </c>
      <c r="B282" s="5" t="s">
        <v>1243</v>
      </c>
      <c r="C282" s="5" t="s">
        <v>2496</v>
      </c>
      <c r="D282" s="5">
        <v>6</v>
      </c>
      <c r="E282" s="5" t="b">
        <v>1</v>
      </c>
      <c r="F282" s="17"/>
      <c r="G282" s="33"/>
      <c r="H282" s="9" t="s">
        <v>2495</v>
      </c>
      <c r="I282" s="7" t="s">
        <v>1619</v>
      </c>
      <c r="J282" s="7" t="s">
        <v>2404</v>
      </c>
      <c r="K282" s="7" t="s">
        <v>403</v>
      </c>
      <c r="L282" s="8" t="s">
        <v>2494</v>
      </c>
      <c r="M282" s="8" t="s">
        <v>2493</v>
      </c>
      <c r="N282" s="7">
        <v>2020</v>
      </c>
      <c r="O282" s="5">
        <v>169</v>
      </c>
      <c r="P282" s="5" t="s">
        <v>220</v>
      </c>
    </row>
    <row r="283" spans="1:16" ht="21.5" x14ac:dyDescent="0.9">
      <c r="A283" s="5" t="s">
        <v>2492</v>
      </c>
      <c r="B283" s="5" t="s">
        <v>1238</v>
      </c>
      <c r="C283" s="5" t="s">
        <v>2491</v>
      </c>
      <c r="D283" s="5">
        <v>7</v>
      </c>
      <c r="E283" s="5" t="b">
        <v>1</v>
      </c>
      <c r="H283" s="9" t="s">
        <v>2490</v>
      </c>
      <c r="I283" s="7" t="s">
        <v>1619</v>
      </c>
      <c r="J283" s="7" t="s">
        <v>2404</v>
      </c>
      <c r="K283" s="7" t="s">
        <v>403</v>
      </c>
      <c r="L283" s="8" t="s">
        <v>2489</v>
      </c>
      <c r="M283" s="8" t="s">
        <v>2488</v>
      </c>
      <c r="N283" s="7">
        <v>2021</v>
      </c>
      <c r="O283" s="5">
        <v>170</v>
      </c>
      <c r="P283" s="5" t="s">
        <v>220</v>
      </c>
    </row>
    <row r="284" spans="1:16" ht="21.5" x14ac:dyDescent="0.9">
      <c r="A284" s="5" t="s">
        <v>2487</v>
      </c>
      <c r="B284" s="5" t="s">
        <v>2486</v>
      </c>
      <c r="C284" s="5" t="s">
        <v>2485</v>
      </c>
      <c r="D284" s="5">
        <v>8</v>
      </c>
      <c r="E284" s="5" t="b">
        <v>1</v>
      </c>
      <c r="H284" s="9" t="s">
        <v>2484</v>
      </c>
      <c r="I284" s="7" t="s">
        <v>1619</v>
      </c>
      <c r="J284" s="7" t="s">
        <v>2404</v>
      </c>
      <c r="K284" s="7" t="s">
        <v>403</v>
      </c>
      <c r="L284" s="8" t="s">
        <v>2483</v>
      </c>
      <c r="M284" s="8" t="s">
        <v>2482</v>
      </c>
      <c r="N284" s="7">
        <v>2021</v>
      </c>
      <c r="O284" s="5">
        <v>171</v>
      </c>
      <c r="P284" s="5" t="s">
        <v>220</v>
      </c>
    </row>
    <row r="285" spans="1:16" ht="21.5" x14ac:dyDescent="0.9">
      <c r="A285" s="5" t="s">
        <v>2481</v>
      </c>
      <c r="B285" s="5" t="s">
        <v>2480</v>
      </c>
      <c r="C285" s="5" t="s">
        <v>2479</v>
      </c>
      <c r="D285" s="5">
        <v>9</v>
      </c>
      <c r="E285" s="5" t="b">
        <v>1</v>
      </c>
      <c r="H285" s="9" t="s">
        <v>2478</v>
      </c>
      <c r="I285" s="7" t="s">
        <v>1619</v>
      </c>
      <c r="J285" s="7" t="s">
        <v>2404</v>
      </c>
      <c r="K285" s="7" t="s">
        <v>403</v>
      </c>
      <c r="L285" s="8" t="s">
        <v>2477</v>
      </c>
      <c r="M285" s="8" t="s">
        <v>2476</v>
      </c>
      <c r="N285" s="7">
        <v>2021</v>
      </c>
      <c r="O285" s="5">
        <v>172</v>
      </c>
      <c r="P285" s="5" t="s">
        <v>220</v>
      </c>
    </row>
    <row r="286" spans="1:16" ht="21.5" x14ac:dyDescent="0.9">
      <c r="A286" s="5" t="s">
        <v>2475</v>
      </c>
      <c r="B286" s="5" t="s">
        <v>2474</v>
      </c>
      <c r="C286" s="5" t="s">
        <v>2474</v>
      </c>
      <c r="D286" s="5">
        <v>10</v>
      </c>
      <c r="E286" s="5" t="b">
        <v>1</v>
      </c>
      <c r="F286" s="17"/>
      <c r="G286" s="33"/>
      <c r="H286" s="9" t="s">
        <v>2473</v>
      </c>
      <c r="I286" s="7" t="s">
        <v>1619</v>
      </c>
      <c r="J286" s="7" t="s">
        <v>2404</v>
      </c>
      <c r="K286" s="7" t="s">
        <v>403</v>
      </c>
      <c r="L286" s="8" t="s">
        <v>2472</v>
      </c>
      <c r="M286" s="8" t="s">
        <v>2471</v>
      </c>
      <c r="N286" s="7">
        <v>2022</v>
      </c>
      <c r="O286" s="5">
        <v>173</v>
      </c>
      <c r="P286" s="5" t="s">
        <v>220</v>
      </c>
    </row>
    <row r="287" spans="1:16" ht="21.5" x14ac:dyDescent="0.9">
      <c r="A287" s="5"/>
      <c r="B287" s="5"/>
      <c r="C287" s="5"/>
      <c r="D287" s="5"/>
      <c r="E287" s="5"/>
      <c r="F287" s="17"/>
      <c r="G287" s="33"/>
      <c r="H287" s="9" t="s">
        <v>2470</v>
      </c>
      <c r="I287" s="7" t="s">
        <v>1619</v>
      </c>
      <c r="J287" s="7" t="s">
        <v>2404</v>
      </c>
      <c r="K287" s="7" t="s">
        <v>403</v>
      </c>
      <c r="L287" s="8" t="s">
        <v>2469</v>
      </c>
      <c r="M287" s="8" t="s">
        <v>2468</v>
      </c>
      <c r="N287" s="7">
        <v>2022</v>
      </c>
      <c r="O287" s="5">
        <v>174</v>
      </c>
      <c r="P287" s="5" t="s">
        <v>220</v>
      </c>
    </row>
    <row r="288" spans="1:16" ht="21.5" x14ac:dyDescent="0.9">
      <c r="A288" s="5" t="s">
        <v>2467</v>
      </c>
      <c r="B288" s="5"/>
      <c r="C288" s="5"/>
      <c r="D288" s="5"/>
      <c r="E288" s="5"/>
      <c r="F288" s="17"/>
      <c r="G288" s="33"/>
      <c r="H288" s="9" t="s">
        <v>2466</v>
      </c>
      <c r="I288" s="7" t="s">
        <v>1619</v>
      </c>
      <c r="J288" s="7" t="s">
        <v>2404</v>
      </c>
      <c r="K288" s="7" t="s">
        <v>403</v>
      </c>
      <c r="L288" s="8" t="s">
        <v>2465</v>
      </c>
      <c r="M288" s="8" t="s">
        <v>2464</v>
      </c>
      <c r="N288" s="7">
        <v>2022</v>
      </c>
      <c r="O288" s="5">
        <v>175</v>
      </c>
      <c r="P288" s="5" t="s">
        <v>220</v>
      </c>
    </row>
    <row r="289" spans="1:16" ht="21.5" x14ac:dyDescent="0.9">
      <c r="A289" s="6" t="s">
        <v>34</v>
      </c>
      <c r="B289" s="6" t="s">
        <v>33</v>
      </c>
      <c r="C289" s="6" t="s">
        <v>32</v>
      </c>
      <c r="D289" s="6" t="s">
        <v>31</v>
      </c>
      <c r="E289" s="6" t="s">
        <v>0</v>
      </c>
      <c r="F289" s="17"/>
      <c r="G289" s="33"/>
      <c r="H289" s="9" t="s">
        <v>2463</v>
      </c>
      <c r="I289" s="7" t="s">
        <v>1619</v>
      </c>
      <c r="J289" s="7" t="s">
        <v>2404</v>
      </c>
      <c r="K289" s="7" t="s">
        <v>403</v>
      </c>
      <c r="L289" s="8" t="s">
        <v>2462</v>
      </c>
      <c r="M289" s="8" t="s">
        <v>2461</v>
      </c>
      <c r="N289" s="7">
        <v>2022</v>
      </c>
      <c r="O289" s="5">
        <v>176</v>
      </c>
      <c r="P289" s="5" t="s">
        <v>220</v>
      </c>
    </row>
    <row r="290" spans="1:16" ht="21.5" x14ac:dyDescent="0.9">
      <c r="A290" s="5" t="s">
        <v>2460</v>
      </c>
      <c r="B290" s="5" t="s">
        <v>2459</v>
      </c>
      <c r="C290" s="5" t="s">
        <v>2459</v>
      </c>
      <c r="D290" s="5">
        <v>1</v>
      </c>
      <c r="E290" s="5" t="b">
        <v>1</v>
      </c>
      <c r="F290" s="17"/>
      <c r="G290" s="33"/>
      <c r="H290" s="9" t="s">
        <v>2458</v>
      </c>
      <c r="I290" s="7" t="s">
        <v>1619</v>
      </c>
      <c r="J290" s="7" t="s">
        <v>2404</v>
      </c>
      <c r="K290" s="7" t="s">
        <v>403</v>
      </c>
      <c r="L290" s="8" t="s">
        <v>2457</v>
      </c>
      <c r="M290" s="8" t="s">
        <v>2456</v>
      </c>
      <c r="N290" s="7">
        <v>2023</v>
      </c>
      <c r="O290" s="5">
        <v>177</v>
      </c>
      <c r="P290" s="5" t="s">
        <v>220</v>
      </c>
    </row>
    <row r="291" spans="1:16" ht="21.5" x14ac:dyDescent="0.9">
      <c r="A291" s="5" t="s">
        <v>2455</v>
      </c>
      <c r="B291" s="5" t="s">
        <v>2454</v>
      </c>
      <c r="C291" s="5" t="s">
        <v>2454</v>
      </c>
      <c r="D291" s="5">
        <v>2</v>
      </c>
      <c r="E291" s="5" t="b">
        <v>1</v>
      </c>
      <c r="F291" s="17"/>
      <c r="G291" s="33"/>
      <c r="H291" s="9" t="s">
        <v>2453</v>
      </c>
      <c r="I291" s="7" t="s">
        <v>1619</v>
      </c>
      <c r="J291" s="7" t="s">
        <v>2404</v>
      </c>
      <c r="K291" s="7" t="s">
        <v>403</v>
      </c>
      <c r="L291" s="8" t="s">
        <v>2452</v>
      </c>
      <c r="M291" s="8" t="s">
        <v>2451</v>
      </c>
      <c r="N291" s="7">
        <v>2023</v>
      </c>
      <c r="O291" s="5">
        <v>178</v>
      </c>
      <c r="P291" s="5" t="s">
        <v>220</v>
      </c>
    </row>
    <row r="292" spans="1:16" ht="21.5" x14ac:dyDescent="0.9">
      <c r="A292" s="5" t="s">
        <v>2450</v>
      </c>
      <c r="B292" s="5" t="s">
        <v>2449</v>
      </c>
      <c r="C292" s="5" t="s">
        <v>2449</v>
      </c>
      <c r="D292" s="5">
        <v>3</v>
      </c>
      <c r="E292" s="5" t="b">
        <v>1</v>
      </c>
      <c r="F292" s="17"/>
      <c r="G292" s="33"/>
      <c r="H292" s="9" t="s">
        <v>2448</v>
      </c>
      <c r="I292" s="7" t="s">
        <v>1619</v>
      </c>
      <c r="J292" s="7" t="s">
        <v>2404</v>
      </c>
      <c r="K292" s="7" t="s">
        <v>403</v>
      </c>
      <c r="L292" s="8" t="s">
        <v>2447</v>
      </c>
      <c r="M292" s="8" t="s">
        <v>2446</v>
      </c>
      <c r="N292" s="7">
        <v>2023</v>
      </c>
      <c r="O292" s="5">
        <v>179</v>
      </c>
      <c r="P292" s="5" t="s">
        <v>220</v>
      </c>
    </row>
    <row r="293" spans="1:16" ht="21.5" x14ac:dyDescent="0.9">
      <c r="A293" s="5" t="s">
        <v>2445</v>
      </c>
      <c r="B293" s="5" t="s">
        <v>2444</v>
      </c>
      <c r="C293" s="5" t="s">
        <v>2444</v>
      </c>
      <c r="D293" s="5">
        <v>4</v>
      </c>
      <c r="E293" s="5" t="b">
        <v>1</v>
      </c>
      <c r="F293" s="17"/>
      <c r="G293" s="33"/>
      <c r="H293" s="9" t="s">
        <v>2443</v>
      </c>
      <c r="I293" s="7" t="s">
        <v>1619</v>
      </c>
      <c r="J293" s="7" t="s">
        <v>2404</v>
      </c>
      <c r="K293" s="7" t="s">
        <v>403</v>
      </c>
      <c r="L293" s="8" t="s">
        <v>2442</v>
      </c>
      <c r="M293" s="8" t="s">
        <v>2441</v>
      </c>
      <c r="N293" s="7">
        <v>2023</v>
      </c>
      <c r="O293" s="5">
        <v>180</v>
      </c>
      <c r="P293" s="5" t="s">
        <v>220</v>
      </c>
    </row>
    <row r="294" spans="1:16" ht="21.5" x14ac:dyDescent="0.9">
      <c r="A294" s="5" t="s">
        <v>2440</v>
      </c>
      <c r="B294" s="5" t="s">
        <v>2439</v>
      </c>
      <c r="C294" s="5" t="s">
        <v>2439</v>
      </c>
      <c r="D294" s="5">
        <v>5</v>
      </c>
      <c r="E294" s="5" t="b">
        <v>1</v>
      </c>
      <c r="F294" s="17"/>
      <c r="G294" s="33"/>
      <c r="H294" s="9" t="s">
        <v>2438</v>
      </c>
      <c r="I294" s="7" t="s">
        <v>1619</v>
      </c>
      <c r="J294" s="7" t="s">
        <v>2404</v>
      </c>
      <c r="K294" s="7" t="s">
        <v>403</v>
      </c>
      <c r="L294" s="8" t="s">
        <v>2437</v>
      </c>
      <c r="M294" s="8" t="s">
        <v>2436</v>
      </c>
      <c r="N294" s="7">
        <v>2024</v>
      </c>
      <c r="O294" s="5">
        <v>181</v>
      </c>
      <c r="P294" s="5" t="s">
        <v>220</v>
      </c>
    </row>
    <row r="295" spans="1:16" ht="21.5" x14ac:dyDescent="0.9">
      <c r="A295" s="5" t="s">
        <v>2435</v>
      </c>
      <c r="B295" s="5" t="s">
        <v>2434</v>
      </c>
      <c r="C295" s="5" t="s">
        <v>2434</v>
      </c>
      <c r="D295" s="5">
        <v>6</v>
      </c>
      <c r="E295" s="5" t="b">
        <v>1</v>
      </c>
      <c r="F295" s="17"/>
      <c r="G295" s="33"/>
      <c r="H295" s="9" t="s">
        <v>2433</v>
      </c>
      <c r="I295" s="7" t="s">
        <v>1619</v>
      </c>
      <c r="J295" s="7" t="s">
        <v>2404</v>
      </c>
      <c r="K295" s="7" t="s">
        <v>403</v>
      </c>
      <c r="L295" s="8" t="s">
        <v>2432</v>
      </c>
      <c r="M295" s="8" t="s">
        <v>2431</v>
      </c>
      <c r="N295" s="7">
        <v>2024</v>
      </c>
      <c r="O295" s="5">
        <v>182</v>
      </c>
      <c r="P295" s="5" t="s">
        <v>220</v>
      </c>
    </row>
    <row r="296" spans="1:16" ht="21.5" x14ac:dyDescent="0.9">
      <c r="A296" s="5"/>
      <c r="B296" s="5"/>
      <c r="C296" s="5"/>
      <c r="D296" s="5"/>
      <c r="E296" s="5"/>
      <c r="F296" s="17"/>
      <c r="G296" s="33"/>
      <c r="H296" s="9" t="s">
        <v>2430</v>
      </c>
      <c r="I296" s="7" t="s">
        <v>1619</v>
      </c>
      <c r="J296" s="7" t="s">
        <v>2404</v>
      </c>
      <c r="K296" s="7" t="s">
        <v>403</v>
      </c>
      <c r="L296" s="8" t="s">
        <v>2429</v>
      </c>
      <c r="M296" s="8" t="s">
        <v>2428</v>
      </c>
      <c r="N296" s="7">
        <v>2024</v>
      </c>
      <c r="O296" s="5">
        <v>183</v>
      </c>
      <c r="P296" s="5" t="s">
        <v>220</v>
      </c>
    </row>
    <row r="297" spans="1:16" ht="21.5" x14ac:dyDescent="0.9">
      <c r="A297" s="5" t="s">
        <v>2427</v>
      </c>
      <c r="B297" s="5"/>
      <c r="C297" s="5"/>
      <c r="D297" s="5"/>
      <c r="E297" s="5"/>
      <c r="F297" s="17"/>
      <c r="G297" s="33"/>
      <c r="H297" s="9" t="s">
        <v>2426</v>
      </c>
      <c r="I297" s="7" t="s">
        <v>1619</v>
      </c>
      <c r="J297" s="7" t="s">
        <v>2404</v>
      </c>
      <c r="K297" s="7" t="s">
        <v>403</v>
      </c>
      <c r="L297" s="8" t="s">
        <v>2425</v>
      </c>
      <c r="M297" s="8" t="s">
        <v>2424</v>
      </c>
      <c r="N297" s="7">
        <v>2024</v>
      </c>
      <c r="O297" s="5">
        <v>184</v>
      </c>
      <c r="P297" s="5" t="s">
        <v>220</v>
      </c>
    </row>
    <row r="298" spans="1:16" ht="21.5" x14ac:dyDescent="0.9">
      <c r="A298" s="6" t="s">
        <v>34</v>
      </c>
      <c r="B298" s="6" t="s">
        <v>33</v>
      </c>
      <c r="C298" s="6" t="s">
        <v>32</v>
      </c>
      <c r="D298" s="6" t="s">
        <v>31</v>
      </c>
      <c r="E298" s="6" t="s">
        <v>0</v>
      </c>
      <c r="F298" s="17"/>
      <c r="G298" s="33"/>
      <c r="H298" s="9" t="s">
        <v>2423</v>
      </c>
      <c r="I298" s="7" t="s">
        <v>1619</v>
      </c>
      <c r="J298" s="7" t="s">
        <v>2404</v>
      </c>
      <c r="K298" s="7" t="s">
        <v>403</v>
      </c>
      <c r="L298" s="8" t="s">
        <v>2422</v>
      </c>
      <c r="M298" s="8" t="s">
        <v>2421</v>
      </c>
      <c r="N298" s="7">
        <v>2025</v>
      </c>
      <c r="O298" s="5">
        <v>185</v>
      </c>
      <c r="P298" s="5" t="s">
        <v>220</v>
      </c>
    </row>
    <row r="299" spans="1:16" ht="21.5" x14ac:dyDescent="0.9">
      <c r="A299" s="16" t="s">
        <v>2420</v>
      </c>
      <c r="B299" s="5" t="s">
        <v>2419</v>
      </c>
      <c r="C299" s="5" t="s">
        <v>2418</v>
      </c>
      <c r="D299" s="5">
        <v>1</v>
      </c>
      <c r="E299" s="5" t="b">
        <v>1</v>
      </c>
      <c r="F299" s="17"/>
      <c r="G299" s="33"/>
      <c r="H299" s="9" t="s">
        <v>2417</v>
      </c>
      <c r="I299" s="7" t="s">
        <v>1619</v>
      </c>
      <c r="J299" s="7" t="s">
        <v>2404</v>
      </c>
      <c r="K299" s="7" t="s">
        <v>403</v>
      </c>
      <c r="L299" s="8" t="s">
        <v>2416</v>
      </c>
      <c r="M299" s="8" t="s">
        <v>2415</v>
      </c>
      <c r="N299" s="7">
        <v>2025</v>
      </c>
      <c r="O299" s="5">
        <v>186</v>
      </c>
      <c r="P299" s="5" t="s">
        <v>220</v>
      </c>
    </row>
    <row r="300" spans="1:16" ht="21.5" x14ac:dyDescent="0.9">
      <c r="A300" s="16" t="s">
        <v>2414</v>
      </c>
      <c r="B300" s="5" t="s">
        <v>2413</v>
      </c>
      <c r="C300" s="5" t="s">
        <v>2412</v>
      </c>
      <c r="D300" s="5">
        <v>2</v>
      </c>
      <c r="E300" s="5" t="b">
        <v>1</v>
      </c>
      <c r="F300" s="17"/>
      <c r="G300" s="33"/>
      <c r="H300" s="9" t="s">
        <v>2411</v>
      </c>
      <c r="I300" s="7" t="s">
        <v>1619</v>
      </c>
      <c r="J300" s="7" t="s">
        <v>2404</v>
      </c>
      <c r="K300" s="7" t="s">
        <v>403</v>
      </c>
      <c r="L300" s="8" t="s">
        <v>2410</v>
      </c>
      <c r="M300" s="8" t="s">
        <v>2409</v>
      </c>
      <c r="N300" s="7">
        <v>2025</v>
      </c>
      <c r="O300" s="5">
        <v>187</v>
      </c>
      <c r="P300" s="5" t="s">
        <v>220</v>
      </c>
    </row>
    <row r="301" spans="1:16" ht="21.5" x14ac:dyDescent="0.9">
      <c r="A301" s="16" t="s">
        <v>2408</v>
      </c>
      <c r="B301" s="5" t="s">
        <v>2407</v>
      </c>
      <c r="C301" s="5" t="s">
        <v>2406</v>
      </c>
      <c r="D301" s="5">
        <v>3</v>
      </c>
      <c r="E301" s="5" t="b">
        <v>1</v>
      </c>
      <c r="F301" s="17"/>
      <c r="G301" s="33"/>
      <c r="H301" s="9" t="s">
        <v>2405</v>
      </c>
      <c r="I301" s="7" t="s">
        <v>1619</v>
      </c>
      <c r="J301" s="7" t="s">
        <v>2404</v>
      </c>
      <c r="K301" s="7" t="s">
        <v>403</v>
      </c>
      <c r="L301" s="8" t="s">
        <v>2403</v>
      </c>
      <c r="M301" s="8" t="s">
        <v>2402</v>
      </c>
      <c r="N301" s="7">
        <v>2025</v>
      </c>
      <c r="O301" s="5">
        <v>188</v>
      </c>
      <c r="P301" s="5" t="s">
        <v>220</v>
      </c>
    </row>
    <row r="302" spans="1:16" ht="21.5" x14ac:dyDescent="0.9">
      <c r="A302" s="16" t="s">
        <v>2401</v>
      </c>
      <c r="B302" s="5" t="s">
        <v>2400</v>
      </c>
      <c r="C302" s="5" t="s">
        <v>2399</v>
      </c>
      <c r="D302" s="5">
        <v>4</v>
      </c>
      <c r="E302" s="5" t="b">
        <v>1</v>
      </c>
      <c r="F302" s="17"/>
      <c r="G302" s="33"/>
      <c r="H302" s="9" t="s">
        <v>2398</v>
      </c>
      <c r="I302" s="7" t="s">
        <v>1619</v>
      </c>
      <c r="J302" s="7" t="s">
        <v>2329</v>
      </c>
      <c r="K302" s="7" t="s">
        <v>403</v>
      </c>
      <c r="L302" s="8" t="s">
        <v>2397</v>
      </c>
      <c r="M302" s="8" t="s">
        <v>2396</v>
      </c>
      <c r="N302" s="7">
        <v>2011</v>
      </c>
      <c r="O302" s="5">
        <v>189</v>
      </c>
      <c r="P302" s="5" t="s">
        <v>220</v>
      </c>
    </row>
    <row r="303" spans="1:16" ht="21.5" x14ac:dyDescent="0.9">
      <c r="A303" s="16" t="s">
        <v>2395</v>
      </c>
      <c r="B303" s="5" t="s">
        <v>2394</v>
      </c>
      <c r="C303" s="5" t="s">
        <v>2393</v>
      </c>
      <c r="D303" s="5">
        <v>5</v>
      </c>
      <c r="E303" s="5" t="b">
        <v>1</v>
      </c>
      <c r="F303" s="17"/>
      <c r="G303" s="33"/>
      <c r="H303" s="9" t="s">
        <v>2392</v>
      </c>
      <c r="I303" s="7" t="s">
        <v>1619</v>
      </c>
      <c r="J303" s="7" t="s">
        <v>2329</v>
      </c>
      <c r="K303" s="7" t="s">
        <v>403</v>
      </c>
      <c r="L303" s="8" t="s">
        <v>2391</v>
      </c>
      <c r="M303" s="8" t="s">
        <v>2390</v>
      </c>
      <c r="N303" s="7">
        <v>2012</v>
      </c>
      <c r="O303" s="5">
        <v>190</v>
      </c>
      <c r="P303" s="5" t="s">
        <v>220</v>
      </c>
    </row>
    <row r="304" spans="1:16" ht="21.5" x14ac:dyDescent="0.9">
      <c r="A304" s="16" t="s">
        <v>2389</v>
      </c>
      <c r="B304" s="5" t="s">
        <v>2388</v>
      </c>
      <c r="C304" s="5" t="s">
        <v>2387</v>
      </c>
      <c r="D304" s="5">
        <v>6</v>
      </c>
      <c r="E304" s="5" t="b">
        <v>1</v>
      </c>
      <c r="F304" s="17"/>
      <c r="G304" s="33"/>
      <c r="H304" s="9" t="s">
        <v>2386</v>
      </c>
      <c r="I304" s="7" t="s">
        <v>1619</v>
      </c>
      <c r="J304" s="7" t="s">
        <v>2329</v>
      </c>
      <c r="K304" s="7" t="s">
        <v>403</v>
      </c>
      <c r="L304" s="8" t="s">
        <v>2385</v>
      </c>
      <c r="M304" s="8" t="s">
        <v>2384</v>
      </c>
      <c r="N304" s="7">
        <v>2013</v>
      </c>
      <c r="O304" s="5">
        <v>191</v>
      </c>
      <c r="P304" s="5" t="s">
        <v>220</v>
      </c>
    </row>
    <row r="305" spans="1:16" ht="21.5" x14ac:dyDescent="0.9">
      <c r="A305" s="16" t="s">
        <v>2383</v>
      </c>
      <c r="B305" s="5" t="s">
        <v>2382</v>
      </c>
      <c r="C305" s="5" t="s">
        <v>2381</v>
      </c>
      <c r="D305" s="5">
        <v>7</v>
      </c>
      <c r="E305" s="5" t="b">
        <v>1</v>
      </c>
      <c r="F305" s="17"/>
      <c r="G305" s="33"/>
      <c r="H305" s="9" t="s">
        <v>2380</v>
      </c>
      <c r="I305" s="7" t="s">
        <v>1619</v>
      </c>
      <c r="J305" s="7" t="s">
        <v>2329</v>
      </c>
      <c r="K305" s="7" t="s">
        <v>403</v>
      </c>
      <c r="L305" s="8" t="s">
        <v>2379</v>
      </c>
      <c r="M305" s="8" t="s">
        <v>2378</v>
      </c>
      <c r="N305" s="7">
        <v>2014</v>
      </c>
      <c r="O305" s="5">
        <v>192</v>
      </c>
      <c r="P305" s="5" t="s">
        <v>220</v>
      </c>
    </row>
    <row r="306" spans="1:16" ht="21.5" x14ac:dyDescent="0.9">
      <c r="A306" s="16" t="s">
        <v>2377</v>
      </c>
      <c r="B306" s="5" t="s">
        <v>2376</v>
      </c>
      <c r="C306" s="5" t="s">
        <v>2375</v>
      </c>
      <c r="D306" s="5">
        <v>8</v>
      </c>
      <c r="E306" s="5" t="b">
        <v>1</v>
      </c>
      <c r="F306" s="17"/>
      <c r="G306" s="33"/>
      <c r="H306" s="9" t="s">
        <v>2374</v>
      </c>
      <c r="I306" s="7" t="s">
        <v>1619</v>
      </c>
      <c r="J306" s="7" t="s">
        <v>2329</v>
      </c>
      <c r="K306" s="7" t="s">
        <v>403</v>
      </c>
      <c r="L306" s="8" t="s">
        <v>2373</v>
      </c>
      <c r="M306" s="8" t="s">
        <v>2372</v>
      </c>
      <c r="N306" s="7">
        <v>2014</v>
      </c>
      <c r="O306" s="5">
        <v>193</v>
      </c>
      <c r="P306" s="5" t="s">
        <v>220</v>
      </c>
    </row>
    <row r="307" spans="1:16" ht="21.5" x14ac:dyDescent="0.9">
      <c r="A307" s="16" t="s">
        <v>2371</v>
      </c>
      <c r="B307" s="5" t="s">
        <v>2370</v>
      </c>
      <c r="C307" s="5" t="s">
        <v>2369</v>
      </c>
      <c r="D307" s="5">
        <v>9</v>
      </c>
      <c r="E307" s="5" t="b">
        <v>1</v>
      </c>
      <c r="F307" s="17"/>
      <c r="G307" s="33"/>
      <c r="H307" s="9" t="s">
        <v>2368</v>
      </c>
      <c r="I307" s="7" t="s">
        <v>1619</v>
      </c>
      <c r="J307" s="7" t="s">
        <v>2329</v>
      </c>
      <c r="K307" s="7" t="s">
        <v>403</v>
      </c>
      <c r="L307" s="8" t="s">
        <v>2367</v>
      </c>
      <c r="M307" s="8" t="s">
        <v>2366</v>
      </c>
      <c r="N307" s="7">
        <v>2015</v>
      </c>
      <c r="O307" s="5">
        <v>194</v>
      </c>
      <c r="P307" s="5" t="s">
        <v>220</v>
      </c>
    </row>
    <row r="308" spans="1:16" ht="21.5" x14ac:dyDescent="0.9">
      <c r="A308" s="16" t="s">
        <v>2365</v>
      </c>
      <c r="B308" s="5" t="s">
        <v>2364</v>
      </c>
      <c r="C308" s="5" t="s">
        <v>2363</v>
      </c>
      <c r="D308" s="5">
        <v>10</v>
      </c>
      <c r="E308" s="5" t="b">
        <v>1</v>
      </c>
      <c r="F308" s="17"/>
      <c r="G308" s="33"/>
      <c r="H308" s="9" t="s">
        <v>2362</v>
      </c>
      <c r="I308" s="7" t="s">
        <v>1619</v>
      </c>
      <c r="J308" s="7" t="s">
        <v>2329</v>
      </c>
      <c r="K308" s="7" t="s">
        <v>403</v>
      </c>
      <c r="L308" s="8" t="s">
        <v>2361</v>
      </c>
      <c r="M308" s="8" t="s">
        <v>2360</v>
      </c>
      <c r="N308" s="7">
        <v>2017</v>
      </c>
      <c r="O308" s="5">
        <v>195</v>
      </c>
      <c r="P308" s="5" t="s">
        <v>220</v>
      </c>
    </row>
    <row r="309" spans="1:16" ht="21.5" x14ac:dyDescent="0.9">
      <c r="A309" s="5"/>
      <c r="B309" s="5"/>
      <c r="C309" s="5"/>
      <c r="D309" s="5"/>
      <c r="E309" s="5"/>
      <c r="F309" s="17"/>
      <c r="G309" s="33"/>
      <c r="H309" s="9" t="s">
        <v>2359</v>
      </c>
      <c r="I309" s="7" t="s">
        <v>1619</v>
      </c>
      <c r="J309" s="7" t="s">
        <v>2329</v>
      </c>
      <c r="K309" s="7" t="s">
        <v>403</v>
      </c>
      <c r="L309" s="8" t="s">
        <v>2358</v>
      </c>
      <c r="M309" s="8" t="s">
        <v>2357</v>
      </c>
      <c r="N309" s="7">
        <v>2017</v>
      </c>
      <c r="O309" s="5">
        <v>196</v>
      </c>
      <c r="P309" s="5" t="s">
        <v>220</v>
      </c>
    </row>
    <row r="310" spans="1:16" ht="21.5" x14ac:dyDescent="0.9">
      <c r="A310" s="5" t="s">
        <v>2356</v>
      </c>
      <c r="B310" s="5"/>
      <c r="C310" s="5"/>
      <c r="D310" s="5"/>
      <c r="E310" s="5"/>
      <c r="F310" s="17"/>
      <c r="G310" s="33"/>
      <c r="H310" s="9" t="s">
        <v>2355</v>
      </c>
      <c r="I310" s="7" t="s">
        <v>1619</v>
      </c>
      <c r="J310" s="7" t="s">
        <v>2329</v>
      </c>
      <c r="K310" s="7" t="s">
        <v>403</v>
      </c>
      <c r="L310" s="8" t="s">
        <v>2354</v>
      </c>
      <c r="M310" s="8" t="s">
        <v>2353</v>
      </c>
      <c r="N310" s="7">
        <v>2018</v>
      </c>
      <c r="O310" s="5">
        <v>197</v>
      </c>
      <c r="P310" s="5" t="s">
        <v>220</v>
      </c>
    </row>
    <row r="311" spans="1:16" ht="21.5" x14ac:dyDescent="0.9">
      <c r="A311" s="6" t="s">
        <v>34</v>
      </c>
      <c r="B311" s="6" t="s">
        <v>33</v>
      </c>
      <c r="C311" s="6" t="s">
        <v>32</v>
      </c>
      <c r="D311" s="6" t="s">
        <v>31</v>
      </c>
      <c r="E311" s="6" t="s">
        <v>0</v>
      </c>
      <c r="F311" s="17"/>
      <c r="G311" s="33"/>
      <c r="H311" s="9" t="s">
        <v>2352</v>
      </c>
      <c r="I311" s="7" t="s">
        <v>1619</v>
      </c>
      <c r="J311" s="7" t="s">
        <v>2329</v>
      </c>
      <c r="K311" s="7" t="s">
        <v>403</v>
      </c>
      <c r="L311" s="8" t="s">
        <v>2351</v>
      </c>
      <c r="M311" s="8" t="s">
        <v>2350</v>
      </c>
      <c r="N311" s="7">
        <v>2019</v>
      </c>
      <c r="O311" s="5">
        <v>198</v>
      </c>
      <c r="P311" s="5" t="s">
        <v>220</v>
      </c>
    </row>
    <row r="312" spans="1:16" ht="21.5" x14ac:dyDescent="0.9">
      <c r="A312" s="5" t="s">
        <v>2349</v>
      </c>
      <c r="B312" s="5" t="s">
        <v>0</v>
      </c>
      <c r="C312" s="5" t="s">
        <v>2348</v>
      </c>
      <c r="D312" s="5">
        <v>1</v>
      </c>
      <c r="E312" s="5" t="b">
        <v>1</v>
      </c>
      <c r="F312" s="17"/>
      <c r="G312" s="33"/>
      <c r="H312" s="9" t="s">
        <v>2347</v>
      </c>
      <c r="I312" s="7" t="s">
        <v>1619</v>
      </c>
      <c r="J312" s="7" t="s">
        <v>2329</v>
      </c>
      <c r="K312" s="7" t="s">
        <v>403</v>
      </c>
      <c r="L312" s="8" t="s">
        <v>2346</v>
      </c>
      <c r="M312" s="8" t="s">
        <v>2345</v>
      </c>
      <c r="N312" s="7">
        <v>2019</v>
      </c>
      <c r="O312" s="5">
        <v>199</v>
      </c>
      <c r="P312" s="5" t="s">
        <v>220</v>
      </c>
    </row>
    <row r="313" spans="1:16" ht="21.5" x14ac:dyDescent="0.9">
      <c r="A313" s="5" t="s">
        <v>2344</v>
      </c>
      <c r="B313" s="5" t="s">
        <v>2343</v>
      </c>
      <c r="C313" s="5" t="s">
        <v>2342</v>
      </c>
      <c r="D313" s="5">
        <v>2</v>
      </c>
      <c r="E313" s="5" t="b">
        <v>1</v>
      </c>
      <c r="F313" s="17"/>
      <c r="G313" s="33"/>
      <c r="H313" s="9" t="s">
        <v>2341</v>
      </c>
      <c r="I313" s="7" t="s">
        <v>1619</v>
      </c>
      <c r="J313" s="7" t="s">
        <v>2329</v>
      </c>
      <c r="K313" s="7" t="s">
        <v>403</v>
      </c>
      <c r="L313" s="8" t="s">
        <v>2340</v>
      </c>
      <c r="M313" s="8" t="s">
        <v>2339</v>
      </c>
      <c r="N313" s="7">
        <v>2019</v>
      </c>
      <c r="O313" s="5">
        <v>200</v>
      </c>
      <c r="P313" s="5" t="s">
        <v>220</v>
      </c>
    </row>
    <row r="314" spans="1:16" ht="21.5" x14ac:dyDescent="0.9">
      <c r="A314" s="5" t="s">
        <v>2338</v>
      </c>
      <c r="B314" s="5" t="s">
        <v>2337</v>
      </c>
      <c r="C314" s="5" t="s">
        <v>2336</v>
      </c>
      <c r="D314" s="5">
        <v>3</v>
      </c>
      <c r="E314" s="5" t="b">
        <v>1</v>
      </c>
      <c r="F314" s="17"/>
      <c r="G314" s="33"/>
      <c r="H314" s="9" t="s">
        <v>2335</v>
      </c>
      <c r="I314" s="7" t="s">
        <v>1619</v>
      </c>
      <c r="J314" s="7" t="s">
        <v>2329</v>
      </c>
      <c r="K314" s="7" t="s">
        <v>403</v>
      </c>
      <c r="L314" s="8" t="s">
        <v>2334</v>
      </c>
      <c r="M314" s="8" t="s">
        <v>2333</v>
      </c>
      <c r="N314" s="7">
        <v>2020</v>
      </c>
      <c r="O314" s="5">
        <v>201</v>
      </c>
      <c r="P314" s="5" t="s">
        <v>220</v>
      </c>
    </row>
    <row r="315" spans="1:16" ht="21.5" x14ac:dyDescent="0.9">
      <c r="A315" s="5" t="s">
        <v>2332</v>
      </c>
      <c r="B315" s="5" t="s">
        <v>1333</v>
      </c>
      <c r="C315" s="5" t="s">
        <v>2331</v>
      </c>
      <c r="D315" s="5">
        <v>4</v>
      </c>
      <c r="E315" s="5" t="b">
        <v>1</v>
      </c>
      <c r="F315" s="17"/>
      <c r="G315" s="33"/>
      <c r="H315" s="9" t="s">
        <v>2330</v>
      </c>
      <c r="I315" s="7" t="s">
        <v>1619</v>
      </c>
      <c r="J315" s="7" t="s">
        <v>2329</v>
      </c>
      <c r="K315" s="7" t="s">
        <v>403</v>
      </c>
      <c r="L315" s="8" t="s">
        <v>2328</v>
      </c>
      <c r="M315" s="8" t="s">
        <v>2327</v>
      </c>
      <c r="N315" s="7">
        <v>2020</v>
      </c>
      <c r="O315" s="5">
        <v>202</v>
      </c>
      <c r="P315" s="5" t="s">
        <v>220</v>
      </c>
    </row>
    <row r="316" spans="1:16" ht="21.5" x14ac:dyDescent="0.9">
      <c r="A316" s="5" t="s">
        <v>2326</v>
      </c>
      <c r="B316" s="5" t="s">
        <v>2325</v>
      </c>
      <c r="C316" s="5" t="s">
        <v>2324</v>
      </c>
      <c r="D316" s="5">
        <v>5</v>
      </c>
      <c r="E316" s="5" t="b">
        <v>1</v>
      </c>
      <c r="F316" s="17"/>
      <c r="G316" s="33"/>
      <c r="H316" s="9" t="s">
        <v>2323</v>
      </c>
      <c r="I316" s="7" t="s">
        <v>1619</v>
      </c>
      <c r="J316" s="7" t="s">
        <v>2298</v>
      </c>
      <c r="K316" s="7" t="s">
        <v>403</v>
      </c>
      <c r="L316" s="8" t="s">
        <v>2322</v>
      </c>
      <c r="M316" s="8" t="s">
        <v>2321</v>
      </c>
      <c r="N316" s="7">
        <v>2019</v>
      </c>
      <c r="O316" s="5">
        <v>203</v>
      </c>
      <c r="P316" s="5" t="s">
        <v>220</v>
      </c>
    </row>
    <row r="317" spans="1:16" ht="21.5" x14ac:dyDescent="0.9">
      <c r="A317" s="5"/>
      <c r="B317" s="5"/>
      <c r="C317" s="5"/>
      <c r="D317" s="5"/>
      <c r="E317" s="5"/>
      <c r="F317" s="17"/>
      <c r="G317" s="33"/>
      <c r="H317" s="9" t="s">
        <v>2320</v>
      </c>
      <c r="I317" s="7" t="s">
        <v>1619</v>
      </c>
      <c r="J317" s="7" t="s">
        <v>2298</v>
      </c>
      <c r="K317" s="7" t="s">
        <v>403</v>
      </c>
      <c r="L317" s="8" t="s">
        <v>2319</v>
      </c>
      <c r="M317" s="8" t="s">
        <v>2318</v>
      </c>
      <c r="N317" s="7">
        <v>2020</v>
      </c>
      <c r="O317" s="5">
        <v>204</v>
      </c>
      <c r="P317" s="5" t="s">
        <v>220</v>
      </c>
    </row>
    <row r="318" spans="1:16" ht="21.5" x14ac:dyDescent="0.9">
      <c r="A318" s="5" t="s">
        <v>2317</v>
      </c>
      <c r="B318" s="5"/>
      <c r="C318" s="5"/>
      <c r="D318" s="5"/>
      <c r="E318" s="5"/>
      <c r="F318" s="17"/>
      <c r="G318" s="33"/>
      <c r="H318" s="9" t="s">
        <v>2316</v>
      </c>
      <c r="I318" s="7" t="s">
        <v>1619</v>
      </c>
      <c r="J318" s="7" t="s">
        <v>2298</v>
      </c>
      <c r="K318" s="7" t="s">
        <v>403</v>
      </c>
      <c r="L318" s="8" t="s">
        <v>2315</v>
      </c>
      <c r="M318" s="8" t="s">
        <v>2314</v>
      </c>
      <c r="N318" s="7">
        <v>2021</v>
      </c>
      <c r="O318" s="5">
        <v>205</v>
      </c>
      <c r="P318" s="5" t="s">
        <v>220</v>
      </c>
    </row>
    <row r="319" spans="1:16" ht="21.5" x14ac:dyDescent="0.9">
      <c r="A319" s="6" t="s">
        <v>34</v>
      </c>
      <c r="B319" s="6" t="s">
        <v>33</v>
      </c>
      <c r="C319" s="6" t="s">
        <v>32</v>
      </c>
      <c r="D319" s="6" t="s">
        <v>31</v>
      </c>
      <c r="E319" s="6" t="s">
        <v>0</v>
      </c>
      <c r="F319" s="17"/>
      <c r="G319" s="33"/>
      <c r="H319" s="9" t="s">
        <v>2313</v>
      </c>
      <c r="I319" s="7" t="s">
        <v>1619</v>
      </c>
      <c r="J319" s="7" t="s">
        <v>2298</v>
      </c>
      <c r="K319" s="7" t="s">
        <v>403</v>
      </c>
      <c r="L319" s="8" t="s">
        <v>2312</v>
      </c>
      <c r="M319" s="8" t="s">
        <v>2311</v>
      </c>
      <c r="N319" s="7">
        <v>2022</v>
      </c>
      <c r="O319" s="5">
        <v>206</v>
      </c>
      <c r="P319" s="5" t="s">
        <v>220</v>
      </c>
    </row>
    <row r="320" spans="1:16" ht="21.5" x14ac:dyDescent="0.9">
      <c r="A320" s="15" t="s">
        <v>2310</v>
      </c>
      <c r="B320" s="15" t="s">
        <v>2309</v>
      </c>
      <c r="C320" s="15" t="s">
        <v>2308</v>
      </c>
      <c r="D320" s="15">
        <v>1</v>
      </c>
      <c r="E320" s="15" t="b">
        <v>1</v>
      </c>
      <c r="F320" s="17"/>
      <c r="G320" s="33"/>
      <c r="H320" s="9" t="s">
        <v>2307</v>
      </c>
      <c r="I320" s="7" t="s">
        <v>1619</v>
      </c>
      <c r="J320" s="7" t="s">
        <v>2298</v>
      </c>
      <c r="K320" s="7" t="s">
        <v>403</v>
      </c>
      <c r="L320" s="8" t="s">
        <v>2306</v>
      </c>
      <c r="M320" s="8" t="s">
        <v>2305</v>
      </c>
      <c r="N320" s="7">
        <v>2023</v>
      </c>
      <c r="O320" s="5">
        <v>207</v>
      </c>
      <c r="P320" s="5" t="s">
        <v>220</v>
      </c>
    </row>
    <row r="321" spans="1:16" ht="21.5" x14ac:dyDescent="0.9">
      <c r="A321" s="15" t="s">
        <v>2304</v>
      </c>
      <c r="B321" s="15" t="s">
        <v>358</v>
      </c>
      <c r="C321" s="15" t="s">
        <v>357</v>
      </c>
      <c r="D321" s="15">
        <v>2</v>
      </c>
      <c r="E321" s="15" t="b">
        <v>1</v>
      </c>
      <c r="F321" s="17"/>
      <c r="G321" s="33"/>
      <c r="H321" s="9" t="s">
        <v>2303</v>
      </c>
      <c r="I321" s="7" t="s">
        <v>1619</v>
      </c>
      <c r="J321" s="7" t="s">
        <v>2298</v>
      </c>
      <c r="K321" s="7" t="s">
        <v>403</v>
      </c>
      <c r="L321" s="8" t="s">
        <v>2302</v>
      </c>
      <c r="M321" s="8" t="s">
        <v>2301</v>
      </c>
      <c r="N321" s="7">
        <v>2024</v>
      </c>
      <c r="O321" s="5">
        <v>208</v>
      </c>
      <c r="P321" s="5" t="s">
        <v>220</v>
      </c>
    </row>
    <row r="322" spans="1:16" ht="21.5" x14ac:dyDescent="0.9">
      <c r="A322" s="15" t="s">
        <v>2300</v>
      </c>
      <c r="B322" s="15" t="s">
        <v>351</v>
      </c>
      <c r="C322" s="15" t="s">
        <v>199</v>
      </c>
      <c r="D322" s="15">
        <v>3</v>
      </c>
      <c r="E322" s="15" t="b">
        <v>1</v>
      </c>
      <c r="F322" s="17"/>
      <c r="G322" s="33"/>
      <c r="H322" s="9" t="s">
        <v>2299</v>
      </c>
      <c r="I322" s="7" t="s">
        <v>1619</v>
      </c>
      <c r="J322" s="7" t="s">
        <v>2298</v>
      </c>
      <c r="K322" s="7" t="s">
        <v>403</v>
      </c>
      <c r="L322" s="8" t="s">
        <v>2297</v>
      </c>
      <c r="M322" s="8" t="s">
        <v>2296</v>
      </c>
      <c r="N322" s="7">
        <v>2025</v>
      </c>
      <c r="O322" s="5">
        <v>209</v>
      </c>
      <c r="P322" s="5" t="s">
        <v>220</v>
      </c>
    </row>
    <row r="323" spans="1:16" ht="21.5" x14ac:dyDescent="0.9">
      <c r="A323" s="15" t="s">
        <v>2295</v>
      </c>
      <c r="B323" s="15" t="s">
        <v>2294</v>
      </c>
      <c r="C323" s="15" t="s">
        <v>2293</v>
      </c>
      <c r="D323" s="15">
        <v>4</v>
      </c>
      <c r="E323" s="15" t="b">
        <v>1</v>
      </c>
      <c r="F323" s="17"/>
      <c r="G323" s="33"/>
      <c r="H323" s="9" t="s">
        <v>2292</v>
      </c>
      <c r="I323" s="7" t="s">
        <v>1619</v>
      </c>
      <c r="J323" s="7" t="s">
        <v>2015</v>
      </c>
      <c r="K323" s="7" t="s">
        <v>403</v>
      </c>
      <c r="L323" s="8" t="s">
        <v>2291</v>
      </c>
      <c r="M323" s="8" t="s">
        <v>2290</v>
      </c>
      <c r="N323" s="7">
        <v>2019</v>
      </c>
      <c r="O323" s="5">
        <v>210</v>
      </c>
      <c r="P323" s="5" t="s">
        <v>220</v>
      </c>
    </row>
    <row r="324" spans="1:16" ht="21.5" x14ac:dyDescent="0.9">
      <c r="A324" s="15" t="s">
        <v>2289</v>
      </c>
      <c r="B324" s="15" t="s">
        <v>337</v>
      </c>
      <c r="C324" s="15" t="s">
        <v>2288</v>
      </c>
      <c r="D324" s="15">
        <v>5</v>
      </c>
      <c r="E324" s="15" t="b">
        <v>1</v>
      </c>
      <c r="H324" s="9" t="s">
        <v>2287</v>
      </c>
      <c r="I324" s="7" t="s">
        <v>1619</v>
      </c>
      <c r="J324" s="7" t="s">
        <v>2015</v>
      </c>
      <c r="K324" s="7" t="s">
        <v>403</v>
      </c>
      <c r="L324" s="8" t="s">
        <v>2286</v>
      </c>
      <c r="M324" s="8" t="s">
        <v>2285</v>
      </c>
      <c r="N324" s="7">
        <v>2020</v>
      </c>
      <c r="O324" s="5">
        <v>211</v>
      </c>
      <c r="P324" s="5" t="s">
        <v>220</v>
      </c>
    </row>
    <row r="325" spans="1:16" ht="21.5" x14ac:dyDescent="0.9">
      <c r="A325" s="15" t="s">
        <v>2284</v>
      </c>
      <c r="B325" s="15" t="s">
        <v>282</v>
      </c>
      <c r="C325" s="15" t="s">
        <v>281</v>
      </c>
      <c r="D325" s="15">
        <v>6</v>
      </c>
      <c r="E325" s="15" t="b">
        <v>1</v>
      </c>
      <c r="H325" s="9" t="s">
        <v>2283</v>
      </c>
      <c r="I325" s="7" t="s">
        <v>1619</v>
      </c>
      <c r="J325" s="7" t="s">
        <v>2015</v>
      </c>
      <c r="K325" s="7" t="s">
        <v>403</v>
      </c>
      <c r="L325" s="8" t="s">
        <v>2282</v>
      </c>
      <c r="M325" s="8" t="s">
        <v>2281</v>
      </c>
      <c r="N325" s="7">
        <v>2021</v>
      </c>
      <c r="O325" s="5">
        <v>212</v>
      </c>
      <c r="P325" s="5" t="s">
        <v>220</v>
      </c>
    </row>
    <row r="326" spans="1:16" ht="21.5" x14ac:dyDescent="0.9">
      <c r="A326" s="15" t="s">
        <v>2280</v>
      </c>
      <c r="B326" s="15" t="s">
        <v>267</v>
      </c>
      <c r="C326" s="15" t="s">
        <v>266</v>
      </c>
      <c r="D326" s="15">
        <v>7</v>
      </c>
      <c r="E326" s="15" t="b">
        <v>1</v>
      </c>
      <c r="H326" s="9" t="s">
        <v>2279</v>
      </c>
      <c r="I326" s="7" t="s">
        <v>1619</v>
      </c>
      <c r="J326" s="7" t="s">
        <v>2015</v>
      </c>
      <c r="K326" s="7" t="s">
        <v>403</v>
      </c>
      <c r="L326" s="8" t="s">
        <v>2278</v>
      </c>
      <c r="M326" s="8" t="s">
        <v>2277</v>
      </c>
      <c r="N326" s="7">
        <v>2021</v>
      </c>
      <c r="O326" s="5">
        <v>213</v>
      </c>
      <c r="P326" s="5" t="s">
        <v>220</v>
      </c>
    </row>
    <row r="327" spans="1:16" ht="21.5" x14ac:dyDescent="0.9">
      <c r="A327" s="15" t="s">
        <v>2276</v>
      </c>
      <c r="B327" s="15" t="s">
        <v>250</v>
      </c>
      <c r="C327" s="15" t="s">
        <v>174</v>
      </c>
      <c r="D327" s="15">
        <v>8</v>
      </c>
      <c r="E327" s="15" t="b">
        <v>1</v>
      </c>
      <c r="H327" s="9" t="s">
        <v>2275</v>
      </c>
      <c r="I327" s="7" t="s">
        <v>1619</v>
      </c>
      <c r="J327" s="7" t="s">
        <v>2015</v>
      </c>
      <c r="K327" s="7" t="s">
        <v>403</v>
      </c>
      <c r="L327" s="8" t="s">
        <v>2274</v>
      </c>
      <c r="M327" s="8" t="s">
        <v>2273</v>
      </c>
      <c r="N327" s="7">
        <v>2021</v>
      </c>
      <c r="O327" s="5">
        <v>214</v>
      </c>
      <c r="P327" s="5" t="s">
        <v>220</v>
      </c>
    </row>
    <row r="328" spans="1:16" ht="21.5" x14ac:dyDescent="0.9">
      <c r="A328" s="15" t="s">
        <v>2272</v>
      </c>
      <c r="B328" s="15" t="s">
        <v>298</v>
      </c>
      <c r="C328" s="15" t="s">
        <v>297</v>
      </c>
      <c r="D328" s="15">
        <v>9</v>
      </c>
      <c r="E328" s="15" t="b">
        <v>1</v>
      </c>
      <c r="H328" s="9" t="s">
        <v>2271</v>
      </c>
      <c r="I328" s="7" t="s">
        <v>1619</v>
      </c>
      <c r="J328" s="7" t="s">
        <v>2015</v>
      </c>
      <c r="K328" s="7" t="s">
        <v>403</v>
      </c>
      <c r="L328" s="8" t="s">
        <v>2270</v>
      </c>
      <c r="M328" s="8" t="s">
        <v>2269</v>
      </c>
      <c r="N328" s="7">
        <v>2021</v>
      </c>
      <c r="O328" s="5">
        <v>215</v>
      </c>
      <c r="P328" s="5" t="s">
        <v>220</v>
      </c>
    </row>
    <row r="329" spans="1:16" ht="21.5" x14ac:dyDescent="0.9">
      <c r="A329" s="15" t="s">
        <v>2268</v>
      </c>
      <c r="B329" s="15" t="s">
        <v>2267</v>
      </c>
      <c r="C329" s="15" t="s">
        <v>2266</v>
      </c>
      <c r="D329" s="15">
        <v>10</v>
      </c>
      <c r="E329" s="15" t="b">
        <v>1</v>
      </c>
      <c r="H329" s="9" t="s">
        <v>2265</v>
      </c>
      <c r="I329" s="7" t="s">
        <v>1619</v>
      </c>
      <c r="J329" s="7" t="s">
        <v>2015</v>
      </c>
      <c r="K329" s="7" t="s">
        <v>403</v>
      </c>
      <c r="L329" s="8" t="s">
        <v>2264</v>
      </c>
      <c r="M329" s="8" t="s">
        <v>2263</v>
      </c>
      <c r="N329" s="7">
        <v>2021</v>
      </c>
      <c r="O329" s="5">
        <v>216</v>
      </c>
      <c r="P329" s="5" t="s">
        <v>220</v>
      </c>
    </row>
    <row r="330" spans="1:16" ht="21.5" x14ac:dyDescent="0.9">
      <c r="A330" s="15" t="s">
        <v>2262</v>
      </c>
      <c r="B330" s="15" t="s">
        <v>2261</v>
      </c>
      <c r="C330" s="15" t="s">
        <v>2260</v>
      </c>
      <c r="D330" s="15">
        <v>11</v>
      </c>
      <c r="E330" s="15" t="b">
        <v>1</v>
      </c>
      <c r="H330" s="9" t="s">
        <v>2259</v>
      </c>
      <c r="I330" s="7" t="s">
        <v>1619</v>
      </c>
      <c r="J330" s="7" t="s">
        <v>2015</v>
      </c>
      <c r="K330" s="7" t="s">
        <v>403</v>
      </c>
      <c r="L330" s="8" t="s">
        <v>2258</v>
      </c>
      <c r="M330" s="8" t="s">
        <v>2257</v>
      </c>
      <c r="N330" s="7">
        <v>2022</v>
      </c>
      <c r="O330" s="5">
        <v>217</v>
      </c>
      <c r="P330" s="5" t="s">
        <v>220</v>
      </c>
    </row>
    <row r="331" spans="1:16" ht="21.5" x14ac:dyDescent="0.9">
      <c r="D331" s="3"/>
      <c r="E331" s="3"/>
      <c r="H331" s="9" t="s">
        <v>2256</v>
      </c>
      <c r="I331" s="7" t="s">
        <v>1619</v>
      </c>
      <c r="J331" s="7" t="s">
        <v>2015</v>
      </c>
      <c r="K331" s="7" t="s">
        <v>403</v>
      </c>
      <c r="L331" s="8" t="s">
        <v>2255</v>
      </c>
      <c r="M331" s="8" t="s">
        <v>2254</v>
      </c>
      <c r="N331" s="7">
        <v>2022</v>
      </c>
      <c r="O331" s="5">
        <v>218</v>
      </c>
      <c r="P331" s="5" t="s">
        <v>220</v>
      </c>
    </row>
    <row r="332" spans="1:16" ht="21.5" x14ac:dyDescent="0.9">
      <c r="A332" s="3" t="s">
        <v>2253</v>
      </c>
      <c r="D332" s="3"/>
      <c r="E332" s="3"/>
      <c r="H332" s="9" t="s">
        <v>2252</v>
      </c>
      <c r="I332" s="7" t="s">
        <v>1619</v>
      </c>
      <c r="J332" s="7" t="s">
        <v>2015</v>
      </c>
      <c r="K332" s="7" t="s">
        <v>403</v>
      </c>
      <c r="L332" s="8" t="s">
        <v>2251</v>
      </c>
      <c r="M332" s="8" t="s">
        <v>2250</v>
      </c>
      <c r="N332" s="7">
        <v>2022</v>
      </c>
      <c r="O332" s="5">
        <v>219</v>
      </c>
      <c r="P332" s="5" t="s">
        <v>220</v>
      </c>
    </row>
    <row r="333" spans="1:16" ht="21.5" x14ac:dyDescent="0.9">
      <c r="A333" s="6" t="s">
        <v>34</v>
      </c>
      <c r="B333" s="6" t="s">
        <v>33</v>
      </c>
      <c r="C333" s="6" t="s">
        <v>32</v>
      </c>
      <c r="D333" s="6" t="s">
        <v>31</v>
      </c>
      <c r="E333" s="6" t="s">
        <v>0</v>
      </c>
      <c r="H333" s="9" t="s">
        <v>2249</v>
      </c>
      <c r="I333" s="7" t="s">
        <v>1619</v>
      </c>
      <c r="J333" s="7" t="s">
        <v>2015</v>
      </c>
      <c r="K333" s="7" t="s">
        <v>403</v>
      </c>
      <c r="L333" s="8" t="s">
        <v>2248</v>
      </c>
      <c r="M333" s="8" t="s">
        <v>2247</v>
      </c>
      <c r="N333" s="7">
        <v>2023</v>
      </c>
      <c r="O333" s="5">
        <v>220</v>
      </c>
      <c r="P333" s="5" t="s">
        <v>220</v>
      </c>
    </row>
    <row r="334" spans="1:16" ht="21.5" x14ac:dyDescent="0.9">
      <c r="A334" s="15" t="s">
        <v>2246</v>
      </c>
      <c r="B334" s="15" t="s">
        <v>2245</v>
      </c>
      <c r="C334" s="15" t="s">
        <v>2245</v>
      </c>
      <c r="D334" s="15">
        <v>1</v>
      </c>
      <c r="E334" s="15" t="b">
        <v>1</v>
      </c>
      <c r="H334" s="9" t="s">
        <v>2244</v>
      </c>
      <c r="I334" s="7" t="s">
        <v>1619</v>
      </c>
      <c r="J334" s="7" t="s">
        <v>2015</v>
      </c>
      <c r="K334" s="7" t="s">
        <v>403</v>
      </c>
      <c r="L334" s="8" t="s">
        <v>2243</v>
      </c>
      <c r="M334" s="8" t="s">
        <v>2242</v>
      </c>
      <c r="N334" s="7">
        <v>2023</v>
      </c>
      <c r="O334" s="5">
        <v>221</v>
      </c>
      <c r="P334" s="5" t="s">
        <v>220</v>
      </c>
    </row>
    <row r="335" spans="1:16" ht="21.5" x14ac:dyDescent="0.9">
      <c r="A335" s="15" t="s">
        <v>2241</v>
      </c>
      <c r="B335" s="15" t="s">
        <v>2240</v>
      </c>
      <c r="C335" s="15" t="s">
        <v>2240</v>
      </c>
      <c r="D335" s="15">
        <v>2</v>
      </c>
      <c r="E335" s="15" t="b">
        <v>1</v>
      </c>
      <c r="H335" s="9" t="s">
        <v>2239</v>
      </c>
      <c r="I335" s="7" t="s">
        <v>1619</v>
      </c>
      <c r="J335" s="7" t="s">
        <v>2015</v>
      </c>
      <c r="K335" s="7" t="s">
        <v>403</v>
      </c>
      <c r="L335" s="8" t="s">
        <v>2238</v>
      </c>
      <c r="M335" s="8" t="s">
        <v>2237</v>
      </c>
      <c r="N335" s="7">
        <v>2024</v>
      </c>
      <c r="O335" s="5">
        <v>222</v>
      </c>
      <c r="P335" s="5" t="s">
        <v>220</v>
      </c>
    </row>
    <row r="336" spans="1:16" ht="21.5" x14ac:dyDescent="0.9">
      <c r="A336" s="15" t="s">
        <v>2236</v>
      </c>
      <c r="B336" s="15" t="s">
        <v>2235</v>
      </c>
      <c r="C336" s="15" t="s">
        <v>2235</v>
      </c>
      <c r="D336" s="15">
        <v>3</v>
      </c>
      <c r="E336" s="15" t="b">
        <v>1</v>
      </c>
      <c r="H336" s="9" t="s">
        <v>2234</v>
      </c>
      <c r="I336" s="7" t="s">
        <v>1619</v>
      </c>
      <c r="J336" s="7" t="s">
        <v>2015</v>
      </c>
      <c r="K336" s="7" t="s">
        <v>403</v>
      </c>
      <c r="L336" s="8" t="s">
        <v>2233</v>
      </c>
      <c r="M336" s="8" t="s">
        <v>2232</v>
      </c>
      <c r="N336" s="7">
        <v>2025</v>
      </c>
      <c r="O336" s="5">
        <v>223</v>
      </c>
      <c r="P336" s="5" t="s">
        <v>220</v>
      </c>
    </row>
    <row r="337" spans="1:16" ht="21.5" x14ac:dyDescent="0.9">
      <c r="A337" s="15" t="s">
        <v>2231</v>
      </c>
      <c r="B337" s="15" t="s">
        <v>2230</v>
      </c>
      <c r="C337" s="15" t="s">
        <v>2230</v>
      </c>
      <c r="D337" s="15">
        <v>4</v>
      </c>
      <c r="E337" s="15" t="b">
        <v>1</v>
      </c>
      <c r="H337" s="9" t="s">
        <v>2229</v>
      </c>
      <c r="I337" s="7" t="s">
        <v>1619</v>
      </c>
      <c r="J337" s="7" t="s">
        <v>2015</v>
      </c>
      <c r="K337" s="7" t="s">
        <v>403</v>
      </c>
      <c r="L337" s="8" t="s">
        <v>2228</v>
      </c>
      <c r="M337" s="8" t="s">
        <v>2227</v>
      </c>
      <c r="N337" s="7">
        <v>2019</v>
      </c>
      <c r="O337" s="5">
        <v>224</v>
      </c>
      <c r="P337" s="5" t="s">
        <v>220</v>
      </c>
    </row>
    <row r="338" spans="1:16" ht="21.5" x14ac:dyDescent="0.9">
      <c r="A338" s="15" t="s">
        <v>2226</v>
      </c>
      <c r="B338" s="15" t="s">
        <v>2225</v>
      </c>
      <c r="C338" s="15" t="s">
        <v>2225</v>
      </c>
      <c r="D338" s="15">
        <v>5</v>
      </c>
      <c r="E338" s="15" t="b">
        <v>1</v>
      </c>
      <c r="H338" s="9" t="s">
        <v>2224</v>
      </c>
      <c r="I338" s="7" t="s">
        <v>1619</v>
      </c>
      <c r="J338" s="7" t="s">
        <v>2015</v>
      </c>
      <c r="K338" s="7" t="s">
        <v>403</v>
      </c>
      <c r="L338" s="8" t="s">
        <v>2223</v>
      </c>
      <c r="M338" s="8" t="s">
        <v>2222</v>
      </c>
      <c r="N338" s="7">
        <v>2019</v>
      </c>
      <c r="O338" s="5">
        <v>225</v>
      </c>
      <c r="P338" s="5" t="s">
        <v>220</v>
      </c>
    </row>
    <row r="339" spans="1:16" ht="21.5" x14ac:dyDescent="0.9">
      <c r="A339" s="15" t="s">
        <v>2221</v>
      </c>
      <c r="B339" s="15" t="s">
        <v>2220</v>
      </c>
      <c r="C339" s="15" t="s">
        <v>2220</v>
      </c>
      <c r="D339" s="15">
        <v>6</v>
      </c>
      <c r="E339" s="15" t="b">
        <v>1</v>
      </c>
      <c r="H339" s="9" t="s">
        <v>2219</v>
      </c>
      <c r="I339" s="7" t="s">
        <v>1619</v>
      </c>
      <c r="J339" s="7" t="s">
        <v>2015</v>
      </c>
      <c r="K339" s="7" t="s">
        <v>403</v>
      </c>
      <c r="L339" s="8" t="s">
        <v>2218</v>
      </c>
      <c r="M339" s="8" t="s">
        <v>2217</v>
      </c>
      <c r="N339" s="7">
        <v>2020</v>
      </c>
      <c r="O339" s="5">
        <v>226</v>
      </c>
      <c r="P339" s="5" t="s">
        <v>220</v>
      </c>
    </row>
    <row r="340" spans="1:16" ht="21.5" x14ac:dyDescent="0.9">
      <c r="A340" s="15" t="s">
        <v>2216</v>
      </c>
      <c r="B340" s="15" t="s">
        <v>2215</v>
      </c>
      <c r="C340" s="15" t="s">
        <v>2215</v>
      </c>
      <c r="D340" s="15">
        <v>7</v>
      </c>
      <c r="E340" s="15" t="b">
        <v>1</v>
      </c>
      <c r="H340" s="9" t="s">
        <v>2214</v>
      </c>
      <c r="I340" s="7" t="s">
        <v>1619</v>
      </c>
      <c r="J340" s="7" t="s">
        <v>2015</v>
      </c>
      <c r="K340" s="7" t="s">
        <v>403</v>
      </c>
      <c r="L340" s="8" t="s">
        <v>2213</v>
      </c>
      <c r="M340" s="8" t="s">
        <v>2212</v>
      </c>
      <c r="N340" s="7">
        <v>2020</v>
      </c>
      <c r="O340" s="5">
        <v>227</v>
      </c>
      <c r="P340" s="5" t="s">
        <v>220</v>
      </c>
    </row>
    <row r="341" spans="1:16" ht="21.5" x14ac:dyDescent="0.9">
      <c r="D341" s="3"/>
      <c r="E341" s="3"/>
      <c r="H341" s="9" t="s">
        <v>2211</v>
      </c>
      <c r="I341" s="7" t="s">
        <v>1619</v>
      </c>
      <c r="J341" s="7" t="s">
        <v>2015</v>
      </c>
      <c r="K341" s="7" t="s">
        <v>403</v>
      </c>
      <c r="L341" s="8" t="s">
        <v>2210</v>
      </c>
      <c r="M341" s="8" t="s">
        <v>2209</v>
      </c>
      <c r="N341" s="7">
        <v>2022</v>
      </c>
      <c r="O341" s="5">
        <v>228</v>
      </c>
      <c r="P341" s="5" t="s">
        <v>220</v>
      </c>
    </row>
    <row r="342" spans="1:16" ht="21.5" x14ac:dyDescent="0.9">
      <c r="A342" s="3" t="s">
        <v>2208</v>
      </c>
      <c r="D342" s="3"/>
      <c r="E342" s="3"/>
      <c r="H342" s="9" t="s">
        <v>2207</v>
      </c>
      <c r="I342" s="7" t="s">
        <v>1619</v>
      </c>
      <c r="J342" s="7" t="s">
        <v>2015</v>
      </c>
      <c r="K342" s="7" t="s">
        <v>403</v>
      </c>
      <c r="L342" s="8" t="s">
        <v>2206</v>
      </c>
      <c r="M342" s="8" t="s">
        <v>2205</v>
      </c>
      <c r="N342" s="7">
        <v>2023</v>
      </c>
      <c r="O342" s="5">
        <v>229</v>
      </c>
      <c r="P342" s="5" t="s">
        <v>220</v>
      </c>
    </row>
    <row r="343" spans="1:16" ht="21.5" x14ac:dyDescent="0.9">
      <c r="A343" s="6" t="s">
        <v>34</v>
      </c>
      <c r="B343" s="6" t="s">
        <v>33</v>
      </c>
      <c r="C343" s="6" t="s">
        <v>32</v>
      </c>
      <c r="D343" s="6" t="s">
        <v>31</v>
      </c>
      <c r="E343" s="6" t="s">
        <v>0</v>
      </c>
      <c r="H343" s="9" t="s">
        <v>2204</v>
      </c>
      <c r="I343" s="7" t="s">
        <v>1619</v>
      </c>
      <c r="J343" s="7" t="s">
        <v>2015</v>
      </c>
      <c r="K343" s="7" t="s">
        <v>403</v>
      </c>
      <c r="L343" s="8" t="s">
        <v>2203</v>
      </c>
      <c r="M343" s="8" t="s">
        <v>2202</v>
      </c>
      <c r="N343" s="7">
        <v>2023</v>
      </c>
      <c r="O343" s="5">
        <v>230</v>
      </c>
      <c r="P343" s="5" t="s">
        <v>220</v>
      </c>
    </row>
    <row r="344" spans="1:16" ht="21.5" x14ac:dyDescent="0.9">
      <c r="A344" s="15" t="s">
        <v>2201</v>
      </c>
      <c r="B344" s="15" t="s">
        <v>2200</v>
      </c>
      <c r="C344" s="15" t="s">
        <v>2200</v>
      </c>
      <c r="D344" s="15">
        <v>1</v>
      </c>
      <c r="E344" s="15" t="b">
        <v>1</v>
      </c>
      <c r="H344" s="9" t="s">
        <v>2199</v>
      </c>
      <c r="I344" s="7" t="s">
        <v>1619</v>
      </c>
      <c r="J344" s="7" t="s">
        <v>2015</v>
      </c>
      <c r="K344" s="7" t="s">
        <v>403</v>
      </c>
      <c r="L344" s="8" t="s">
        <v>2198</v>
      </c>
      <c r="M344" s="8" t="s">
        <v>2197</v>
      </c>
      <c r="N344" s="7">
        <v>2024</v>
      </c>
      <c r="O344" s="5">
        <v>231</v>
      </c>
      <c r="P344" s="5" t="s">
        <v>220</v>
      </c>
    </row>
    <row r="345" spans="1:16" ht="21.5" x14ac:dyDescent="0.9">
      <c r="A345" s="15" t="s">
        <v>2196</v>
      </c>
      <c r="B345" s="15" t="s">
        <v>2195</v>
      </c>
      <c r="C345" s="15" t="s">
        <v>2195</v>
      </c>
      <c r="D345" s="15">
        <v>2</v>
      </c>
      <c r="E345" s="15" t="b">
        <v>1</v>
      </c>
      <c r="H345" s="9" t="s">
        <v>2194</v>
      </c>
      <c r="I345" s="7" t="s">
        <v>1619</v>
      </c>
      <c r="J345" s="7" t="s">
        <v>2015</v>
      </c>
      <c r="K345" s="7" t="s">
        <v>403</v>
      </c>
      <c r="L345" s="8" t="s">
        <v>2193</v>
      </c>
      <c r="M345" s="8" t="s">
        <v>2192</v>
      </c>
      <c r="N345" s="7">
        <v>2024</v>
      </c>
      <c r="O345" s="5">
        <v>232</v>
      </c>
      <c r="P345" s="5" t="s">
        <v>220</v>
      </c>
    </row>
    <row r="346" spans="1:16" ht="21.5" x14ac:dyDescent="0.9">
      <c r="A346" s="15" t="s">
        <v>2191</v>
      </c>
      <c r="B346" s="15" t="s">
        <v>2190</v>
      </c>
      <c r="C346" s="15" t="s">
        <v>2190</v>
      </c>
      <c r="D346" s="15">
        <v>3</v>
      </c>
      <c r="E346" s="15" t="b">
        <v>1</v>
      </c>
      <c r="H346" s="9" t="s">
        <v>2189</v>
      </c>
      <c r="I346" s="7" t="s">
        <v>1619</v>
      </c>
      <c r="J346" s="7" t="s">
        <v>2015</v>
      </c>
      <c r="K346" s="7" t="s">
        <v>403</v>
      </c>
      <c r="L346" s="8" t="s">
        <v>2188</v>
      </c>
      <c r="M346" s="8" t="s">
        <v>2187</v>
      </c>
      <c r="N346" s="7">
        <v>2025</v>
      </c>
      <c r="O346" s="5">
        <v>233</v>
      </c>
      <c r="P346" s="5" t="s">
        <v>220</v>
      </c>
    </row>
    <row r="347" spans="1:16" ht="21.5" x14ac:dyDescent="0.9">
      <c r="A347" s="15" t="s">
        <v>2186</v>
      </c>
      <c r="B347" s="15" t="s">
        <v>2185</v>
      </c>
      <c r="C347" s="15" t="s">
        <v>2185</v>
      </c>
      <c r="D347" s="15">
        <v>4</v>
      </c>
      <c r="E347" s="15" t="b">
        <v>1</v>
      </c>
      <c r="H347" s="9" t="s">
        <v>2184</v>
      </c>
      <c r="I347" s="7" t="s">
        <v>1619</v>
      </c>
      <c r="J347" s="7" t="s">
        <v>2015</v>
      </c>
      <c r="K347" s="7" t="s">
        <v>403</v>
      </c>
      <c r="L347" s="8" t="s">
        <v>2183</v>
      </c>
      <c r="M347" s="8" t="s">
        <v>2182</v>
      </c>
      <c r="N347" s="7">
        <v>2019</v>
      </c>
      <c r="O347" s="5">
        <v>234</v>
      </c>
      <c r="P347" s="5" t="s">
        <v>220</v>
      </c>
    </row>
    <row r="348" spans="1:16" ht="21.5" x14ac:dyDescent="0.9">
      <c r="A348" s="15" t="s">
        <v>2181</v>
      </c>
      <c r="B348" s="15" t="s">
        <v>2180</v>
      </c>
      <c r="C348" s="15" t="s">
        <v>2180</v>
      </c>
      <c r="D348" s="15">
        <v>5</v>
      </c>
      <c r="E348" s="15" t="b">
        <v>1</v>
      </c>
      <c r="H348" s="9" t="s">
        <v>2179</v>
      </c>
      <c r="I348" s="7" t="s">
        <v>1619</v>
      </c>
      <c r="J348" s="7" t="s">
        <v>2015</v>
      </c>
      <c r="K348" s="7" t="s">
        <v>403</v>
      </c>
      <c r="L348" s="8" t="s">
        <v>2178</v>
      </c>
      <c r="M348" s="8" t="s">
        <v>2177</v>
      </c>
      <c r="N348" s="7">
        <v>2019</v>
      </c>
      <c r="O348" s="5">
        <v>235</v>
      </c>
      <c r="P348" s="5" t="s">
        <v>220</v>
      </c>
    </row>
    <row r="349" spans="1:16" ht="21.5" x14ac:dyDescent="0.9">
      <c r="A349" s="15" t="s">
        <v>2176</v>
      </c>
      <c r="B349" s="15" t="s">
        <v>2175</v>
      </c>
      <c r="C349" s="15" t="s">
        <v>2175</v>
      </c>
      <c r="D349" s="15">
        <v>6</v>
      </c>
      <c r="E349" s="15" t="b">
        <v>1</v>
      </c>
      <c r="H349" s="9" t="s">
        <v>2174</v>
      </c>
      <c r="I349" s="7" t="s">
        <v>1619</v>
      </c>
      <c r="J349" s="7" t="s">
        <v>2015</v>
      </c>
      <c r="K349" s="7" t="s">
        <v>403</v>
      </c>
      <c r="L349" s="8" t="s">
        <v>2173</v>
      </c>
      <c r="M349" s="8" t="s">
        <v>2172</v>
      </c>
      <c r="N349" s="7">
        <v>2020</v>
      </c>
      <c r="O349" s="5">
        <v>236</v>
      </c>
      <c r="P349" s="5" t="s">
        <v>220</v>
      </c>
    </row>
    <row r="350" spans="1:16" ht="21.5" x14ac:dyDescent="0.9">
      <c r="A350" s="15"/>
      <c r="B350" s="15"/>
      <c r="C350" s="15"/>
      <c r="D350" s="15"/>
      <c r="E350" s="15"/>
      <c r="H350" s="9" t="s">
        <v>2171</v>
      </c>
      <c r="I350" s="7" t="s">
        <v>1619</v>
      </c>
      <c r="J350" s="7" t="s">
        <v>2015</v>
      </c>
      <c r="K350" s="7" t="s">
        <v>403</v>
      </c>
      <c r="L350" s="8" t="s">
        <v>2170</v>
      </c>
      <c r="M350" s="8" t="s">
        <v>2169</v>
      </c>
      <c r="N350" s="7">
        <v>2020</v>
      </c>
      <c r="O350" s="5">
        <v>237</v>
      </c>
      <c r="P350" s="5" t="s">
        <v>220</v>
      </c>
    </row>
    <row r="351" spans="1:16" ht="27.5" x14ac:dyDescent="0.9">
      <c r="A351" s="10" t="s">
        <v>378</v>
      </c>
      <c r="B351" s="15"/>
      <c r="C351" s="15"/>
      <c r="D351" s="15"/>
      <c r="E351" s="15"/>
      <c r="H351" s="9" t="s">
        <v>2168</v>
      </c>
      <c r="I351" s="7" t="s">
        <v>1619</v>
      </c>
      <c r="J351" s="7" t="s">
        <v>2015</v>
      </c>
      <c r="K351" s="7" t="s">
        <v>403</v>
      </c>
      <c r="L351" s="8" t="s">
        <v>2167</v>
      </c>
      <c r="M351" s="8" t="s">
        <v>2166</v>
      </c>
      <c r="N351" s="7">
        <v>2021</v>
      </c>
      <c r="O351" s="5">
        <v>238</v>
      </c>
      <c r="P351" s="5" t="s">
        <v>220</v>
      </c>
    </row>
    <row r="352" spans="1:16" ht="35" x14ac:dyDescent="0.9">
      <c r="A352" s="99" t="s">
        <v>2165</v>
      </c>
      <c r="B352" s="99"/>
      <c r="C352" s="99"/>
      <c r="D352" s="99"/>
      <c r="E352" s="99"/>
      <c r="H352" s="9" t="s">
        <v>2164</v>
      </c>
      <c r="I352" s="7" t="s">
        <v>1619</v>
      </c>
      <c r="J352" s="7" t="s">
        <v>2015</v>
      </c>
      <c r="K352" s="7" t="s">
        <v>403</v>
      </c>
      <c r="L352" s="8" t="s">
        <v>2163</v>
      </c>
      <c r="M352" s="8" t="s">
        <v>2162</v>
      </c>
      <c r="N352" s="7">
        <v>2021</v>
      </c>
      <c r="O352" s="5">
        <v>239</v>
      </c>
      <c r="P352" s="5" t="s">
        <v>220</v>
      </c>
    </row>
    <row r="353" spans="1:16" ht="27.5" x14ac:dyDescent="0.9">
      <c r="A353" s="10" t="s">
        <v>378</v>
      </c>
      <c r="D353" s="3"/>
      <c r="E353" s="3"/>
      <c r="H353" s="9" t="s">
        <v>2161</v>
      </c>
      <c r="I353" s="7" t="s">
        <v>1619</v>
      </c>
      <c r="J353" s="7" t="s">
        <v>2015</v>
      </c>
      <c r="K353" s="7" t="s">
        <v>403</v>
      </c>
      <c r="L353" s="8" t="s">
        <v>2160</v>
      </c>
      <c r="M353" s="8" t="s">
        <v>2159</v>
      </c>
      <c r="N353" s="7">
        <v>2022</v>
      </c>
      <c r="O353" s="5">
        <v>240</v>
      </c>
      <c r="P353" s="5" t="s">
        <v>220</v>
      </c>
    </row>
    <row r="354" spans="1:16" ht="27.5" x14ac:dyDescent="0.9">
      <c r="A354" s="10"/>
      <c r="D354" s="3"/>
      <c r="E354" s="3"/>
      <c r="H354" s="9" t="s">
        <v>2158</v>
      </c>
      <c r="I354" s="7" t="s">
        <v>1619</v>
      </c>
      <c r="J354" s="7" t="s">
        <v>2015</v>
      </c>
      <c r="K354" s="7" t="s">
        <v>403</v>
      </c>
      <c r="L354" s="8" t="s">
        <v>2157</v>
      </c>
      <c r="M354" s="8" t="s">
        <v>2156</v>
      </c>
      <c r="N354" s="7">
        <v>2022</v>
      </c>
      <c r="O354" s="5">
        <v>241</v>
      </c>
      <c r="P354" s="5" t="s">
        <v>220</v>
      </c>
    </row>
    <row r="355" spans="1:16" ht="21.5" x14ac:dyDescent="0.9">
      <c r="A355" s="3" t="s">
        <v>2155</v>
      </c>
      <c r="D355" s="3"/>
      <c r="E355" s="3"/>
      <c r="H355" s="9" t="s">
        <v>2154</v>
      </c>
      <c r="I355" s="7" t="s">
        <v>1619</v>
      </c>
      <c r="J355" s="7" t="s">
        <v>2015</v>
      </c>
      <c r="K355" s="7" t="s">
        <v>403</v>
      </c>
      <c r="L355" s="8" t="s">
        <v>2153</v>
      </c>
      <c r="M355" s="8" t="s">
        <v>2152</v>
      </c>
      <c r="N355" s="7">
        <v>2023</v>
      </c>
      <c r="O355" s="5">
        <v>242</v>
      </c>
      <c r="P355" s="5" t="s">
        <v>220</v>
      </c>
    </row>
    <row r="356" spans="1:16" ht="21.5" x14ac:dyDescent="0.9">
      <c r="A356" s="6" t="s">
        <v>34</v>
      </c>
      <c r="B356" s="6" t="s">
        <v>33</v>
      </c>
      <c r="C356" s="6" t="s">
        <v>32</v>
      </c>
      <c r="D356" s="6" t="s">
        <v>31</v>
      </c>
      <c r="E356" s="6" t="s">
        <v>0</v>
      </c>
      <c r="H356" s="9" t="s">
        <v>2151</v>
      </c>
      <c r="I356" s="7" t="s">
        <v>1619</v>
      </c>
      <c r="J356" s="7" t="s">
        <v>2015</v>
      </c>
      <c r="K356" s="7" t="s">
        <v>403</v>
      </c>
      <c r="L356" s="8" t="s">
        <v>2150</v>
      </c>
      <c r="M356" s="8" t="s">
        <v>2149</v>
      </c>
      <c r="N356" s="7">
        <v>2024</v>
      </c>
      <c r="O356" s="5">
        <v>243</v>
      </c>
      <c r="P356" s="5" t="s">
        <v>220</v>
      </c>
    </row>
    <row r="357" spans="1:16" ht="21.5" x14ac:dyDescent="0.9">
      <c r="A357" s="5" t="s">
        <v>2148</v>
      </c>
      <c r="B357" s="5" t="s">
        <v>2147</v>
      </c>
      <c r="C357" s="5" t="s">
        <v>2147</v>
      </c>
      <c r="D357" s="5">
        <v>1</v>
      </c>
      <c r="E357" s="5" t="b">
        <v>1</v>
      </c>
      <c r="H357" s="9" t="s">
        <v>2146</v>
      </c>
      <c r="I357" s="7" t="s">
        <v>1619</v>
      </c>
      <c r="J357" s="7" t="s">
        <v>2015</v>
      </c>
      <c r="K357" s="7" t="s">
        <v>403</v>
      </c>
      <c r="L357" s="8" t="s">
        <v>2145</v>
      </c>
      <c r="M357" s="8" t="s">
        <v>2144</v>
      </c>
      <c r="N357" s="7">
        <v>2025</v>
      </c>
      <c r="O357" s="5">
        <v>244</v>
      </c>
      <c r="P357" s="5" t="s">
        <v>220</v>
      </c>
    </row>
    <row r="358" spans="1:16" ht="21.5" x14ac:dyDescent="0.9">
      <c r="A358" s="5" t="s">
        <v>2143</v>
      </c>
      <c r="B358" s="5" t="s">
        <v>2142</v>
      </c>
      <c r="C358" s="5" t="s">
        <v>2142</v>
      </c>
      <c r="D358" s="5">
        <v>2</v>
      </c>
      <c r="E358" s="5" t="b">
        <v>1</v>
      </c>
      <c r="H358" s="9" t="s">
        <v>2141</v>
      </c>
      <c r="I358" s="7" t="s">
        <v>1619</v>
      </c>
      <c r="J358" s="7" t="s">
        <v>2015</v>
      </c>
      <c r="K358" s="7" t="s">
        <v>403</v>
      </c>
      <c r="L358" s="8" t="s">
        <v>2140</v>
      </c>
      <c r="M358" s="8" t="s">
        <v>2139</v>
      </c>
      <c r="N358" s="7">
        <v>2019</v>
      </c>
      <c r="O358" s="5">
        <v>245</v>
      </c>
      <c r="P358" s="5" t="s">
        <v>220</v>
      </c>
    </row>
    <row r="359" spans="1:16" ht="21.5" x14ac:dyDescent="0.9">
      <c r="A359" s="5" t="s">
        <v>2138</v>
      </c>
      <c r="B359" s="5" t="s">
        <v>2137</v>
      </c>
      <c r="C359" s="5" t="s">
        <v>2137</v>
      </c>
      <c r="D359" s="5">
        <v>3</v>
      </c>
      <c r="E359" s="5" t="b">
        <v>1</v>
      </c>
      <c r="H359" s="9" t="s">
        <v>2136</v>
      </c>
      <c r="I359" s="7" t="s">
        <v>1619</v>
      </c>
      <c r="J359" s="7" t="s">
        <v>2015</v>
      </c>
      <c r="K359" s="7" t="s">
        <v>403</v>
      </c>
      <c r="L359" s="8" t="s">
        <v>2135</v>
      </c>
      <c r="M359" s="8" t="s">
        <v>2134</v>
      </c>
      <c r="N359" s="7">
        <v>2019</v>
      </c>
      <c r="O359" s="5">
        <v>246</v>
      </c>
      <c r="P359" s="5" t="s">
        <v>220</v>
      </c>
    </row>
    <row r="360" spans="1:16" ht="21.5" x14ac:dyDescent="0.9">
      <c r="A360" s="5" t="s">
        <v>2133</v>
      </c>
      <c r="B360" s="5" t="s">
        <v>2132</v>
      </c>
      <c r="C360" s="5" t="s">
        <v>2132</v>
      </c>
      <c r="D360" s="5">
        <v>4</v>
      </c>
      <c r="E360" s="5" t="b">
        <v>1</v>
      </c>
      <c r="H360" s="9" t="s">
        <v>2131</v>
      </c>
      <c r="I360" s="7" t="s">
        <v>1619</v>
      </c>
      <c r="J360" s="7" t="s">
        <v>2015</v>
      </c>
      <c r="K360" s="7" t="s">
        <v>403</v>
      </c>
      <c r="L360" s="8" t="s">
        <v>2130</v>
      </c>
      <c r="M360" s="8" t="s">
        <v>2129</v>
      </c>
      <c r="N360" s="7">
        <v>2020</v>
      </c>
      <c r="O360" s="5">
        <v>247</v>
      </c>
      <c r="P360" s="5" t="s">
        <v>220</v>
      </c>
    </row>
    <row r="361" spans="1:16" ht="21.5" x14ac:dyDescent="0.9">
      <c r="A361" s="5" t="s">
        <v>2128</v>
      </c>
      <c r="B361" s="5" t="s">
        <v>2127</v>
      </c>
      <c r="C361" s="5" t="s">
        <v>2127</v>
      </c>
      <c r="D361" s="5">
        <v>5</v>
      </c>
      <c r="E361" s="5" t="b">
        <v>1</v>
      </c>
      <c r="H361" s="9" t="s">
        <v>2126</v>
      </c>
      <c r="I361" s="7" t="s">
        <v>1619</v>
      </c>
      <c r="J361" s="7" t="s">
        <v>2015</v>
      </c>
      <c r="K361" s="7" t="s">
        <v>403</v>
      </c>
      <c r="L361" s="8" t="s">
        <v>2125</v>
      </c>
      <c r="M361" s="8" t="s">
        <v>2124</v>
      </c>
      <c r="N361" s="7">
        <v>2021</v>
      </c>
      <c r="O361" s="5">
        <v>248</v>
      </c>
      <c r="P361" s="5" t="s">
        <v>220</v>
      </c>
    </row>
    <row r="362" spans="1:16" ht="21.5" x14ac:dyDescent="0.9">
      <c r="A362" s="5" t="s">
        <v>2123</v>
      </c>
      <c r="B362" s="5" t="s">
        <v>2122</v>
      </c>
      <c r="C362" s="5" t="s">
        <v>2122</v>
      </c>
      <c r="D362" s="5">
        <v>6</v>
      </c>
      <c r="E362" s="5" t="b">
        <v>1</v>
      </c>
      <c r="H362" s="9" t="s">
        <v>2121</v>
      </c>
      <c r="I362" s="7" t="s">
        <v>1619</v>
      </c>
      <c r="J362" s="7" t="s">
        <v>2015</v>
      </c>
      <c r="K362" s="7" t="s">
        <v>403</v>
      </c>
      <c r="L362" s="8" t="s">
        <v>2120</v>
      </c>
      <c r="M362" s="8" t="s">
        <v>2119</v>
      </c>
      <c r="N362" s="7">
        <v>2021</v>
      </c>
      <c r="O362" s="5">
        <v>249</v>
      </c>
      <c r="P362" s="5" t="s">
        <v>220</v>
      </c>
    </row>
    <row r="363" spans="1:16" ht="21.5" x14ac:dyDescent="0.9">
      <c r="A363" s="5" t="s">
        <v>2118</v>
      </c>
      <c r="B363" s="5" t="s">
        <v>2117</v>
      </c>
      <c r="C363" s="5" t="s">
        <v>2117</v>
      </c>
      <c r="D363" s="5">
        <v>7</v>
      </c>
      <c r="E363" s="5" t="b">
        <v>1</v>
      </c>
      <c r="H363" s="9" t="s">
        <v>2116</v>
      </c>
      <c r="I363" s="7" t="s">
        <v>1619</v>
      </c>
      <c r="J363" s="7" t="s">
        <v>2015</v>
      </c>
      <c r="K363" s="7" t="s">
        <v>403</v>
      </c>
      <c r="L363" s="8" t="s">
        <v>2115</v>
      </c>
      <c r="M363" s="8" t="s">
        <v>2114</v>
      </c>
      <c r="N363" s="7">
        <v>2022</v>
      </c>
      <c r="O363" s="5">
        <v>250</v>
      </c>
      <c r="P363" s="5" t="s">
        <v>220</v>
      </c>
    </row>
    <row r="364" spans="1:16" ht="21.5" x14ac:dyDescent="0.9">
      <c r="A364" s="5" t="s">
        <v>2113</v>
      </c>
      <c r="B364" s="5" t="s">
        <v>2112</v>
      </c>
      <c r="C364" s="5" t="s">
        <v>2112</v>
      </c>
      <c r="D364" s="5">
        <v>8</v>
      </c>
      <c r="E364" s="5" t="b">
        <v>1</v>
      </c>
      <c r="H364" s="9" t="s">
        <v>2111</v>
      </c>
      <c r="I364" s="7" t="s">
        <v>1619</v>
      </c>
      <c r="J364" s="7" t="s">
        <v>2015</v>
      </c>
      <c r="K364" s="7" t="s">
        <v>403</v>
      </c>
      <c r="L364" s="8" t="s">
        <v>2110</v>
      </c>
      <c r="M364" s="8" t="s">
        <v>2109</v>
      </c>
      <c r="N364" s="7">
        <v>2023</v>
      </c>
      <c r="O364" s="5">
        <v>251</v>
      </c>
      <c r="P364" s="5" t="s">
        <v>220</v>
      </c>
    </row>
    <row r="365" spans="1:16" ht="21.5" x14ac:dyDescent="0.9">
      <c r="A365" s="5" t="s">
        <v>2108</v>
      </c>
      <c r="B365" s="5" t="s">
        <v>2107</v>
      </c>
      <c r="C365" s="5" t="s">
        <v>2107</v>
      </c>
      <c r="D365" s="5">
        <v>9</v>
      </c>
      <c r="E365" s="5" t="b">
        <v>1</v>
      </c>
      <c r="H365" s="9" t="s">
        <v>2106</v>
      </c>
      <c r="I365" s="7" t="s">
        <v>1619</v>
      </c>
      <c r="J365" s="7" t="s">
        <v>2015</v>
      </c>
      <c r="K365" s="7" t="s">
        <v>403</v>
      </c>
      <c r="L365" s="8" t="s">
        <v>2105</v>
      </c>
      <c r="M365" s="8" t="s">
        <v>2104</v>
      </c>
      <c r="N365" s="7">
        <v>2024</v>
      </c>
      <c r="O365" s="5">
        <v>252</v>
      </c>
      <c r="P365" s="5" t="s">
        <v>220</v>
      </c>
    </row>
    <row r="366" spans="1:16" ht="21.5" x14ac:dyDescent="0.9">
      <c r="A366" s="5" t="s">
        <v>2103</v>
      </c>
      <c r="B366" s="5" t="s">
        <v>2102</v>
      </c>
      <c r="C366" s="5" t="s">
        <v>2102</v>
      </c>
      <c r="D366" s="5">
        <v>10</v>
      </c>
      <c r="E366" s="5" t="b">
        <v>1</v>
      </c>
      <c r="H366" s="9" t="s">
        <v>2101</v>
      </c>
      <c r="I366" s="7" t="s">
        <v>1619</v>
      </c>
      <c r="J366" s="7" t="s">
        <v>2015</v>
      </c>
      <c r="K366" s="7" t="s">
        <v>403</v>
      </c>
      <c r="L366" s="8" t="s">
        <v>2100</v>
      </c>
      <c r="M366" s="8" t="s">
        <v>2099</v>
      </c>
      <c r="N366" s="7">
        <v>2025</v>
      </c>
      <c r="O366" s="5">
        <v>253</v>
      </c>
      <c r="P366" s="5" t="s">
        <v>220</v>
      </c>
    </row>
    <row r="367" spans="1:16" ht="21.5" x14ac:dyDescent="0.9">
      <c r="A367" s="5" t="s">
        <v>2098</v>
      </c>
      <c r="B367" s="5" t="s">
        <v>2097</v>
      </c>
      <c r="C367" s="5" t="s">
        <v>2097</v>
      </c>
      <c r="D367" s="5">
        <v>11</v>
      </c>
      <c r="E367" s="5" t="b">
        <v>1</v>
      </c>
      <c r="H367" s="9" t="s">
        <v>2096</v>
      </c>
      <c r="I367" s="7" t="s">
        <v>1619</v>
      </c>
      <c r="J367" s="7" t="s">
        <v>2015</v>
      </c>
      <c r="K367" s="7" t="s">
        <v>403</v>
      </c>
      <c r="L367" s="8" t="s">
        <v>2095</v>
      </c>
      <c r="M367" s="8" t="s">
        <v>2094</v>
      </c>
      <c r="N367" s="7">
        <v>2019</v>
      </c>
      <c r="O367" s="5">
        <v>254</v>
      </c>
      <c r="P367" s="5" t="s">
        <v>220</v>
      </c>
    </row>
    <row r="368" spans="1:16" ht="21.5" x14ac:dyDescent="0.9">
      <c r="A368" s="5" t="s">
        <v>2093</v>
      </c>
      <c r="B368" s="5" t="s">
        <v>2092</v>
      </c>
      <c r="C368" s="5" t="s">
        <v>2092</v>
      </c>
      <c r="D368" s="5">
        <v>12</v>
      </c>
      <c r="E368" s="5" t="b">
        <v>1</v>
      </c>
      <c r="H368" s="9" t="s">
        <v>2091</v>
      </c>
      <c r="I368" s="7" t="s">
        <v>1619</v>
      </c>
      <c r="J368" s="7" t="s">
        <v>2015</v>
      </c>
      <c r="K368" s="7" t="s">
        <v>403</v>
      </c>
      <c r="L368" s="8" t="s">
        <v>2090</v>
      </c>
      <c r="M368" s="8" t="s">
        <v>2089</v>
      </c>
      <c r="N368" s="7">
        <v>2019</v>
      </c>
      <c r="O368" s="5">
        <v>255</v>
      </c>
      <c r="P368" s="5" t="s">
        <v>220</v>
      </c>
    </row>
    <row r="369" spans="1:16" ht="21.5" x14ac:dyDescent="0.9">
      <c r="A369" s="5" t="s">
        <v>2088</v>
      </c>
      <c r="B369" s="5" t="s">
        <v>2087</v>
      </c>
      <c r="C369" s="5" t="s">
        <v>2087</v>
      </c>
      <c r="D369" s="5">
        <v>13</v>
      </c>
      <c r="E369" s="5" t="b">
        <v>1</v>
      </c>
      <c r="H369" s="9" t="s">
        <v>2086</v>
      </c>
      <c r="I369" s="7" t="s">
        <v>1619</v>
      </c>
      <c r="J369" s="7" t="s">
        <v>2015</v>
      </c>
      <c r="K369" s="7" t="s">
        <v>403</v>
      </c>
      <c r="L369" s="8" t="s">
        <v>2085</v>
      </c>
      <c r="M369" s="8" t="s">
        <v>2084</v>
      </c>
      <c r="N369" s="7">
        <v>2020</v>
      </c>
      <c r="O369" s="5">
        <v>256</v>
      </c>
      <c r="P369" s="5" t="s">
        <v>220</v>
      </c>
    </row>
    <row r="370" spans="1:16" ht="21.5" x14ac:dyDescent="0.9">
      <c r="A370" s="5" t="s">
        <v>2083</v>
      </c>
      <c r="B370" s="5" t="s">
        <v>2082</v>
      </c>
      <c r="C370" s="5" t="s">
        <v>2082</v>
      </c>
      <c r="D370" s="5">
        <v>14</v>
      </c>
      <c r="E370" s="5" t="b">
        <v>1</v>
      </c>
      <c r="H370" s="9" t="s">
        <v>2081</v>
      </c>
      <c r="I370" s="7" t="s">
        <v>1619</v>
      </c>
      <c r="J370" s="7" t="s">
        <v>2015</v>
      </c>
      <c r="K370" s="7" t="s">
        <v>403</v>
      </c>
      <c r="L370" s="8" t="s">
        <v>2080</v>
      </c>
      <c r="M370" s="8" t="s">
        <v>2079</v>
      </c>
      <c r="N370" s="7">
        <v>2020</v>
      </c>
      <c r="O370" s="5">
        <v>257</v>
      </c>
      <c r="P370" s="5" t="s">
        <v>220</v>
      </c>
    </row>
    <row r="371" spans="1:16" ht="21.5" x14ac:dyDescent="0.9">
      <c r="A371" s="5" t="s">
        <v>2078</v>
      </c>
      <c r="B371" s="5" t="s">
        <v>2077</v>
      </c>
      <c r="C371" s="5" t="s">
        <v>2077</v>
      </c>
      <c r="D371" s="5">
        <v>15</v>
      </c>
      <c r="E371" s="5" t="b">
        <v>1</v>
      </c>
      <c r="H371" s="9" t="s">
        <v>2076</v>
      </c>
      <c r="I371" s="7" t="s">
        <v>1619</v>
      </c>
      <c r="J371" s="7" t="s">
        <v>2015</v>
      </c>
      <c r="K371" s="7" t="s">
        <v>403</v>
      </c>
      <c r="L371" s="8" t="s">
        <v>2075</v>
      </c>
      <c r="M371" s="8" t="s">
        <v>2074</v>
      </c>
      <c r="N371" s="7">
        <v>2021</v>
      </c>
      <c r="O371" s="5">
        <v>258</v>
      </c>
      <c r="P371" s="5" t="s">
        <v>220</v>
      </c>
    </row>
    <row r="372" spans="1:16" ht="21.5" x14ac:dyDescent="0.9">
      <c r="A372" s="5" t="s">
        <v>2073</v>
      </c>
      <c r="B372" s="5" t="s">
        <v>2072</v>
      </c>
      <c r="C372" s="5" t="s">
        <v>2072</v>
      </c>
      <c r="D372" s="5">
        <v>16</v>
      </c>
      <c r="E372" s="5" t="b">
        <v>1</v>
      </c>
      <c r="H372" s="9" t="s">
        <v>2071</v>
      </c>
      <c r="I372" s="7" t="s">
        <v>1619</v>
      </c>
      <c r="J372" s="7" t="s">
        <v>2015</v>
      </c>
      <c r="K372" s="7" t="s">
        <v>403</v>
      </c>
      <c r="L372" s="8" t="s">
        <v>2070</v>
      </c>
      <c r="M372" s="8" t="s">
        <v>2069</v>
      </c>
      <c r="N372" s="7">
        <v>2021</v>
      </c>
      <c r="O372" s="5">
        <v>259</v>
      </c>
      <c r="P372" s="5" t="s">
        <v>220</v>
      </c>
    </row>
    <row r="373" spans="1:16" ht="21.5" x14ac:dyDescent="0.9">
      <c r="A373" s="5" t="s">
        <v>2068</v>
      </c>
      <c r="B373" s="5" t="s">
        <v>2067</v>
      </c>
      <c r="C373" s="5" t="s">
        <v>2067</v>
      </c>
      <c r="D373" s="5">
        <v>17</v>
      </c>
      <c r="E373" s="5" t="b">
        <v>1</v>
      </c>
      <c r="H373" s="9" t="s">
        <v>2066</v>
      </c>
      <c r="I373" s="7" t="s">
        <v>1619</v>
      </c>
      <c r="J373" s="7" t="s">
        <v>2015</v>
      </c>
      <c r="K373" s="7" t="s">
        <v>403</v>
      </c>
      <c r="L373" s="8" t="s">
        <v>2065</v>
      </c>
      <c r="M373" s="8" t="s">
        <v>2064</v>
      </c>
      <c r="N373" s="7">
        <v>2021</v>
      </c>
      <c r="O373" s="5">
        <v>260</v>
      </c>
      <c r="P373" s="5" t="s">
        <v>220</v>
      </c>
    </row>
    <row r="374" spans="1:16" ht="21.5" x14ac:dyDescent="0.9">
      <c r="A374" s="5" t="s">
        <v>2063</v>
      </c>
      <c r="B374" s="5" t="s">
        <v>2062</v>
      </c>
      <c r="C374" s="5" t="s">
        <v>2062</v>
      </c>
      <c r="D374" s="5">
        <v>18</v>
      </c>
      <c r="E374" s="5" t="b">
        <v>1</v>
      </c>
      <c r="H374" s="9" t="s">
        <v>2061</v>
      </c>
      <c r="I374" s="7" t="s">
        <v>1619</v>
      </c>
      <c r="J374" s="7" t="s">
        <v>2015</v>
      </c>
      <c r="K374" s="7" t="s">
        <v>403</v>
      </c>
      <c r="L374" s="8" t="s">
        <v>2060</v>
      </c>
      <c r="M374" s="8" t="s">
        <v>2059</v>
      </c>
      <c r="N374" s="7">
        <v>2022</v>
      </c>
      <c r="O374" s="5">
        <v>261</v>
      </c>
      <c r="P374" s="5" t="s">
        <v>220</v>
      </c>
    </row>
    <row r="375" spans="1:16" ht="21.5" x14ac:dyDescent="0.9">
      <c r="A375" s="5" t="s">
        <v>2058</v>
      </c>
      <c r="B375" s="5" t="s">
        <v>2057</v>
      </c>
      <c r="C375" s="5" t="s">
        <v>2057</v>
      </c>
      <c r="D375" s="5">
        <v>19</v>
      </c>
      <c r="E375" s="5" t="b">
        <v>1</v>
      </c>
      <c r="H375" s="9" t="s">
        <v>2056</v>
      </c>
      <c r="I375" s="7" t="s">
        <v>1619</v>
      </c>
      <c r="J375" s="7" t="s">
        <v>2015</v>
      </c>
      <c r="K375" s="7" t="s">
        <v>403</v>
      </c>
      <c r="L375" s="8" t="s">
        <v>2055</v>
      </c>
      <c r="M375" s="8" t="s">
        <v>2054</v>
      </c>
      <c r="N375" s="7">
        <v>2023</v>
      </c>
      <c r="O375" s="5">
        <v>262</v>
      </c>
      <c r="P375" s="5" t="s">
        <v>220</v>
      </c>
    </row>
    <row r="376" spans="1:16" ht="21.5" x14ac:dyDescent="0.9">
      <c r="A376" s="5" t="s">
        <v>2053</v>
      </c>
      <c r="B376" s="5" t="s">
        <v>2052</v>
      </c>
      <c r="C376" s="5" t="s">
        <v>2052</v>
      </c>
      <c r="D376" s="5">
        <v>20</v>
      </c>
      <c r="E376" s="5" t="b">
        <v>1</v>
      </c>
      <c r="H376" s="9" t="s">
        <v>2051</v>
      </c>
      <c r="I376" s="7" t="s">
        <v>1619</v>
      </c>
      <c r="J376" s="7" t="s">
        <v>2015</v>
      </c>
      <c r="K376" s="7" t="s">
        <v>403</v>
      </c>
      <c r="L376" s="8" t="s">
        <v>2050</v>
      </c>
      <c r="M376" s="8" t="s">
        <v>2049</v>
      </c>
      <c r="N376" s="7">
        <v>2024</v>
      </c>
      <c r="O376" s="5">
        <v>263</v>
      </c>
      <c r="P376" s="5" t="s">
        <v>220</v>
      </c>
    </row>
    <row r="377" spans="1:16" ht="21.5" x14ac:dyDescent="0.9">
      <c r="A377" s="5" t="s">
        <v>2048</v>
      </c>
      <c r="B377" s="5" t="s">
        <v>2047</v>
      </c>
      <c r="C377" s="5" t="s">
        <v>2047</v>
      </c>
      <c r="D377" s="5">
        <v>21</v>
      </c>
      <c r="E377" s="5" t="b">
        <v>1</v>
      </c>
      <c r="H377" s="9" t="s">
        <v>2046</v>
      </c>
      <c r="I377" s="7" t="s">
        <v>1619</v>
      </c>
      <c r="J377" s="7" t="s">
        <v>2015</v>
      </c>
      <c r="K377" s="7" t="s">
        <v>403</v>
      </c>
      <c r="L377" s="8" t="s">
        <v>2045</v>
      </c>
      <c r="M377" s="8" t="s">
        <v>2044</v>
      </c>
      <c r="N377" s="7">
        <v>2025</v>
      </c>
      <c r="O377" s="5">
        <v>264</v>
      </c>
      <c r="P377" s="5" t="s">
        <v>220</v>
      </c>
    </row>
    <row r="378" spans="1:16" ht="21.5" x14ac:dyDescent="0.9">
      <c r="A378" s="5" t="s">
        <v>2043</v>
      </c>
      <c r="B378" s="5" t="s">
        <v>2042</v>
      </c>
      <c r="C378" s="5" t="s">
        <v>2042</v>
      </c>
      <c r="D378" s="5">
        <v>22</v>
      </c>
      <c r="E378" s="5" t="b">
        <v>1</v>
      </c>
      <c r="H378" s="9" t="s">
        <v>2041</v>
      </c>
      <c r="I378" s="7" t="s">
        <v>1619</v>
      </c>
      <c r="J378" s="7" t="s">
        <v>2015</v>
      </c>
      <c r="K378" s="7" t="s">
        <v>403</v>
      </c>
      <c r="L378" s="8" t="s">
        <v>2040</v>
      </c>
      <c r="M378" s="8" t="s">
        <v>2039</v>
      </c>
      <c r="N378" s="7">
        <v>2019</v>
      </c>
      <c r="O378" s="5">
        <v>265</v>
      </c>
      <c r="P378" s="5" t="s">
        <v>220</v>
      </c>
    </row>
    <row r="379" spans="1:16" ht="21.5" x14ac:dyDescent="0.9">
      <c r="A379" s="5" t="s">
        <v>2038</v>
      </c>
      <c r="B379" s="5" t="s">
        <v>2037</v>
      </c>
      <c r="C379" s="5" t="s">
        <v>2037</v>
      </c>
      <c r="D379" s="5">
        <v>23</v>
      </c>
      <c r="E379" s="5" t="b">
        <v>1</v>
      </c>
      <c r="H379" s="9" t="s">
        <v>2036</v>
      </c>
      <c r="I379" s="7" t="s">
        <v>1619</v>
      </c>
      <c r="J379" s="7" t="s">
        <v>2015</v>
      </c>
      <c r="K379" s="7" t="s">
        <v>403</v>
      </c>
      <c r="L379" s="8" t="s">
        <v>2035</v>
      </c>
      <c r="M379" s="8" t="s">
        <v>2034</v>
      </c>
      <c r="N379" s="7">
        <v>2019</v>
      </c>
      <c r="O379" s="5">
        <v>266</v>
      </c>
      <c r="P379" s="5" t="s">
        <v>220</v>
      </c>
    </row>
    <row r="380" spans="1:16" ht="21.5" x14ac:dyDescent="0.9">
      <c r="A380" s="5" t="s">
        <v>2033</v>
      </c>
      <c r="B380" s="5" t="s">
        <v>2032</v>
      </c>
      <c r="C380" s="5" t="s">
        <v>2032</v>
      </c>
      <c r="D380" s="5">
        <v>24</v>
      </c>
      <c r="E380" s="5" t="b">
        <v>1</v>
      </c>
      <c r="H380" s="9" t="s">
        <v>2031</v>
      </c>
      <c r="I380" s="7" t="s">
        <v>1619</v>
      </c>
      <c r="J380" s="7" t="s">
        <v>2015</v>
      </c>
      <c r="K380" s="7" t="s">
        <v>403</v>
      </c>
      <c r="L380" s="8" t="s">
        <v>2030</v>
      </c>
      <c r="M380" s="8" t="s">
        <v>2029</v>
      </c>
      <c r="N380" s="7">
        <v>2020</v>
      </c>
      <c r="O380" s="5">
        <v>267</v>
      </c>
      <c r="P380" s="5" t="s">
        <v>220</v>
      </c>
    </row>
    <row r="381" spans="1:16" ht="21.5" x14ac:dyDescent="0.9">
      <c r="A381" s="5" t="s">
        <v>2028</v>
      </c>
      <c r="B381" s="5" t="s">
        <v>2027</v>
      </c>
      <c r="C381" s="5" t="s">
        <v>2027</v>
      </c>
      <c r="D381" s="5">
        <v>25</v>
      </c>
      <c r="E381" s="5" t="b">
        <v>1</v>
      </c>
      <c r="H381" s="9" t="s">
        <v>2026</v>
      </c>
      <c r="I381" s="7" t="s">
        <v>1619</v>
      </c>
      <c r="J381" s="7" t="s">
        <v>2015</v>
      </c>
      <c r="K381" s="7" t="s">
        <v>403</v>
      </c>
      <c r="L381" s="8" t="s">
        <v>2025</v>
      </c>
      <c r="M381" s="8" t="s">
        <v>2024</v>
      </c>
      <c r="N381" s="7">
        <v>2020</v>
      </c>
      <c r="O381" s="5">
        <v>268</v>
      </c>
      <c r="P381" s="5" t="s">
        <v>220</v>
      </c>
    </row>
    <row r="382" spans="1:16" ht="21.5" x14ac:dyDescent="0.9">
      <c r="A382" s="5" t="s">
        <v>2023</v>
      </c>
      <c r="B382" s="5" t="s">
        <v>2022</v>
      </c>
      <c r="C382" s="5" t="s">
        <v>2022</v>
      </c>
      <c r="D382" s="5">
        <v>26</v>
      </c>
      <c r="E382" s="5" t="b">
        <v>1</v>
      </c>
      <c r="H382" s="9" t="s">
        <v>2021</v>
      </c>
      <c r="I382" s="7" t="s">
        <v>1619</v>
      </c>
      <c r="J382" s="7" t="s">
        <v>2015</v>
      </c>
      <c r="K382" s="7" t="s">
        <v>403</v>
      </c>
      <c r="L382" s="8" t="s">
        <v>2020</v>
      </c>
      <c r="M382" s="8" t="s">
        <v>2019</v>
      </c>
      <c r="N382" s="7">
        <v>2021</v>
      </c>
      <c r="O382" s="5">
        <v>269</v>
      </c>
      <c r="P382" s="5" t="s">
        <v>220</v>
      </c>
    </row>
    <row r="383" spans="1:16" ht="21.5" x14ac:dyDescent="0.9">
      <c r="A383" s="5" t="s">
        <v>2018</v>
      </c>
      <c r="B383" s="5" t="s">
        <v>2017</v>
      </c>
      <c r="C383" s="5" t="s">
        <v>2017</v>
      </c>
      <c r="D383" s="5">
        <v>27</v>
      </c>
      <c r="E383" s="5" t="b">
        <v>1</v>
      </c>
      <c r="H383" s="9" t="s">
        <v>2016</v>
      </c>
      <c r="I383" s="7" t="s">
        <v>1619</v>
      </c>
      <c r="J383" s="7" t="s">
        <v>2015</v>
      </c>
      <c r="K383" s="7" t="s">
        <v>403</v>
      </c>
      <c r="L383" s="8" t="s">
        <v>2014</v>
      </c>
      <c r="M383" s="8" t="s">
        <v>2013</v>
      </c>
      <c r="N383" s="7">
        <v>2022</v>
      </c>
      <c r="O383" s="5">
        <v>270</v>
      </c>
      <c r="P383" s="5" t="s">
        <v>220</v>
      </c>
    </row>
    <row r="384" spans="1:16" ht="21.5" x14ac:dyDescent="0.9">
      <c r="A384" s="5" t="s">
        <v>2012</v>
      </c>
      <c r="B384" s="5" t="s">
        <v>2011</v>
      </c>
      <c r="C384" s="5" t="s">
        <v>2011</v>
      </c>
      <c r="D384" s="5">
        <v>28</v>
      </c>
      <c r="E384" s="5" t="b">
        <v>1</v>
      </c>
      <c r="H384" s="9" t="s">
        <v>2010</v>
      </c>
      <c r="I384" s="7" t="s">
        <v>1619</v>
      </c>
      <c r="J384" s="7" t="s">
        <v>1951</v>
      </c>
      <c r="K384" s="7" t="s">
        <v>403</v>
      </c>
      <c r="L384" s="8" t="s">
        <v>2009</v>
      </c>
      <c r="M384" s="8" t="s">
        <v>2008</v>
      </c>
      <c r="N384" s="7">
        <v>2019</v>
      </c>
      <c r="O384" s="5">
        <v>271</v>
      </c>
      <c r="P384" s="5" t="s">
        <v>220</v>
      </c>
    </row>
    <row r="385" spans="1:16" ht="21.5" x14ac:dyDescent="0.9">
      <c r="A385" s="5" t="s">
        <v>2007</v>
      </c>
      <c r="B385" s="5" t="s">
        <v>2006</v>
      </c>
      <c r="C385" s="5" t="s">
        <v>2006</v>
      </c>
      <c r="D385" s="5">
        <v>29</v>
      </c>
      <c r="E385" s="5" t="b">
        <v>1</v>
      </c>
      <c r="H385" s="9" t="s">
        <v>2005</v>
      </c>
      <c r="I385" s="7" t="s">
        <v>1619</v>
      </c>
      <c r="J385" s="7" t="s">
        <v>1951</v>
      </c>
      <c r="K385" s="7" t="s">
        <v>403</v>
      </c>
      <c r="L385" s="8" t="s">
        <v>2004</v>
      </c>
      <c r="M385" s="8" t="s">
        <v>2003</v>
      </c>
      <c r="N385" s="7">
        <v>2020</v>
      </c>
      <c r="O385" s="5">
        <v>272</v>
      </c>
      <c r="P385" s="5" t="s">
        <v>220</v>
      </c>
    </row>
    <row r="386" spans="1:16" ht="21.5" x14ac:dyDescent="0.9">
      <c r="A386" s="5" t="s">
        <v>2002</v>
      </c>
      <c r="B386" s="5" t="s">
        <v>2001</v>
      </c>
      <c r="C386" s="5" t="s">
        <v>2001</v>
      </c>
      <c r="D386" s="5">
        <v>30</v>
      </c>
      <c r="E386" s="5" t="b">
        <v>1</v>
      </c>
      <c r="H386" s="9" t="s">
        <v>2000</v>
      </c>
      <c r="I386" s="7" t="s">
        <v>1619</v>
      </c>
      <c r="J386" s="7" t="s">
        <v>1951</v>
      </c>
      <c r="K386" s="7" t="s">
        <v>403</v>
      </c>
      <c r="L386" s="8" t="s">
        <v>1999</v>
      </c>
      <c r="M386" s="8" t="s">
        <v>1998</v>
      </c>
      <c r="N386" s="7">
        <v>2021</v>
      </c>
      <c r="O386" s="5">
        <v>273</v>
      </c>
      <c r="P386" s="5" t="s">
        <v>220</v>
      </c>
    </row>
    <row r="387" spans="1:16" ht="21.5" x14ac:dyDescent="0.9">
      <c r="A387" s="5" t="s">
        <v>1997</v>
      </c>
      <c r="B387" s="5" t="s">
        <v>1996</v>
      </c>
      <c r="C387" s="5" t="s">
        <v>1996</v>
      </c>
      <c r="D387" s="5">
        <v>31</v>
      </c>
      <c r="E387" s="5" t="b">
        <v>1</v>
      </c>
      <c r="H387" s="9" t="s">
        <v>1995</v>
      </c>
      <c r="I387" s="7" t="s">
        <v>1619</v>
      </c>
      <c r="J387" s="7" t="s">
        <v>1951</v>
      </c>
      <c r="K387" s="7" t="s">
        <v>403</v>
      </c>
      <c r="L387" s="8" t="s">
        <v>1994</v>
      </c>
      <c r="M387" s="8" t="s">
        <v>1993</v>
      </c>
      <c r="N387" s="7">
        <v>2022</v>
      </c>
      <c r="O387" s="5">
        <v>274</v>
      </c>
      <c r="P387" s="5" t="s">
        <v>220</v>
      </c>
    </row>
    <row r="388" spans="1:16" ht="21.5" x14ac:dyDescent="0.9">
      <c r="A388" s="5" t="s">
        <v>1992</v>
      </c>
      <c r="B388" s="5" t="s">
        <v>1991</v>
      </c>
      <c r="C388" s="5" t="s">
        <v>1991</v>
      </c>
      <c r="D388" s="5">
        <v>32</v>
      </c>
      <c r="E388" s="5" t="b">
        <v>1</v>
      </c>
      <c r="H388" s="9" t="s">
        <v>1990</v>
      </c>
      <c r="I388" s="7" t="s">
        <v>1619</v>
      </c>
      <c r="J388" s="7" t="s">
        <v>1951</v>
      </c>
      <c r="K388" s="7" t="s">
        <v>403</v>
      </c>
      <c r="L388" s="8" t="s">
        <v>1989</v>
      </c>
      <c r="M388" s="8" t="s">
        <v>1988</v>
      </c>
      <c r="N388" s="7">
        <v>2023</v>
      </c>
      <c r="O388" s="5">
        <v>275</v>
      </c>
      <c r="P388" s="5" t="s">
        <v>220</v>
      </c>
    </row>
    <row r="389" spans="1:16" ht="21.5" x14ac:dyDescent="0.9">
      <c r="A389" s="5" t="s">
        <v>1987</v>
      </c>
      <c r="B389" s="5" t="s">
        <v>1986</v>
      </c>
      <c r="C389" s="5" t="s">
        <v>1986</v>
      </c>
      <c r="D389" s="5">
        <v>33</v>
      </c>
      <c r="E389" s="5" t="b">
        <v>1</v>
      </c>
      <c r="H389" s="9" t="s">
        <v>1985</v>
      </c>
      <c r="I389" s="7" t="s">
        <v>1619</v>
      </c>
      <c r="J389" s="7" t="s">
        <v>1951</v>
      </c>
      <c r="K389" s="7" t="s">
        <v>403</v>
      </c>
      <c r="L389" s="8" t="s">
        <v>1984</v>
      </c>
      <c r="M389" s="8" t="s">
        <v>1983</v>
      </c>
      <c r="N389" s="7">
        <v>2024</v>
      </c>
      <c r="O389" s="5">
        <v>276</v>
      </c>
      <c r="P389" s="5" t="s">
        <v>220</v>
      </c>
    </row>
    <row r="390" spans="1:16" ht="21.5" x14ac:dyDescent="0.9">
      <c r="A390" s="5" t="s">
        <v>1982</v>
      </c>
      <c r="B390" s="5" t="s">
        <v>1981</v>
      </c>
      <c r="C390" s="5" t="s">
        <v>1981</v>
      </c>
      <c r="D390" s="5">
        <v>34</v>
      </c>
      <c r="E390" s="5" t="b">
        <v>1</v>
      </c>
      <c r="H390" s="9" t="s">
        <v>1980</v>
      </c>
      <c r="I390" s="7" t="s">
        <v>1619</v>
      </c>
      <c r="J390" s="7" t="s">
        <v>1951</v>
      </c>
      <c r="K390" s="7" t="s">
        <v>403</v>
      </c>
      <c r="L390" s="8" t="s">
        <v>1979</v>
      </c>
      <c r="M390" s="8" t="s">
        <v>1978</v>
      </c>
      <c r="N390" s="7">
        <v>2025</v>
      </c>
      <c r="O390" s="5">
        <v>277</v>
      </c>
      <c r="P390" s="5" t="s">
        <v>220</v>
      </c>
    </row>
    <row r="391" spans="1:16" ht="21.5" x14ac:dyDescent="0.9">
      <c r="A391" s="5" t="s">
        <v>1977</v>
      </c>
      <c r="B391" s="5" t="s">
        <v>1976</v>
      </c>
      <c r="C391" s="5" t="s">
        <v>1976</v>
      </c>
      <c r="D391" s="5">
        <v>35</v>
      </c>
      <c r="E391" s="5" t="b">
        <v>1</v>
      </c>
      <c r="H391" s="9" t="s">
        <v>1975</v>
      </c>
      <c r="I391" s="7" t="s">
        <v>1619</v>
      </c>
      <c r="J391" s="7" t="s">
        <v>1951</v>
      </c>
      <c r="K391" s="7" t="s">
        <v>403</v>
      </c>
      <c r="L391" s="8" t="s">
        <v>1974</v>
      </c>
      <c r="M391" s="8" t="s">
        <v>1973</v>
      </c>
      <c r="N391" s="7">
        <v>2019</v>
      </c>
      <c r="O391" s="5">
        <v>278</v>
      </c>
      <c r="P391" s="5" t="s">
        <v>220</v>
      </c>
    </row>
    <row r="392" spans="1:16" ht="21.5" x14ac:dyDescent="0.9">
      <c r="A392" s="5" t="s">
        <v>1972</v>
      </c>
      <c r="B392" s="5" t="s">
        <v>1971</v>
      </c>
      <c r="C392" s="5" t="s">
        <v>1971</v>
      </c>
      <c r="D392" s="5">
        <v>36</v>
      </c>
      <c r="E392" s="5" t="b">
        <v>1</v>
      </c>
      <c r="H392" s="9" t="s">
        <v>1970</v>
      </c>
      <c r="I392" s="7" t="s">
        <v>1619</v>
      </c>
      <c r="J392" s="7" t="s">
        <v>1951</v>
      </c>
      <c r="K392" s="7" t="s">
        <v>403</v>
      </c>
      <c r="L392" s="8" t="s">
        <v>1969</v>
      </c>
      <c r="M392" s="8" t="s">
        <v>1968</v>
      </c>
      <c r="N392" s="7">
        <v>2020</v>
      </c>
      <c r="O392" s="5">
        <v>279</v>
      </c>
      <c r="P392" s="5" t="s">
        <v>220</v>
      </c>
    </row>
    <row r="393" spans="1:16" ht="21.5" x14ac:dyDescent="0.9">
      <c r="A393" s="5" t="s">
        <v>1967</v>
      </c>
      <c r="B393" s="5" t="s">
        <v>1966</v>
      </c>
      <c r="C393" s="5" t="s">
        <v>1966</v>
      </c>
      <c r="D393" s="5">
        <v>37</v>
      </c>
      <c r="E393" s="5" t="b">
        <v>1</v>
      </c>
      <c r="H393" s="9" t="s">
        <v>1965</v>
      </c>
      <c r="I393" s="7" t="s">
        <v>1619</v>
      </c>
      <c r="J393" s="7" t="s">
        <v>1951</v>
      </c>
      <c r="K393" s="7" t="s">
        <v>403</v>
      </c>
      <c r="L393" s="8" t="s">
        <v>1964</v>
      </c>
      <c r="M393" s="8" t="s">
        <v>1963</v>
      </c>
      <c r="N393" s="7">
        <v>2021</v>
      </c>
      <c r="O393" s="5">
        <v>280</v>
      </c>
      <c r="P393" s="5" t="s">
        <v>220</v>
      </c>
    </row>
    <row r="394" spans="1:16" ht="21.5" x14ac:dyDescent="0.9">
      <c r="A394" s="5" t="s">
        <v>1962</v>
      </c>
      <c r="B394" s="5" t="s">
        <v>1961</v>
      </c>
      <c r="C394" s="5" t="s">
        <v>1961</v>
      </c>
      <c r="D394" s="5">
        <v>38</v>
      </c>
      <c r="E394" s="5" t="b">
        <v>1</v>
      </c>
      <c r="H394" s="9" t="s">
        <v>1960</v>
      </c>
      <c r="I394" s="7" t="s">
        <v>1619</v>
      </c>
      <c r="J394" s="7" t="s">
        <v>1951</v>
      </c>
      <c r="K394" s="7" t="s">
        <v>403</v>
      </c>
      <c r="L394" s="8" t="s">
        <v>1959</v>
      </c>
      <c r="M394" s="8" t="s">
        <v>1958</v>
      </c>
      <c r="N394" s="7">
        <v>2022</v>
      </c>
      <c r="O394" s="5">
        <v>281</v>
      </c>
      <c r="P394" s="5" t="s">
        <v>220</v>
      </c>
    </row>
    <row r="395" spans="1:16" ht="21.5" x14ac:dyDescent="0.9">
      <c r="A395" s="5" t="s">
        <v>1957</v>
      </c>
      <c r="B395" s="5" t="s">
        <v>1868</v>
      </c>
      <c r="C395" s="5" t="s">
        <v>1868</v>
      </c>
      <c r="D395" s="5">
        <v>39</v>
      </c>
      <c r="E395" s="5" t="b">
        <v>1</v>
      </c>
      <c r="H395" s="9" t="s">
        <v>1956</v>
      </c>
      <c r="I395" s="7" t="s">
        <v>1619</v>
      </c>
      <c r="J395" s="7" t="s">
        <v>1951</v>
      </c>
      <c r="K395" s="7" t="s">
        <v>403</v>
      </c>
      <c r="L395" s="8" t="s">
        <v>1955</v>
      </c>
      <c r="M395" s="8" t="s">
        <v>1954</v>
      </c>
      <c r="N395" s="7">
        <v>2023</v>
      </c>
      <c r="O395" s="5">
        <v>282</v>
      </c>
      <c r="P395" s="5" t="s">
        <v>220</v>
      </c>
    </row>
    <row r="396" spans="1:16" ht="21.5" x14ac:dyDescent="0.9">
      <c r="A396" s="5" t="s">
        <v>1953</v>
      </c>
      <c r="B396" s="5" t="s">
        <v>1842</v>
      </c>
      <c r="C396" s="5" t="s">
        <v>1842</v>
      </c>
      <c r="D396" s="5">
        <v>40</v>
      </c>
      <c r="E396" s="5" t="b">
        <v>1</v>
      </c>
      <c r="H396" s="9" t="s">
        <v>1952</v>
      </c>
      <c r="I396" s="7" t="s">
        <v>1619</v>
      </c>
      <c r="J396" s="7" t="s">
        <v>1951</v>
      </c>
      <c r="K396" s="7" t="s">
        <v>403</v>
      </c>
      <c r="L396" s="8" t="s">
        <v>1950</v>
      </c>
      <c r="M396" s="8" t="s">
        <v>1949</v>
      </c>
      <c r="N396" s="7">
        <v>2024</v>
      </c>
      <c r="O396" s="5">
        <v>283</v>
      </c>
      <c r="P396" s="5" t="s">
        <v>220</v>
      </c>
    </row>
    <row r="397" spans="1:16" ht="21.5" x14ac:dyDescent="0.9">
      <c r="A397" s="5" t="s">
        <v>1948</v>
      </c>
      <c r="B397" s="5" t="s">
        <v>1863</v>
      </c>
      <c r="C397" s="5" t="s">
        <v>1863</v>
      </c>
      <c r="D397" s="5">
        <v>41</v>
      </c>
      <c r="E397" s="5" t="b">
        <v>1</v>
      </c>
      <c r="H397" s="9" t="s">
        <v>1947</v>
      </c>
      <c r="I397" s="7" t="s">
        <v>1619</v>
      </c>
      <c r="J397" s="7" t="s">
        <v>1895</v>
      </c>
      <c r="K397" s="7" t="s">
        <v>403</v>
      </c>
      <c r="L397" s="8" t="s">
        <v>1946</v>
      </c>
      <c r="M397" s="8" t="s">
        <v>1945</v>
      </c>
      <c r="N397" s="7">
        <v>2015</v>
      </c>
      <c r="O397" s="5">
        <v>284</v>
      </c>
      <c r="P397" s="5" t="s">
        <v>220</v>
      </c>
    </row>
    <row r="398" spans="1:16" ht="21.5" x14ac:dyDescent="0.9">
      <c r="A398" s="5" t="s">
        <v>1944</v>
      </c>
      <c r="B398" s="5" t="s">
        <v>1943</v>
      </c>
      <c r="C398" s="5" t="s">
        <v>1943</v>
      </c>
      <c r="D398" s="5">
        <v>42</v>
      </c>
      <c r="E398" s="5" t="b">
        <v>1</v>
      </c>
      <c r="H398" s="9" t="s">
        <v>1942</v>
      </c>
      <c r="I398" s="7" t="s">
        <v>1619</v>
      </c>
      <c r="J398" s="7" t="s">
        <v>1895</v>
      </c>
      <c r="K398" s="7" t="s">
        <v>403</v>
      </c>
      <c r="L398" s="8" t="s">
        <v>1941</v>
      </c>
      <c r="M398" s="8" t="s">
        <v>1940</v>
      </c>
      <c r="N398" s="7">
        <v>2015</v>
      </c>
      <c r="O398" s="5">
        <v>285</v>
      </c>
      <c r="P398" s="5" t="s">
        <v>220</v>
      </c>
    </row>
    <row r="399" spans="1:16" ht="21.5" x14ac:dyDescent="0.9">
      <c r="A399" s="5" t="s">
        <v>1939</v>
      </c>
      <c r="B399" s="5" t="s">
        <v>1938</v>
      </c>
      <c r="C399" s="5" t="s">
        <v>1938</v>
      </c>
      <c r="D399" s="5">
        <v>43</v>
      </c>
      <c r="E399" s="5" t="b">
        <v>1</v>
      </c>
      <c r="H399" s="9" t="s">
        <v>1937</v>
      </c>
      <c r="I399" s="7" t="s">
        <v>1619</v>
      </c>
      <c r="J399" s="7" t="s">
        <v>1895</v>
      </c>
      <c r="K399" s="7" t="s">
        <v>403</v>
      </c>
      <c r="L399" s="8" t="s">
        <v>1936</v>
      </c>
      <c r="M399" s="8" t="s">
        <v>1935</v>
      </c>
      <c r="N399" s="7">
        <v>2015</v>
      </c>
      <c r="O399" s="5">
        <v>286</v>
      </c>
      <c r="P399" s="5" t="s">
        <v>220</v>
      </c>
    </row>
    <row r="400" spans="1:16" ht="21.5" x14ac:dyDescent="0.9">
      <c r="A400" s="5" t="s">
        <v>1934</v>
      </c>
      <c r="B400" s="5" t="s">
        <v>1933</v>
      </c>
      <c r="C400" s="5" t="s">
        <v>1933</v>
      </c>
      <c r="D400" s="5">
        <v>44</v>
      </c>
      <c r="E400" s="5" t="b">
        <v>1</v>
      </c>
      <c r="H400" s="9" t="s">
        <v>1932</v>
      </c>
      <c r="I400" s="7" t="s">
        <v>1619</v>
      </c>
      <c r="J400" s="7" t="s">
        <v>1895</v>
      </c>
      <c r="K400" s="7" t="s">
        <v>403</v>
      </c>
      <c r="L400" s="8" t="s">
        <v>1931</v>
      </c>
      <c r="M400" s="8" t="s">
        <v>1930</v>
      </c>
      <c r="N400" s="7">
        <v>2016</v>
      </c>
      <c r="O400" s="5">
        <v>287</v>
      </c>
      <c r="P400" s="5" t="s">
        <v>220</v>
      </c>
    </row>
    <row r="401" spans="1:16" ht="21.5" x14ac:dyDescent="0.9">
      <c r="A401" s="5" t="s">
        <v>1929</v>
      </c>
      <c r="B401" s="5" t="s">
        <v>1928</v>
      </c>
      <c r="C401" s="5" t="s">
        <v>1928</v>
      </c>
      <c r="D401" s="5">
        <v>45</v>
      </c>
      <c r="E401" s="5" t="b">
        <v>1</v>
      </c>
      <c r="H401" s="9" t="s">
        <v>1927</v>
      </c>
      <c r="I401" s="7" t="s">
        <v>1619</v>
      </c>
      <c r="J401" s="7" t="s">
        <v>1895</v>
      </c>
      <c r="K401" s="7" t="s">
        <v>403</v>
      </c>
      <c r="L401" s="8" t="s">
        <v>1926</v>
      </c>
      <c r="M401" s="8" t="s">
        <v>1925</v>
      </c>
      <c r="N401" s="7">
        <v>2016</v>
      </c>
      <c r="O401" s="5">
        <v>288</v>
      </c>
      <c r="P401" s="5" t="s">
        <v>220</v>
      </c>
    </row>
    <row r="402" spans="1:16" ht="21.5" x14ac:dyDescent="0.9">
      <c r="A402" s="5" t="s">
        <v>1924</v>
      </c>
      <c r="B402" s="5" t="s">
        <v>1923</v>
      </c>
      <c r="C402" s="5" t="s">
        <v>1923</v>
      </c>
      <c r="D402" s="5">
        <v>46</v>
      </c>
      <c r="E402" s="5" t="b">
        <v>1</v>
      </c>
      <c r="H402" s="9" t="s">
        <v>1922</v>
      </c>
      <c r="I402" s="7" t="s">
        <v>1619</v>
      </c>
      <c r="J402" s="7" t="s">
        <v>1895</v>
      </c>
      <c r="K402" s="7" t="s">
        <v>403</v>
      </c>
      <c r="L402" s="8" t="s">
        <v>1921</v>
      </c>
      <c r="M402" s="8" t="s">
        <v>1920</v>
      </c>
      <c r="N402" s="7">
        <v>2018</v>
      </c>
      <c r="O402" s="5">
        <v>289</v>
      </c>
      <c r="P402" s="5" t="s">
        <v>220</v>
      </c>
    </row>
    <row r="403" spans="1:16" ht="21.5" x14ac:dyDescent="0.9">
      <c r="A403" s="5" t="s">
        <v>1919</v>
      </c>
      <c r="B403" s="5" t="s">
        <v>1918</v>
      </c>
      <c r="C403" s="5" t="s">
        <v>1918</v>
      </c>
      <c r="D403" s="5">
        <v>47</v>
      </c>
      <c r="E403" s="5" t="b">
        <v>1</v>
      </c>
      <c r="H403" s="9" t="s">
        <v>1917</v>
      </c>
      <c r="I403" s="7" t="s">
        <v>1619</v>
      </c>
      <c r="J403" s="7" t="s">
        <v>1895</v>
      </c>
      <c r="K403" s="7" t="s">
        <v>403</v>
      </c>
      <c r="L403" s="8" t="s">
        <v>1916</v>
      </c>
      <c r="M403" s="8" t="s">
        <v>1915</v>
      </c>
      <c r="N403" s="7">
        <v>2018</v>
      </c>
      <c r="O403" s="5">
        <v>290</v>
      </c>
      <c r="P403" s="5" t="s">
        <v>220</v>
      </c>
    </row>
    <row r="404" spans="1:16" ht="21.5" x14ac:dyDescent="0.9">
      <c r="A404" s="5" t="s">
        <v>1914</v>
      </c>
      <c r="B404" s="5" t="s">
        <v>1913</v>
      </c>
      <c r="C404" s="5" t="s">
        <v>1913</v>
      </c>
      <c r="D404" s="5">
        <v>48</v>
      </c>
      <c r="E404" s="5" t="b">
        <v>1</v>
      </c>
      <c r="H404" s="9" t="s">
        <v>1912</v>
      </c>
      <c r="I404" s="7" t="s">
        <v>1619</v>
      </c>
      <c r="J404" s="7" t="s">
        <v>1895</v>
      </c>
      <c r="K404" s="7" t="s">
        <v>403</v>
      </c>
      <c r="L404" s="8" t="s">
        <v>1911</v>
      </c>
      <c r="M404" s="8" t="s">
        <v>1910</v>
      </c>
      <c r="N404" s="7">
        <v>2015</v>
      </c>
      <c r="O404" s="5">
        <v>291</v>
      </c>
      <c r="P404" s="5" t="s">
        <v>220</v>
      </c>
    </row>
    <row r="405" spans="1:16" ht="21.5" x14ac:dyDescent="0.9">
      <c r="A405" s="5" t="s">
        <v>1909</v>
      </c>
      <c r="B405" s="5" t="s">
        <v>1853</v>
      </c>
      <c r="C405" s="5" t="s">
        <v>1853</v>
      </c>
      <c r="D405" s="5">
        <v>49</v>
      </c>
      <c r="E405" s="5" t="b">
        <v>1</v>
      </c>
      <c r="H405" s="9" t="s">
        <v>1908</v>
      </c>
      <c r="I405" s="7" t="s">
        <v>1619</v>
      </c>
      <c r="J405" s="7" t="s">
        <v>1895</v>
      </c>
      <c r="K405" s="7" t="s">
        <v>403</v>
      </c>
      <c r="L405" s="8" t="s">
        <v>1907</v>
      </c>
      <c r="M405" s="8" t="s">
        <v>1906</v>
      </c>
      <c r="N405" s="7">
        <v>2018</v>
      </c>
      <c r="O405" s="5">
        <v>292</v>
      </c>
      <c r="P405" s="5" t="s">
        <v>220</v>
      </c>
    </row>
    <row r="406" spans="1:16" ht="21.5" x14ac:dyDescent="0.9">
      <c r="A406" s="5" t="s">
        <v>1905</v>
      </c>
      <c r="B406" s="5" t="s">
        <v>1904</v>
      </c>
      <c r="C406" s="5" t="s">
        <v>1904</v>
      </c>
      <c r="D406" s="5">
        <v>50</v>
      </c>
      <c r="E406" s="5" t="b">
        <v>1</v>
      </c>
      <c r="H406" s="9" t="s">
        <v>1903</v>
      </c>
      <c r="I406" s="7" t="s">
        <v>1619</v>
      </c>
      <c r="J406" s="7" t="s">
        <v>1895</v>
      </c>
      <c r="K406" s="7" t="s">
        <v>403</v>
      </c>
      <c r="L406" s="8" t="s">
        <v>1902</v>
      </c>
      <c r="M406" s="8" t="s">
        <v>1901</v>
      </c>
      <c r="N406" s="7">
        <v>2015</v>
      </c>
      <c r="O406" s="5">
        <v>293</v>
      </c>
      <c r="P406" s="5" t="s">
        <v>220</v>
      </c>
    </row>
    <row r="407" spans="1:16" ht="21.5" x14ac:dyDescent="0.9">
      <c r="D407" s="3"/>
      <c r="E407" s="3"/>
      <c r="H407" s="9" t="s">
        <v>1900</v>
      </c>
      <c r="I407" s="7" t="s">
        <v>1619</v>
      </c>
      <c r="J407" s="7" t="s">
        <v>1895</v>
      </c>
      <c r="K407" s="7" t="s">
        <v>403</v>
      </c>
      <c r="L407" s="8" t="s">
        <v>1899</v>
      </c>
      <c r="M407" s="8" t="s">
        <v>1898</v>
      </c>
      <c r="N407" s="7">
        <v>2016</v>
      </c>
      <c r="O407" s="5">
        <v>294</v>
      </c>
      <c r="P407" s="5" t="s">
        <v>220</v>
      </c>
    </row>
    <row r="408" spans="1:16" ht="21.5" x14ac:dyDescent="0.9">
      <c r="A408" s="3" t="s">
        <v>1897</v>
      </c>
      <c r="D408" s="3"/>
      <c r="E408" s="3"/>
      <c r="H408" s="9" t="s">
        <v>1896</v>
      </c>
      <c r="I408" s="7" t="s">
        <v>1619</v>
      </c>
      <c r="J408" s="7" t="s">
        <v>1895</v>
      </c>
      <c r="K408" s="7" t="s">
        <v>403</v>
      </c>
      <c r="L408" s="8" t="s">
        <v>1894</v>
      </c>
      <c r="M408" s="8" t="s">
        <v>1893</v>
      </c>
      <c r="N408" s="7">
        <v>2018</v>
      </c>
      <c r="O408" s="5">
        <v>295</v>
      </c>
      <c r="P408" s="5" t="s">
        <v>220</v>
      </c>
    </row>
    <row r="409" spans="1:16" ht="21.5" x14ac:dyDescent="0.9">
      <c r="A409" s="6" t="s">
        <v>34</v>
      </c>
      <c r="B409" s="6" t="s">
        <v>33</v>
      </c>
      <c r="C409" s="6" t="s">
        <v>32</v>
      </c>
      <c r="D409" s="6" t="s">
        <v>31</v>
      </c>
      <c r="E409" s="6" t="s">
        <v>0</v>
      </c>
      <c r="H409" s="9" t="s">
        <v>1892</v>
      </c>
      <c r="I409" s="7" t="s">
        <v>1619</v>
      </c>
      <c r="J409" s="7" t="s">
        <v>1846</v>
      </c>
      <c r="K409" s="7" t="s">
        <v>403</v>
      </c>
      <c r="L409" s="8" t="s">
        <v>1891</v>
      </c>
      <c r="M409" s="8" t="s">
        <v>1890</v>
      </c>
      <c r="N409" s="7">
        <v>2011</v>
      </c>
      <c r="O409" s="5">
        <v>296</v>
      </c>
      <c r="P409" s="5" t="s">
        <v>220</v>
      </c>
    </row>
    <row r="410" spans="1:16" ht="21.5" x14ac:dyDescent="0.9">
      <c r="A410" s="16" t="s">
        <v>1889</v>
      </c>
      <c r="B410" s="5" t="s">
        <v>1888</v>
      </c>
      <c r="C410" s="5" t="s">
        <v>1888</v>
      </c>
      <c r="D410" s="3">
        <v>1</v>
      </c>
      <c r="E410" s="3" t="b">
        <v>1</v>
      </c>
      <c r="H410" s="9" t="s">
        <v>1887</v>
      </c>
      <c r="I410" s="7" t="s">
        <v>1619</v>
      </c>
      <c r="J410" s="7" t="s">
        <v>1846</v>
      </c>
      <c r="K410" s="7" t="s">
        <v>403</v>
      </c>
      <c r="L410" s="8" t="s">
        <v>1886</v>
      </c>
      <c r="M410" s="8" t="s">
        <v>1885</v>
      </c>
      <c r="N410" s="7">
        <v>2013</v>
      </c>
      <c r="O410" s="5">
        <v>297</v>
      </c>
      <c r="P410" s="5" t="s">
        <v>220</v>
      </c>
    </row>
    <row r="411" spans="1:16" ht="21.5" x14ac:dyDescent="0.9">
      <c r="A411" s="16" t="s">
        <v>1884</v>
      </c>
      <c r="B411" s="5" t="s">
        <v>1883</v>
      </c>
      <c r="C411" s="5" t="s">
        <v>1883</v>
      </c>
      <c r="D411" s="3">
        <v>2</v>
      </c>
      <c r="E411" s="3" t="b">
        <v>1</v>
      </c>
      <c r="H411" s="9" t="s">
        <v>1882</v>
      </c>
      <c r="I411" s="7" t="s">
        <v>1619</v>
      </c>
      <c r="J411" s="7" t="s">
        <v>1846</v>
      </c>
      <c r="K411" s="7" t="s">
        <v>403</v>
      </c>
      <c r="L411" s="8" t="s">
        <v>1881</v>
      </c>
      <c r="M411" s="8" t="s">
        <v>1880</v>
      </c>
      <c r="N411" s="7">
        <v>2015</v>
      </c>
      <c r="O411" s="5">
        <v>298</v>
      </c>
      <c r="P411" s="5" t="s">
        <v>220</v>
      </c>
    </row>
    <row r="412" spans="1:16" ht="21.5" x14ac:dyDescent="0.9">
      <c r="A412" s="16" t="s">
        <v>1879</v>
      </c>
      <c r="B412" s="5" t="s">
        <v>1878</v>
      </c>
      <c r="C412" s="5" t="s">
        <v>1878</v>
      </c>
      <c r="D412" s="3">
        <v>3</v>
      </c>
      <c r="E412" s="3" t="b">
        <v>1</v>
      </c>
      <c r="H412" s="9" t="s">
        <v>1877</v>
      </c>
      <c r="I412" s="7" t="s">
        <v>1619</v>
      </c>
      <c r="J412" s="7" t="s">
        <v>1846</v>
      </c>
      <c r="K412" s="7" t="s">
        <v>403</v>
      </c>
      <c r="L412" s="8" t="s">
        <v>1876</v>
      </c>
      <c r="M412" s="8" t="s">
        <v>1875</v>
      </c>
      <c r="N412" s="7">
        <v>2017</v>
      </c>
      <c r="O412" s="5">
        <v>299</v>
      </c>
      <c r="P412" s="5" t="s">
        <v>220</v>
      </c>
    </row>
    <row r="413" spans="1:16" ht="21.5" x14ac:dyDescent="0.9">
      <c r="A413" s="16" t="s">
        <v>1874</v>
      </c>
      <c r="B413" s="5" t="s">
        <v>1873</v>
      </c>
      <c r="C413" s="5" t="s">
        <v>1873</v>
      </c>
      <c r="D413" s="3">
        <v>4</v>
      </c>
      <c r="E413" s="3" t="b">
        <v>1</v>
      </c>
      <c r="H413" s="9" t="s">
        <v>1872</v>
      </c>
      <c r="I413" s="7" t="s">
        <v>1619</v>
      </c>
      <c r="J413" s="7" t="s">
        <v>1846</v>
      </c>
      <c r="K413" s="7" t="s">
        <v>403</v>
      </c>
      <c r="L413" s="8" t="s">
        <v>1871</v>
      </c>
      <c r="M413" s="8" t="s">
        <v>1870</v>
      </c>
      <c r="N413" s="7">
        <v>2019</v>
      </c>
      <c r="O413" s="5">
        <v>300</v>
      </c>
      <c r="P413" s="5" t="s">
        <v>220</v>
      </c>
    </row>
    <row r="414" spans="1:16" ht="21.5" x14ac:dyDescent="0.9">
      <c r="A414" s="16" t="s">
        <v>1869</v>
      </c>
      <c r="B414" s="5" t="s">
        <v>1868</v>
      </c>
      <c r="C414" s="5" t="s">
        <v>1868</v>
      </c>
      <c r="D414" s="3">
        <v>5</v>
      </c>
      <c r="E414" s="3" t="b">
        <v>1</v>
      </c>
      <c r="H414" s="9" t="s">
        <v>1867</v>
      </c>
      <c r="I414" s="7" t="s">
        <v>1619</v>
      </c>
      <c r="J414" s="7" t="s">
        <v>1846</v>
      </c>
      <c r="K414" s="7" t="s">
        <v>403</v>
      </c>
      <c r="L414" s="8" t="s">
        <v>1866</v>
      </c>
      <c r="M414" s="8" t="s">
        <v>1865</v>
      </c>
      <c r="N414" s="7">
        <v>2020</v>
      </c>
      <c r="O414" s="5">
        <v>301</v>
      </c>
      <c r="P414" s="5" t="s">
        <v>220</v>
      </c>
    </row>
    <row r="415" spans="1:16" ht="21.5" x14ac:dyDescent="0.9">
      <c r="A415" s="16" t="s">
        <v>1864</v>
      </c>
      <c r="B415" s="5" t="s">
        <v>1863</v>
      </c>
      <c r="C415" s="5" t="s">
        <v>1863</v>
      </c>
      <c r="D415" s="3">
        <v>6</v>
      </c>
      <c r="E415" s="3" t="b">
        <v>1</v>
      </c>
      <c r="H415" s="9" t="s">
        <v>1862</v>
      </c>
      <c r="I415" s="7" t="s">
        <v>1619</v>
      </c>
      <c r="J415" s="7" t="s">
        <v>1846</v>
      </c>
      <c r="K415" s="7" t="s">
        <v>403</v>
      </c>
      <c r="L415" s="8" t="s">
        <v>1861</v>
      </c>
      <c r="M415" s="8" t="s">
        <v>1860</v>
      </c>
      <c r="N415" s="7">
        <v>2020</v>
      </c>
      <c r="O415" s="5">
        <v>302</v>
      </c>
      <c r="P415" s="5" t="s">
        <v>220</v>
      </c>
    </row>
    <row r="416" spans="1:16" ht="21.5" x14ac:dyDescent="0.9">
      <c r="A416" s="16" t="s">
        <v>1859</v>
      </c>
      <c r="B416" s="5" t="s">
        <v>1858</v>
      </c>
      <c r="C416" s="5" t="s">
        <v>1858</v>
      </c>
      <c r="D416" s="3">
        <v>7</v>
      </c>
      <c r="E416" s="3" t="b">
        <v>1</v>
      </c>
      <c r="H416" s="9" t="s">
        <v>1857</v>
      </c>
      <c r="I416" s="7" t="s">
        <v>1619</v>
      </c>
      <c r="J416" s="7" t="s">
        <v>1846</v>
      </c>
      <c r="K416" s="7" t="s">
        <v>403</v>
      </c>
      <c r="L416" s="8" t="s">
        <v>1856</v>
      </c>
      <c r="M416" s="8" t="s">
        <v>1855</v>
      </c>
      <c r="N416" s="7">
        <v>2021</v>
      </c>
      <c r="O416" s="5">
        <v>303</v>
      </c>
      <c r="P416" s="5" t="s">
        <v>220</v>
      </c>
    </row>
    <row r="417" spans="1:16" ht="21.5" x14ac:dyDescent="0.9">
      <c r="A417" s="16" t="s">
        <v>1854</v>
      </c>
      <c r="B417" s="5" t="s">
        <v>1853</v>
      </c>
      <c r="C417" s="5" t="s">
        <v>1853</v>
      </c>
      <c r="D417" s="3">
        <v>8</v>
      </c>
      <c r="E417" s="3" t="b">
        <v>1</v>
      </c>
      <c r="H417" s="9" t="s">
        <v>1852</v>
      </c>
      <c r="I417" s="7" t="s">
        <v>1619</v>
      </c>
      <c r="J417" s="7" t="s">
        <v>1846</v>
      </c>
      <c r="K417" s="7" t="s">
        <v>403</v>
      </c>
      <c r="L417" s="8" t="s">
        <v>1851</v>
      </c>
      <c r="M417" s="8" t="s">
        <v>1850</v>
      </c>
      <c r="N417" s="7">
        <v>2022</v>
      </c>
      <c r="O417" s="5">
        <v>304</v>
      </c>
      <c r="P417" s="5" t="s">
        <v>220</v>
      </c>
    </row>
    <row r="418" spans="1:16" ht="21.5" x14ac:dyDescent="0.9">
      <c r="A418" s="16" t="s">
        <v>1849</v>
      </c>
      <c r="B418" s="5" t="s">
        <v>1848</v>
      </c>
      <c r="C418" s="5" t="s">
        <v>1848</v>
      </c>
      <c r="D418" s="3">
        <v>9</v>
      </c>
      <c r="E418" s="3" t="b">
        <v>1</v>
      </c>
      <c r="H418" s="9" t="s">
        <v>1847</v>
      </c>
      <c r="I418" s="7" t="s">
        <v>1619</v>
      </c>
      <c r="J418" s="7" t="s">
        <v>1846</v>
      </c>
      <c r="K418" s="7" t="s">
        <v>403</v>
      </c>
      <c r="L418" s="8" t="s">
        <v>1845</v>
      </c>
      <c r="M418" s="8" t="s">
        <v>1844</v>
      </c>
      <c r="N418" s="7">
        <v>2024</v>
      </c>
      <c r="O418" s="5">
        <v>305</v>
      </c>
      <c r="P418" s="5" t="s">
        <v>220</v>
      </c>
    </row>
    <row r="419" spans="1:16" ht="21.5" x14ac:dyDescent="0.9">
      <c r="A419" s="16" t="s">
        <v>1843</v>
      </c>
      <c r="B419" s="5" t="s">
        <v>1842</v>
      </c>
      <c r="C419" s="5" t="s">
        <v>1842</v>
      </c>
      <c r="D419" s="3">
        <v>10</v>
      </c>
      <c r="E419" s="3" t="b">
        <v>1</v>
      </c>
      <c r="H419" s="9" t="s">
        <v>1841</v>
      </c>
      <c r="I419" s="7" t="s">
        <v>1619</v>
      </c>
      <c r="J419" s="7" t="s">
        <v>1756</v>
      </c>
      <c r="K419" s="7" t="s">
        <v>386</v>
      </c>
      <c r="L419" s="8" t="s">
        <v>1840</v>
      </c>
      <c r="M419" s="8" t="s">
        <v>1839</v>
      </c>
      <c r="N419" s="7">
        <v>2010</v>
      </c>
      <c r="O419" s="5">
        <v>306</v>
      </c>
      <c r="P419" s="5" t="s">
        <v>220</v>
      </c>
    </row>
    <row r="420" spans="1:16" ht="21.5" x14ac:dyDescent="0.9">
      <c r="A420" s="16" t="s">
        <v>1838</v>
      </c>
      <c r="B420" s="5" t="s">
        <v>1837</v>
      </c>
      <c r="C420" s="5" t="s">
        <v>1837</v>
      </c>
      <c r="D420" s="3">
        <v>11</v>
      </c>
      <c r="E420" s="3" t="b">
        <v>1</v>
      </c>
      <c r="H420" s="9" t="s">
        <v>1836</v>
      </c>
      <c r="I420" s="7" t="s">
        <v>1619</v>
      </c>
      <c r="J420" s="7" t="s">
        <v>1756</v>
      </c>
      <c r="K420" s="7" t="s">
        <v>386</v>
      </c>
      <c r="L420" s="8" t="s">
        <v>1835</v>
      </c>
      <c r="M420" s="8" t="s">
        <v>1834</v>
      </c>
      <c r="N420" s="7">
        <v>2012</v>
      </c>
      <c r="O420" s="5">
        <v>307</v>
      </c>
      <c r="P420" s="5" t="s">
        <v>220</v>
      </c>
    </row>
    <row r="421" spans="1:16" ht="21.5" x14ac:dyDescent="0.9">
      <c r="A421" s="16" t="s">
        <v>1833</v>
      </c>
      <c r="B421" s="5" t="s">
        <v>1</v>
      </c>
      <c r="C421" s="5" t="s">
        <v>1</v>
      </c>
      <c r="D421" s="3">
        <v>12</v>
      </c>
      <c r="E421" s="3" t="b">
        <v>1</v>
      </c>
      <c r="H421" s="9" t="s">
        <v>1832</v>
      </c>
      <c r="I421" s="7" t="s">
        <v>1619</v>
      </c>
      <c r="J421" s="7" t="s">
        <v>1756</v>
      </c>
      <c r="K421" s="7" t="s">
        <v>386</v>
      </c>
      <c r="L421" s="8" t="s">
        <v>1831</v>
      </c>
      <c r="M421" s="8" t="s">
        <v>1830</v>
      </c>
      <c r="N421" s="7">
        <v>2012</v>
      </c>
      <c r="O421" s="5">
        <v>308</v>
      </c>
      <c r="P421" s="5" t="s">
        <v>220</v>
      </c>
    </row>
    <row r="422" spans="1:16" ht="21.5" x14ac:dyDescent="0.9">
      <c r="A422" s="16"/>
      <c r="B422" s="5"/>
      <c r="C422" s="5"/>
      <c r="D422" s="3"/>
      <c r="E422" s="3"/>
      <c r="H422" s="9" t="s">
        <v>1829</v>
      </c>
      <c r="I422" s="7" t="s">
        <v>1619</v>
      </c>
      <c r="J422" s="7" t="s">
        <v>1756</v>
      </c>
      <c r="K422" s="7" t="s">
        <v>386</v>
      </c>
      <c r="L422" s="8" t="s">
        <v>1828</v>
      </c>
      <c r="M422" s="8" t="s">
        <v>1827</v>
      </c>
      <c r="N422" s="7">
        <v>2013</v>
      </c>
      <c r="O422" s="5">
        <v>309</v>
      </c>
      <c r="P422" s="5" t="s">
        <v>220</v>
      </c>
    </row>
    <row r="423" spans="1:16" ht="21.5" x14ac:dyDescent="0.9">
      <c r="A423" s="3" t="s">
        <v>1826</v>
      </c>
      <c r="D423" s="3"/>
      <c r="E423" s="3"/>
      <c r="H423" s="9" t="s">
        <v>1825</v>
      </c>
      <c r="I423" s="7" t="s">
        <v>1619</v>
      </c>
      <c r="J423" s="7" t="s">
        <v>1756</v>
      </c>
      <c r="K423" s="7" t="s">
        <v>386</v>
      </c>
      <c r="L423" s="8" t="s">
        <v>1824</v>
      </c>
      <c r="M423" s="8" t="s">
        <v>1823</v>
      </c>
      <c r="N423" s="7">
        <v>2013</v>
      </c>
      <c r="O423" s="5">
        <v>310</v>
      </c>
      <c r="P423" s="5" t="s">
        <v>220</v>
      </c>
    </row>
    <row r="424" spans="1:16" ht="21.5" x14ac:dyDescent="0.9">
      <c r="A424" s="6" t="s">
        <v>34</v>
      </c>
      <c r="B424" s="6" t="s">
        <v>33</v>
      </c>
      <c r="C424" s="6" t="s">
        <v>32</v>
      </c>
      <c r="D424" s="6" t="s">
        <v>31</v>
      </c>
      <c r="E424" s="6" t="s">
        <v>0</v>
      </c>
      <c r="H424" s="9" t="s">
        <v>1822</v>
      </c>
      <c r="I424" s="7" t="s">
        <v>1619</v>
      </c>
      <c r="J424" s="7" t="s">
        <v>1756</v>
      </c>
      <c r="K424" s="7" t="s">
        <v>386</v>
      </c>
      <c r="L424" s="8" t="s">
        <v>1821</v>
      </c>
      <c r="M424" s="8" t="s">
        <v>1820</v>
      </c>
      <c r="N424" s="7">
        <v>2013</v>
      </c>
      <c r="O424" s="5">
        <v>311</v>
      </c>
      <c r="P424" s="5" t="s">
        <v>220</v>
      </c>
    </row>
    <row r="425" spans="1:16" ht="21.5" x14ac:dyDescent="0.9">
      <c r="A425" s="5" t="s">
        <v>1819</v>
      </c>
      <c r="B425" s="5" t="s">
        <v>1818</v>
      </c>
      <c r="C425" s="5" t="s">
        <v>1818</v>
      </c>
      <c r="D425" s="5">
        <v>1</v>
      </c>
      <c r="E425" s="5" t="b">
        <v>1</v>
      </c>
      <c r="H425" s="9" t="s">
        <v>1817</v>
      </c>
      <c r="I425" s="7" t="s">
        <v>1619</v>
      </c>
      <c r="J425" s="7" t="s">
        <v>1756</v>
      </c>
      <c r="K425" s="7" t="s">
        <v>386</v>
      </c>
      <c r="L425" s="8" t="s">
        <v>1816</v>
      </c>
      <c r="M425" s="8" t="s">
        <v>1815</v>
      </c>
      <c r="N425" s="7">
        <v>2014</v>
      </c>
      <c r="O425" s="5">
        <v>312</v>
      </c>
      <c r="P425" s="5" t="s">
        <v>220</v>
      </c>
    </row>
    <row r="426" spans="1:16" ht="21.5" x14ac:dyDescent="0.9">
      <c r="A426" s="5" t="s">
        <v>1814</v>
      </c>
      <c r="B426" s="5" t="s">
        <v>1813</v>
      </c>
      <c r="C426" s="5" t="s">
        <v>1813</v>
      </c>
      <c r="D426" s="5">
        <v>2</v>
      </c>
      <c r="E426" s="5" t="b">
        <v>1</v>
      </c>
      <c r="H426" s="9" t="s">
        <v>1812</v>
      </c>
      <c r="I426" s="7" t="s">
        <v>1619</v>
      </c>
      <c r="J426" s="7" t="s">
        <v>1756</v>
      </c>
      <c r="K426" s="7" t="s">
        <v>386</v>
      </c>
      <c r="L426" s="8" t="s">
        <v>1811</v>
      </c>
      <c r="M426" s="8" t="s">
        <v>1810</v>
      </c>
      <c r="N426" s="7">
        <v>2014</v>
      </c>
      <c r="O426" s="5">
        <v>313</v>
      </c>
      <c r="P426" s="5" t="s">
        <v>220</v>
      </c>
    </row>
    <row r="427" spans="1:16" ht="21.5" x14ac:dyDescent="0.9">
      <c r="A427" s="5" t="s">
        <v>1809</v>
      </c>
      <c r="B427" s="5" t="s">
        <v>1808</v>
      </c>
      <c r="C427" s="5" t="s">
        <v>1808</v>
      </c>
      <c r="D427" s="5">
        <v>3</v>
      </c>
      <c r="E427" s="5" t="b">
        <v>1</v>
      </c>
      <c r="H427" s="9" t="s">
        <v>1807</v>
      </c>
      <c r="I427" s="7" t="s">
        <v>1619</v>
      </c>
      <c r="J427" s="7" t="s">
        <v>1756</v>
      </c>
      <c r="K427" s="7" t="s">
        <v>386</v>
      </c>
      <c r="L427" s="8" t="s">
        <v>1806</v>
      </c>
      <c r="M427" s="8" t="s">
        <v>1805</v>
      </c>
      <c r="N427" s="7">
        <v>2014</v>
      </c>
      <c r="O427" s="5">
        <v>314</v>
      </c>
      <c r="P427" s="5" t="s">
        <v>220</v>
      </c>
    </row>
    <row r="428" spans="1:16" ht="21.5" x14ac:dyDescent="0.9">
      <c r="A428" s="5" t="s">
        <v>1804</v>
      </c>
      <c r="B428" s="5" t="s">
        <v>1803</v>
      </c>
      <c r="C428" s="5" t="s">
        <v>1803</v>
      </c>
      <c r="D428" s="5">
        <v>4</v>
      </c>
      <c r="E428" s="5" t="b">
        <v>1</v>
      </c>
      <c r="H428" s="9" t="s">
        <v>1802</v>
      </c>
      <c r="I428" s="7" t="s">
        <v>1619</v>
      </c>
      <c r="J428" s="7" t="s">
        <v>1756</v>
      </c>
      <c r="K428" s="7" t="s">
        <v>386</v>
      </c>
      <c r="L428" s="8" t="s">
        <v>1801</v>
      </c>
      <c r="M428" s="8" t="s">
        <v>1800</v>
      </c>
      <c r="N428" s="7">
        <v>2015</v>
      </c>
      <c r="O428" s="5">
        <v>315</v>
      </c>
      <c r="P428" s="5" t="s">
        <v>220</v>
      </c>
    </row>
    <row r="429" spans="1:16" ht="21.5" x14ac:dyDescent="0.9">
      <c r="A429" s="5" t="s">
        <v>1799</v>
      </c>
      <c r="B429" s="5" t="s">
        <v>1798</v>
      </c>
      <c r="C429" s="5" t="s">
        <v>1798</v>
      </c>
      <c r="D429" s="5">
        <v>5</v>
      </c>
      <c r="E429" s="5" t="b">
        <v>1</v>
      </c>
      <c r="H429" s="9" t="s">
        <v>1797</v>
      </c>
      <c r="I429" s="7" t="s">
        <v>1619</v>
      </c>
      <c r="J429" s="7" t="s">
        <v>1756</v>
      </c>
      <c r="K429" s="7" t="s">
        <v>386</v>
      </c>
      <c r="L429" s="8" t="s">
        <v>1796</v>
      </c>
      <c r="M429" s="8" t="s">
        <v>1795</v>
      </c>
      <c r="N429" s="7">
        <v>2016</v>
      </c>
      <c r="O429" s="5">
        <v>316</v>
      </c>
      <c r="P429" s="5" t="s">
        <v>220</v>
      </c>
    </row>
    <row r="430" spans="1:16" ht="21.5" x14ac:dyDescent="0.9">
      <c r="D430" s="3"/>
      <c r="E430" s="3"/>
      <c r="H430" s="9" t="s">
        <v>1794</v>
      </c>
      <c r="I430" s="7" t="s">
        <v>1619</v>
      </c>
      <c r="J430" s="7" t="s">
        <v>1756</v>
      </c>
      <c r="K430" s="7" t="s">
        <v>386</v>
      </c>
      <c r="L430" s="8" t="s">
        <v>1793</v>
      </c>
      <c r="M430" s="8" t="s">
        <v>1792</v>
      </c>
      <c r="N430" s="7">
        <v>2019</v>
      </c>
      <c r="O430" s="5">
        <v>317</v>
      </c>
      <c r="P430" s="5" t="s">
        <v>220</v>
      </c>
    </row>
    <row r="431" spans="1:16" ht="21.5" x14ac:dyDescent="0.9">
      <c r="A431" s="3" t="s">
        <v>1791</v>
      </c>
      <c r="D431" s="3"/>
      <c r="E431" s="3"/>
      <c r="H431" s="9" t="s">
        <v>1790</v>
      </c>
      <c r="I431" s="7" t="s">
        <v>1619</v>
      </c>
      <c r="J431" s="7" t="s">
        <v>1756</v>
      </c>
      <c r="K431" s="7" t="s">
        <v>386</v>
      </c>
      <c r="L431" s="8" t="s">
        <v>1789</v>
      </c>
      <c r="M431" s="8" t="s">
        <v>1788</v>
      </c>
      <c r="N431" s="7">
        <v>2020</v>
      </c>
      <c r="O431" s="5">
        <v>318</v>
      </c>
      <c r="P431" s="5" t="s">
        <v>220</v>
      </c>
    </row>
    <row r="432" spans="1:16" ht="21.5" x14ac:dyDescent="0.9">
      <c r="A432" s="6" t="s">
        <v>34</v>
      </c>
      <c r="B432" s="6" t="s">
        <v>33</v>
      </c>
      <c r="C432" s="6" t="s">
        <v>32</v>
      </c>
      <c r="D432" s="6" t="s">
        <v>31</v>
      </c>
      <c r="E432" s="6" t="s">
        <v>0</v>
      </c>
      <c r="H432" s="9" t="s">
        <v>1787</v>
      </c>
      <c r="I432" s="7" t="s">
        <v>1619</v>
      </c>
      <c r="J432" s="7" t="s">
        <v>1756</v>
      </c>
      <c r="K432" s="7" t="s">
        <v>386</v>
      </c>
      <c r="L432" s="8" t="s">
        <v>1786</v>
      </c>
      <c r="M432" s="8" t="s">
        <v>1785</v>
      </c>
      <c r="N432" s="7">
        <v>2021</v>
      </c>
      <c r="O432" s="5">
        <v>319</v>
      </c>
      <c r="P432" s="5" t="s">
        <v>220</v>
      </c>
    </row>
    <row r="433" spans="1:16" ht="21.5" x14ac:dyDescent="0.9">
      <c r="A433" s="32" t="s">
        <v>1784</v>
      </c>
      <c r="B433" s="31" t="s">
        <v>1783</v>
      </c>
      <c r="C433" s="31" t="s">
        <v>1783</v>
      </c>
      <c r="D433" s="30">
        <v>1</v>
      </c>
      <c r="E433" s="29" t="b">
        <v>1</v>
      </c>
      <c r="H433" s="9" t="s">
        <v>1782</v>
      </c>
      <c r="I433" s="7" t="s">
        <v>1619</v>
      </c>
      <c r="J433" s="7" t="s">
        <v>1756</v>
      </c>
      <c r="K433" s="7" t="s">
        <v>386</v>
      </c>
      <c r="L433" s="8" t="s">
        <v>1781</v>
      </c>
      <c r="M433" s="8" t="s">
        <v>1780</v>
      </c>
      <c r="N433" s="7">
        <v>2020</v>
      </c>
      <c r="O433" s="5">
        <v>320</v>
      </c>
      <c r="P433" s="5" t="s">
        <v>220</v>
      </c>
    </row>
    <row r="434" spans="1:16" ht="21.5" x14ac:dyDescent="0.9">
      <c r="A434" s="24" t="s">
        <v>1779</v>
      </c>
      <c r="B434" s="23" t="s">
        <v>1778</v>
      </c>
      <c r="C434" s="23" t="s">
        <v>1778</v>
      </c>
      <c r="D434" s="22">
        <v>2</v>
      </c>
      <c r="E434" s="21" t="b">
        <v>1</v>
      </c>
      <c r="H434" s="9" t="s">
        <v>1777</v>
      </c>
      <c r="I434" s="7" t="s">
        <v>1619</v>
      </c>
      <c r="J434" s="7" t="s">
        <v>1756</v>
      </c>
      <c r="K434" s="7" t="s">
        <v>386</v>
      </c>
      <c r="L434" s="8" t="s">
        <v>1776</v>
      </c>
      <c r="M434" s="8" t="s">
        <v>1775</v>
      </c>
      <c r="N434" s="7">
        <v>2020</v>
      </c>
      <c r="O434" s="5">
        <v>321</v>
      </c>
      <c r="P434" s="5" t="s">
        <v>220</v>
      </c>
    </row>
    <row r="435" spans="1:16" ht="21.5" x14ac:dyDescent="0.9">
      <c r="A435" s="28" t="s">
        <v>1774</v>
      </c>
      <c r="B435" s="27" t="s">
        <v>1773</v>
      </c>
      <c r="C435" s="27" t="s">
        <v>1773</v>
      </c>
      <c r="D435" s="26">
        <v>3</v>
      </c>
      <c r="E435" s="25" t="b">
        <v>1</v>
      </c>
      <c r="H435" s="9" t="s">
        <v>1772</v>
      </c>
      <c r="I435" s="7" t="s">
        <v>1619</v>
      </c>
      <c r="J435" s="7" t="s">
        <v>1756</v>
      </c>
      <c r="K435" s="7" t="s">
        <v>386</v>
      </c>
      <c r="L435" s="8" t="s">
        <v>1771</v>
      </c>
      <c r="M435" s="8" t="s">
        <v>1770</v>
      </c>
      <c r="N435" s="7">
        <v>2022</v>
      </c>
      <c r="O435" s="5">
        <v>322</v>
      </c>
      <c r="P435" s="5" t="s">
        <v>220</v>
      </c>
    </row>
    <row r="436" spans="1:16" ht="21.5" x14ac:dyDescent="0.9">
      <c r="A436" s="24" t="s">
        <v>1769</v>
      </c>
      <c r="B436" s="23" t="s">
        <v>1768</v>
      </c>
      <c r="C436" s="23" t="s">
        <v>1768</v>
      </c>
      <c r="D436" s="22">
        <v>4</v>
      </c>
      <c r="E436" s="21" t="b">
        <v>1</v>
      </c>
      <c r="H436" s="9" t="s">
        <v>1767</v>
      </c>
      <c r="I436" s="7" t="s">
        <v>1619</v>
      </c>
      <c r="J436" s="7" t="s">
        <v>1756</v>
      </c>
      <c r="K436" s="7" t="s">
        <v>386</v>
      </c>
      <c r="L436" s="8" t="s">
        <v>1766</v>
      </c>
      <c r="M436" s="8" t="s">
        <v>1765</v>
      </c>
      <c r="N436" s="7">
        <v>2023</v>
      </c>
      <c r="O436" s="5">
        <v>323</v>
      </c>
      <c r="P436" s="5" t="s">
        <v>220</v>
      </c>
    </row>
    <row r="437" spans="1:16" ht="21.5" x14ac:dyDescent="0.9">
      <c r="A437" s="28" t="s">
        <v>1764</v>
      </c>
      <c r="B437" s="27" t="s">
        <v>1763</v>
      </c>
      <c r="C437" s="27" t="s">
        <v>1763</v>
      </c>
      <c r="D437" s="26">
        <v>5</v>
      </c>
      <c r="E437" s="25" t="b">
        <v>1</v>
      </c>
      <c r="H437" s="9" t="s">
        <v>1762</v>
      </c>
      <c r="I437" s="7" t="s">
        <v>1619</v>
      </c>
      <c r="J437" s="7" t="s">
        <v>1756</v>
      </c>
      <c r="K437" s="7" t="s">
        <v>386</v>
      </c>
      <c r="L437" s="8" t="s">
        <v>1761</v>
      </c>
      <c r="M437" s="8" t="s">
        <v>1760</v>
      </c>
      <c r="N437" s="7">
        <v>2024</v>
      </c>
      <c r="O437" s="5">
        <v>324</v>
      </c>
      <c r="P437" s="5" t="s">
        <v>220</v>
      </c>
    </row>
    <row r="438" spans="1:16" ht="21.5" x14ac:dyDescent="0.9">
      <c r="A438" s="24" t="s">
        <v>1759</v>
      </c>
      <c r="B438" s="23" t="s">
        <v>1758</v>
      </c>
      <c r="C438" s="23" t="s">
        <v>1758</v>
      </c>
      <c r="D438" s="22">
        <v>6</v>
      </c>
      <c r="E438" s="21" t="b">
        <v>1</v>
      </c>
      <c r="H438" s="9" t="s">
        <v>1757</v>
      </c>
      <c r="I438" s="7" t="s">
        <v>1619</v>
      </c>
      <c r="J438" s="7" t="s">
        <v>1756</v>
      </c>
      <c r="K438" s="7" t="s">
        <v>386</v>
      </c>
      <c r="L438" s="8" t="s">
        <v>1755</v>
      </c>
      <c r="M438" s="8" t="s">
        <v>1754</v>
      </c>
      <c r="N438" s="7">
        <v>2024</v>
      </c>
      <c r="O438" s="5">
        <v>325</v>
      </c>
      <c r="P438" s="5" t="s">
        <v>220</v>
      </c>
    </row>
    <row r="439" spans="1:16" ht="21.5" x14ac:dyDescent="0.9">
      <c r="A439" s="28" t="s">
        <v>1753</v>
      </c>
      <c r="B439" s="27" t="s">
        <v>1752</v>
      </c>
      <c r="C439" s="27" t="s">
        <v>1752</v>
      </c>
      <c r="D439" s="26">
        <v>7</v>
      </c>
      <c r="E439" s="25" t="b">
        <v>1</v>
      </c>
      <c r="H439" s="9" t="s">
        <v>1751</v>
      </c>
      <c r="I439" s="7" t="s">
        <v>1619</v>
      </c>
      <c r="J439" s="7" t="s">
        <v>1707</v>
      </c>
      <c r="K439" s="7" t="s">
        <v>262</v>
      </c>
      <c r="L439" s="8" t="s">
        <v>1750</v>
      </c>
      <c r="M439" s="8" t="s">
        <v>1749</v>
      </c>
      <c r="N439" s="7">
        <v>2021</v>
      </c>
      <c r="O439" s="5">
        <v>326</v>
      </c>
      <c r="P439" s="5" t="s">
        <v>220</v>
      </c>
    </row>
    <row r="440" spans="1:16" ht="21.5" x14ac:dyDescent="0.9">
      <c r="A440" s="24" t="s">
        <v>1748</v>
      </c>
      <c r="B440" s="23" t="s">
        <v>1747</v>
      </c>
      <c r="C440" s="23" t="s">
        <v>1747</v>
      </c>
      <c r="D440" s="22">
        <v>8</v>
      </c>
      <c r="E440" s="21" t="b">
        <v>1</v>
      </c>
      <c r="H440" s="9" t="s">
        <v>1746</v>
      </c>
      <c r="I440" s="7" t="s">
        <v>1619</v>
      </c>
      <c r="J440" s="7" t="s">
        <v>1707</v>
      </c>
      <c r="K440" s="7" t="s">
        <v>262</v>
      </c>
      <c r="L440" s="8" t="s">
        <v>1745</v>
      </c>
      <c r="M440" s="8" t="s">
        <v>1744</v>
      </c>
      <c r="N440" s="7">
        <v>2021</v>
      </c>
      <c r="O440" s="5">
        <v>327</v>
      </c>
      <c r="P440" s="5" t="s">
        <v>220</v>
      </c>
    </row>
    <row r="441" spans="1:16" ht="21.5" x14ac:dyDescent="0.9">
      <c r="A441" s="28" t="s">
        <v>1743</v>
      </c>
      <c r="B441" s="27" t="s">
        <v>1742</v>
      </c>
      <c r="C441" s="27" t="s">
        <v>1742</v>
      </c>
      <c r="D441" s="26">
        <v>9</v>
      </c>
      <c r="E441" s="25" t="b">
        <v>1</v>
      </c>
      <c r="H441" s="9" t="s">
        <v>1741</v>
      </c>
      <c r="I441" s="7" t="s">
        <v>1619</v>
      </c>
      <c r="J441" s="7" t="s">
        <v>1707</v>
      </c>
      <c r="K441" s="7" t="s">
        <v>262</v>
      </c>
      <c r="L441" s="8" t="s">
        <v>1740</v>
      </c>
      <c r="M441" s="8" t="s">
        <v>1739</v>
      </c>
      <c r="N441" s="7">
        <v>2021</v>
      </c>
      <c r="O441" s="5">
        <v>328</v>
      </c>
      <c r="P441" s="5" t="s">
        <v>220</v>
      </c>
    </row>
    <row r="442" spans="1:16" ht="21.5" x14ac:dyDescent="0.9">
      <c r="A442" s="24" t="s">
        <v>1738</v>
      </c>
      <c r="B442" s="23" t="s">
        <v>1737</v>
      </c>
      <c r="C442" s="23" t="s">
        <v>1737</v>
      </c>
      <c r="D442" s="22">
        <v>10</v>
      </c>
      <c r="E442" s="21" t="b">
        <v>1</v>
      </c>
      <c r="H442" s="9" t="s">
        <v>1736</v>
      </c>
      <c r="I442" s="7" t="s">
        <v>1619</v>
      </c>
      <c r="J442" s="7" t="s">
        <v>1707</v>
      </c>
      <c r="K442" s="7" t="s">
        <v>262</v>
      </c>
      <c r="L442" s="8" t="s">
        <v>1735</v>
      </c>
      <c r="M442" s="8" t="s">
        <v>1734</v>
      </c>
      <c r="N442" s="7">
        <v>2022</v>
      </c>
      <c r="O442" s="5">
        <v>329</v>
      </c>
      <c r="P442" s="5" t="s">
        <v>220</v>
      </c>
    </row>
    <row r="443" spans="1:16" ht="21.5" x14ac:dyDescent="0.9">
      <c r="A443" s="28" t="s">
        <v>1733</v>
      </c>
      <c r="B443" s="27" t="s">
        <v>1732</v>
      </c>
      <c r="C443" s="27" t="s">
        <v>1732</v>
      </c>
      <c r="D443" s="26">
        <v>11</v>
      </c>
      <c r="E443" s="25" t="b">
        <v>1</v>
      </c>
      <c r="H443" s="9" t="s">
        <v>1731</v>
      </c>
      <c r="I443" s="7" t="s">
        <v>1619</v>
      </c>
      <c r="J443" s="7" t="s">
        <v>1707</v>
      </c>
      <c r="K443" s="7" t="s">
        <v>262</v>
      </c>
      <c r="L443" s="8" t="s">
        <v>1730</v>
      </c>
      <c r="M443" s="8" t="s">
        <v>1729</v>
      </c>
      <c r="N443" s="7">
        <v>2022</v>
      </c>
      <c r="O443" s="5">
        <v>330</v>
      </c>
      <c r="P443" s="5" t="s">
        <v>220</v>
      </c>
    </row>
    <row r="444" spans="1:16" ht="21.5" x14ac:dyDescent="0.9">
      <c r="A444" s="24" t="s">
        <v>1728</v>
      </c>
      <c r="B444" s="23" t="s">
        <v>1727</v>
      </c>
      <c r="C444" s="23" t="s">
        <v>1727</v>
      </c>
      <c r="D444" s="22">
        <v>12</v>
      </c>
      <c r="E444" s="21" t="b">
        <v>1</v>
      </c>
      <c r="H444" s="9" t="s">
        <v>1726</v>
      </c>
      <c r="I444" s="7" t="s">
        <v>1619</v>
      </c>
      <c r="J444" s="7" t="s">
        <v>1707</v>
      </c>
      <c r="K444" s="7" t="s">
        <v>262</v>
      </c>
      <c r="L444" s="8" t="s">
        <v>1725</v>
      </c>
      <c r="M444" s="8" t="s">
        <v>1724</v>
      </c>
      <c r="N444" s="7">
        <v>2023</v>
      </c>
      <c r="O444" s="5">
        <v>331</v>
      </c>
      <c r="P444" s="5" t="s">
        <v>220</v>
      </c>
    </row>
    <row r="445" spans="1:16" ht="21.5" x14ac:dyDescent="0.9">
      <c r="A445" s="28" t="s">
        <v>1723</v>
      </c>
      <c r="B445" s="27" t="s">
        <v>1675</v>
      </c>
      <c r="C445" s="27" t="s">
        <v>1675</v>
      </c>
      <c r="D445" s="26">
        <v>13</v>
      </c>
      <c r="E445" s="25" t="b">
        <v>1</v>
      </c>
      <c r="H445" s="9" t="s">
        <v>1722</v>
      </c>
      <c r="I445" s="7" t="s">
        <v>1619</v>
      </c>
      <c r="J445" s="7" t="s">
        <v>1707</v>
      </c>
      <c r="K445" s="7" t="s">
        <v>262</v>
      </c>
      <c r="L445" s="8" t="s">
        <v>1721</v>
      </c>
      <c r="M445" s="8" t="s">
        <v>1720</v>
      </c>
      <c r="N445" s="7">
        <v>2023</v>
      </c>
      <c r="O445" s="5">
        <v>332</v>
      </c>
      <c r="P445" s="5" t="s">
        <v>220</v>
      </c>
    </row>
    <row r="446" spans="1:16" ht="21.5" x14ac:dyDescent="0.9">
      <c r="A446" s="24" t="s">
        <v>1719</v>
      </c>
      <c r="B446" s="23" t="s">
        <v>1718</v>
      </c>
      <c r="C446" s="23" t="s">
        <v>1718</v>
      </c>
      <c r="D446" s="22">
        <v>14</v>
      </c>
      <c r="E446" s="21" t="b">
        <v>1</v>
      </c>
      <c r="H446" s="9" t="s">
        <v>1717</v>
      </c>
      <c r="I446" s="7" t="s">
        <v>1619</v>
      </c>
      <c r="J446" s="7" t="s">
        <v>1707</v>
      </c>
      <c r="K446" s="7" t="s">
        <v>262</v>
      </c>
      <c r="L446" s="8" t="s">
        <v>1716</v>
      </c>
      <c r="M446" s="8" t="s">
        <v>1715</v>
      </c>
      <c r="N446" s="7">
        <v>2024</v>
      </c>
      <c r="O446" s="5">
        <v>333</v>
      </c>
      <c r="P446" s="5" t="s">
        <v>220</v>
      </c>
    </row>
    <row r="447" spans="1:16" ht="21.5" x14ac:dyDescent="0.9">
      <c r="A447" s="28" t="s">
        <v>1714</v>
      </c>
      <c r="B447" s="27" t="s">
        <v>633</v>
      </c>
      <c r="C447" s="27" t="s">
        <v>633</v>
      </c>
      <c r="D447" s="26">
        <v>15</v>
      </c>
      <c r="E447" s="25" t="b">
        <v>1</v>
      </c>
      <c r="H447" s="9" t="s">
        <v>1713</v>
      </c>
      <c r="I447" s="7" t="s">
        <v>1619</v>
      </c>
      <c r="J447" s="7" t="s">
        <v>1707</v>
      </c>
      <c r="K447" s="7" t="s">
        <v>262</v>
      </c>
      <c r="L447" s="8" t="s">
        <v>1712</v>
      </c>
      <c r="M447" s="8" t="s">
        <v>1711</v>
      </c>
      <c r="N447" s="7">
        <v>2024</v>
      </c>
      <c r="O447" s="5">
        <v>334</v>
      </c>
      <c r="P447" s="5" t="s">
        <v>220</v>
      </c>
    </row>
    <row r="448" spans="1:16" ht="21.5" x14ac:dyDescent="0.9">
      <c r="A448" s="24" t="s">
        <v>1710</v>
      </c>
      <c r="B448" s="23" t="s">
        <v>1709</v>
      </c>
      <c r="C448" s="23" t="s">
        <v>1709</v>
      </c>
      <c r="D448" s="22">
        <v>16</v>
      </c>
      <c r="E448" s="21" t="b">
        <v>1</v>
      </c>
      <c r="H448" s="9" t="s">
        <v>1708</v>
      </c>
      <c r="I448" s="7" t="s">
        <v>1619</v>
      </c>
      <c r="J448" s="7" t="s">
        <v>1707</v>
      </c>
      <c r="K448" s="7" t="s">
        <v>262</v>
      </c>
      <c r="L448" s="8" t="s">
        <v>1706</v>
      </c>
      <c r="M448" s="8" t="s">
        <v>1705</v>
      </c>
      <c r="N448" s="7">
        <v>2025</v>
      </c>
      <c r="O448" s="5">
        <v>335</v>
      </c>
      <c r="P448" s="5" t="s">
        <v>220</v>
      </c>
    </row>
    <row r="449" spans="1:16" ht="21.5" x14ac:dyDescent="0.9">
      <c r="A449" s="28" t="s">
        <v>1704</v>
      </c>
      <c r="B449" s="27" t="s">
        <v>726</v>
      </c>
      <c r="C449" s="27" t="s">
        <v>726</v>
      </c>
      <c r="D449" s="26">
        <v>17</v>
      </c>
      <c r="E449" s="25" t="b">
        <v>1</v>
      </c>
      <c r="H449" s="9" t="s">
        <v>1703</v>
      </c>
      <c r="I449" s="7" t="s">
        <v>1619</v>
      </c>
      <c r="J449" s="7" t="s">
        <v>1663</v>
      </c>
      <c r="K449" s="7" t="s">
        <v>223</v>
      </c>
      <c r="L449" s="8" t="s">
        <v>1702</v>
      </c>
      <c r="M449" s="8" t="s">
        <v>1701</v>
      </c>
      <c r="N449" s="7">
        <v>2013</v>
      </c>
      <c r="O449" s="5">
        <v>336</v>
      </c>
      <c r="P449" s="5" t="s">
        <v>220</v>
      </c>
    </row>
    <row r="450" spans="1:16" ht="21.5" x14ac:dyDescent="0.9">
      <c r="A450" s="24" t="s">
        <v>1700</v>
      </c>
      <c r="B450" s="23" t="s">
        <v>1649</v>
      </c>
      <c r="C450" s="23" t="s">
        <v>1649</v>
      </c>
      <c r="D450" s="22">
        <v>18</v>
      </c>
      <c r="E450" s="21" t="b">
        <v>1</v>
      </c>
      <c r="H450" s="9" t="s">
        <v>1699</v>
      </c>
      <c r="I450" s="7" t="s">
        <v>1619</v>
      </c>
      <c r="J450" s="7" t="s">
        <v>1663</v>
      </c>
      <c r="K450" s="7" t="s">
        <v>223</v>
      </c>
      <c r="L450" s="8" t="s">
        <v>1698</v>
      </c>
      <c r="M450" s="8" t="s">
        <v>1697</v>
      </c>
      <c r="N450" s="7">
        <v>2015</v>
      </c>
      <c r="O450" s="5">
        <v>337</v>
      </c>
      <c r="P450" s="5" t="s">
        <v>220</v>
      </c>
    </row>
    <row r="451" spans="1:16" ht="21.5" x14ac:dyDescent="0.9">
      <c r="A451" s="28" t="s">
        <v>1696</v>
      </c>
      <c r="B451" s="27" t="s">
        <v>1695</v>
      </c>
      <c r="C451" s="27" t="s">
        <v>1695</v>
      </c>
      <c r="D451" s="26">
        <v>19</v>
      </c>
      <c r="E451" s="25" t="b">
        <v>1</v>
      </c>
      <c r="H451" s="9" t="s">
        <v>1694</v>
      </c>
      <c r="I451" s="7" t="s">
        <v>1619</v>
      </c>
      <c r="J451" s="7" t="s">
        <v>1663</v>
      </c>
      <c r="K451" s="7" t="s">
        <v>223</v>
      </c>
      <c r="L451" s="8" t="s">
        <v>1693</v>
      </c>
      <c r="M451" s="8" t="s">
        <v>1692</v>
      </c>
      <c r="N451" s="7">
        <v>2016</v>
      </c>
      <c r="O451" s="5">
        <v>338</v>
      </c>
      <c r="P451" s="5" t="s">
        <v>220</v>
      </c>
    </row>
    <row r="452" spans="1:16" ht="21.5" x14ac:dyDescent="0.9">
      <c r="A452" s="24" t="s">
        <v>1691</v>
      </c>
      <c r="B452" s="23" t="s">
        <v>1690</v>
      </c>
      <c r="C452" s="23" t="s">
        <v>1690</v>
      </c>
      <c r="D452" s="22">
        <v>20</v>
      </c>
      <c r="E452" s="21" t="b">
        <v>1</v>
      </c>
      <c r="H452" s="9" t="s">
        <v>1689</v>
      </c>
      <c r="I452" s="7" t="s">
        <v>1619</v>
      </c>
      <c r="J452" s="7" t="s">
        <v>1663</v>
      </c>
      <c r="K452" s="7" t="s">
        <v>223</v>
      </c>
      <c r="L452" s="8" t="s">
        <v>1688</v>
      </c>
      <c r="M452" s="8" t="s">
        <v>1687</v>
      </c>
      <c r="N452" s="7">
        <v>2018</v>
      </c>
      <c r="O452" s="5">
        <v>339</v>
      </c>
      <c r="P452" s="5" t="s">
        <v>220</v>
      </c>
    </row>
    <row r="453" spans="1:16" ht="21.5" x14ac:dyDescent="0.9">
      <c r="D453" s="3"/>
      <c r="E453" s="3"/>
      <c r="H453" s="9" t="s">
        <v>1686</v>
      </c>
      <c r="I453" s="7" t="s">
        <v>1619</v>
      </c>
      <c r="J453" s="7" t="s">
        <v>1663</v>
      </c>
      <c r="K453" s="7" t="s">
        <v>223</v>
      </c>
      <c r="L453" s="8" t="s">
        <v>1685</v>
      </c>
      <c r="M453" s="8" t="s">
        <v>1684</v>
      </c>
      <c r="N453" s="7">
        <v>2019</v>
      </c>
      <c r="O453" s="5">
        <v>340</v>
      </c>
      <c r="P453" s="5" t="s">
        <v>220</v>
      </c>
    </row>
    <row r="454" spans="1:16" ht="21.5" x14ac:dyDescent="0.9">
      <c r="A454" s="3" t="s">
        <v>1683</v>
      </c>
      <c r="D454" s="3"/>
      <c r="E454" s="3"/>
      <c r="H454" s="9" t="s">
        <v>1682</v>
      </c>
      <c r="I454" s="7" t="s">
        <v>1619</v>
      </c>
      <c r="J454" s="7" t="s">
        <v>1663</v>
      </c>
      <c r="K454" s="7" t="s">
        <v>223</v>
      </c>
      <c r="L454" s="8" t="s">
        <v>1681</v>
      </c>
      <c r="M454" s="8" t="s">
        <v>1680</v>
      </c>
      <c r="N454" s="7">
        <v>2020</v>
      </c>
      <c r="O454" s="5">
        <v>341</v>
      </c>
      <c r="P454" s="5" t="s">
        <v>220</v>
      </c>
    </row>
    <row r="455" spans="1:16" ht="21.5" x14ac:dyDescent="0.9">
      <c r="A455" s="6" t="s">
        <v>34</v>
      </c>
      <c r="B455" s="6" t="s">
        <v>33</v>
      </c>
      <c r="C455" s="6" t="s">
        <v>32</v>
      </c>
      <c r="D455" s="6" t="s">
        <v>31</v>
      </c>
      <c r="E455" s="6" t="s">
        <v>0</v>
      </c>
      <c r="H455" s="9" t="s">
        <v>1679</v>
      </c>
      <c r="I455" s="7" t="s">
        <v>1619</v>
      </c>
      <c r="J455" s="7" t="s">
        <v>1663</v>
      </c>
      <c r="K455" s="7" t="s">
        <v>223</v>
      </c>
      <c r="L455" s="8" t="s">
        <v>1678</v>
      </c>
      <c r="M455" s="8" t="s">
        <v>1677</v>
      </c>
      <c r="N455" s="7">
        <v>2021</v>
      </c>
      <c r="O455" s="5">
        <v>342</v>
      </c>
      <c r="P455" s="5" t="s">
        <v>220</v>
      </c>
    </row>
    <row r="456" spans="1:16" ht="21.5" x14ac:dyDescent="0.9">
      <c r="A456" s="5" t="s">
        <v>1676</v>
      </c>
      <c r="B456" s="5" t="s">
        <v>1675</v>
      </c>
      <c r="C456" s="5"/>
      <c r="D456" s="5">
        <v>1</v>
      </c>
      <c r="E456" s="5" t="b">
        <v>1</v>
      </c>
      <c r="H456" s="9" t="s">
        <v>1674</v>
      </c>
      <c r="I456" s="7" t="s">
        <v>1619</v>
      </c>
      <c r="J456" s="7" t="s">
        <v>1663</v>
      </c>
      <c r="K456" s="7" t="s">
        <v>223</v>
      </c>
      <c r="L456" s="8" t="s">
        <v>1673</v>
      </c>
      <c r="M456" s="8" t="s">
        <v>1672</v>
      </c>
      <c r="N456" s="7">
        <v>2022</v>
      </c>
      <c r="O456" s="5">
        <v>343</v>
      </c>
      <c r="P456" s="5" t="s">
        <v>220</v>
      </c>
    </row>
    <row r="457" spans="1:16" ht="21.5" x14ac:dyDescent="0.9">
      <c r="A457" s="5" t="s">
        <v>1671</v>
      </c>
      <c r="B457" s="5" t="s">
        <v>1670</v>
      </c>
      <c r="C457" s="5"/>
      <c r="D457" s="5">
        <v>2</v>
      </c>
      <c r="E457" s="5" t="b">
        <v>1</v>
      </c>
      <c r="H457" s="9" t="s">
        <v>1669</v>
      </c>
      <c r="I457" s="7" t="s">
        <v>1619</v>
      </c>
      <c r="J457" s="7" t="s">
        <v>1663</v>
      </c>
      <c r="K457" s="7" t="s">
        <v>223</v>
      </c>
      <c r="L457" s="8" t="s">
        <v>1668</v>
      </c>
      <c r="M457" s="8" t="s">
        <v>1667</v>
      </c>
      <c r="N457" s="7">
        <v>2023</v>
      </c>
      <c r="O457" s="5">
        <v>344</v>
      </c>
      <c r="P457" s="5" t="s">
        <v>220</v>
      </c>
    </row>
    <row r="458" spans="1:16" ht="21.5" x14ac:dyDescent="0.9">
      <c r="A458" s="5" t="s">
        <v>1666</v>
      </c>
      <c r="B458" s="5" t="s">
        <v>1665</v>
      </c>
      <c r="C458" s="5"/>
      <c r="D458" s="5">
        <v>3</v>
      </c>
      <c r="E458" s="5" t="b">
        <v>1</v>
      </c>
      <c r="H458" s="9" t="s">
        <v>1664</v>
      </c>
      <c r="I458" s="7" t="s">
        <v>1619</v>
      </c>
      <c r="J458" s="7" t="s">
        <v>1663</v>
      </c>
      <c r="K458" s="7" t="s">
        <v>223</v>
      </c>
      <c r="L458" s="8" t="s">
        <v>1662</v>
      </c>
      <c r="M458" s="8" t="s">
        <v>1661</v>
      </c>
      <c r="N458" s="7">
        <v>2024</v>
      </c>
      <c r="O458" s="5">
        <v>345</v>
      </c>
      <c r="P458" s="5" t="s">
        <v>220</v>
      </c>
    </row>
    <row r="459" spans="1:16" ht="21.5" x14ac:dyDescent="0.9">
      <c r="A459" s="5" t="s">
        <v>1660</v>
      </c>
      <c r="B459" s="5" t="s">
        <v>1659</v>
      </c>
      <c r="C459" s="5"/>
      <c r="D459" s="5">
        <v>4</v>
      </c>
      <c r="E459" s="5" t="b">
        <v>1</v>
      </c>
      <c r="H459" s="9" t="s">
        <v>1658</v>
      </c>
      <c r="I459" s="7" t="s">
        <v>1619</v>
      </c>
      <c r="J459" s="7" t="s">
        <v>1618</v>
      </c>
      <c r="K459" s="7" t="s">
        <v>1617</v>
      </c>
      <c r="L459" s="8" t="s">
        <v>1657</v>
      </c>
      <c r="M459" s="8" t="s">
        <v>1656</v>
      </c>
      <c r="N459" s="7">
        <v>2019</v>
      </c>
      <c r="O459" s="5">
        <v>346</v>
      </c>
      <c r="P459" s="5" t="s">
        <v>220</v>
      </c>
    </row>
    <row r="460" spans="1:16" ht="21.5" x14ac:dyDescent="0.9">
      <c r="A460" s="5" t="s">
        <v>1655</v>
      </c>
      <c r="B460" s="5" t="s">
        <v>1654</v>
      </c>
      <c r="C460" s="5"/>
      <c r="D460" s="5">
        <v>5</v>
      </c>
      <c r="E460" s="5" t="b">
        <v>1</v>
      </c>
      <c r="H460" s="9" t="s">
        <v>1653</v>
      </c>
      <c r="I460" s="7" t="s">
        <v>1619</v>
      </c>
      <c r="J460" s="7" t="s">
        <v>1618</v>
      </c>
      <c r="K460" s="7" t="s">
        <v>1617</v>
      </c>
      <c r="L460" s="8" t="s">
        <v>1652</v>
      </c>
      <c r="M460" s="8" t="s">
        <v>1651</v>
      </c>
      <c r="N460" s="7">
        <v>2020</v>
      </c>
      <c r="O460" s="5">
        <v>347</v>
      </c>
      <c r="P460" s="5" t="s">
        <v>220</v>
      </c>
    </row>
    <row r="461" spans="1:16" ht="21.5" x14ac:dyDescent="0.9">
      <c r="A461" s="5" t="s">
        <v>1650</v>
      </c>
      <c r="B461" s="5" t="s">
        <v>1649</v>
      </c>
      <c r="C461" s="5"/>
      <c r="D461" s="5">
        <v>6</v>
      </c>
      <c r="E461" s="5" t="b">
        <v>1</v>
      </c>
      <c r="H461" s="9" t="s">
        <v>1648</v>
      </c>
      <c r="I461" s="7" t="s">
        <v>1619</v>
      </c>
      <c r="J461" s="7" t="s">
        <v>1618</v>
      </c>
      <c r="K461" s="7" t="s">
        <v>1617</v>
      </c>
      <c r="L461" s="8" t="s">
        <v>1647</v>
      </c>
      <c r="M461" s="8" t="s">
        <v>1646</v>
      </c>
      <c r="N461" s="7">
        <v>2020</v>
      </c>
      <c r="O461" s="5">
        <v>348</v>
      </c>
      <c r="P461" s="5" t="s">
        <v>220</v>
      </c>
    </row>
    <row r="462" spans="1:16" s="20" customFormat="1" ht="21.5" x14ac:dyDescent="0.9">
      <c r="A462" s="3"/>
      <c r="B462" s="3"/>
      <c r="C462" s="3"/>
      <c r="D462" s="3"/>
      <c r="E462" s="3"/>
      <c r="H462" s="9" t="s">
        <v>1645</v>
      </c>
      <c r="I462" s="7" t="s">
        <v>1619</v>
      </c>
      <c r="J462" s="7" t="s">
        <v>1618</v>
      </c>
      <c r="K462" s="7" t="s">
        <v>1617</v>
      </c>
      <c r="L462" s="8" t="s">
        <v>1644</v>
      </c>
      <c r="M462" s="8" t="s">
        <v>1643</v>
      </c>
      <c r="N462" s="7">
        <v>2021</v>
      </c>
      <c r="O462" s="5">
        <v>349</v>
      </c>
      <c r="P462" s="5" t="s">
        <v>220</v>
      </c>
    </row>
    <row r="463" spans="1:16" ht="21.5" x14ac:dyDescent="0.9">
      <c r="A463" s="3" t="s">
        <v>1642</v>
      </c>
      <c r="D463" s="3"/>
      <c r="E463" s="3"/>
      <c r="H463" s="9" t="s">
        <v>1641</v>
      </c>
      <c r="I463" s="7" t="s">
        <v>1619</v>
      </c>
      <c r="J463" s="7" t="s">
        <v>1618</v>
      </c>
      <c r="K463" s="7" t="s">
        <v>1617</v>
      </c>
      <c r="L463" s="8" t="s">
        <v>1640</v>
      </c>
      <c r="M463" s="8" t="s">
        <v>1639</v>
      </c>
      <c r="N463" s="7">
        <v>2021</v>
      </c>
      <c r="O463" s="5">
        <v>350</v>
      </c>
      <c r="P463" s="5" t="s">
        <v>220</v>
      </c>
    </row>
    <row r="464" spans="1:16" ht="21.5" x14ac:dyDescent="0.9">
      <c r="A464" s="6" t="s">
        <v>34</v>
      </c>
      <c r="B464" s="6" t="s">
        <v>33</v>
      </c>
      <c r="C464" s="6" t="s">
        <v>32</v>
      </c>
      <c r="D464" s="6" t="s">
        <v>31</v>
      </c>
      <c r="E464" s="6" t="s">
        <v>0</v>
      </c>
      <c r="H464" s="9" t="s">
        <v>1638</v>
      </c>
      <c r="I464" s="7" t="s">
        <v>1619</v>
      </c>
      <c r="J464" s="7" t="s">
        <v>1618</v>
      </c>
      <c r="K464" s="7" t="s">
        <v>1617</v>
      </c>
      <c r="L464" s="8" t="s">
        <v>1637</v>
      </c>
      <c r="M464" s="8" t="s">
        <v>1636</v>
      </c>
      <c r="N464" s="7">
        <v>2022</v>
      </c>
      <c r="O464" s="5">
        <v>351</v>
      </c>
      <c r="P464" s="5" t="s">
        <v>220</v>
      </c>
    </row>
    <row r="465" spans="1:16" ht="21.5" x14ac:dyDescent="0.9">
      <c r="A465" s="5" t="s">
        <v>1635</v>
      </c>
      <c r="B465" s="5" t="s">
        <v>1634</v>
      </c>
      <c r="C465" s="5" t="s">
        <v>1633</v>
      </c>
      <c r="D465" s="5">
        <v>1</v>
      </c>
      <c r="E465" s="5" t="b">
        <v>1</v>
      </c>
      <c r="H465" s="9" t="s">
        <v>1632</v>
      </c>
      <c r="I465" s="7" t="s">
        <v>1619</v>
      </c>
      <c r="J465" s="7" t="s">
        <v>1618</v>
      </c>
      <c r="K465" s="7" t="s">
        <v>1617</v>
      </c>
      <c r="L465" s="8" t="s">
        <v>1631</v>
      </c>
      <c r="M465" s="8" t="s">
        <v>1630</v>
      </c>
      <c r="N465" s="7">
        <v>2023</v>
      </c>
      <c r="O465" s="5">
        <v>352</v>
      </c>
      <c r="P465" s="5" t="s">
        <v>220</v>
      </c>
    </row>
    <row r="466" spans="1:16" ht="21.5" x14ac:dyDescent="0.9">
      <c r="A466" s="5" t="s">
        <v>1629</v>
      </c>
      <c r="B466" s="5" t="s">
        <v>1628</v>
      </c>
      <c r="C466" s="5" t="s">
        <v>1627</v>
      </c>
      <c r="D466" s="5">
        <v>2</v>
      </c>
      <c r="E466" s="5" t="b">
        <v>1</v>
      </c>
      <c r="H466" s="9" t="s">
        <v>1626</v>
      </c>
      <c r="I466" s="7" t="s">
        <v>1619</v>
      </c>
      <c r="J466" s="7" t="s">
        <v>1618</v>
      </c>
      <c r="K466" s="7" t="s">
        <v>1617</v>
      </c>
      <c r="L466" s="8" t="s">
        <v>1625</v>
      </c>
      <c r="M466" s="8" t="s">
        <v>1624</v>
      </c>
      <c r="N466" s="7">
        <v>2024</v>
      </c>
      <c r="O466" s="5">
        <v>353</v>
      </c>
      <c r="P466" s="5" t="s">
        <v>220</v>
      </c>
    </row>
    <row r="467" spans="1:16" ht="21.5" x14ac:dyDescent="0.9">
      <c r="A467" s="5" t="s">
        <v>1623</v>
      </c>
      <c r="B467" s="5" t="s">
        <v>1622</v>
      </c>
      <c r="C467" s="5" t="s">
        <v>1621</v>
      </c>
      <c r="D467" s="5">
        <v>3</v>
      </c>
      <c r="E467" s="5" t="b">
        <v>1</v>
      </c>
      <c r="H467" s="9" t="s">
        <v>1620</v>
      </c>
      <c r="I467" s="7" t="s">
        <v>1619</v>
      </c>
      <c r="J467" s="7" t="s">
        <v>1618</v>
      </c>
      <c r="K467" s="7" t="s">
        <v>1617</v>
      </c>
      <c r="L467" s="8" t="s">
        <v>1616</v>
      </c>
      <c r="M467" s="8" t="s">
        <v>1615</v>
      </c>
      <c r="N467" s="7">
        <v>2024</v>
      </c>
      <c r="O467" s="5">
        <v>354</v>
      </c>
      <c r="P467" s="5" t="s">
        <v>220</v>
      </c>
    </row>
    <row r="468" spans="1:16" ht="21.5" x14ac:dyDescent="0.9">
      <c r="A468" s="5" t="s">
        <v>1614</v>
      </c>
      <c r="B468" s="5" t="s">
        <v>1613</v>
      </c>
      <c r="C468" s="5" t="s">
        <v>1612</v>
      </c>
      <c r="D468" s="5">
        <v>4</v>
      </c>
      <c r="E468" s="5" t="b">
        <v>0</v>
      </c>
      <c r="H468" s="9" t="s">
        <v>1611</v>
      </c>
      <c r="I468" s="18" t="s">
        <v>1470</v>
      </c>
      <c r="J468" s="18" t="s">
        <v>1469</v>
      </c>
      <c r="K468" s="18" t="s">
        <v>403</v>
      </c>
      <c r="L468" s="19" t="s">
        <v>1610</v>
      </c>
      <c r="M468" s="19" t="s">
        <v>1609</v>
      </c>
      <c r="N468" s="18">
        <v>2016</v>
      </c>
      <c r="O468" s="5">
        <v>355</v>
      </c>
      <c r="P468" s="5" t="s">
        <v>220</v>
      </c>
    </row>
    <row r="469" spans="1:16" ht="21.5" x14ac:dyDescent="0.9">
      <c r="A469" s="5" t="s">
        <v>1608</v>
      </c>
      <c r="B469" s="5" t="s">
        <v>1607</v>
      </c>
      <c r="C469" s="5" t="s">
        <v>1606</v>
      </c>
      <c r="D469" s="5">
        <v>5</v>
      </c>
      <c r="E469" s="5" t="b">
        <v>0</v>
      </c>
      <c r="H469" s="9" t="s">
        <v>1605</v>
      </c>
      <c r="I469" s="18" t="s">
        <v>1470</v>
      </c>
      <c r="J469" s="18" t="s">
        <v>1469</v>
      </c>
      <c r="K469" s="18" t="s">
        <v>403</v>
      </c>
      <c r="L469" s="19" t="s">
        <v>1604</v>
      </c>
      <c r="M469" s="19" t="s">
        <v>1603</v>
      </c>
      <c r="N469" s="18">
        <v>2016</v>
      </c>
      <c r="O469" s="5">
        <v>356</v>
      </c>
      <c r="P469" s="5" t="s">
        <v>220</v>
      </c>
    </row>
    <row r="470" spans="1:16" ht="21.5" x14ac:dyDescent="0.9">
      <c r="D470" s="3"/>
      <c r="E470" s="3"/>
      <c r="H470" s="9" t="s">
        <v>1602</v>
      </c>
      <c r="I470" s="18" t="s">
        <v>1470</v>
      </c>
      <c r="J470" s="18" t="s">
        <v>1469</v>
      </c>
      <c r="K470" s="18" t="s">
        <v>403</v>
      </c>
      <c r="L470" s="19" t="s">
        <v>1601</v>
      </c>
      <c r="M470" s="19" t="s">
        <v>1600</v>
      </c>
      <c r="N470" s="18">
        <v>2017</v>
      </c>
      <c r="O470" s="5">
        <v>357</v>
      </c>
      <c r="P470" s="5" t="s">
        <v>220</v>
      </c>
    </row>
    <row r="471" spans="1:16" ht="21.5" x14ac:dyDescent="0.9">
      <c r="A471" s="3" t="s">
        <v>1599</v>
      </c>
      <c r="D471" s="3"/>
      <c r="E471" s="3"/>
      <c r="H471" s="9" t="s">
        <v>1598</v>
      </c>
      <c r="I471" s="18" t="s">
        <v>1470</v>
      </c>
      <c r="J471" s="18" t="s">
        <v>1469</v>
      </c>
      <c r="K471" s="18" t="s">
        <v>403</v>
      </c>
      <c r="L471" s="19" t="s">
        <v>1597</v>
      </c>
      <c r="M471" s="19" t="s">
        <v>1596</v>
      </c>
      <c r="N471" s="18">
        <v>2017</v>
      </c>
      <c r="O471" s="5">
        <v>358</v>
      </c>
      <c r="P471" s="5" t="s">
        <v>220</v>
      </c>
    </row>
    <row r="472" spans="1:16" ht="21.5" x14ac:dyDescent="0.9">
      <c r="A472" s="6" t="s">
        <v>34</v>
      </c>
      <c r="B472" s="6" t="s">
        <v>33</v>
      </c>
      <c r="C472" s="6" t="s">
        <v>32</v>
      </c>
      <c r="D472" s="6" t="s">
        <v>31</v>
      </c>
      <c r="E472" s="6" t="s">
        <v>0</v>
      </c>
      <c r="H472" s="9" t="s">
        <v>1595</v>
      </c>
      <c r="I472" s="18" t="s">
        <v>1470</v>
      </c>
      <c r="J472" s="18" t="s">
        <v>1469</v>
      </c>
      <c r="K472" s="18" t="s">
        <v>403</v>
      </c>
      <c r="L472" s="19" t="s">
        <v>1594</v>
      </c>
      <c r="M472" s="19" t="s">
        <v>1593</v>
      </c>
      <c r="N472" s="18">
        <v>2018</v>
      </c>
      <c r="O472" s="5">
        <v>359</v>
      </c>
      <c r="P472" s="5" t="s">
        <v>220</v>
      </c>
    </row>
    <row r="473" spans="1:16" ht="21.5" x14ac:dyDescent="0.9">
      <c r="A473" s="5" t="s">
        <v>1592</v>
      </c>
      <c r="B473" s="5" t="s">
        <v>1591</v>
      </c>
      <c r="C473" s="5"/>
      <c r="D473" s="5">
        <v>1</v>
      </c>
      <c r="E473" s="5" t="b">
        <v>1</v>
      </c>
      <c r="H473" s="9" t="s">
        <v>1590</v>
      </c>
      <c r="I473" s="18" t="s">
        <v>1470</v>
      </c>
      <c r="J473" s="18" t="s">
        <v>1469</v>
      </c>
      <c r="K473" s="18" t="s">
        <v>403</v>
      </c>
      <c r="L473" s="19" t="s">
        <v>1589</v>
      </c>
      <c r="M473" s="19" t="s">
        <v>1588</v>
      </c>
      <c r="N473" s="18">
        <v>2018</v>
      </c>
      <c r="O473" s="5">
        <v>360</v>
      </c>
      <c r="P473" s="5" t="s">
        <v>220</v>
      </c>
    </row>
    <row r="474" spans="1:16" ht="21.5" x14ac:dyDescent="0.9">
      <c r="A474" s="5" t="s">
        <v>1587</v>
      </c>
      <c r="B474" s="5" t="s">
        <v>1586</v>
      </c>
      <c r="C474" s="5"/>
      <c r="D474" s="5">
        <v>2</v>
      </c>
      <c r="E474" s="5" t="b">
        <v>1</v>
      </c>
      <c r="H474" s="9" t="s">
        <v>1585</v>
      </c>
      <c r="I474" s="18" t="s">
        <v>1470</v>
      </c>
      <c r="J474" s="18" t="s">
        <v>1469</v>
      </c>
      <c r="K474" s="18" t="s">
        <v>403</v>
      </c>
      <c r="L474" s="19" t="s">
        <v>1584</v>
      </c>
      <c r="M474" s="19" t="s">
        <v>1583</v>
      </c>
      <c r="N474" s="18">
        <v>2019</v>
      </c>
      <c r="O474" s="5">
        <v>361</v>
      </c>
      <c r="P474" s="5" t="s">
        <v>220</v>
      </c>
    </row>
    <row r="475" spans="1:16" ht="21.5" x14ac:dyDescent="0.9">
      <c r="A475" s="5" t="s">
        <v>1582</v>
      </c>
      <c r="B475" s="5" t="s">
        <v>1581</v>
      </c>
      <c r="C475" s="5"/>
      <c r="D475" s="5">
        <v>3</v>
      </c>
      <c r="E475" s="5" t="b">
        <v>1</v>
      </c>
      <c r="H475" s="9" t="s">
        <v>1580</v>
      </c>
      <c r="I475" s="18" t="s">
        <v>1470</v>
      </c>
      <c r="J475" s="18" t="s">
        <v>1469</v>
      </c>
      <c r="K475" s="18" t="s">
        <v>403</v>
      </c>
      <c r="L475" s="19" t="s">
        <v>1579</v>
      </c>
      <c r="M475" s="19" t="s">
        <v>1578</v>
      </c>
      <c r="N475" s="18">
        <v>2019</v>
      </c>
      <c r="O475" s="5">
        <v>362</v>
      </c>
      <c r="P475" s="5" t="s">
        <v>220</v>
      </c>
    </row>
    <row r="476" spans="1:16" ht="21.5" x14ac:dyDescent="0.9">
      <c r="A476" s="5" t="s">
        <v>1577</v>
      </c>
      <c r="B476" s="5" t="s">
        <v>1576</v>
      </c>
      <c r="C476" s="5"/>
      <c r="D476" s="5">
        <v>4</v>
      </c>
      <c r="E476" s="5" t="b">
        <v>1</v>
      </c>
      <c r="H476" s="9" t="s">
        <v>1575</v>
      </c>
      <c r="I476" s="18" t="s">
        <v>1470</v>
      </c>
      <c r="J476" s="18" t="s">
        <v>1469</v>
      </c>
      <c r="K476" s="18" t="s">
        <v>403</v>
      </c>
      <c r="L476" s="19" t="s">
        <v>1574</v>
      </c>
      <c r="M476" s="19" t="s">
        <v>1573</v>
      </c>
      <c r="N476" s="18">
        <v>2019</v>
      </c>
      <c r="O476" s="5">
        <v>363</v>
      </c>
      <c r="P476" s="5" t="s">
        <v>220</v>
      </c>
    </row>
    <row r="477" spans="1:16" ht="21.5" x14ac:dyDescent="0.9">
      <c r="A477" s="5" t="s">
        <v>1572</v>
      </c>
      <c r="B477" s="5" t="s">
        <v>1571</v>
      </c>
      <c r="C477" s="5"/>
      <c r="D477" s="5">
        <v>5</v>
      </c>
      <c r="E477" s="5" t="b">
        <v>1</v>
      </c>
      <c r="H477" s="9" t="s">
        <v>1570</v>
      </c>
      <c r="I477" s="18" t="s">
        <v>1470</v>
      </c>
      <c r="J477" s="18" t="s">
        <v>1469</v>
      </c>
      <c r="K477" s="18" t="s">
        <v>403</v>
      </c>
      <c r="L477" s="19" t="s">
        <v>1569</v>
      </c>
      <c r="M477" s="19" t="s">
        <v>1568</v>
      </c>
      <c r="N477" s="18">
        <v>2019</v>
      </c>
      <c r="O477" s="5">
        <v>364</v>
      </c>
      <c r="P477" s="5" t="s">
        <v>220</v>
      </c>
    </row>
    <row r="478" spans="1:16" ht="21.5" x14ac:dyDescent="0.9">
      <c r="A478" s="5" t="s">
        <v>1567</v>
      </c>
      <c r="B478" s="5" t="s">
        <v>1566</v>
      </c>
      <c r="C478" s="5"/>
      <c r="D478" s="5">
        <v>6</v>
      </c>
      <c r="E478" s="5" t="b">
        <v>1</v>
      </c>
      <c r="H478" s="9" t="s">
        <v>1565</v>
      </c>
      <c r="I478" s="7" t="s">
        <v>1470</v>
      </c>
      <c r="J478" s="7" t="s">
        <v>1469</v>
      </c>
      <c r="K478" s="7" t="s">
        <v>403</v>
      </c>
      <c r="L478" s="8" t="s">
        <v>1564</v>
      </c>
      <c r="M478" s="8" t="s">
        <v>1563</v>
      </c>
      <c r="N478" s="7">
        <v>2020</v>
      </c>
      <c r="O478" s="5">
        <v>365</v>
      </c>
      <c r="P478" s="5" t="s">
        <v>220</v>
      </c>
    </row>
    <row r="479" spans="1:16" ht="21.5" x14ac:dyDescent="0.9">
      <c r="A479" s="5" t="s">
        <v>1562</v>
      </c>
      <c r="B479" s="5" t="s">
        <v>1561</v>
      </c>
      <c r="C479" s="5"/>
      <c r="D479" s="5">
        <v>7</v>
      </c>
      <c r="E479" s="5" t="b">
        <v>1</v>
      </c>
      <c r="H479" s="9" t="s">
        <v>1560</v>
      </c>
      <c r="I479" s="7" t="s">
        <v>1470</v>
      </c>
      <c r="J479" s="7" t="s">
        <v>1469</v>
      </c>
      <c r="K479" s="7" t="s">
        <v>403</v>
      </c>
      <c r="L479" s="8" t="s">
        <v>1559</v>
      </c>
      <c r="M479" s="8" t="s">
        <v>1558</v>
      </c>
      <c r="N479" s="7">
        <v>2020</v>
      </c>
      <c r="O479" s="5">
        <v>366</v>
      </c>
      <c r="P479" s="5" t="s">
        <v>220</v>
      </c>
    </row>
    <row r="480" spans="1:16" ht="21.5" x14ac:dyDescent="0.9">
      <c r="A480" s="5" t="s">
        <v>1557</v>
      </c>
      <c r="B480" s="5" t="s">
        <v>1556</v>
      </c>
      <c r="C480" s="5"/>
      <c r="D480" s="5">
        <v>8</v>
      </c>
      <c r="E480" s="5" t="b">
        <v>1</v>
      </c>
      <c r="H480" s="9" t="s">
        <v>1555</v>
      </c>
      <c r="I480" s="7" t="s">
        <v>1470</v>
      </c>
      <c r="J480" s="7" t="s">
        <v>1469</v>
      </c>
      <c r="K480" s="7" t="s">
        <v>403</v>
      </c>
      <c r="L480" s="8" t="s">
        <v>1554</v>
      </c>
      <c r="M480" s="8" t="s">
        <v>1553</v>
      </c>
      <c r="N480" s="7">
        <v>2020</v>
      </c>
      <c r="O480" s="5">
        <v>367</v>
      </c>
      <c r="P480" s="5" t="s">
        <v>220</v>
      </c>
    </row>
    <row r="481" spans="1:16" ht="21.5" x14ac:dyDescent="0.9">
      <c r="A481" s="5"/>
      <c r="B481" s="5"/>
      <c r="C481" s="5"/>
      <c r="D481" s="5"/>
      <c r="E481" s="5"/>
      <c r="H481" s="9" t="s">
        <v>1552</v>
      </c>
      <c r="I481" s="7" t="s">
        <v>1470</v>
      </c>
      <c r="J481" s="7" t="s">
        <v>1469</v>
      </c>
      <c r="K481" s="7" t="s">
        <v>403</v>
      </c>
      <c r="L481" s="8" t="s">
        <v>1551</v>
      </c>
      <c r="M481" s="8" t="s">
        <v>1550</v>
      </c>
      <c r="N481" s="7">
        <v>2021</v>
      </c>
      <c r="O481" s="5">
        <v>368</v>
      </c>
      <c r="P481" s="5" t="s">
        <v>220</v>
      </c>
    </row>
    <row r="482" spans="1:16" ht="27.5" x14ac:dyDescent="0.9">
      <c r="A482" s="10" t="s">
        <v>378</v>
      </c>
      <c r="B482" s="5"/>
      <c r="C482" s="5"/>
      <c r="D482" s="5"/>
      <c r="E482" s="5"/>
      <c r="H482" s="9" t="s">
        <v>1549</v>
      </c>
      <c r="I482" s="7" t="s">
        <v>1470</v>
      </c>
      <c r="J482" s="7" t="s">
        <v>1469</v>
      </c>
      <c r="K482" s="7" t="s">
        <v>403</v>
      </c>
      <c r="L482" s="8" t="s">
        <v>1548</v>
      </c>
      <c r="M482" s="8" t="s">
        <v>1547</v>
      </c>
      <c r="N482" s="7">
        <v>2021</v>
      </c>
      <c r="O482" s="5">
        <v>369</v>
      </c>
      <c r="P482" s="5" t="s">
        <v>220</v>
      </c>
    </row>
    <row r="483" spans="1:16" ht="35" x14ac:dyDescent="0.9">
      <c r="A483" s="99" t="s">
        <v>1546</v>
      </c>
      <c r="B483" s="99"/>
      <c r="C483" s="99"/>
      <c r="D483" s="99"/>
      <c r="E483" s="99"/>
      <c r="H483" s="9" t="s">
        <v>1545</v>
      </c>
      <c r="I483" s="7" t="s">
        <v>1470</v>
      </c>
      <c r="J483" s="7" t="s">
        <v>1469</v>
      </c>
      <c r="K483" s="7" t="s">
        <v>403</v>
      </c>
      <c r="L483" s="8" t="s">
        <v>1544</v>
      </c>
      <c r="M483" s="8" t="s">
        <v>1543</v>
      </c>
      <c r="N483" s="7">
        <v>2021</v>
      </c>
      <c r="O483" s="5">
        <v>370</v>
      </c>
      <c r="P483" s="5" t="s">
        <v>220</v>
      </c>
    </row>
    <row r="484" spans="1:16" ht="27.5" x14ac:dyDescent="0.9">
      <c r="A484" s="10" t="s">
        <v>378</v>
      </c>
      <c r="B484" s="5"/>
      <c r="C484" s="5"/>
      <c r="D484" s="5"/>
      <c r="E484" s="5"/>
      <c r="H484" s="9" t="s">
        <v>1542</v>
      </c>
      <c r="I484" s="7" t="s">
        <v>1470</v>
      </c>
      <c r="J484" s="7" t="s">
        <v>1469</v>
      </c>
      <c r="K484" s="7" t="s">
        <v>403</v>
      </c>
      <c r="L484" s="8" t="s">
        <v>1541</v>
      </c>
      <c r="M484" s="8" t="s">
        <v>1540</v>
      </c>
      <c r="N484" s="7">
        <v>2022</v>
      </c>
      <c r="O484" s="5">
        <v>371</v>
      </c>
      <c r="P484" s="5" t="s">
        <v>220</v>
      </c>
    </row>
    <row r="485" spans="1:16" ht="21.5" x14ac:dyDescent="0.9">
      <c r="D485" s="3"/>
      <c r="E485" s="3"/>
      <c r="H485" s="9" t="s">
        <v>1539</v>
      </c>
      <c r="I485" s="7" t="s">
        <v>1470</v>
      </c>
      <c r="J485" s="7" t="s">
        <v>1469</v>
      </c>
      <c r="K485" s="7" t="s">
        <v>403</v>
      </c>
      <c r="L485" s="8" t="s">
        <v>1538</v>
      </c>
      <c r="M485" s="8" t="s">
        <v>1537</v>
      </c>
      <c r="N485" s="7">
        <v>2022</v>
      </c>
      <c r="O485" s="5">
        <v>372</v>
      </c>
      <c r="P485" s="5" t="s">
        <v>220</v>
      </c>
    </row>
    <row r="486" spans="1:16" ht="21.5" x14ac:dyDescent="0.9">
      <c r="A486" s="3" t="s">
        <v>1536</v>
      </c>
      <c r="D486" s="3"/>
      <c r="E486" s="3"/>
      <c r="H486" s="9" t="s">
        <v>1535</v>
      </c>
      <c r="I486" s="7" t="s">
        <v>1470</v>
      </c>
      <c r="J486" s="7" t="s">
        <v>1469</v>
      </c>
      <c r="K486" s="7" t="s">
        <v>403</v>
      </c>
      <c r="L486" s="8" t="s">
        <v>1534</v>
      </c>
      <c r="M486" s="8" t="s">
        <v>1533</v>
      </c>
      <c r="N486" s="7">
        <v>2022</v>
      </c>
      <c r="O486" s="5">
        <v>373</v>
      </c>
      <c r="P486" s="5" t="s">
        <v>220</v>
      </c>
    </row>
    <row r="487" spans="1:16" ht="21.5" x14ac:dyDescent="0.9">
      <c r="A487" s="6" t="s">
        <v>34</v>
      </c>
      <c r="B487" s="6" t="s">
        <v>33</v>
      </c>
      <c r="C487" s="6" t="s">
        <v>32</v>
      </c>
      <c r="D487" s="6" t="s">
        <v>31</v>
      </c>
      <c r="E487" s="6" t="s">
        <v>0</v>
      </c>
      <c r="H487" s="9" t="s">
        <v>1532</v>
      </c>
      <c r="I487" s="7" t="s">
        <v>1470</v>
      </c>
      <c r="J487" s="7" t="s">
        <v>1469</v>
      </c>
      <c r="K487" s="7" t="s">
        <v>403</v>
      </c>
      <c r="L487" s="8" t="s">
        <v>1531</v>
      </c>
      <c r="M487" s="8" t="s">
        <v>1530</v>
      </c>
      <c r="N487" s="7">
        <v>2023</v>
      </c>
      <c r="O487" s="5">
        <v>374</v>
      </c>
      <c r="P487" s="5" t="s">
        <v>220</v>
      </c>
    </row>
    <row r="488" spans="1:16" ht="21.5" x14ac:dyDescent="0.9">
      <c r="A488" s="5" t="s">
        <v>1529</v>
      </c>
      <c r="B488" s="5" t="s">
        <v>1528</v>
      </c>
      <c r="C488" s="5" t="s">
        <v>1527</v>
      </c>
      <c r="D488" s="5">
        <v>1</v>
      </c>
      <c r="E488" s="5" t="b">
        <v>1</v>
      </c>
      <c r="H488" s="9" t="s">
        <v>1526</v>
      </c>
      <c r="I488" s="7" t="s">
        <v>1470</v>
      </c>
      <c r="J488" s="7" t="s">
        <v>1469</v>
      </c>
      <c r="K488" s="7" t="s">
        <v>403</v>
      </c>
      <c r="L488" s="8" t="s">
        <v>1525</v>
      </c>
      <c r="M488" s="8" t="s">
        <v>1524</v>
      </c>
      <c r="N488" s="7">
        <v>2023</v>
      </c>
      <c r="O488" s="5">
        <v>375</v>
      </c>
      <c r="P488" s="5" t="s">
        <v>220</v>
      </c>
    </row>
    <row r="489" spans="1:16" ht="21.5" x14ac:dyDescent="0.9">
      <c r="A489" s="5" t="s">
        <v>1523</v>
      </c>
      <c r="B489" s="5" t="s">
        <v>1522</v>
      </c>
      <c r="C489" s="5" t="s">
        <v>1521</v>
      </c>
      <c r="D489" s="5">
        <v>2</v>
      </c>
      <c r="E489" s="5" t="b">
        <v>1</v>
      </c>
      <c r="H489" s="9" t="s">
        <v>1520</v>
      </c>
      <c r="I489" s="7" t="s">
        <v>1470</v>
      </c>
      <c r="J489" s="7" t="s">
        <v>1519</v>
      </c>
      <c r="K489" s="7" t="s">
        <v>386</v>
      </c>
      <c r="L489" s="8" t="s">
        <v>1518</v>
      </c>
      <c r="M489" s="8" t="s">
        <v>1517</v>
      </c>
      <c r="N489" s="7">
        <v>2023</v>
      </c>
      <c r="O489" s="5">
        <v>376</v>
      </c>
      <c r="P489" s="5" t="s">
        <v>220</v>
      </c>
    </row>
    <row r="490" spans="1:16" ht="21.5" x14ac:dyDescent="0.9">
      <c r="A490" s="5" t="s">
        <v>1516</v>
      </c>
      <c r="B490" s="5" t="s">
        <v>1515</v>
      </c>
      <c r="C490" s="5" t="s">
        <v>1514</v>
      </c>
      <c r="D490" s="5">
        <v>3</v>
      </c>
      <c r="E490" s="5" t="b">
        <v>1</v>
      </c>
      <c r="H490" s="9" t="s">
        <v>1513</v>
      </c>
      <c r="I490" s="7" t="s">
        <v>1470</v>
      </c>
      <c r="J490" s="7" t="s">
        <v>1469</v>
      </c>
      <c r="K490" s="7" t="s">
        <v>403</v>
      </c>
      <c r="L490" s="8" t="s">
        <v>1512</v>
      </c>
      <c r="M490" s="8" t="s">
        <v>1511</v>
      </c>
      <c r="N490" s="7">
        <v>2023</v>
      </c>
      <c r="O490" s="5">
        <v>377</v>
      </c>
      <c r="P490" s="5" t="s">
        <v>220</v>
      </c>
    </row>
    <row r="491" spans="1:16" ht="21.5" x14ac:dyDescent="0.9">
      <c r="A491" s="5" t="s">
        <v>1510</v>
      </c>
      <c r="B491" s="5" t="s">
        <v>1509</v>
      </c>
      <c r="C491" s="5" t="s">
        <v>1508</v>
      </c>
      <c r="D491" s="5">
        <v>4</v>
      </c>
      <c r="E491" s="5" t="b">
        <v>1</v>
      </c>
      <c r="H491" s="9" t="s">
        <v>1507</v>
      </c>
      <c r="I491" s="7" t="s">
        <v>1470</v>
      </c>
      <c r="J491" s="7" t="s">
        <v>1469</v>
      </c>
      <c r="K491" s="7" t="s">
        <v>403</v>
      </c>
      <c r="L491" s="8" t="s">
        <v>1506</v>
      </c>
      <c r="M491" s="8" t="s">
        <v>1505</v>
      </c>
      <c r="N491" s="7">
        <v>2023</v>
      </c>
      <c r="O491" s="5">
        <v>378</v>
      </c>
      <c r="P491" s="5" t="s">
        <v>220</v>
      </c>
    </row>
    <row r="492" spans="1:16" ht="21.5" x14ac:dyDescent="0.9">
      <c r="A492" s="5" t="s">
        <v>1504</v>
      </c>
      <c r="B492" s="5" t="s">
        <v>1503</v>
      </c>
      <c r="C492" s="5" t="s">
        <v>1502</v>
      </c>
      <c r="D492" s="5">
        <v>5</v>
      </c>
      <c r="E492" s="5" t="b">
        <v>1</v>
      </c>
      <c r="H492" s="9" t="s">
        <v>1501</v>
      </c>
      <c r="I492" s="7" t="s">
        <v>1470</v>
      </c>
      <c r="J492" s="7" t="s">
        <v>1469</v>
      </c>
      <c r="K492" s="7" t="s">
        <v>403</v>
      </c>
      <c r="L492" s="8" t="s">
        <v>1500</v>
      </c>
      <c r="M492" s="8" t="s">
        <v>1499</v>
      </c>
      <c r="N492" s="7">
        <v>2024</v>
      </c>
      <c r="O492" s="5">
        <v>379</v>
      </c>
      <c r="P492" s="5" t="s">
        <v>220</v>
      </c>
    </row>
    <row r="493" spans="1:16" ht="21.5" x14ac:dyDescent="0.9">
      <c r="A493" s="5" t="s">
        <v>1498</v>
      </c>
      <c r="B493" s="5" t="s">
        <v>1497</v>
      </c>
      <c r="C493" s="5" t="s">
        <v>1496</v>
      </c>
      <c r="D493" s="5">
        <v>6</v>
      </c>
      <c r="E493" s="5" t="b">
        <v>1</v>
      </c>
      <c r="H493" s="9" t="s">
        <v>1495</v>
      </c>
      <c r="I493" s="7" t="s">
        <v>1470</v>
      </c>
      <c r="J493" s="7" t="s">
        <v>1469</v>
      </c>
      <c r="K493" s="7" t="s">
        <v>403</v>
      </c>
      <c r="L493" s="8" t="s">
        <v>1494</v>
      </c>
      <c r="M493" s="8" t="s">
        <v>1493</v>
      </c>
      <c r="N493" s="7">
        <v>2024</v>
      </c>
      <c r="O493" s="5">
        <v>380</v>
      </c>
      <c r="P493" s="5" t="s">
        <v>220</v>
      </c>
    </row>
    <row r="494" spans="1:16" ht="21.5" x14ac:dyDescent="0.9">
      <c r="A494" s="5" t="s">
        <v>1492</v>
      </c>
      <c r="B494" s="5" t="s">
        <v>1491</v>
      </c>
      <c r="C494" s="5" t="s">
        <v>1490</v>
      </c>
      <c r="D494" s="5">
        <v>7</v>
      </c>
      <c r="E494" s="5" t="b">
        <v>1</v>
      </c>
      <c r="H494" s="9" t="s">
        <v>1489</v>
      </c>
      <c r="I494" s="7" t="s">
        <v>1470</v>
      </c>
      <c r="J494" s="7" t="s">
        <v>1469</v>
      </c>
      <c r="K494" s="7" t="s">
        <v>403</v>
      </c>
      <c r="L494" s="8" t="s">
        <v>1488</v>
      </c>
      <c r="M494" s="8" t="s">
        <v>1487</v>
      </c>
      <c r="N494" s="7">
        <v>2024</v>
      </c>
      <c r="O494" s="5">
        <v>381</v>
      </c>
      <c r="P494" s="5" t="s">
        <v>220</v>
      </c>
    </row>
    <row r="495" spans="1:16" ht="21.5" x14ac:dyDescent="0.9">
      <c r="A495" s="5" t="s">
        <v>1486</v>
      </c>
      <c r="B495" s="5" t="s">
        <v>1485</v>
      </c>
      <c r="C495" s="5" t="s">
        <v>1484</v>
      </c>
      <c r="D495" s="5">
        <v>8</v>
      </c>
      <c r="E495" s="5" t="b">
        <v>1</v>
      </c>
      <c r="H495" s="9" t="s">
        <v>1483</v>
      </c>
      <c r="I495" s="7" t="s">
        <v>1470</v>
      </c>
      <c r="J495" s="7" t="s">
        <v>1469</v>
      </c>
      <c r="K495" s="7" t="s">
        <v>403</v>
      </c>
      <c r="L495" s="8" t="s">
        <v>1482</v>
      </c>
      <c r="M495" s="8" t="s">
        <v>1481</v>
      </c>
      <c r="N495" s="7">
        <v>2024</v>
      </c>
      <c r="O495" s="5">
        <v>382</v>
      </c>
      <c r="P495" s="5" t="s">
        <v>220</v>
      </c>
    </row>
    <row r="496" spans="1:16" ht="21.5" x14ac:dyDescent="0.9">
      <c r="A496" s="5" t="s">
        <v>1480</v>
      </c>
      <c r="B496" s="5" t="s">
        <v>1479</v>
      </c>
      <c r="C496" s="5" t="s">
        <v>1478</v>
      </c>
      <c r="D496" s="5">
        <v>9</v>
      </c>
      <c r="E496" s="5" t="b">
        <v>1</v>
      </c>
      <c r="H496" s="9" t="s">
        <v>1477</v>
      </c>
      <c r="I496" s="7" t="s">
        <v>1470</v>
      </c>
      <c r="J496" s="7" t="s">
        <v>1469</v>
      </c>
      <c r="K496" s="7" t="s">
        <v>403</v>
      </c>
      <c r="L496" s="8" t="s">
        <v>1476</v>
      </c>
      <c r="M496" s="8" t="s">
        <v>1475</v>
      </c>
      <c r="N496" s="7">
        <v>2024</v>
      </c>
      <c r="O496" s="5">
        <v>383</v>
      </c>
      <c r="P496" s="5" t="s">
        <v>220</v>
      </c>
    </row>
    <row r="497" spans="1:16" ht="21.5" x14ac:dyDescent="0.9">
      <c r="A497" s="5" t="s">
        <v>1474</v>
      </c>
      <c r="B497" s="5" t="s">
        <v>1473</v>
      </c>
      <c r="C497" s="5" t="s">
        <v>1472</v>
      </c>
      <c r="D497" s="5">
        <v>10</v>
      </c>
      <c r="E497" s="5" t="b">
        <v>1</v>
      </c>
      <c r="H497" s="9" t="s">
        <v>1471</v>
      </c>
      <c r="I497" s="7" t="s">
        <v>1470</v>
      </c>
      <c r="J497" s="7" t="s">
        <v>1469</v>
      </c>
      <c r="K497" s="7" t="s">
        <v>403</v>
      </c>
      <c r="L497" s="8" t="s">
        <v>1468</v>
      </c>
      <c r="M497" s="8" t="s">
        <v>1467</v>
      </c>
      <c r="N497" s="7">
        <v>2025</v>
      </c>
      <c r="O497" s="5">
        <v>384</v>
      </c>
      <c r="P497" s="5" t="s">
        <v>220</v>
      </c>
    </row>
    <row r="498" spans="1:16" ht="21.5" x14ac:dyDescent="0.9">
      <c r="A498" s="17"/>
      <c r="B498" s="17"/>
      <c r="C498" s="17"/>
      <c r="D498" s="17"/>
      <c r="H498" s="9" t="s">
        <v>1466</v>
      </c>
      <c r="I498" s="7" t="s">
        <v>1331</v>
      </c>
      <c r="J498" s="7" t="s">
        <v>1367</v>
      </c>
      <c r="K498" s="7" t="s">
        <v>403</v>
      </c>
      <c r="L498" s="8" t="s">
        <v>1465</v>
      </c>
      <c r="M498" s="8" t="s">
        <v>1464</v>
      </c>
      <c r="N498" s="7">
        <v>2013</v>
      </c>
      <c r="O498" s="5">
        <v>385</v>
      </c>
      <c r="P498" s="5" t="s">
        <v>220</v>
      </c>
    </row>
    <row r="499" spans="1:16" ht="21.5" x14ac:dyDescent="0.9">
      <c r="A499" s="17" t="s">
        <v>1463</v>
      </c>
      <c r="B499" s="17"/>
      <c r="C499" s="17"/>
      <c r="D499" s="17"/>
      <c r="H499" s="9" t="s">
        <v>1462</v>
      </c>
      <c r="I499" s="7" t="s">
        <v>1331</v>
      </c>
      <c r="J499" s="7" t="s">
        <v>1367</v>
      </c>
      <c r="K499" s="7" t="s">
        <v>403</v>
      </c>
      <c r="L499" s="8" t="s">
        <v>1461</v>
      </c>
      <c r="M499" s="8" t="s">
        <v>1460</v>
      </c>
      <c r="N499" s="7">
        <v>2014</v>
      </c>
      <c r="O499" s="5">
        <v>386</v>
      </c>
      <c r="P499" s="5" t="s">
        <v>220</v>
      </c>
    </row>
    <row r="500" spans="1:16" ht="21.5" x14ac:dyDescent="0.9">
      <c r="A500" s="6" t="s">
        <v>34</v>
      </c>
      <c r="B500" s="6" t="s">
        <v>33</v>
      </c>
      <c r="C500" s="6" t="s">
        <v>32</v>
      </c>
      <c r="D500" s="6" t="s">
        <v>31</v>
      </c>
      <c r="E500" s="6" t="s">
        <v>0</v>
      </c>
      <c r="H500" s="9" t="s">
        <v>1459</v>
      </c>
      <c r="I500" s="7" t="s">
        <v>1331</v>
      </c>
      <c r="J500" s="7" t="s">
        <v>1367</v>
      </c>
      <c r="K500" s="7" t="s">
        <v>403</v>
      </c>
      <c r="L500" s="8" t="s">
        <v>1458</v>
      </c>
      <c r="M500" s="8" t="s">
        <v>1457</v>
      </c>
      <c r="N500" s="7">
        <v>2015</v>
      </c>
      <c r="O500" s="5">
        <v>387</v>
      </c>
      <c r="P500" s="5" t="s">
        <v>220</v>
      </c>
    </row>
    <row r="501" spans="1:16" ht="21.5" x14ac:dyDescent="0.9">
      <c r="A501" s="5" t="s">
        <v>1456</v>
      </c>
      <c r="B501" s="5" t="s">
        <v>1455</v>
      </c>
      <c r="C501" s="5" t="s">
        <v>1454</v>
      </c>
      <c r="D501" s="5">
        <v>1</v>
      </c>
      <c r="E501" s="5" t="b">
        <v>1</v>
      </c>
      <c r="H501" s="9" t="s">
        <v>1453</v>
      </c>
      <c r="I501" s="7" t="s">
        <v>1331</v>
      </c>
      <c r="J501" s="7" t="s">
        <v>1367</v>
      </c>
      <c r="K501" s="7" t="s">
        <v>403</v>
      </c>
      <c r="L501" s="8" t="s">
        <v>1452</v>
      </c>
      <c r="M501" s="8" t="s">
        <v>1451</v>
      </c>
      <c r="N501" s="7">
        <v>2016</v>
      </c>
      <c r="O501" s="5">
        <v>388</v>
      </c>
      <c r="P501" s="5" t="s">
        <v>220</v>
      </c>
    </row>
    <row r="502" spans="1:16" ht="21.5" x14ac:dyDescent="0.9">
      <c r="A502" s="5" t="s">
        <v>1450</v>
      </c>
      <c r="B502" s="5" t="s">
        <v>1406</v>
      </c>
      <c r="C502" s="5" t="s">
        <v>1449</v>
      </c>
      <c r="D502" s="5">
        <v>2</v>
      </c>
      <c r="E502" s="5" t="b">
        <v>1</v>
      </c>
      <c r="H502" s="9" t="s">
        <v>1448</v>
      </c>
      <c r="I502" s="7" t="s">
        <v>1331</v>
      </c>
      <c r="J502" s="7" t="s">
        <v>1367</v>
      </c>
      <c r="K502" s="7" t="s">
        <v>403</v>
      </c>
      <c r="L502" s="8" t="s">
        <v>1447</v>
      </c>
      <c r="M502" s="8" t="s">
        <v>1446</v>
      </c>
      <c r="N502" s="7">
        <v>2017</v>
      </c>
      <c r="O502" s="5">
        <v>389</v>
      </c>
      <c r="P502" s="5" t="s">
        <v>220</v>
      </c>
    </row>
    <row r="503" spans="1:16" ht="21.5" x14ac:dyDescent="0.9">
      <c r="A503" s="5" t="s">
        <v>1445</v>
      </c>
      <c r="B503" s="5" t="s">
        <v>1399</v>
      </c>
      <c r="C503" s="5" t="s">
        <v>1398</v>
      </c>
      <c r="D503" s="5">
        <v>3</v>
      </c>
      <c r="E503" s="5" t="b">
        <v>1</v>
      </c>
      <c r="H503" s="9" t="s">
        <v>1444</v>
      </c>
      <c r="I503" s="7" t="s">
        <v>1331</v>
      </c>
      <c r="J503" s="7" t="s">
        <v>1367</v>
      </c>
      <c r="K503" s="7" t="s">
        <v>403</v>
      </c>
      <c r="L503" s="8" t="s">
        <v>1443</v>
      </c>
      <c r="M503" s="8" t="s">
        <v>1442</v>
      </c>
      <c r="N503" s="7">
        <v>2018</v>
      </c>
      <c r="O503" s="5">
        <v>390</v>
      </c>
      <c r="P503" s="5" t="s">
        <v>220</v>
      </c>
    </row>
    <row r="504" spans="1:16" ht="21.5" x14ac:dyDescent="0.9">
      <c r="A504" s="5" t="s">
        <v>1441</v>
      </c>
      <c r="B504" s="5" t="s">
        <v>1393</v>
      </c>
      <c r="C504" s="5" t="s">
        <v>524</v>
      </c>
      <c r="D504" s="5">
        <v>4</v>
      </c>
      <c r="E504" s="5" t="b">
        <v>1</v>
      </c>
      <c r="H504" s="9" t="s">
        <v>1440</v>
      </c>
      <c r="I504" s="7" t="s">
        <v>1331</v>
      </c>
      <c r="J504" s="7" t="s">
        <v>1367</v>
      </c>
      <c r="K504" s="7" t="s">
        <v>403</v>
      </c>
      <c r="L504" s="8" t="s">
        <v>1439</v>
      </c>
      <c r="M504" s="8" t="s">
        <v>1438</v>
      </c>
      <c r="N504" s="7">
        <v>2019</v>
      </c>
      <c r="O504" s="5">
        <v>391</v>
      </c>
      <c r="P504" s="5" t="s">
        <v>220</v>
      </c>
    </row>
    <row r="505" spans="1:16" ht="21.5" x14ac:dyDescent="0.9">
      <c r="A505" s="5" t="s">
        <v>1437</v>
      </c>
      <c r="B505" s="5" t="s">
        <v>1387</v>
      </c>
      <c r="C505" s="5" t="s">
        <v>1387</v>
      </c>
      <c r="D505" s="5">
        <v>5</v>
      </c>
      <c r="E505" s="5" t="b">
        <v>1</v>
      </c>
      <c r="H505" s="9" t="s">
        <v>1436</v>
      </c>
      <c r="I505" s="7" t="s">
        <v>1331</v>
      </c>
      <c r="J505" s="7" t="s">
        <v>1367</v>
      </c>
      <c r="K505" s="7" t="s">
        <v>403</v>
      </c>
      <c r="L505" s="8" t="s">
        <v>1435</v>
      </c>
      <c r="M505" s="8" t="s">
        <v>1434</v>
      </c>
      <c r="N505" s="7">
        <v>2020</v>
      </c>
      <c r="O505" s="5">
        <v>392</v>
      </c>
      <c r="P505" s="5" t="s">
        <v>220</v>
      </c>
    </row>
    <row r="506" spans="1:16" ht="21.5" x14ac:dyDescent="0.9">
      <c r="A506" s="5" t="s">
        <v>1433</v>
      </c>
      <c r="B506" s="5" t="s">
        <v>1382</v>
      </c>
      <c r="C506" s="5" t="s">
        <v>1382</v>
      </c>
      <c r="D506" s="5">
        <v>6</v>
      </c>
      <c r="E506" s="5" t="b">
        <v>1</v>
      </c>
      <c r="H506" s="9" t="s">
        <v>1432</v>
      </c>
      <c r="I506" s="7" t="s">
        <v>1331</v>
      </c>
      <c r="J506" s="7" t="s">
        <v>1367</v>
      </c>
      <c r="K506" s="7" t="s">
        <v>403</v>
      </c>
      <c r="L506" s="8" t="s">
        <v>1431</v>
      </c>
      <c r="M506" s="8" t="s">
        <v>1430</v>
      </c>
      <c r="N506" s="7">
        <v>2020</v>
      </c>
      <c r="O506" s="5">
        <v>393</v>
      </c>
      <c r="P506" s="5" t="s">
        <v>220</v>
      </c>
    </row>
    <row r="507" spans="1:16" ht="21.5" x14ac:dyDescent="0.9">
      <c r="A507" s="5" t="s">
        <v>1429</v>
      </c>
      <c r="B507" s="5" t="s">
        <v>1428</v>
      </c>
      <c r="C507" s="5" t="s">
        <v>1428</v>
      </c>
      <c r="D507" s="5">
        <v>7</v>
      </c>
      <c r="E507" s="5" t="b">
        <v>1</v>
      </c>
      <c r="H507" s="9" t="s">
        <v>1427</v>
      </c>
      <c r="I507" s="7" t="s">
        <v>1331</v>
      </c>
      <c r="J507" s="7" t="s">
        <v>1367</v>
      </c>
      <c r="K507" s="7" t="s">
        <v>403</v>
      </c>
      <c r="L507" s="8" t="s">
        <v>1426</v>
      </c>
      <c r="M507" s="8" t="s">
        <v>1425</v>
      </c>
      <c r="N507" s="7">
        <v>2020</v>
      </c>
      <c r="O507" s="5">
        <v>394</v>
      </c>
      <c r="P507" s="5" t="s">
        <v>220</v>
      </c>
    </row>
    <row r="508" spans="1:16" ht="21.5" x14ac:dyDescent="0.9">
      <c r="A508" s="17"/>
      <c r="B508" s="17"/>
      <c r="C508" s="17"/>
      <c r="D508" s="17"/>
      <c r="H508" s="9" t="s">
        <v>1424</v>
      </c>
      <c r="I508" s="7" t="s">
        <v>1331</v>
      </c>
      <c r="J508" s="7" t="s">
        <v>1367</v>
      </c>
      <c r="K508" s="7" t="s">
        <v>403</v>
      </c>
      <c r="L508" s="8" t="s">
        <v>1423</v>
      </c>
      <c r="M508" s="8" t="s">
        <v>1422</v>
      </c>
      <c r="N508" s="7">
        <v>2021</v>
      </c>
      <c r="O508" s="5">
        <v>395</v>
      </c>
      <c r="P508" s="5" t="s">
        <v>220</v>
      </c>
    </row>
    <row r="509" spans="1:16" ht="21.5" x14ac:dyDescent="0.9">
      <c r="A509" s="3" t="s">
        <v>1421</v>
      </c>
      <c r="H509" s="9" t="s">
        <v>1420</v>
      </c>
      <c r="I509" s="7" t="s">
        <v>1331</v>
      </c>
      <c r="J509" s="7" t="s">
        <v>1367</v>
      </c>
      <c r="K509" s="7" t="s">
        <v>403</v>
      </c>
      <c r="L509" s="8" t="s">
        <v>1419</v>
      </c>
      <c r="M509" s="8" t="s">
        <v>1418</v>
      </c>
      <c r="N509" s="7">
        <v>2021</v>
      </c>
      <c r="O509" s="5">
        <v>396</v>
      </c>
      <c r="P509" s="5" t="s">
        <v>220</v>
      </c>
    </row>
    <row r="510" spans="1:16" ht="21.5" x14ac:dyDescent="0.9">
      <c r="A510" s="6" t="s">
        <v>34</v>
      </c>
      <c r="B510" s="6" t="s">
        <v>33</v>
      </c>
      <c r="C510" s="6" t="s">
        <v>32</v>
      </c>
      <c r="D510" s="6" t="s">
        <v>31</v>
      </c>
      <c r="E510" s="6" t="s">
        <v>0</v>
      </c>
      <c r="H510" s="9" t="s">
        <v>1417</v>
      </c>
      <c r="I510" s="7" t="s">
        <v>1331</v>
      </c>
      <c r="J510" s="7" t="s">
        <v>1410</v>
      </c>
      <c r="K510" s="7" t="s">
        <v>403</v>
      </c>
      <c r="L510" s="8" t="s">
        <v>1416</v>
      </c>
      <c r="M510" s="8" t="s">
        <v>1415</v>
      </c>
      <c r="N510" s="7">
        <v>2020</v>
      </c>
      <c r="O510" s="5">
        <v>397</v>
      </c>
      <c r="P510" s="5" t="s">
        <v>220</v>
      </c>
    </row>
    <row r="511" spans="1:16" ht="21.5" x14ac:dyDescent="0.9">
      <c r="A511" s="5" t="s">
        <v>1414</v>
      </c>
      <c r="B511" s="5" t="s">
        <v>1413</v>
      </c>
      <c r="C511" s="5" t="s">
        <v>1412</v>
      </c>
      <c r="D511" s="5">
        <v>1</v>
      </c>
      <c r="E511" s="5" t="b">
        <v>1</v>
      </c>
      <c r="H511" s="9" t="s">
        <v>1411</v>
      </c>
      <c r="I511" s="7" t="s">
        <v>1331</v>
      </c>
      <c r="J511" s="7" t="s">
        <v>1410</v>
      </c>
      <c r="K511" s="7" t="s">
        <v>403</v>
      </c>
      <c r="L511" s="8" t="s">
        <v>1409</v>
      </c>
      <c r="M511" s="8" t="s">
        <v>1408</v>
      </c>
      <c r="N511" s="7">
        <v>2023</v>
      </c>
      <c r="O511" s="5">
        <v>398</v>
      </c>
      <c r="P511" s="5" t="s">
        <v>220</v>
      </c>
    </row>
    <row r="512" spans="1:16" ht="21.5" x14ac:dyDescent="0.9">
      <c r="A512" s="5" t="s">
        <v>1407</v>
      </c>
      <c r="B512" s="5" t="s">
        <v>1406</v>
      </c>
      <c r="C512" s="5" t="s">
        <v>1405</v>
      </c>
      <c r="D512" s="5">
        <v>2</v>
      </c>
      <c r="E512" s="5" t="b">
        <v>1</v>
      </c>
      <c r="H512" s="9" t="s">
        <v>1404</v>
      </c>
      <c r="I512" s="7" t="s">
        <v>1331</v>
      </c>
      <c r="J512" s="7" t="s">
        <v>1403</v>
      </c>
      <c r="K512" s="7" t="s">
        <v>403</v>
      </c>
      <c r="L512" s="8" t="s">
        <v>1402</v>
      </c>
      <c r="M512" s="8" t="s">
        <v>1401</v>
      </c>
      <c r="N512" s="7">
        <v>2020</v>
      </c>
      <c r="O512" s="5">
        <v>399</v>
      </c>
      <c r="P512" s="5" t="s">
        <v>220</v>
      </c>
    </row>
    <row r="513" spans="1:16" ht="21.5" x14ac:dyDescent="0.9">
      <c r="A513" s="5" t="s">
        <v>1400</v>
      </c>
      <c r="B513" s="5" t="s">
        <v>1399</v>
      </c>
      <c r="C513" s="5" t="s">
        <v>1398</v>
      </c>
      <c r="D513" s="5">
        <v>3</v>
      </c>
      <c r="E513" s="5" t="b">
        <v>1</v>
      </c>
      <c r="H513" s="9" t="s">
        <v>1397</v>
      </c>
      <c r="I513" s="7" t="s">
        <v>1331</v>
      </c>
      <c r="J513" s="7" t="s">
        <v>1348</v>
      </c>
      <c r="K513" s="7" t="s">
        <v>403</v>
      </c>
      <c r="L513" s="8" t="s">
        <v>1396</v>
      </c>
      <c r="M513" s="8" t="s">
        <v>1395</v>
      </c>
      <c r="N513" s="7">
        <v>2020</v>
      </c>
      <c r="O513" s="5">
        <v>400</v>
      </c>
      <c r="P513" s="5" t="s">
        <v>220</v>
      </c>
    </row>
    <row r="514" spans="1:16" ht="21.5" x14ac:dyDescent="0.9">
      <c r="A514" s="5" t="s">
        <v>1394</v>
      </c>
      <c r="B514" s="5" t="s">
        <v>1393</v>
      </c>
      <c r="C514" s="5" t="s">
        <v>1392</v>
      </c>
      <c r="D514" s="5">
        <v>4</v>
      </c>
      <c r="E514" s="5" t="b">
        <v>1</v>
      </c>
      <c r="H514" s="9" t="s">
        <v>1391</v>
      </c>
      <c r="I514" s="7" t="s">
        <v>1331</v>
      </c>
      <c r="J514" s="7" t="s">
        <v>1348</v>
      </c>
      <c r="K514" s="7" t="s">
        <v>403</v>
      </c>
      <c r="L514" s="8" t="s">
        <v>1390</v>
      </c>
      <c r="M514" s="8" t="s">
        <v>1389</v>
      </c>
      <c r="N514" s="7">
        <v>2020</v>
      </c>
      <c r="O514" s="5">
        <v>401</v>
      </c>
      <c r="P514" s="5" t="s">
        <v>220</v>
      </c>
    </row>
    <row r="515" spans="1:16" ht="21.5" x14ac:dyDescent="0.9">
      <c r="A515" s="5" t="s">
        <v>1388</v>
      </c>
      <c r="B515" s="5" t="s">
        <v>1387</v>
      </c>
      <c r="C515" s="5" t="s">
        <v>1387</v>
      </c>
      <c r="D515" s="5">
        <v>5</v>
      </c>
      <c r="E515" s="5" t="b">
        <v>1</v>
      </c>
      <c r="H515" s="9" t="s">
        <v>1386</v>
      </c>
      <c r="I515" s="7" t="s">
        <v>1331</v>
      </c>
      <c r="J515" s="7" t="s">
        <v>1342</v>
      </c>
      <c r="K515" s="7" t="s">
        <v>403</v>
      </c>
      <c r="L515" s="8" t="s">
        <v>1385</v>
      </c>
      <c r="M515" s="8" t="s">
        <v>1384</v>
      </c>
      <c r="N515" s="7">
        <v>2020</v>
      </c>
      <c r="O515" s="5">
        <v>402</v>
      </c>
      <c r="P515" s="5" t="s">
        <v>220</v>
      </c>
    </row>
    <row r="516" spans="1:16" ht="21.5" x14ac:dyDescent="0.9">
      <c r="A516" s="5" t="s">
        <v>1383</v>
      </c>
      <c r="B516" s="5" t="s">
        <v>1382</v>
      </c>
      <c r="C516" s="5" t="s">
        <v>1382</v>
      </c>
      <c r="D516" s="5">
        <v>6</v>
      </c>
      <c r="E516" s="5" t="b">
        <v>1</v>
      </c>
      <c r="H516" s="9" t="s">
        <v>1381</v>
      </c>
      <c r="I516" s="7" t="s">
        <v>1331</v>
      </c>
      <c r="J516" s="7" t="s">
        <v>1342</v>
      </c>
      <c r="K516" s="7" t="s">
        <v>403</v>
      </c>
      <c r="L516" s="8" t="s">
        <v>1380</v>
      </c>
      <c r="M516" s="8" t="s">
        <v>1379</v>
      </c>
      <c r="N516" s="7">
        <v>2023</v>
      </c>
      <c r="O516" s="5">
        <v>403</v>
      </c>
      <c r="P516" s="5" t="s">
        <v>220</v>
      </c>
    </row>
    <row r="517" spans="1:16" ht="21.5" x14ac:dyDescent="0.9">
      <c r="A517" s="5" t="s">
        <v>1378</v>
      </c>
      <c r="B517" s="5" t="s">
        <v>1377</v>
      </c>
      <c r="C517" s="5" t="s">
        <v>1376</v>
      </c>
      <c r="D517" s="5">
        <v>7</v>
      </c>
      <c r="E517" s="5" t="b">
        <v>1</v>
      </c>
      <c r="H517" s="9" t="s">
        <v>1375</v>
      </c>
      <c r="I517" s="7" t="s">
        <v>1331</v>
      </c>
      <c r="J517" s="7" t="s">
        <v>1367</v>
      </c>
      <c r="K517" s="7" t="s">
        <v>403</v>
      </c>
      <c r="L517" s="8" t="s">
        <v>1374</v>
      </c>
      <c r="M517" s="8" t="s">
        <v>1373</v>
      </c>
      <c r="N517" s="7">
        <v>2023</v>
      </c>
      <c r="O517" s="5">
        <v>404</v>
      </c>
      <c r="P517" s="5" t="s">
        <v>220</v>
      </c>
    </row>
    <row r="518" spans="1:16" ht="21.5" x14ac:dyDescent="0.9">
      <c r="H518" s="9" t="s">
        <v>1372</v>
      </c>
      <c r="I518" s="7" t="s">
        <v>1331</v>
      </c>
      <c r="J518" s="7" t="s">
        <v>1367</v>
      </c>
      <c r="K518" s="7" t="s">
        <v>403</v>
      </c>
      <c r="L518" s="8" t="s">
        <v>1371</v>
      </c>
      <c r="M518" s="8" t="s">
        <v>1370</v>
      </c>
      <c r="N518" s="7">
        <v>2023</v>
      </c>
      <c r="O518" s="5">
        <v>405</v>
      </c>
      <c r="P518" s="5" t="s">
        <v>220</v>
      </c>
    </row>
    <row r="519" spans="1:16" ht="21.5" x14ac:dyDescent="0.9">
      <c r="A519" s="3" t="s">
        <v>1369</v>
      </c>
      <c r="H519" s="9" t="s">
        <v>1368</v>
      </c>
      <c r="I519" s="7" t="s">
        <v>1331</v>
      </c>
      <c r="J519" s="7" t="s">
        <v>1367</v>
      </c>
      <c r="K519" s="7" t="s">
        <v>403</v>
      </c>
      <c r="L519" s="8" t="s">
        <v>1366</v>
      </c>
      <c r="M519" s="8" t="s">
        <v>1365</v>
      </c>
      <c r="N519" s="7">
        <v>2024</v>
      </c>
      <c r="O519" s="5">
        <v>406</v>
      </c>
      <c r="P519" s="5" t="s">
        <v>220</v>
      </c>
    </row>
    <row r="520" spans="1:16" ht="21.5" x14ac:dyDescent="0.9">
      <c r="A520" s="6" t="s">
        <v>34</v>
      </c>
      <c r="B520" s="6" t="s">
        <v>33</v>
      </c>
      <c r="C520" s="6" t="s">
        <v>32</v>
      </c>
      <c r="D520" s="6" t="s">
        <v>31</v>
      </c>
      <c r="E520" s="6" t="s">
        <v>0</v>
      </c>
      <c r="H520" s="9" t="s">
        <v>1364</v>
      </c>
      <c r="I520" s="7" t="s">
        <v>1331</v>
      </c>
      <c r="J520" s="7" t="s">
        <v>1348</v>
      </c>
      <c r="K520" s="7" t="s">
        <v>403</v>
      </c>
      <c r="L520" s="8" t="s">
        <v>1363</v>
      </c>
      <c r="M520" s="8" t="s">
        <v>1362</v>
      </c>
      <c r="N520" s="7">
        <v>2023</v>
      </c>
      <c r="O520" s="5">
        <v>407</v>
      </c>
      <c r="P520" s="5" t="s">
        <v>220</v>
      </c>
    </row>
    <row r="521" spans="1:16" ht="21.5" x14ac:dyDescent="0.9">
      <c r="A521" s="5" t="s">
        <v>1361</v>
      </c>
      <c r="B521" s="5" t="s">
        <v>1360</v>
      </c>
      <c r="C521" s="5"/>
      <c r="D521" s="5">
        <v>1</v>
      </c>
      <c r="E521" s="5" t="b">
        <v>1</v>
      </c>
      <c r="H521" s="9" t="s">
        <v>1359</v>
      </c>
      <c r="I521" s="7" t="s">
        <v>1331</v>
      </c>
      <c r="J521" s="7" t="s">
        <v>1348</v>
      </c>
      <c r="K521" s="7" t="s">
        <v>403</v>
      </c>
      <c r="L521" s="8" t="s">
        <v>1358</v>
      </c>
      <c r="M521" s="8" t="s">
        <v>1357</v>
      </c>
      <c r="N521" s="7">
        <v>2023</v>
      </c>
      <c r="O521" s="5">
        <v>408</v>
      </c>
      <c r="P521" s="5" t="s">
        <v>220</v>
      </c>
    </row>
    <row r="522" spans="1:16" ht="21.5" x14ac:dyDescent="0.9">
      <c r="A522" s="5" t="s">
        <v>1356</v>
      </c>
      <c r="B522" s="5" t="s">
        <v>1355</v>
      </c>
      <c r="C522" s="5"/>
      <c r="D522" s="5">
        <v>2</v>
      </c>
      <c r="E522" s="5" t="b">
        <v>1</v>
      </c>
      <c r="H522" s="9" t="s">
        <v>1354</v>
      </c>
      <c r="I522" s="7" t="s">
        <v>1331</v>
      </c>
      <c r="J522" s="7" t="s">
        <v>1348</v>
      </c>
      <c r="K522" s="7" t="s">
        <v>403</v>
      </c>
      <c r="L522" s="8" t="s">
        <v>1353</v>
      </c>
      <c r="M522" s="8" t="s">
        <v>1352</v>
      </c>
      <c r="N522" s="7">
        <v>2024</v>
      </c>
      <c r="O522" s="5">
        <v>409</v>
      </c>
      <c r="P522" s="5" t="s">
        <v>220</v>
      </c>
    </row>
    <row r="523" spans="1:16" ht="21.5" x14ac:dyDescent="0.9">
      <c r="A523" s="5" t="s">
        <v>1351</v>
      </c>
      <c r="B523" s="5" t="s">
        <v>1350</v>
      </c>
      <c r="C523" s="5"/>
      <c r="D523" s="5">
        <v>3</v>
      </c>
      <c r="E523" s="5" t="b">
        <v>1</v>
      </c>
      <c r="H523" s="9" t="s">
        <v>1349</v>
      </c>
      <c r="I523" s="7" t="s">
        <v>1331</v>
      </c>
      <c r="J523" s="7" t="s">
        <v>1348</v>
      </c>
      <c r="K523" s="7" t="s">
        <v>403</v>
      </c>
      <c r="L523" s="8" t="s">
        <v>1347</v>
      </c>
      <c r="M523" s="8" t="s">
        <v>1346</v>
      </c>
      <c r="N523" s="7">
        <v>2024</v>
      </c>
      <c r="O523" s="5">
        <v>410</v>
      </c>
      <c r="P523" s="5" t="s">
        <v>220</v>
      </c>
    </row>
    <row r="524" spans="1:16" ht="21.5" x14ac:dyDescent="0.9">
      <c r="A524" s="5" t="s">
        <v>1345</v>
      </c>
      <c r="B524" s="5" t="s">
        <v>1344</v>
      </c>
      <c r="C524" s="5"/>
      <c r="D524" s="5">
        <v>4</v>
      </c>
      <c r="E524" s="5" t="b">
        <v>1</v>
      </c>
      <c r="H524" s="9" t="s">
        <v>1343</v>
      </c>
      <c r="I524" s="7" t="s">
        <v>1331</v>
      </c>
      <c r="J524" s="7" t="s">
        <v>1342</v>
      </c>
      <c r="K524" s="7" t="s">
        <v>403</v>
      </c>
      <c r="L524" s="8" t="s">
        <v>1341</v>
      </c>
      <c r="M524" s="8" t="s">
        <v>1340</v>
      </c>
      <c r="N524" s="7">
        <v>2024</v>
      </c>
      <c r="O524" s="5">
        <v>411</v>
      </c>
      <c r="P524" s="5" t="s">
        <v>220</v>
      </c>
    </row>
    <row r="525" spans="1:16" ht="21.5" x14ac:dyDescent="0.9">
      <c r="A525" s="5" t="s">
        <v>1339</v>
      </c>
      <c r="B525" s="5" t="s">
        <v>1338</v>
      </c>
      <c r="C525" s="5"/>
      <c r="D525" s="5">
        <v>5</v>
      </c>
      <c r="E525" s="5" t="b">
        <v>1</v>
      </c>
      <c r="H525" s="9" t="s">
        <v>1337</v>
      </c>
      <c r="I525" s="7" t="s">
        <v>1331</v>
      </c>
      <c r="J525" s="7" t="s">
        <v>1330</v>
      </c>
      <c r="K525" s="7" t="s">
        <v>403</v>
      </c>
      <c r="L525" s="8" t="s">
        <v>1336</v>
      </c>
      <c r="M525" s="8" t="s">
        <v>1335</v>
      </c>
      <c r="N525" s="7">
        <v>2023</v>
      </c>
      <c r="O525" s="5">
        <v>412</v>
      </c>
      <c r="P525" s="5" t="s">
        <v>220</v>
      </c>
    </row>
    <row r="526" spans="1:16" ht="21.5" x14ac:dyDescent="0.9">
      <c r="A526" s="5" t="s">
        <v>1334</v>
      </c>
      <c r="B526" s="5" t="s">
        <v>1333</v>
      </c>
      <c r="C526" s="5"/>
      <c r="D526" s="5">
        <v>6</v>
      </c>
      <c r="E526" s="5" t="b">
        <v>1</v>
      </c>
      <c r="H526" s="9" t="s">
        <v>1332</v>
      </c>
      <c r="I526" s="7" t="s">
        <v>1331</v>
      </c>
      <c r="J526" s="7" t="s">
        <v>1330</v>
      </c>
      <c r="K526" s="7" t="s">
        <v>403</v>
      </c>
      <c r="L526" s="8" t="s">
        <v>1329</v>
      </c>
      <c r="M526" s="8" t="s">
        <v>1328</v>
      </c>
      <c r="N526" s="7">
        <v>2024</v>
      </c>
      <c r="O526" s="5">
        <v>413</v>
      </c>
      <c r="P526" s="5" t="s">
        <v>220</v>
      </c>
    </row>
    <row r="527" spans="1:16" ht="21.5" x14ac:dyDescent="0.9">
      <c r="A527" s="5" t="s">
        <v>1327</v>
      </c>
      <c r="B527" s="5" t="s">
        <v>1326</v>
      </c>
      <c r="C527" s="5"/>
      <c r="D527" s="5">
        <v>7</v>
      </c>
      <c r="E527" s="5" t="b">
        <v>1</v>
      </c>
      <c r="H527" s="9" t="s">
        <v>1325</v>
      </c>
      <c r="I527" s="7" t="s">
        <v>1231</v>
      </c>
      <c r="J527" s="7" t="s">
        <v>1302</v>
      </c>
      <c r="K527" s="7" t="s">
        <v>403</v>
      </c>
      <c r="L527" s="8" t="s">
        <v>1324</v>
      </c>
      <c r="M527" s="8" t="s">
        <v>1323</v>
      </c>
      <c r="N527" s="7">
        <v>2013</v>
      </c>
      <c r="O527" s="5">
        <v>414</v>
      </c>
      <c r="P527" s="5" t="s">
        <v>220</v>
      </c>
    </row>
    <row r="528" spans="1:16" ht="21.5" x14ac:dyDescent="0.9">
      <c r="H528" s="9" t="s">
        <v>1322</v>
      </c>
      <c r="I528" s="7" t="s">
        <v>1231</v>
      </c>
      <c r="J528" s="7" t="s">
        <v>1302</v>
      </c>
      <c r="K528" s="7" t="s">
        <v>403</v>
      </c>
      <c r="L528" s="8" t="s">
        <v>1321</v>
      </c>
      <c r="M528" s="8" t="s">
        <v>1320</v>
      </c>
      <c r="N528" s="7">
        <v>2014</v>
      </c>
      <c r="O528" s="5">
        <v>415</v>
      </c>
      <c r="P528" s="5" t="s">
        <v>220</v>
      </c>
    </row>
    <row r="529" spans="1:16" ht="21.5" x14ac:dyDescent="0.9">
      <c r="A529" s="3" t="s">
        <v>1319</v>
      </c>
      <c r="H529" s="9" t="s">
        <v>1318</v>
      </c>
      <c r="I529" s="7" t="s">
        <v>1231</v>
      </c>
      <c r="J529" s="7" t="s">
        <v>1302</v>
      </c>
      <c r="K529" s="7" t="s">
        <v>403</v>
      </c>
      <c r="L529" s="8" t="s">
        <v>1317</v>
      </c>
      <c r="M529" s="8" t="s">
        <v>1316</v>
      </c>
      <c r="N529" s="7">
        <v>2015</v>
      </c>
      <c r="O529" s="5">
        <v>416</v>
      </c>
      <c r="P529" s="5" t="s">
        <v>220</v>
      </c>
    </row>
    <row r="530" spans="1:16" ht="21.5" x14ac:dyDescent="0.9">
      <c r="A530" s="6" t="s">
        <v>34</v>
      </c>
      <c r="B530" s="6" t="s">
        <v>33</v>
      </c>
      <c r="C530" s="6" t="s">
        <v>32</v>
      </c>
      <c r="D530" s="6" t="s">
        <v>31</v>
      </c>
      <c r="E530" s="6" t="s">
        <v>0</v>
      </c>
      <c r="H530" s="9" t="s">
        <v>1315</v>
      </c>
      <c r="I530" s="7" t="s">
        <v>1231</v>
      </c>
      <c r="J530" s="7" t="s">
        <v>1302</v>
      </c>
      <c r="K530" s="7" t="s">
        <v>403</v>
      </c>
      <c r="L530" s="8" t="s">
        <v>1314</v>
      </c>
      <c r="M530" s="8" t="s">
        <v>1313</v>
      </c>
      <c r="N530" s="7">
        <v>2016</v>
      </c>
      <c r="O530" s="5">
        <v>417</v>
      </c>
      <c r="P530" s="5" t="s">
        <v>220</v>
      </c>
    </row>
    <row r="531" spans="1:16" ht="21.5" x14ac:dyDescent="0.9">
      <c r="A531" s="3" t="s">
        <v>1312</v>
      </c>
      <c r="B531" s="5" t="s">
        <v>801</v>
      </c>
      <c r="C531" s="5" t="s">
        <v>801</v>
      </c>
      <c r="D531" s="4">
        <v>1</v>
      </c>
      <c r="E531" s="4" t="b">
        <v>1</v>
      </c>
      <c r="H531" s="9" t="s">
        <v>1311</v>
      </c>
      <c r="I531" s="7" t="s">
        <v>1231</v>
      </c>
      <c r="J531" s="7" t="s">
        <v>1302</v>
      </c>
      <c r="K531" s="7" t="s">
        <v>403</v>
      </c>
      <c r="L531" s="8" t="s">
        <v>1310</v>
      </c>
      <c r="M531" s="8" t="s">
        <v>1309</v>
      </c>
      <c r="N531" s="7">
        <v>2017</v>
      </c>
      <c r="O531" s="5">
        <v>418</v>
      </c>
      <c r="P531" s="5" t="s">
        <v>220</v>
      </c>
    </row>
    <row r="532" spans="1:16" ht="21.5" x14ac:dyDescent="0.9">
      <c r="A532" s="3" t="s">
        <v>1308</v>
      </c>
      <c r="B532" s="5" t="s">
        <v>873</v>
      </c>
      <c r="C532" s="5" t="s">
        <v>873</v>
      </c>
      <c r="D532" s="4">
        <v>2</v>
      </c>
      <c r="E532" s="4" t="b">
        <v>1</v>
      </c>
      <c r="H532" s="9" t="s">
        <v>1307</v>
      </c>
      <c r="I532" s="7" t="s">
        <v>1231</v>
      </c>
      <c r="J532" s="7" t="s">
        <v>1302</v>
      </c>
      <c r="K532" s="7" t="s">
        <v>403</v>
      </c>
      <c r="L532" s="8" t="s">
        <v>1306</v>
      </c>
      <c r="M532" s="8" t="s">
        <v>1305</v>
      </c>
      <c r="N532" s="7">
        <v>2018</v>
      </c>
      <c r="O532" s="5">
        <v>419</v>
      </c>
      <c r="P532" s="5" t="s">
        <v>220</v>
      </c>
    </row>
    <row r="533" spans="1:16" ht="21.5" x14ac:dyDescent="0.9">
      <c r="A533" s="3" t="s">
        <v>1304</v>
      </c>
      <c r="B533" s="5" t="s">
        <v>795</v>
      </c>
      <c r="C533" s="5" t="s">
        <v>795</v>
      </c>
      <c r="D533" s="4">
        <v>3</v>
      </c>
      <c r="E533" s="4" t="b">
        <v>1</v>
      </c>
      <c r="H533" s="9" t="s">
        <v>1303</v>
      </c>
      <c r="I533" s="7" t="s">
        <v>1231</v>
      </c>
      <c r="J533" s="7" t="s">
        <v>1302</v>
      </c>
      <c r="K533" s="7" t="s">
        <v>403</v>
      </c>
      <c r="L533" s="8" t="s">
        <v>1301</v>
      </c>
      <c r="M533" s="8" t="s">
        <v>1300</v>
      </c>
      <c r="N533" s="7">
        <v>2019</v>
      </c>
      <c r="O533" s="5">
        <v>420</v>
      </c>
      <c r="P533" s="5" t="s">
        <v>220</v>
      </c>
    </row>
    <row r="534" spans="1:16" ht="21.5" x14ac:dyDescent="0.9">
      <c r="A534" s="3" t="s">
        <v>1299</v>
      </c>
      <c r="B534" s="5" t="s">
        <v>1298</v>
      </c>
      <c r="C534" s="5" t="s">
        <v>1298</v>
      </c>
      <c r="D534" s="4">
        <v>4</v>
      </c>
      <c r="E534" s="4" t="b">
        <v>1</v>
      </c>
      <c r="H534" s="9" t="s">
        <v>1297</v>
      </c>
      <c r="I534" s="7" t="s">
        <v>1231</v>
      </c>
      <c r="J534" s="7" t="s">
        <v>1286</v>
      </c>
      <c r="K534" s="7" t="s">
        <v>403</v>
      </c>
      <c r="L534" s="8" t="s">
        <v>1296</v>
      </c>
      <c r="M534" s="8" t="s">
        <v>1295</v>
      </c>
      <c r="N534" s="7">
        <v>2016</v>
      </c>
      <c r="O534" s="5">
        <v>421</v>
      </c>
      <c r="P534" s="5" t="s">
        <v>220</v>
      </c>
    </row>
    <row r="535" spans="1:16" ht="21.5" x14ac:dyDescent="0.9">
      <c r="A535" s="3" t="s">
        <v>1294</v>
      </c>
      <c r="B535" s="5" t="s">
        <v>1293</v>
      </c>
      <c r="C535" s="5" t="s">
        <v>1293</v>
      </c>
      <c r="D535" s="4">
        <v>5</v>
      </c>
      <c r="E535" s="4" t="b">
        <v>1</v>
      </c>
      <c r="H535" s="9" t="s">
        <v>1292</v>
      </c>
      <c r="I535" s="7" t="s">
        <v>1231</v>
      </c>
      <c r="J535" s="7" t="s">
        <v>1286</v>
      </c>
      <c r="K535" s="7" t="s">
        <v>403</v>
      </c>
      <c r="L535" s="8" t="s">
        <v>1291</v>
      </c>
      <c r="M535" s="8" t="s">
        <v>1290</v>
      </c>
      <c r="N535" s="7">
        <v>2017</v>
      </c>
      <c r="O535" s="5">
        <v>422</v>
      </c>
      <c r="P535" s="5" t="s">
        <v>220</v>
      </c>
    </row>
    <row r="536" spans="1:16" ht="21.5" x14ac:dyDescent="0.9">
      <c r="A536" s="3" t="s">
        <v>1289</v>
      </c>
      <c r="B536" s="5" t="s">
        <v>1288</v>
      </c>
      <c r="C536" s="5" t="s">
        <v>1288</v>
      </c>
      <c r="D536" s="4">
        <v>6</v>
      </c>
      <c r="E536" s="4" t="b">
        <v>1</v>
      </c>
      <c r="H536" s="9" t="s">
        <v>1287</v>
      </c>
      <c r="I536" s="7" t="s">
        <v>1231</v>
      </c>
      <c r="J536" s="7" t="s">
        <v>1286</v>
      </c>
      <c r="K536" s="7" t="s">
        <v>403</v>
      </c>
      <c r="L536" s="8" t="s">
        <v>1285</v>
      </c>
      <c r="M536" s="8" t="s">
        <v>1284</v>
      </c>
      <c r="N536" s="7">
        <v>2020</v>
      </c>
      <c r="O536" s="5">
        <v>423</v>
      </c>
      <c r="P536" s="5" t="s">
        <v>220</v>
      </c>
    </row>
    <row r="537" spans="1:16" ht="21.5" x14ac:dyDescent="0.9">
      <c r="A537" s="3" t="s">
        <v>1283</v>
      </c>
      <c r="B537" s="5" t="s">
        <v>1282</v>
      </c>
      <c r="C537" s="5" t="s">
        <v>1282</v>
      </c>
      <c r="D537" s="4">
        <v>7</v>
      </c>
      <c r="E537" s="4" t="b">
        <v>1</v>
      </c>
      <c r="H537" s="9" t="s">
        <v>1281</v>
      </c>
      <c r="I537" s="7" t="s">
        <v>1231</v>
      </c>
      <c r="J537" s="7" t="s">
        <v>1280</v>
      </c>
      <c r="K537" s="7" t="s">
        <v>403</v>
      </c>
      <c r="L537" s="8" t="s">
        <v>1279</v>
      </c>
      <c r="M537" s="8" t="s">
        <v>1278</v>
      </c>
      <c r="N537" s="7">
        <v>2020</v>
      </c>
      <c r="O537" s="5">
        <v>424</v>
      </c>
      <c r="P537" s="5" t="s">
        <v>220</v>
      </c>
    </row>
    <row r="538" spans="1:16" ht="21.5" x14ac:dyDescent="0.9">
      <c r="A538" s="3" t="s">
        <v>1277</v>
      </c>
      <c r="B538" s="5" t="s">
        <v>1276</v>
      </c>
      <c r="C538" s="5" t="s">
        <v>1276</v>
      </c>
      <c r="D538" s="4">
        <v>8</v>
      </c>
      <c r="E538" s="4" t="b">
        <v>1</v>
      </c>
      <c r="H538" s="9" t="s">
        <v>1275</v>
      </c>
      <c r="I538" s="7" t="s">
        <v>1231</v>
      </c>
      <c r="J538" s="7" t="s">
        <v>1274</v>
      </c>
      <c r="K538" s="7" t="s">
        <v>403</v>
      </c>
      <c r="L538" s="8" t="s">
        <v>1273</v>
      </c>
      <c r="M538" s="8" t="s">
        <v>1272</v>
      </c>
      <c r="N538" s="7">
        <v>2020</v>
      </c>
      <c r="O538" s="5">
        <v>425</v>
      </c>
      <c r="P538" s="5" t="s">
        <v>220</v>
      </c>
    </row>
    <row r="539" spans="1:16" ht="21.5" x14ac:dyDescent="0.9">
      <c r="A539" s="3" t="s">
        <v>1271</v>
      </c>
      <c r="B539" s="5" t="s">
        <v>1270</v>
      </c>
      <c r="C539" s="5" t="s">
        <v>1270</v>
      </c>
      <c r="D539" s="4">
        <v>9</v>
      </c>
      <c r="E539" s="4" t="b">
        <v>1</v>
      </c>
      <c r="H539" s="9" t="s">
        <v>1269</v>
      </c>
      <c r="I539" s="7" t="s">
        <v>1231</v>
      </c>
      <c r="J539" s="7" t="s">
        <v>1258</v>
      </c>
      <c r="K539" s="7" t="s">
        <v>403</v>
      </c>
      <c r="L539" s="8" t="s">
        <v>1268</v>
      </c>
      <c r="M539" s="8" t="s">
        <v>1267</v>
      </c>
      <c r="N539" s="7">
        <v>2019</v>
      </c>
      <c r="O539" s="5">
        <v>426</v>
      </c>
      <c r="P539" s="5" t="s">
        <v>220</v>
      </c>
    </row>
    <row r="540" spans="1:16" ht="21.5" x14ac:dyDescent="0.9">
      <c r="A540" s="3" t="s">
        <v>1266</v>
      </c>
      <c r="B540" s="5" t="s">
        <v>1265</v>
      </c>
      <c r="C540" s="5" t="s">
        <v>1265</v>
      </c>
      <c r="D540" s="4">
        <v>10</v>
      </c>
      <c r="E540" s="4" t="b">
        <v>1</v>
      </c>
      <c r="H540" s="9" t="s">
        <v>1264</v>
      </c>
      <c r="I540" s="7" t="s">
        <v>1231</v>
      </c>
      <c r="J540" s="7" t="s">
        <v>1258</v>
      </c>
      <c r="K540" s="7" t="s">
        <v>403</v>
      </c>
      <c r="L540" s="8" t="s">
        <v>1263</v>
      </c>
      <c r="M540" s="8" t="s">
        <v>1262</v>
      </c>
      <c r="N540" s="7">
        <v>2020</v>
      </c>
      <c r="O540" s="5">
        <v>427</v>
      </c>
      <c r="P540" s="5" t="s">
        <v>220</v>
      </c>
    </row>
    <row r="541" spans="1:16" ht="21.5" x14ac:dyDescent="0.9">
      <c r="A541" s="3" t="s">
        <v>1261</v>
      </c>
      <c r="B541" s="5" t="s">
        <v>1260</v>
      </c>
      <c r="C541" s="5" t="s">
        <v>1260</v>
      </c>
      <c r="D541" s="4">
        <v>11</v>
      </c>
      <c r="E541" s="4" t="b">
        <v>1</v>
      </c>
      <c r="H541" s="9" t="s">
        <v>1259</v>
      </c>
      <c r="I541" s="7" t="s">
        <v>1231</v>
      </c>
      <c r="J541" s="7" t="s">
        <v>1258</v>
      </c>
      <c r="K541" s="7" t="s">
        <v>403</v>
      </c>
      <c r="L541" s="8" t="s">
        <v>1257</v>
      </c>
      <c r="M541" s="8" t="s">
        <v>1256</v>
      </c>
      <c r="N541" s="7">
        <v>2021</v>
      </c>
      <c r="O541" s="5">
        <v>428</v>
      </c>
      <c r="P541" s="5" t="s">
        <v>220</v>
      </c>
    </row>
    <row r="542" spans="1:16" ht="21.5" x14ac:dyDescent="0.9">
      <c r="A542" s="3" t="s">
        <v>1255</v>
      </c>
      <c r="B542" s="5" t="s">
        <v>1254</v>
      </c>
      <c r="C542" s="5" t="s">
        <v>1254</v>
      </c>
      <c r="D542" s="4">
        <v>12</v>
      </c>
      <c r="E542" s="4" t="b">
        <v>1</v>
      </c>
      <c r="H542" s="9" t="s">
        <v>1253</v>
      </c>
      <c r="I542" s="7" t="s">
        <v>1231</v>
      </c>
      <c r="J542" s="7" t="s">
        <v>1247</v>
      </c>
      <c r="K542" s="7" t="s">
        <v>403</v>
      </c>
      <c r="L542" s="8" t="s">
        <v>1252</v>
      </c>
      <c r="M542" s="8" t="s">
        <v>1251</v>
      </c>
      <c r="N542" s="7">
        <v>2020</v>
      </c>
      <c r="O542" s="5">
        <v>429</v>
      </c>
      <c r="P542" s="5" t="s">
        <v>220</v>
      </c>
    </row>
    <row r="543" spans="1:16" ht="21.5" x14ac:dyDescent="0.9">
      <c r="A543" s="3" t="s">
        <v>1250</v>
      </c>
      <c r="B543" s="5" t="s">
        <v>1249</v>
      </c>
      <c r="C543" s="5" t="s">
        <v>1249</v>
      </c>
      <c r="D543" s="4">
        <v>13</v>
      </c>
      <c r="E543" s="4" t="b">
        <v>1</v>
      </c>
      <c r="H543" s="9" t="s">
        <v>1248</v>
      </c>
      <c r="I543" s="7" t="s">
        <v>1231</v>
      </c>
      <c r="J543" s="7" t="s">
        <v>1247</v>
      </c>
      <c r="K543" s="7" t="s">
        <v>403</v>
      </c>
      <c r="L543" s="8" t="s">
        <v>1246</v>
      </c>
      <c r="M543" s="8" t="s">
        <v>1245</v>
      </c>
      <c r="N543" s="7">
        <v>2020</v>
      </c>
      <c r="O543" s="5">
        <v>430</v>
      </c>
      <c r="P543" s="5" t="s">
        <v>220</v>
      </c>
    </row>
    <row r="544" spans="1:16" ht="21.5" x14ac:dyDescent="0.9">
      <c r="A544" s="3" t="s">
        <v>1244</v>
      </c>
      <c r="B544" s="5" t="s">
        <v>1243</v>
      </c>
      <c r="C544" s="5" t="s">
        <v>1243</v>
      </c>
      <c r="D544" s="4">
        <v>14</v>
      </c>
      <c r="E544" s="4" t="b">
        <v>1</v>
      </c>
      <c r="H544" s="9" t="s">
        <v>1242</v>
      </c>
      <c r="I544" s="7" t="s">
        <v>1231</v>
      </c>
      <c r="J544" s="7" t="s">
        <v>1230</v>
      </c>
      <c r="K544" s="7" t="s">
        <v>403</v>
      </c>
      <c r="L544" s="8" t="s">
        <v>1241</v>
      </c>
      <c r="M544" s="8" t="s">
        <v>1240</v>
      </c>
      <c r="N544" s="7">
        <v>2019</v>
      </c>
      <c r="O544" s="5">
        <v>431</v>
      </c>
      <c r="P544" s="5" t="s">
        <v>220</v>
      </c>
    </row>
    <row r="545" spans="1:16" ht="21.5" x14ac:dyDescent="0.9">
      <c r="A545" s="3" t="s">
        <v>1239</v>
      </c>
      <c r="B545" s="5" t="s">
        <v>1238</v>
      </c>
      <c r="C545" s="5" t="s">
        <v>1238</v>
      </c>
      <c r="D545" s="4">
        <v>15</v>
      </c>
      <c r="E545" s="4" t="b">
        <v>1</v>
      </c>
      <c r="H545" s="9" t="s">
        <v>1237</v>
      </c>
      <c r="I545" s="7" t="s">
        <v>1231</v>
      </c>
      <c r="J545" s="7" t="s">
        <v>1230</v>
      </c>
      <c r="K545" s="7" t="s">
        <v>403</v>
      </c>
      <c r="L545" s="8" t="s">
        <v>1236</v>
      </c>
      <c r="M545" s="8" t="s">
        <v>1235</v>
      </c>
      <c r="N545" s="7">
        <v>2020</v>
      </c>
      <c r="O545" s="5">
        <v>432</v>
      </c>
      <c r="P545" s="5" t="s">
        <v>220</v>
      </c>
    </row>
    <row r="546" spans="1:16" ht="21.5" x14ac:dyDescent="0.9">
      <c r="A546" s="3" t="s">
        <v>1234</v>
      </c>
      <c r="B546" s="5" t="s">
        <v>1233</v>
      </c>
      <c r="C546" s="5" t="s">
        <v>1233</v>
      </c>
      <c r="D546" s="4">
        <v>16</v>
      </c>
      <c r="E546" s="4" t="b">
        <v>1</v>
      </c>
      <c r="H546" s="9" t="s">
        <v>1232</v>
      </c>
      <c r="I546" s="7" t="s">
        <v>1231</v>
      </c>
      <c r="J546" s="7" t="s">
        <v>1230</v>
      </c>
      <c r="K546" s="7" t="s">
        <v>403</v>
      </c>
      <c r="L546" s="8" t="s">
        <v>1229</v>
      </c>
      <c r="M546" s="8" t="s">
        <v>1228</v>
      </c>
      <c r="N546" s="7">
        <v>2020</v>
      </c>
      <c r="O546" s="5">
        <v>433</v>
      </c>
      <c r="P546" s="5" t="s">
        <v>220</v>
      </c>
    </row>
    <row r="547" spans="1:16" ht="21.5" x14ac:dyDescent="0.9">
      <c r="A547" s="3" t="s">
        <v>1227</v>
      </c>
      <c r="B547" s="5" t="s">
        <v>1226</v>
      </c>
      <c r="C547" s="5" t="s">
        <v>1226</v>
      </c>
      <c r="D547" s="4">
        <v>17</v>
      </c>
      <c r="E547" s="4" t="b">
        <v>1</v>
      </c>
      <c r="H547" s="9" t="s">
        <v>1225</v>
      </c>
      <c r="I547" s="7" t="s">
        <v>1140</v>
      </c>
      <c r="J547" s="7" t="s">
        <v>1204</v>
      </c>
      <c r="K547" s="7" t="s">
        <v>403</v>
      </c>
      <c r="L547" s="8" t="s">
        <v>1224</v>
      </c>
      <c r="M547" s="8" t="s">
        <v>1223</v>
      </c>
      <c r="N547" s="7">
        <v>2014</v>
      </c>
      <c r="O547" s="5">
        <v>434</v>
      </c>
      <c r="P547" s="5" t="s">
        <v>220</v>
      </c>
    </row>
    <row r="548" spans="1:16" ht="21.5" x14ac:dyDescent="0.9">
      <c r="A548" s="3" t="s">
        <v>1222</v>
      </c>
      <c r="B548" s="5" t="s">
        <v>1221</v>
      </c>
      <c r="C548" s="5" t="s">
        <v>1221</v>
      </c>
      <c r="D548" s="4">
        <v>18</v>
      </c>
      <c r="E548" s="4" t="b">
        <v>1</v>
      </c>
      <c r="H548" s="9" t="s">
        <v>1220</v>
      </c>
      <c r="I548" s="7" t="s">
        <v>1140</v>
      </c>
      <c r="J548" s="7" t="s">
        <v>1204</v>
      </c>
      <c r="K548" s="7" t="s">
        <v>403</v>
      </c>
      <c r="L548" s="8" t="s">
        <v>1219</v>
      </c>
      <c r="M548" s="8" t="s">
        <v>1218</v>
      </c>
      <c r="N548" s="7">
        <v>2015</v>
      </c>
      <c r="O548" s="5">
        <v>435</v>
      </c>
      <c r="P548" s="5" t="s">
        <v>220</v>
      </c>
    </row>
    <row r="549" spans="1:16" ht="21.5" x14ac:dyDescent="0.9">
      <c r="A549" s="3" t="s">
        <v>1217</v>
      </c>
      <c r="B549" s="5" t="s">
        <v>1216</v>
      </c>
      <c r="C549" s="5" t="s">
        <v>1216</v>
      </c>
      <c r="D549" s="4">
        <v>19</v>
      </c>
      <c r="E549" s="4" t="b">
        <v>1</v>
      </c>
      <c r="H549" s="9" t="s">
        <v>1215</v>
      </c>
      <c r="I549" s="7" t="s">
        <v>1140</v>
      </c>
      <c r="J549" s="7" t="s">
        <v>1204</v>
      </c>
      <c r="K549" s="7" t="s">
        <v>403</v>
      </c>
      <c r="L549" s="8" t="s">
        <v>1214</v>
      </c>
      <c r="M549" s="8" t="s">
        <v>1213</v>
      </c>
      <c r="N549" s="7">
        <v>2016</v>
      </c>
      <c r="O549" s="5">
        <v>436</v>
      </c>
      <c r="P549" s="5" t="s">
        <v>220</v>
      </c>
    </row>
    <row r="550" spans="1:16" ht="21.5" x14ac:dyDescent="0.9">
      <c r="A550" s="3" t="s">
        <v>1212</v>
      </c>
      <c r="B550" s="5" t="s">
        <v>1211</v>
      </c>
      <c r="C550" s="5" t="s">
        <v>1211</v>
      </c>
      <c r="D550" s="4">
        <v>20</v>
      </c>
      <c r="E550" s="4" t="b">
        <v>1</v>
      </c>
      <c r="H550" s="9" t="s">
        <v>1210</v>
      </c>
      <c r="I550" s="7" t="s">
        <v>1140</v>
      </c>
      <c r="J550" s="7" t="s">
        <v>1204</v>
      </c>
      <c r="K550" s="7" t="s">
        <v>403</v>
      </c>
      <c r="L550" s="8" t="s">
        <v>1209</v>
      </c>
      <c r="M550" s="8" t="s">
        <v>1208</v>
      </c>
      <c r="N550" s="7">
        <v>2017</v>
      </c>
      <c r="O550" s="5">
        <v>437</v>
      </c>
      <c r="P550" s="5" t="s">
        <v>220</v>
      </c>
    </row>
    <row r="551" spans="1:16" ht="21.5" x14ac:dyDescent="0.9">
      <c r="A551" s="3" t="s">
        <v>1207</v>
      </c>
      <c r="B551" s="5" t="s">
        <v>1206</v>
      </c>
      <c r="C551" s="5" t="s">
        <v>1206</v>
      </c>
      <c r="D551" s="4">
        <v>21</v>
      </c>
      <c r="E551" s="4" t="b">
        <v>1</v>
      </c>
      <c r="H551" s="9" t="s">
        <v>1205</v>
      </c>
      <c r="I551" s="7" t="s">
        <v>1140</v>
      </c>
      <c r="J551" s="7" t="s">
        <v>1204</v>
      </c>
      <c r="K551" s="7" t="s">
        <v>403</v>
      </c>
      <c r="L551" s="8" t="s">
        <v>1203</v>
      </c>
      <c r="M551" s="8" t="s">
        <v>1202</v>
      </c>
      <c r="N551" s="7">
        <v>2018</v>
      </c>
      <c r="O551" s="5">
        <v>438</v>
      </c>
      <c r="P551" s="5" t="s">
        <v>220</v>
      </c>
    </row>
    <row r="552" spans="1:16" ht="21.5" x14ac:dyDescent="0.9">
      <c r="A552" s="3" t="s">
        <v>1201</v>
      </c>
      <c r="B552" s="5" t="s">
        <v>1200</v>
      </c>
      <c r="C552" s="5" t="s">
        <v>1200</v>
      </c>
      <c r="D552" s="4">
        <v>22</v>
      </c>
      <c r="E552" s="4" t="b">
        <v>1</v>
      </c>
      <c r="H552" s="9" t="s">
        <v>1199</v>
      </c>
      <c r="I552" s="7" t="s">
        <v>1140</v>
      </c>
      <c r="J552" s="7" t="s">
        <v>1186</v>
      </c>
      <c r="K552" s="7" t="s">
        <v>403</v>
      </c>
      <c r="L552" s="8" t="s">
        <v>1198</v>
      </c>
      <c r="M552" s="8" t="s">
        <v>1197</v>
      </c>
      <c r="N552" s="7">
        <v>2019</v>
      </c>
      <c r="O552" s="5">
        <v>439</v>
      </c>
      <c r="P552" s="5" t="s">
        <v>220</v>
      </c>
    </row>
    <row r="553" spans="1:16" ht="21.5" x14ac:dyDescent="0.9">
      <c r="A553" s="3" t="s">
        <v>1196</v>
      </c>
      <c r="B553" s="5" t="s">
        <v>1195</v>
      </c>
      <c r="C553" s="5" t="s">
        <v>1195</v>
      </c>
      <c r="D553" s="4">
        <v>23</v>
      </c>
      <c r="E553" s="4" t="b">
        <v>1</v>
      </c>
      <c r="H553" s="9" t="s">
        <v>1194</v>
      </c>
      <c r="I553" s="7" t="s">
        <v>1140</v>
      </c>
      <c r="J553" s="7" t="s">
        <v>1186</v>
      </c>
      <c r="K553" s="7" t="s">
        <v>403</v>
      </c>
      <c r="L553" s="8" t="s">
        <v>1193</v>
      </c>
      <c r="M553" s="8" t="s">
        <v>1192</v>
      </c>
      <c r="N553" s="7">
        <v>2020</v>
      </c>
      <c r="O553" s="5">
        <v>440</v>
      </c>
      <c r="P553" s="5" t="s">
        <v>220</v>
      </c>
    </row>
    <row r="554" spans="1:16" ht="21.5" x14ac:dyDescent="0.9">
      <c r="H554" s="9" t="s">
        <v>1191</v>
      </c>
      <c r="I554" s="7" t="s">
        <v>1140</v>
      </c>
      <c r="J554" s="7" t="s">
        <v>1186</v>
      </c>
      <c r="K554" s="7" t="s">
        <v>403</v>
      </c>
      <c r="L554" s="8" t="s">
        <v>1190</v>
      </c>
      <c r="M554" s="8" t="s">
        <v>1189</v>
      </c>
      <c r="N554" s="7">
        <v>2021</v>
      </c>
      <c r="O554" s="5">
        <v>441</v>
      </c>
      <c r="P554" s="5" t="s">
        <v>220</v>
      </c>
    </row>
    <row r="555" spans="1:16" ht="21.5" x14ac:dyDescent="0.9">
      <c r="A555" s="3" t="s">
        <v>1188</v>
      </c>
      <c r="H555" s="9" t="s">
        <v>1187</v>
      </c>
      <c r="I555" s="7" t="s">
        <v>1140</v>
      </c>
      <c r="J555" s="7" t="s">
        <v>1186</v>
      </c>
      <c r="K555" s="7" t="s">
        <v>403</v>
      </c>
      <c r="L555" s="8" t="s">
        <v>1185</v>
      </c>
      <c r="M555" s="8" t="s">
        <v>1184</v>
      </c>
      <c r="N555" s="7">
        <v>2023</v>
      </c>
      <c r="O555" s="5">
        <v>442</v>
      </c>
      <c r="P555" s="5" t="s">
        <v>220</v>
      </c>
    </row>
    <row r="556" spans="1:16" ht="21.5" x14ac:dyDescent="0.9">
      <c r="A556" s="6" t="s">
        <v>34</v>
      </c>
      <c r="B556" s="6" t="s">
        <v>33</v>
      </c>
      <c r="C556" s="6" t="s">
        <v>32</v>
      </c>
      <c r="D556" s="6" t="s">
        <v>31</v>
      </c>
      <c r="E556" s="6" t="s">
        <v>0</v>
      </c>
      <c r="H556" s="9" t="s">
        <v>1183</v>
      </c>
      <c r="I556" s="7" t="s">
        <v>1140</v>
      </c>
      <c r="J556" s="7" t="s">
        <v>1162</v>
      </c>
      <c r="K556" s="7" t="s">
        <v>403</v>
      </c>
      <c r="L556" s="8" t="s">
        <v>1182</v>
      </c>
      <c r="M556" s="8" t="s">
        <v>1181</v>
      </c>
      <c r="N556" s="7">
        <v>2023</v>
      </c>
      <c r="O556" s="5">
        <v>443</v>
      </c>
      <c r="P556" s="5" t="s">
        <v>220</v>
      </c>
    </row>
    <row r="557" spans="1:16" ht="21.5" x14ac:dyDescent="0.9">
      <c r="A557" s="3" t="s">
        <v>1180</v>
      </c>
      <c r="D557" s="4">
        <v>1</v>
      </c>
      <c r="E557" s="4" t="b">
        <v>0</v>
      </c>
      <c r="H557" s="9" t="s">
        <v>1179</v>
      </c>
      <c r="I557" s="7" t="s">
        <v>1140</v>
      </c>
      <c r="J557" s="7" t="s">
        <v>1162</v>
      </c>
      <c r="K557" s="7" t="s">
        <v>403</v>
      </c>
      <c r="L557" s="8" t="s">
        <v>1178</v>
      </c>
      <c r="M557" s="8" t="s">
        <v>1177</v>
      </c>
      <c r="N557" s="7">
        <v>2019</v>
      </c>
      <c r="O557" s="5">
        <v>444</v>
      </c>
      <c r="P557" s="5" t="s">
        <v>220</v>
      </c>
    </row>
    <row r="558" spans="1:16" ht="21.5" x14ac:dyDescent="0.9">
      <c r="A558" s="3" t="s">
        <v>1176</v>
      </c>
      <c r="D558" s="4">
        <v>2</v>
      </c>
      <c r="E558" s="4" t="b">
        <v>0</v>
      </c>
      <c r="H558" s="9" t="s">
        <v>1175</v>
      </c>
      <c r="I558" s="7" t="s">
        <v>1140</v>
      </c>
      <c r="J558" s="7" t="s">
        <v>1162</v>
      </c>
      <c r="K558" s="7" t="s">
        <v>403</v>
      </c>
      <c r="L558" s="8" t="s">
        <v>1174</v>
      </c>
      <c r="M558" s="8" t="s">
        <v>1173</v>
      </c>
      <c r="N558" s="7">
        <v>2020</v>
      </c>
      <c r="O558" s="5">
        <v>445</v>
      </c>
      <c r="P558" s="5" t="s">
        <v>220</v>
      </c>
    </row>
    <row r="559" spans="1:16" ht="21.5" x14ac:dyDescent="0.9">
      <c r="A559" s="3" t="s">
        <v>1172</v>
      </c>
      <c r="D559" s="4">
        <v>3</v>
      </c>
      <c r="E559" s="4" t="b">
        <v>0</v>
      </c>
      <c r="H559" s="9" t="s">
        <v>1171</v>
      </c>
      <c r="I559" s="7" t="s">
        <v>1140</v>
      </c>
      <c r="J559" s="7" t="s">
        <v>1162</v>
      </c>
      <c r="K559" s="7" t="s">
        <v>403</v>
      </c>
      <c r="L559" s="8" t="s">
        <v>1170</v>
      </c>
      <c r="M559" s="8" t="s">
        <v>1169</v>
      </c>
      <c r="N559" s="7">
        <v>2021</v>
      </c>
      <c r="O559" s="5">
        <v>446</v>
      </c>
      <c r="P559" s="5" t="s">
        <v>220</v>
      </c>
    </row>
    <row r="560" spans="1:16" ht="21.5" x14ac:dyDescent="0.9">
      <c r="A560" s="3" t="s">
        <v>1168</v>
      </c>
      <c r="D560" s="4">
        <v>4</v>
      </c>
      <c r="E560" s="4" t="b">
        <v>0</v>
      </c>
      <c r="H560" s="9" t="s">
        <v>1167</v>
      </c>
      <c r="I560" s="7" t="s">
        <v>1140</v>
      </c>
      <c r="J560" s="7" t="s">
        <v>1162</v>
      </c>
      <c r="K560" s="7" t="s">
        <v>403</v>
      </c>
      <c r="L560" s="8" t="s">
        <v>1166</v>
      </c>
      <c r="M560" s="8" t="s">
        <v>1165</v>
      </c>
      <c r="N560" s="7">
        <v>2021</v>
      </c>
      <c r="O560" s="5">
        <v>447</v>
      </c>
      <c r="P560" s="5" t="s">
        <v>220</v>
      </c>
    </row>
    <row r="561" spans="1:16" ht="21.5" x14ac:dyDescent="0.9">
      <c r="A561" s="3" t="s">
        <v>1164</v>
      </c>
      <c r="D561" s="4">
        <v>5</v>
      </c>
      <c r="E561" s="4" t="b">
        <v>0</v>
      </c>
      <c r="H561" s="9" t="s">
        <v>1163</v>
      </c>
      <c r="I561" s="7" t="s">
        <v>1140</v>
      </c>
      <c r="J561" s="7" t="s">
        <v>1162</v>
      </c>
      <c r="K561" s="7" t="s">
        <v>403</v>
      </c>
      <c r="L561" s="8" t="s">
        <v>1161</v>
      </c>
      <c r="M561" s="8" t="s">
        <v>1160</v>
      </c>
      <c r="N561" s="7">
        <v>2023</v>
      </c>
      <c r="O561" s="5">
        <v>448</v>
      </c>
      <c r="P561" s="5" t="s">
        <v>220</v>
      </c>
    </row>
    <row r="562" spans="1:16" ht="21.5" x14ac:dyDescent="0.9">
      <c r="A562" s="3" t="s">
        <v>1159</v>
      </c>
      <c r="D562" s="4">
        <v>6</v>
      </c>
      <c r="E562" s="4" t="b">
        <v>0</v>
      </c>
      <c r="H562" s="9" t="s">
        <v>1158</v>
      </c>
      <c r="I562" s="7" t="s">
        <v>1140</v>
      </c>
      <c r="J562" s="7" t="s">
        <v>1153</v>
      </c>
      <c r="K562" s="7" t="s">
        <v>403</v>
      </c>
      <c r="L562" s="8" t="s">
        <v>1157</v>
      </c>
      <c r="M562" s="8" t="s">
        <v>1156</v>
      </c>
      <c r="N562" s="7">
        <v>2021</v>
      </c>
      <c r="O562" s="5">
        <v>449</v>
      </c>
      <c r="P562" s="5" t="s">
        <v>220</v>
      </c>
    </row>
    <row r="563" spans="1:16" ht="21.5" x14ac:dyDescent="0.9">
      <c r="A563" s="3" t="s">
        <v>1155</v>
      </c>
      <c r="D563" s="4">
        <v>7</v>
      </c>
      <c r="E563" s="4" t="b">
        <v>0</v>
      </c>
      <c r="H563" s="9" t="s">
        <v>1154</v>
      </c>
      <c r="I563" s="7" t="s">
        <v>1140</v>
      </c>
      <c r="J563" s="7" t="s">
        <v>1153</v>
      </c>
      <c r="K563" s="7" t="s">
        <v>403</v>
      </c>
      <c r="L563" s="8" t="s">
        <v>1152</v>
      </c>
      <c r="M563" s="8" t="s">
        <v>1151</v>
      </c>
      <c r="N563" s="7">
        <v>2021</v>
      </c>
      <c r="O563" s="5">
        <v>450</v>
      </c>
      <c r="P563" s="5" t="s">
        <v>220</v>
      </c>
    </row>
    <row r="564" spans="1:16" ht="21.5" x14ac:dyDescent="0.9">
      <c r="A564" s="3" t="s">
        <v>1150</v>
      </c>
      <c r="D564" s="4">
        <v>8</v>
      </c>
      <c r="E564" s="4" t="b">
        <v>0</v>
      </c>
      <c r="H564" s="9" t="s">
        <v>1149</v>
      </c>
      <c r="I564" s="7" t="s">
        <v>1140</v>
      </c>
      <c r="J564" s="7" t="s">
        <v>1139</v>
      </c>
      <c r="K564" s="7" t="s">
        <v>403</v>
      </c>
      <c r="L564" s="8" t="s">
        <v>1148</v>
      </c>
      <c r="M564" s="8" t="s">
        <v>1147</v>
      </c>
      <c r="N564" s="7">
        <v>2019</v>
      </c>
      <c r="O564" s="5">
        <v>451</v>
      </c>
      <c r="P564" s="5" t="s">
        <v>220</v>
      </c>
    </row>
    <row r="565" spans="1:16" ht="21.5" x14ac:dyDescent="0.9">
      <c r="A565" s="3" t="s">
        <v>1146</v>
      </c>
      <c r="D565" s="4">
        <v>9</v>
      </c>
      <c r="E565" s="4" t="b">
        <v>0</v>
      </c>
      <c r="H565" s="9" t="s">
        <v>1145</v>
      </c>
      <c r="I565" s="7" t="s">
        <v>1140</v>
      </c>
      <c r="J565" s="7" t="s">
        <v>1139</v>
      </c>
      <c r="K565" s="7" t="s">
        <v>403</v>
      </c>
      <c r="L565" s="8" t="s">
        <v>1144</v>
      </c>
      <c r="M565" s="8" t="s">
        <v>1143</v>
      </c>
      <c r="N565" s="7">
        <v>2021</v>
      </c>
      <c r="O565" s="5">
        <v>452</v>
      </c>
      <c r="P565" s="5" t="s">
        <v>220</v>
      </c>
    </row>
    <row r="566" spans="1:16" ht="21.5" x14ac:dyDescent="0.9">
      <c r="A566" s="3" t="s">
        <v>1142</v>
      </c>
      <c r="D566" s="4">
        <v>10</v>
      </c>
      <c r="E566" s="4" t="b">
        <v>0</v>
      </c>
      <c r="H566" s="9" t="s">
        <v>1141</v>
      </c>
      <c r="I566" s="7" t="s">
        <v>1140</v>
      </c>
      <c r="J566" s="7" t="s">
        <v>1139</v>
      </c>
      <c r="K566" s="7" t="s">
        <v>403</v>
      </c>
      <c r="L566" s="8" t="s">
        <v>1138</v>
      </c>
      <c r="M566" s="8" t="s">
        <v>1137</v>
      </c>
      <c r="N566" s="7">
        <v>2022</v>
      </c>
      <c r="O566" s="5">
        <v>453</v>
      </c>
      <c r="P566" s="5" t="s">
        <v>220</v>
      </c>
    </row>
    <row r="567" spans="1:16" ht="21.5" x14ac:dyDescent="0.9">
      <c r="H567" s="9" t="s">
        <v>1136</v>
      </c>
      <c r="I567" s="7" t="s">
        <v>1049</v>
      </c>
      <c r="J567" s="7" t="s">
        <v>1118</v>
      </c>
      <c r="K567" s="7" t="s">
        <v>403</v>
      </c>
      <c r="L567" s="8" t="s">
        <v>1135</v>
      </c>
      <c r="M567" s="8" t="s">
        <v>1134</v>
      </c>
      <c r="N567" s="7">
        <v>2017</v>
      </c>
      <c r="O567" s="5">
        <v>454</v>
      </c>
      <c r="P567" s="5" t="s">
        <v>220</v>
      </c>
    </row>
    <row r="568" spans="1:16" ht="21.5" x14ac:dyDescent="0.9">
      <c r="A568" s="3" t="s">
        <v>1133</v>
      </c>
      <c r="H568" s="9" t="s">
        <v>1132</v>
      </c>
      <c r="I568" s="7" t="s">
        <v>1049</v>
      </c>
      <c r="J568" s="7" t="s">
        <v>1118</v>
      </c>
      <c r="K568" s="7" t="s">
        <v>403</v>
      </c>
      <c r="L568" s="8" t="s">
        <v>1131</v>
      </c>
      <c r="M568" s="8" t="s">
        <v>1130</v>
      </c>
      <c r="N568" s="7">
        <v>2018</v>
      </c>
      <c r="O568" s="5">
        <v>455</v>
      </c>
      <c r="P568" s="5" t="s">
        <v>220</v>
      </c>
    </row>
    <row r="569" spans="1:16" ht="21.5" x14ac:dyDescent="0.9">
      <c r="A569" s="6" t="s">
        <v>34</v>
      </c>
      <c r="B569" s="6" t="s">
        <v>33</v>
      </c>
      <c r="C569" s="6" t="s">
        <v>32</v>
      </c>
      <c r="D569" s="6" t="s">
        <v>31</v>
      </c>
      <c r="E569" s="6" t="s">
        <v>0</v>
      </c>
      <c r="H569" s="9" t="s">
        <v>1129</v>
      </c>
      <c r="I569" s="7" t="s">
        <v>1049</v>
      </c>
      <c r="J569" s="7" t="s">
        <v>1118</v>
      </c>
      <c r="K569" s="7" t="s">
        <v>403</v>
      </c>
      <c r="L569" s="8" t="s">
        <v>1128</v>
      </c>
      <c r="M569" s="8" t="s">
        <v>1127</v>
      </c>
      <c r="N569" s="7">
        <v>2018</v>
      </c>
      <c r="O569" s="5">
        <v>456</v>
      </c>
      <c r="P569" s="5" t="s">
        <v>220</v>
      </c>
    </row>
    <row r="570" spans="1:16" ht="21.5" x14ac:dyDescent="0.9">
      <c r="A570" s="5" t="s">
        <v>1126</v>
      </c>
      <c r="B570" s="5" t="s">
        <v>1125</v>
      </c>
      <c r="C570" s="5"/>
      <c r="D570" s="5">
        <v>1</v>
      </c>
      <c r="E570" s="5" t="b">
        <v>1</v>
      </c>
      <c r="H570" s="9" t="s">
        <v>1124</v>
      </c>
      <c r="I570" s="7" t="s">
        <v>1049</v>
      </c>
      <c r="J570" s="7" t="s">
        <v>1118</v>
      </c>
      <c r="K570" s="7" t="s">
        <v>403</v>
      </c>
      <c r="L570" s="8" t="s">
        <v>1123</v>
      </c>
      <c r="M570" s="8" t="s">
        <v>1122</v>
      </c>
      <c r="N570" s="7">
        <v>2019</v>
      </c>
      <c r="O570" s="5">
        <v>457</v>
      </c>
      <c r="P570" s="5" t="s">
        <v>220</v>
      </c>
    </row>
    <row r="571" spans="1:16" ht="21.5" x14ac:dyDescent="0.9">
      <c r="A571" s="5" t="s">
        <v>1121</v>
      </c>
      <c r="B571" s="5" t="s">
        <v>1120</v>
      </c>
      <c r="C571" s="5"/>
      <c r="D571" s="5">
        <v>2</v>
      </c>
      <c r="E571" s="5" t="b">
        <v>1</v>
      </c>
      <c r="H571" s="9" t="s">
        <v>1119</v>
      </c>
      <c r="I571" s="7" t="s">
        <v>1049</v>
      </c>
      <c r="J571" s="7" t="s">
        <v>1118</v>
      </c>
      <c r="K571" s="7" t="s">
        <v>403</v>
      </c>
      <c r="L571" s="8" t="s">
        <v>1117</v>
      </c>
      <c r="M571" s="8" t="s">
        <v>1116</v>
      </c>
      <c r="N571" s="7">
        <v>2020</v>
      </c>
      <c r="O571" s="5">
        <v>458</v>
      </c>
      <c r="P571" s="5" t="s">
        <v>220</v>
      </c>
    </row>
    <row r="572" spans="1:16" ht="21.5" x14ac:dyDescent="0.9">
      <c r="A572" s="5" t="s">
        <v>1115</v>
      </c>
      <c r="B572" s="5" t="s">
        <v>1114</v>
      </c>
      <c r="C572" s="5"/>
      <c r="D572" s="5">
        <v>3</v>
      </c>
      <c r="E572" s="5" t="b">
        <v>1</v>
      </c>
      <c r="H572" s="9" t="s">
        <v>1113</v>
      </c>
      <c r="I572" s="7" t="s">
        <v>1049</v>
      </c>
      <c r="J572" s="7" t="s">
        <v>1066</v>
      </c>
      <c r="K572" s="7" t="s">
        <v>403</v>
      </c>
      <c r="L572" s="8" t="s">
        <v>1112</v>
      </c>
      <c r="M572" s="8" t="s">
        <v>1111</v>
      </c>
      <c r="N572" s="7">
        <v>2021</v>
      </c>
      <c r="O572" s="5">
        <v>459</v>
      </c>
      <c r="P572" s="5" t="s">
        <v>220</v>
      </c>
    </row>
    <row r="573" spans="1:16" ht="21.5" x14ac:dyDescent="0.9">
      <c r="A573" s="5" t="s">
        <v>1110</v>
      </c>
      <c r="B573" s="5" t="s">
        <v>1109</v>
      </c>
      <c r="C573" s="5"/>
      <c r="D573" s="5">
        <v>4</v>
      </c>
      <c r="E573" s="5" t="b">
        <v>1</v>
      </c>
      <c r="H573" s="9" t="s">
        <v>1108</v>
      </c>
      <c r="I573" s="7" t="s">
        <v>1049</v>
      </c>
      <c r="J573" s="7" t="s">
        <v>1066</v>
      </c>
      <c r="K573" s="7" t="s">
        <v>403</v>
      </c>
      <c r="L573" s="8" t="s">
        <v>1107</v>
      </c>
      <c r="M573" s="8" t="s">
        <v>1106</v>
      </c>
      <c r="N573" s="7">
        <v>2022</v>
      </c>
      <c r="O573" s="5">
        <v>460</v>
      </c>
      <c r="P573" s="5" t="s">
        <v>220</v>
      </c>
    </row>
    <row r="574" spans="1:16" ht="21.5" x14ac:dyDescent="0.9">
      <c r="A574" s="5" t="s">
        <v>1105</v>
      </c>
      <c r="B574" s="5" t="s">
        <v>1104</v>
      </c>
      <c r="C574" s="5"/>
      <c r="D574" s="5">
        <v>5</v>
      </c>
      <c r="E574" s="5" t="b">
        <v>1</v>
      </c>
      <c r="H574" s="9" t="s">
        <v>1103</v>
      </c>
      <c r="I574" s="7" t="s">
        <v>1049</v>
      </c>
      <c r="J574" s="7" t="s">
        <v>1066</v>
      </c>
      <c r="K574" s="7" t="s">
        <v>403</v>
      </c>
      <c r="L574" s="8" t="s">
        <v>1102</v>
      </c>
      <c r="M574" s="8" t="s">
        <v>1101</v>
      </c>
      <c r="N574" s="7">
        <v>2023</v>
      </c>
      <c r="O574" s="5">
        <v>461</v>
      </c>
      <c r="P574" s="5" t="s">
        <v>220</v>
      </c>
    </row>
    <row r="575" spans="1:16" ht="21.5" x14ac:dyDescent="0.9">
      <c r="A575" s="5" t="s">
        <v>1100</v>
      </c>
      <c r="B575" s="5" t="s">
        <v>1099</v>
      </c>
      <c r="C575" s="5"/>
      <c r="D575" s="5">
        <v>6</v>
      </c>
      <c r="E575" s="5" t="b">
        <v>1</v>
      </c>
      <c r="H575" s="9" t="s">
        <v>1098</v>
      </c>
      <c r="I575" s="7" t="s">
        <v>1049</v>
      </c>
      <c r="J575" s="7" t="s">
        <v>1094</v>
      </c>
      <c r="K575" s="7" t="s">
        <v>403</v>
      </c>
      <c r="L575" s="8" t="s">
        <v>1097</v>
      </c>
      <c r="M575" s="8" t="s">
        <v>1096</v>
      </c>
      <c r="N575" s="7">
        <v>2021</v>
      </c>
      <c r="O575" s="5">
        <v>462</v>
      </c>
      <c r="P575" s="5" t="s">
        <v>220</v>
      </c>
    </row>
    <row r="576" spans="1:16" ht="21.5" x14ac:dyDescent="0.9">
      <c r="H576" s="9" t="s">
        <v>1095</v>
      </c>
      <c r="I576" s="7" t="s">
        <v>1049</v>
      </c>
      <c r="J576" s="7" t="s">
        <v>1094</v>
      </c>
      <c r="K576" s="7" t="s">
        <v>403</v>
      </c>
      <c r="L576" s="8" t="s">
        <v>1093</v>
      </c>
      <c r="M576" s="8" t="s">
        <v>1092</v>
      </c>
      <c r="N576" s="7">
        <v>2023</v>
      </c>
      <c r="O576" s="5">
        <v>463</v>
      </c>
      <c r="P576" s="5" t="s">
        <v>220</v>
      </c>
    </row>
    <row r="577" spans="1:16" ht="27.5" x14ac:dyDescent="0.9">
      <c r="A577" s="10" t="s">
        <v>378</v>
      </c>
      <c r="H577" s="9" t="s">
        <v>1091</v>
      </c>
      <c r="I577" s="7" t="s">
        <v>1049</v>
      </c>
      <c r="J577" s="7" t="s">
        <v>1083</v>
      </c>
      <c r="K577" s="7" t="s">
        <v>403</v>
      </c>
      <c r="L577" s="8" t="s">
        <v>1090</v>
      </c>
      <c r="M577" s="8" t="s">
        <v>1089</v>
      </c>
      <c r="N577" s="7">
        <v>2021</v>
      </c>
      <c r="O577" s="5">
        <v>464</v>
      </c>
      <c r="P577" s="5" t="s">
        <v>220</v>
      </c>
    </row>
    <row r="578" spans="1:16" ht="35" x14ac:dyDescent="0.9">
      <c r="A578" s="99" t="s">
        <v>1088</v>
      </c>
      <c r="B578" s="99"/>
      <c r="C578" s="99"/>
      <c r="D578" s="99"/>
      <c r="E578" s="99"/>
      <c r="H578" s="9" t="s">
        <v>1087</v>
      </c>
      <c r="I578" s="7" t="s">
        <v>1049</v>
      </c>
      <c r="J578" s="7" t="s">
        <v>1083</v>
      </c>
      <c r="K578" s="7" t="s">
        <v>403</v>
      </c>
      <c r="L578" s="8" t="s">
        <v>1086</v>
      </c>
      <c r="M578" s="8" t="s">
        <v>1085</v>
      </c>
      <c r="N578" s="7">
        <v>2021</v>
      </c>
      <c r="O578" s="5">
        <v>465</v>
      </c>
      <c r="P578" s="5" t="s">
        <v>220</v>
      </c>
    </row>
    <row r="579" spans="1:16" ht="27.5" x14ac:dyDescent="0.9">
      <c r="A579" s="10" t="s">
        <v>378</v>
      </c>
      <c r="H579" s="9" t="s">
        <v>1084</v>
      </c>
      <c r="I579" s="7" t="s">
        <v>1049</v>
      </c>
      <c r="J579" s="7" t="s">
        <v>1083</v>
      </c>
      <c r="K579" s="7" t="s">
        <v>403</v>
      </c>
      <c r="L579" s="8" t="s">
        <v>1082</v>
      </c>
      <c r="M579" s="8" t="s">
        <v>1081</v>
      </c>
      <c r="N579" s="7">
        <v>2022</v>
      </c>
      <c r="O579" s="5">
        <v>466</v>
      </c>
      <c r="P579" s="5" t="s">
        <v>220</v>
      </c>
    </row>
    <row r="580" spans="1:16" ht="21.5" x14ac:dyDescent="0.9">
      <c r="H580" s="9" t="s">
        <v>1080</v>
      </c>
      <c r="I580" s="7" t="s">
        <v>1049</v>
      </c>
      <c r="J580" s="7" t="s">
        <v>1075</v>
      </c>
      <c r="K580" s="7" t="s">
        <v>403</v>
      </c>
      <c r="L580" s="8" t="s">
        <v>1079</v>
      </c>
      <c r="M580" s="8" t="s">
        <v>1078</v>
      </c>
      <c r="N580" s="7">
        <v>2022</v>
      </c>
      <c r="O580" s="5">
        <v>467</v>
      </c>
      <c r="P580" s="5" t="s">
        <v>220</v>
      </c>
    </row>
    <row r="581" spans="1:16" ht="21.5" x14ac:dyDescent="0.9">
      <c r="A581" s="3" t="s">
        <v>1077</v>
      </c>
      <c r="H581" s="9" t="s">
        <v>1076</v>
      </c>
      <c r="I581" s="7" t="s">
        <v>1049</v>
      </c>
      <c r="J581" s="7" t="s">
        <v>1075</v>
      </c>
      <c r="K581" s="7" t="s">
        <v>403</v>
      </c>
      <c r="L581" s="8" t="s">
        <v>1074</v>
      </c>
      <c r="M581" s="8" t="s">
        <v>1073</v>
      </c>
      <c r="N581" s="7">
        <v>2023</v>
      </c>
      <c r="O581" s="5">
        <v>468</v>
      </c>
      <c r="P581" s="5" t="s">
        <v>220</v>
      </c>
    </row>
    <row r="582" spans="1:16" ht="21.5" x14ac:dyDescent="0.9">
      <c r="A582" s="6" t="s">
        <v>34</v>
      </c>
      <c r="B582" s="6" t="s">
        <v>33</v>
      </c>
      <c r="C582" s="6" t="s">
        <v>32</v>
      </c>
      <c r="D582" s="6" t="s">
        <v>31</v>
      </c>
      <c r="E582" s="6" t="s">
        <v>0</v>
      </c>
      <c r="H582" s="9" t="s">
        <v>1072</v>
      </c>
      <c r="I582" s="7" t="s">
        <v>1049</v>
      </c>
      <c r="J582" s="7" t="s">
        <v>1066</v>
      </c>
      <c r="K582" s="7" t="s">
        <v>403</v>
      </c>
      <c r="L582" s="8" t="s">
        <v>1071</v>
      </c>
      <c r="M582" s="8" t="s">
        <v>1070</v>
      </c>
      <c r="N582" s="7">
        <v>2022</v>
      </c>
      <c r="O582" s="5">
        <v>469</v>
      </c>
      <c r="P582" s="5" t="s">
        <v>220</v>
      </c>
    </row>
    <row r="583" spans="1:16" ht="21.5" x14ac:dyDescent="0.9">
      <c r="A583" s="5" t="s">
        <v>1069</v>
      </c>
      <c r="B583" s="5" t="s">
        <v>1068</v>
      </c>
      <c r="C583" s="5"/>
      <c r="D583" s="5">
        <v>1</v>
      </c>
      <c r="E583" s="5" t="b">
        <v>1</v>
      </c>
      <c r="H583" s="9" t="s">
        <v>1067</v>
      </c>
      <c r="I583" s="7" t="s">
        <v>1049</v>
      </c>
      <c r="J583" s="7" t="s">
        <v>1066</v>
      </c>
      <c r="K583" s="7" t="s">
        <v>403</v>
      </c>
      <c r="L583" s="8" t="s">
        <v>1065</v>
      </c>
      <c r="M583" s="8" t="s">
        <v>1064</v>
      </c>
      <c r="N583" s="7">
        <v>2023</v>
      </c>
      <c r="O583" s="5">
        <v>470</v>
      </c>
      <c r="P583" s="5" t="s">
        <v>220</v>
      </c>
    </row>
    <row r="584" spans="1:16" ht="21.5" x14ac:dyDescent="0.9">
      <c r="A584" s="5" t="s">
        <v>1063</v>
      </c>
      <c r="B584" s="5" t="s">
        <v>1062</v>
      </c>
      <c r="C584" s="5"/>
      <c r="D584" s="5">
        <v>2</v>
      </c>
      <c r="E584" s="5" t="b">
        <v>1</v>
      </c>
      <c r="H584" s="9" t="s">
        <v>1061</v>
      </c>
      <c r="I584" s="7" t="s">
        <v>1049</v>
      </c>
      <c r="J584" s="7" t="s">
        <v>1055</v>
      </c>
      <c r="K584" s="7" t="s">
        <v>386</v>
      </c>
      <c r="L584" s="8" t="s">
        <v>1060</v>
      </c>
      <c r="M584" s="8" t="s">
        <v>1059</v>
      </c>
      <c r="N584" s="7">
        <v>2022</v>
      </c>
      <c r="O584" s="5">
        <v>471</v>
      </c>
      <c r="P584" s="5" t="s">
        <v>220</v>
      </c>
    </row>
    <row r="585" spans="1:16" ht="21.5" x14ac:dyDescent="0.9">
      <c r="A585" s="5" t="s">
        <v>1058</v>
      </c>
      <c r="B585" s="5" t="s">
        <v>1057</v>
      </c>
      <c r="C585" s="5"/>
      <c r="D585" s="5">
        <v>3</v>
      </c>
      <c r="E585" s="5" t="b">
        <v>1</v>
      </c>
      <c r="H585" s="9" t="s">
        <v>1056</v>
      </c>
      <c r="I585" s="7" t="s">
        <v>1049</v>
      </c>
      <c r="J585" s="7" t="s">
        <v>1055</v>
      </c>
      <c r="K585" s="7" t="s">
        <v>386</v>
      </c>
      <c r="L585" s="8" t="s">
        <v>1054</v>
      </c>
      <c r="M585" s="8" t="s">
        <v>1053</v>
      </c>
      <c r="N585" s="7">
        <v>2022</v>
      </c>
      <c r="O585" s="5">
        <v>472</v>
      </c>
      <c r="P585" s="5" t="s">
        <v>220</v>
      </c>
    </row>
    <row r="586" spans="1:16" ht="21.5" x14ac:dyDescent="0.9">
      <c r="A586" s="5" t="s">
        <v>1052</v>
      </c>
      <c r="B586" s="5" t="s">
        <v>1051</v>
      </c>
      <c r="C586" s="5"/>
      <c r="D586" s="5">
        <v>4</v>
      </c>
      <c r="E586" s="5" t="b">
        <v>1</v>
      </c>
      <c r="H586" s="9" t="s">
        <v>1050</v>
      </c>
      <c r="I586" s="7" t="s">
        <v>1049</v>
      </c>
      <c r="J586" s="7" t="s">
        <v>1048</v>
      </c>
      <c r="K586" s="7" t="s">
        <v>403</v>
      </c>
      <c r="L586" s="8" t="s">
        <v>1047</v>
      </c>
      <c r="M586" s="8" t="s">
        <v>1046</v>
      </c>
      <c r="N586" s="7">
        <v>2024</v>
      </c>
      <c r="O586" s="5">
        <v>473</v>
      </c>
      <c r="P586" s="5" t="s">
        <v>220</v>
      </c>
    </row>
    <row r="587" spans="1:16" ht="21.5" x14ac:dyDescent="0.9">
      <c r="A587" s="5" t="s">
        <v>1045</v>
      </c>
      <c r="B587" s="5" t="s">
        <v>1044</v>
      </c>
      <c r="C587" s="5"/>
      <c r="D587" s="5">
        <v>5</v>
      </c>
      <c r="E587" s="5" t="b">
        <v>1</v>
      </c>
      <c r="H587" s="9" t="s">
        <v>1043</v>
      </c>
      <c r="I587" s="7" t="s">
        <v>240</v>
      </c>
      <c r="J587" s="7" t="s">
        <v>977</v>
      </c>
      <c r="K587" s="7" t="s">
        <v>403</v>
      </c>
      <c r="L587" s="8" t="s">
        <v>1042</v>
      </c>
      <c r="M587" s="8" t="s">
        <v>1041</v>
      </c>
      <c r="N587" s="7">
        <v>2018</v>
      </c>
      <c r="O587" s="5">
        <v>474</v>
      </c>
      <c r="P587" s="5" t="s">
        <v>220</v>
      </c>
    </row>
    <row r="588" spans="1:16" ht="21.5" x14ac:dyDescent="0.9">
      <c r="A588" s="5" t="s">
        <v>1040</v>
      </c>
      <c r="B588" s="5" t="s">
        <v>1039</v>
      </c>
      <c r="C588" s="5"/>
      <c r="D588" s="5">
        <v>6</v>
      </c>
      <c r="E588" s="5" t="b">
        <v>1</v>
      </c>
      <c r="H588" s="9" t="s">
        <v>1038</v>
      </c>
      <c r="I588" s="7" t="s">
        <v>240</v>
      </c>
      <c r="J588" s="7" t="s">
        <v>977</v>
      </c>
      <c r="K588" s="7" t="s">
        <v>403</v>
      </c>
      <c r="L588" s="8" t="s">
        <v>1037</v>
      </c>
      <c r="M588" s="8" t="s">
        <v>1036</v>
      </c>
      <c r="N588" s="7">
        <v>2019</v>
      </c>
      <c r="O588" s="5">
        <v>475</v>
      </c>
      <c r="P588" s="5" t="s">
        <v>220</v>
      </c>
    </row>
    <row r="589" spans="1:16" ht="21.5" x14ac:dyDescent="0.9">
      <c r="A589" s="5" t="s">
        <v>1035</v>
      </c>
      <c r="B589" s="5" t="s">
        <v>1034</v>
      </c>
      <c r="C589" s="5"/>
      <c r="D589" s="5">
        <v>7</v>
      </c>
      <c r="E589" s="5" t="b">
        <v>1</v>
      </c>
      <c r="H589" s="9" t="s">
        <v>1033</v>
      </c>
      <c r="I589" s="7" t="s">
        <v>240</v>
      </c>
      <c r="J589" s="7" t="s">
        <v>977</v>
      </c>
      <c r="K589" s="7" t="s">
        <v>403</v>
      </c>
      <c r="L589" s="8" t="s">
        <v>1032</v>
      </c>
      <c r="M589" s="8" t="s">
        <v>1031</v>
      </c>
      <c r="N589" s="7">
        <v>2020</v>
      </c>
      <c r="O589" s="5">
        <v>476</v>
      </c>
      <c r="P589" s="5" t="s">
        <v>220</v>
      </c>
    </row>
    <row r="590" spans="1:16" ht="21.5" x14ac:dyDescent="0.9">
      <c r="A590" s="5" t="s">
        <v>1030</v>
      </c>
      <c r="B590" s="5" t="s">
        <v>1029</v>
      </c>
      <c r="C590" s="5"/>
      <c r="D590" s="5">
        <v>8</v>
      </c>
      <c r="E590" s="5" t="b">
        <v>1</v>
      </c>
      <c r="H590" s="9" t="s">
        <v>1028</v>
      </c>
      <c r="I590" s="7" t="s">
        <v>240</v>
      </c>
      <c r="J590" s="7" t="s">
        <v>977</v>
      </c>
      <c r="K590" s="7" t="s">
        <v>403</v>
      </c>
      <c r="L590" s="8" t="s">
        <v>1027</v>
      </c>
      <c r="M590" s="8" t="s">
        <v>1026</v>
      </c>
      <c r="N590" s="7">
        <v>2021</v>
      </c>
      <c r="O590" s="5">
        <v>477</v>
      </c>
      <c r="P590" s="5" t="s">
        <v>220</v>
      </c>
    </row>
    <row r="591" spans="1:16" ht="21.5" x14ac:dyDescent="0.9">
      <c r="H591" s="9" t="s">
        <v>1025</v>
      </c>
      <c r="I591" s="7" t="s">
        <v>240</v>
      </c>
      <c r="J591" s="7" t="s">
        <v>977</v>
      </c>
      <c r="K591" s="7" t="s">
        <v>403</v>
      </c>
      <c r="L591" s="8" t="s">
        <v>1024</v>
      </c>
      <c r="M591" s="8" t="s">
        <v>1023</v>
      </c>
      <c r="N591" s="7">
        <v>2022</v>
      </c>
      <c r="O591" s="5">
        <v>478</v>
      </c>
      <c r="P591" s="5" t="s">
        <v>220</v>
      </c>
    </row>
    <row r="592" spans="1:16" ht="21.5" x14ac:dyDescent="0.9">
      <c r="A592" s="3" t="s">
        <v>1022</v>
      </c>
      <c r="H592" s="9" t="s">
        <v>1021</v>
      </c>
      <c r="I592" s="7" t="s">
        <v>240</v>
      </c>
      <c r="J592" s="7" t="s">
        <v>977</v>
      </c>
      <c r="K592" s="7" t="s">
        <v>403</v>
      </c>
      <c r="L592" s="8" t="s">
        <v>1020</v>
      </c>
      <c r="M592" s="8" t="s">
        <v>1019</v>
      </c>
      <c r="N592" s="7">
        <v>2023</v>
      </c>
      <c r="O592" s="5">
        <v>479</v>
      </c>
      <c r="P592" s="5" t="s">
        <v>220</v>
      </c>
    </row>
    <row r="593" spans="1:16" ht="21.5" x14ac:dyDescent="0.9">
      <c r="A593" s="6" t="s">
        <v>34</v>
      </c>
      <c r="B593" s="6" t="s">
        <v>33</v>
      </c>
      <c r="C593" s="6" t="s">
        <v>32</v>
      </c>
      <c r="D593" s="6" t="s">
        <v>31</v>
      </c>
      <c r="E593" s="6" t="s">
        <v>0</v>
      </c>
      <c r="H593" s="9" t="s">
        <v>1018</v>
      </c>
      <c r="I593" s="7" t="s">
        <v>240</v>
      </c>
      <c r="J593" s="7" t="s">
        <v>239</v>
      </c>
      <c r="K593" s="7" t="s">
        <v>403</v>
      </c>
      <c r="L593" s="8" t="s">
        <v>1017</v>
      </c>
      <c r="M593" s="8" t="s">
        <v>1016</v>
      </c>
      <c r="N593" s="7">
        <v>2018</v>
      </c>
      <c r="O593" s="5">
        <v>480</v>
      </c>
      <c r="P593" s="5" t="s">
        <v>220</v>
      </c>
    </row>
    <row r="594" spans="1:16" ht="21.5" x14ac:dyDescent="0.9">
      <c r="A594" s="5" t="s">
        <v>1015</v>
      </c>
      <c r="B594" s="5" t="s">
        <v>1014</v>
      </c>
      <c r="C594" s="5"/>
      <c r="D594" s="5">
        <v>1</v>
      </c>
      <c r="E594" s="5" t="b">
        <v>1</v>
      </c>
      <c r="H594" s="9" t="s">
        <v>1013</v>
      </c>
      <c r="I594" s="7" t="s">
        <v>240</v>
      </c>
      <c r="J594" s="7" t="s">
        <v>239</v>
      </c>
      <c r="K594" s="7" t="s">
        <v>403</v>
      </c>
      <c r="L594" s="8" t="s">
        <v>1012</v>
      </c>
      <c r="M594" s="8" t="s">
        <v>1011</v>
      </c>
      <c r="N594" s="7">
        <v>2019</v>
      </c>
      <c r="O594" s="5">
        <v>481</v>
      </c>
      <c r="P594" s="5" t="s">
        <v>220</v>
      </c>
    </row>
    <row r="595" spans="1:16" ht="21.5" x14ac:dyDescent="0.9">
      <c r="A595" s="5" t="s">
        <v>1010</v>
      </c>
      <c r="B595" s="5" t="s">
        <v>1009</v>
      </c>
      <c r="C595" s="5"/>
      <c r="D595" s="5">
        <v>2</v>
      </c>
      <c r="E595" s="5" t="b">
        <v>1</v>
      </c>
      <c r="H595" s="9" t="s">
        <v>1008</v>
      </c>
      <c r="I595" s="7" t="s">
        <v>240</v>
      </c>
      <c r="J595" s="7" t="s">
        <v>239</v>
      </c>
      <c r="K595" s="7" t="s">
        <v>403</v>
      </c>
      <c r="L595" s="8" t="s">
        <v>1007</v>
      </c>
      <c r="M595" s="8" t="s">
        <v>1006</v>
      </c>
      <c r="N595" s="7">
        <v>2021</v>
      </c>
      <c r="O595" s="5">
        <v>482</v>
      </c>
      <c r="P595" s="5" t="s">
        <v>220</v>
      </c>
    </row>
    <row r="596" spans="1:16" ht="21.5" x14ac:dyDescent="0.9">
      <c r="A596" s="5" t="s">
        <v>1005</v>
      </c>
      <c r="B596" s="5" t="s">
        <v>1004</v>
      </c>
      <c r="C596" s="5"/>
      <c r="D596" s="5">
        <v>3</v>
      </c>
      <c r="E596" s="5" t="b">
        <v>1</v>
      </c>
      <c r="H596" s="9" t="s">
        <v>1003</v>
      </c>
      <c r="I596" s="7" t="s">
        <v>240</v>
      </c>
      <c r="J596" s="7" t="s">
        <v>239</v>
      </c>
      <c r="K596" s="7" t="s">
        <v>403</v>
      </c>
      <c r="L596" s="8" t="s">
        <v>1002</v>
      </c>
      <c r="M596" s="8" t="s">
        <v>975</v>
      </c>
      <c r="N596" s="7">
        <v>2024</v>
      </c>
      <c r="O596" s="5">
        <v>483</v>
      </c>
      <c r="P596" s="5" t="s">
        <v>220</v>
      </c>
    </row>
    <row r="597" spans="1:16" ht="21.5" x14ac:dyDescent="0.9">
      <c r="A597" s="5" t="s">
        <v>1001</v>
      </c>
      <c r="B597" s="5" t="s">
        <v>594</v>
      </c>
      <c r="C597" s="5"/>
      <c r="D597" s="5">
        <v>4</v>
      </c>
      <c r="E597" s="5" t="b">
        <v>1</v>
      </c>
      <c r="H597" s="9" t="s">
        <v>1000</v>
      </c>
      <c r="I597" s="7" t="s">
        <v>240</v>
      </c>
      <c r="J597" s="7" t="s">
        <v>239</v>
      </c>
      <c r="K597" s="7" t="s">
        <v>403</v>
      </c>
      <c r="L597" s="8" t="s">
        <v>999</v>
      </c>
      <c r="M597" s="8" t="s">
        <v>998</v>
      </c>
      <c r="N597" s="7">
        <v>2020</v>
      </c>
      <c r="O597" s="5">
        <v>484</v>
      </c>
      <c r="P597" s="5" t="s">
        <v>220</v>
      </c>
    </row>
    <row r="598" spans="1:16" ht="21.5" x14ac:dyDescent="0.9">
      <c r="A598" s="5" t="s">
        <v>997</v>
      </c>
      <c r="B598" s="5" t="s">
        <v>606</v>
      </c>
      <c r="C598" s="5"/>
      <c r="D598" s="5">
        <v>5</v>
      </c>
      <c r="E598" s="5" t="b">
        <v>1</v>
      </c>
      <c r="H598" s="9" t="s">
        <v>996</v>
      </c>
      <c r="I598" s="7" t="s">
        <v>240</v>
      </c>
      <c r="J598" s="7" t="s">
        <v>239</v>
      </c>
      <c r="K598" s="7" t="s">
        <v>403</v>
      </c>
      <c r="L598" s="8" t="s">
        <v>995</v>
      </c>
      <c r="M598" s="8" t="s">
        <v>994</v>
      </c>
      <c r="N598" s="7">
        <v>2021</v>
      </c>
      <c r="O598" s="5">
        <v>485</v>
      </c>
      <c r="P598" s="5" t="s">
        <v>220</v>
      </c>
    </row>
    <row r="599" spans="1:16" ht="21.5" x14ac:dyDescent="0.9">
      <c r="A599" s="5" t="s">
        <v>993</v>
      </c>
      <c r="B599" s="5" t="s">
        <v>992</v>
      </c>
      <c r="C599" s="5"/>
      <c r="D599" s="5">
        <v>6</v>
      </c>
      <c r="E599" s="5" t="b">
        <v>1</v>
      </c>
      <c r="H599" s="9" t="s">
        <v>991</v>
      </c>
      <c r="I599" s="7" t="s">
        <v>240</v>
      </c>
      <c r="J599" s="7" t="s">
        <v>239</v>
      </c>
      <c r="K599" s="7" t="s">
        <v>403</v>
      </c>
      <c r="L599" s="8" t="s">
        <v>990</v>
      </c>
      <c r="M599" s="8" t="s">
        <v>987</v>
      </c>
      <c r="N599" s="7">
        <v>2022</v>
      </c>
      <c r="O599" s="5">
        <v>486</v>
      </c>
      <c r="P599" s="5" t="s">
        <v>220</v>
      </c>
    </row>
    <row r="600" spans="1:16" ht="21.5" x14ac:dyDescent="0.9">
      <c r="H600" s="9" t="s">
        <v>989</v>
      </c>
      <c r="I600" s="7" t="s">
        <v>240</v>
      </c>
      <c r="J600" s="7" t="s">
        <v>239</v>
      </c>
      <c r="K600" s="7" t="s">
        <v>403</v>
      </c>
      <c r="L600" s="8" t="s">
        <v>988</v>
      </c>
      <c r="M600" s="8" t="s">
        <v>987</v>
      </c>
      <c r="N600" s="7">
        <v>2022</v>
      </c>
      <c r="O600" s="5">
        <v>487</v>
      </c>
      <c r="P600" s="5" t="s">
        <v>220</v>
      </c>
    </row>
    <row r="601" spans="1:16" ht="21.5" x14ac:dyDescent="0.9">
      <c r="A601" s="5"/>
      <c r="B601" s="5"/>
      <c r="C601" s="5"/>
      <c r="D601" s="5"/>
      <c r="E601" s="5"/>
      <c r="H601" s="9" t="s">
        <v>986</v>
      </c>
      <c r="I601" s="7" t="s">
        <v>240</v>
      </c>
      <c r="J601" s="7" t="s">
        <v>239</v>
      </c>
      <c r="K601" s="7" t="s">
        <v>403</v>
      </c>
      <c r="L601" s="8" t="s">
        <v>985</v>
      </c>
      <c r="M601" s="8" t="s">
        <v>982</v>
      </c>
      <c r="N601" s="7">
        <v>2023</v>
      </c>
      <c r="O601" s="5">
        <v>488</v>
      </c>
      <c r="P601" s="5" t="s">
        <v>220</v>
      </c>
    </row>
    <row r="602" spans="1:16" ht="27.5" x14ac:dyDescent="0.9">
      <c r="A602" s="10" t="s">
        <v>378</v>
      </c>
      <c r="B602" s="5"/>
      <c r="C602" s="5"/>
      <c r="D602" s="5"/>
      <c r="E602" s="5"/>
      <c r="H602" s="9" t="s">
        <v>984</v>
      </c>
      <c r="I602" s="7" t="s">
        <v>240</v>
      </c>
      <c r="J602" s="7" t="s">
        <v>239</v>
      </c>
      <c r="K602" s="7" t="s">
        <v>403</v>
      </c>
      <c r="L602" s="8" t="s">
        <v>983</v>
      </c>
      <c r="M602" s="8" t="s">
        <v>982</v>
      </c>
      <c r="N602" s="7">
        <v>2023</v>
      </c>
      <c r="O602" s="5">
        <v>489</v>
      </c>
      <c r="P602" s="5" t="s">
        <v>220</v>
      </c>
    </row>
    <row r="603" spans="1:16" ht="35" x14ac:dyDescent="0.9">
      <c r="A603" s="99" t="s">
        <v>981</v>
      </c>
      <c r="B603" s="99"/>
      <c r="C603" s="99"/>
      <c r="D603" s="99"/>
      <c r="E603" s="99"/>
      <c r="H603" s="9" t="s">
        <v>980</v>
      </c>
      <c r="I603" s="7" t="s">
        <v>240</v>
      </c>
      <c r="J603" s="7" t="s">
        <v>239</v>
      </c>
      <c r="K603" s="7" t="s">
        <v>403</v>
      </c>
      <c r="L603" s="8" t="s">
        <v>979</v>
      </c>
      <c r="M603" s="8" t="s">
        <v>975</v>
      </c>
      <c r="N603" s="7">
        <v>2024</v>
      </c>
      <c r="O603" s="5">
        <v>490</v>
      </c>
      <c r="P603" s="5" t="s">
        <v>220</v>
      </c>
    </row>
    <row r="604" spans="1:16" ht="27.5" x14ac:dyDescent="0.9">
      <c r="A604" s="10" t="s">
        <v>378</v>
      </c>
      <c r="B604" s="5"/>
      <c r="C604" s="5"/>
      <c r="D604" s="5"/>
      <c r="E604" s="5"/>
      <c r="H604" s="9" t="s">
        <v>978</v>
      </c>
      <c r="I604" s="7" t="s">
        <v>240</v>
      </c>
      <c r="J604" s="7" t="s">
        <v>977</v>
      </c>
      <c r="K604" s="7" t="s">
        <v>403</v>
      </c>
      <c r="L604" s="8" t="s">
        <v>976</v>
      </c>
      <c r="M604" s="8" t="s">
        <v>975</v>
      </c>
      <c r="N604" s="7">
        <v>2024</v>
      </c>
      <c r="O604" s="5">
        <v>491</v>
      </c>
      <c r="P604" s="5" t="s">
        <v>220</v>
      </c>
    </row>
    <row r="605" spans="1:16" ht="21.5" x14ac:dyDescent="0.9">
      <c r="H605" s="9" t="s">
        <v>974</v>
      </c>
      <c r="I605" s="7" t="s">
        <v>240</v>
      </c>
      <c r="J605" s="7" t="s">
        <v>969</v>
      </c>
      <c r="K605" s="7" t="s">
        <v>386</v>
      </c>
      <c r="L605" s="8" t="s">
        <v>973</v>
      </c>
      <c r="M605" s="8" t="s">
        <v>972</v>
      </c>
      <c r="N605" s="7">
        <v>2016</v>
      </c>
      <c r="O605" s="5">
        <v>492</v>
      </c>
      <c r="P605" s="5" t="s">
        <v>220</v>
      </c>
    </row>
    <row r="606" spans="1:16" ht="21.5" x14ac:dyDescent="0.9">
      <c r="A606" s="3" t="s">
        <v>971</v>
      </c>
      <c r="H606" s="9" t="s">
        <v>970</v>
      </c>
      <c r="I606" s="7" t="s">
        <v>240</v>
      </c>
      <c r="J606" s="7" t="s">
        <v>969</v>
      </c>
      <c r="K606" s="7" t="s">
        <v>386</v>
      </c>
      <c r="L606" s="8" t="s">
        <v>968</v>
      </c>
      <c r="M606" s="8" t="s">
        <v>967</v>
      </c>
      <c r="N606" s="7">
        <v>2023</v>
      </c>
      <c r="O606" s="5">
        <v>493</v>
      </c>
      <c r="P606" s="5" t="s">
        <v>220</v>
      </c>
    </row>
    <row r="607" spans="1:16" ht="21.5" x14ac:dyDescent="0.9">
      <c r="A607" s="6" t="s">
        <v>34</v>
      </c>
      <c r="B607" s="6" t="s">
        <v>33</v>
      </c>
      <c r="C607" s="6" t="s">
        <v>32</v>
      </c>
      <c r="D607" s="6" t="s">
        <v>31</v>
      </c>
      <c r="E607" s="6" t="s">
        <v>0</v>
      </c>
      <c r="H607" s="9" t="s">
        <v>966</v>
      </c>
      <c r="I607" s="7" t="s">
        <v>837</v>
      </c>
      <c r="J607" s="7" t="s">
        <v>861</v>
      </c>
      <c r="K607" s="7" t="s">
        <v>403</v>
      </c>
      <c r="L607" s="8" t="s">
        <v>965</v>
      </c>
      <c r="M607" s="8" t="s">
        <v>964</v>
      </c>
      <c r="N607" s="7">
        <v>2014</v>
      </c>
      <c r="O607" s="5">
        <v>494</v>
      </c>
      <c r="P607" s="5" t="s">
        <v>220</v>
      </c>
    </row>
    <row r="608" spans="1:16" ht="21.5" x14ac:dyDescent="0.9">
      <c r="A608" s="16" t="s">
        <v>963</v>
      </c>
      <c r="B608" s="16" t="s">
        <v>962</v>
      </c>
      <c r="C608" s="16" t="s">
        <v>962</v>
      </c>
      <c r="D608" s="5">
        <v>1</v>
      </c>
      <c r="E608" s="5" t="b">
        <v>1</v>
      </c>
      <c r="H608" s="9" t="s">
        <v>961</v>
      </c>
      <c r="I608" s="7" t="s">
        <v>837</v>
      </c>
      <c r="J608" s="7" t="s">
        <v>861</v>
      </c>
      <c r="K608" s="7" t="s">
        <v>403</v>
      </c>
      <c r="L608" s="8" t="s">
        <v>960</v>
      </c>
      <c r="M608" s="8" t="s">
        <v>959</v>
      </c>
      <c r="N608" s="7">
        <v>2015</v>
      </c>
      <c r="O608" s="5">
        <v>495</v>
      </c>
      <c r="P608" s="5" t="s">
        <v>220</v>
      </c>
    </row>
    <row r="609" spans="1:16" ht="21.5" x14ac:dyDescent="0.9">
      <c r="A609" s="16" t="s">
        <v>958</v>
      </c>
      <c r="B609" s="16" t="s">
        <v>957</v>
      </c>
      <c r="C609" s="16" t="s">
        <v>957</v>
      </c>
      <c r="D609" s="5">
        <v>2</v>
      </c>
      <c r="E609" s="5" t="b">
        <v>1</v>
      </c>
      <c r="H609" s="9" t="s">
        <v>956</v>
      </c>
      <c r="I609" s="7" t="s">
        <v>837</v>
      </c>
      <c r="J609" s="7" t="s">
        <v>861</v>
      </c>
      <c r="K609" s="7" t="s">
        <v>403</v>
      </c>
      <c r="L609" s="8" t="s">
        <v>955</v>
      </c>
      <c r="M609" s="8" t="s">
        <v>954</v>
      </c>
      <c r="N609" s="7">
        <v>2016</v>
      </c>
      <c r="O609" s="5">
        <v>496</v>
      </c>
      <c r="P609" s="5" t="s">
        <v>220</v>
      </c>
    </row>
    <row r="610" spans="1:16" ht="21.5" x14ac:dyDescent="0.9">
      <c r="A610" s="16" t="s">
        <v>953</v>
      </c>
      <c r="B610" s="16" t="s">
        <v>952</v>
      </c>
      <c r="C610" s="16" t="s">
        <v>952</v>
      </c>
      <c r="D610" s="5">
        <v>3</v>
      </c>
      <c r="E610" s="5" t="b">
        <v>1</v>
      </c>
      <c r="H610" s="9" t="s">
        <v>951</v>
      </c>
      <c r="I610" s="7" t="s">
        <v>837</v>
      </c>
      <c r="J610" s="7" t="s">
        <v>861</v>
      </c>
      <c r="K610" s="7" t="s">
        <v>403</v>
      </c>
      <c r="L610" s="8" t="s">
        <v>950</v>
      </c>
      <c r="M610" s="8" t="s">
        <v>949</v>
      </c>
      <c r="N610" s="7">
        <v>2016</v>
      </c>
      <c r="O610" s="5">
        <v>497</v>
      </c>
      <c r="P610" s="5" t="s">
        <v>220</v>
      </c>
    </row>
    <row r="611" spans="1:16" ht="21.5" x14ac:dyDescent="0.9">
      <c r="A611" s="16" t="s">
        <v>948</v>
      </c>
      <c r="B611" s="16" t="s">
        <v>947</v>
      </c>
      <c r="C611" s="16" t="s">
        <v>947</v>
      </c>
      <c r="D611" s="5">
        <v>4</v>
      </c>
      <c r="E611" s="5" t="b">
        <v>1</v>
      </c>
      <c r="H611" s="9" t="s">
        <v>946</v>
      </c>
      <c r="I611" s="7" t="s">
        <v>837</v>
      </c>
      <c r="J611" s="7" t="s">
        <v>861</v>
      </c>
      <c r="K611" s="7" t="s">
        <v>403</v>
      </c>
      <c r="L611" s="8" t="s">
        <v>945</v>
      </c>
      <c r="M611" s="8" t="s">
        <v>944</v>
      </c>
      <c r="N611" s="7">
        <v>2017</v>
      </c>
      <c r="O611" s="5">
        <v>498</v>
      </c>
      <c r="P611" s="5" t="s">
        <v>220</v>
      </c>
    </row>
    <row r="612" spans="1:16" ht="21.5" x14ac:dyDescent="0.9">
      <c r="A612" s="16" t="s">
        <v>943</v>
      </c>
      <c r="B612" s="16" t="s">
        <v>942</v>
      </c>
      <c r="C612" s="16" t="s">
        <v>942</v>
      </c>
      <c r="D612" s="5">
        <v>5</v>
      </c>
      <c r="E612" s="5" t="b">
        <v>1</v>
      </c>
      <c r="H612" s="9" t="s">
        <v>941</v>
      </c>
      <c r="I612" s="7" t="s">
        <v>837</v>
      </c>
      <c r="J612" s="7" t="s">
        <v>861</v>
      </c>
      <c r="K612" s="7" t="s">
        <v>403</v>
      </c>
      <c r="L612" s="8" t="s">
        <v>940</v>
      </c>
      <c r="M612" s="8" t="s">
        <v>939</v>
      </c>
      <c r="N612" s="7">
        <v>2017</v>
      </c>
      <c r="O612" s="5">
        <v>499</v>
      </c>
      <c r="P612" s="5" t="s">
        <v>220</v>
      </c>
    </row>
    <row r="613" spans="1:16" ht="21.5" x14ac:dyDescent="0.9">
      <c r="A613" s="16" t="s">
        <v>938</v>
      </c>
      <c r="B613" s="16" t="s">
        <v>937</v>
      </c>
      <c r="C613" s="16" t="s">
        <v>936</v>
      </c>
      <c r="D613" s="5">
        <v>6</v>
      </c>
      <c r="E613" s="5" t="b">
        <v>1</v>
      </c>
      <c r="H613" s="9" t="s">
        <v>935</v>
      </c>
      <c r="I613" s="7" t="s">
        <v>837</v>
      </c>
      <c r="J613" s="7" t="s">
        <v>861</v>
      </c>
      <c r="K613" s="7" t="s">
        <v>403</v>
      </c>
      <c r="L613" s="8" t="s">
        <v>934</v>
      </c>
      <c r="M613" s="8" t="s">
        <v>933</v>
      </c>
      <c r="N613" s="7">
        <v>2018</v>
      </c>
      <c r="O613" s="5">
        <v>500</v>
      </c>
      <c r="P613" s="5" t="s">
        <v>220</v>
      </c>
    </row>
    <row r="614" spans="1:16" ht="21.5" x14ac:dyDescent="0.9">
      <c r="A614" s="16" t="s">
        <v>932</v>
      </c>
      <c r="B614" s="16" t="s">
        <v>931</v>
      </c>
      <c r="C614" s="16" t="s">
        <v>931</v>
      </c>
      <c r="D614" s="5">
        <v>7</v>
      </c>
      <c r="E614" s="5" t="b">
        <v>1</v>
      </c>
      <c r="H614" s="9" t="s">
        <v>930</v>
      </c>
      <c r="I614" s="7" t="s">
        <v>837</v>
      </c>
      <c r="J614" s="7" t="s">
        <v>861</v>
      </c>
      <c r="K614" s="7" t="s">
        <v>403</v>
      </c>
      <c r="L614" s="8" t="s">
        <v>929</v>
      </c>
      <c r="M614" s="8" t="s">
        <v>928</v>
      </c>
      <c r="N614" s="7">
        <v>2018</v>
      </c>
      <c r="O614" s="5">
        <v>501</v>
      </c>
      <c r="P614" s="5" t="s">
        <v>220</v>
      </c>
    </row>
    <row r="615" spans="1:16" ht="21.5" x14ac:dyDescent="0.9">
      <c r="A615" s="16" t="s">
        <v>927</v>
      </c>
      <c r="B615" s="16" t="s">
        <v>926</v>
      </c>
      <c r="C615" s="16" t="s">
        <v>926</v>
      </c>
      <c r="D615" s="5">
        <v>8</v>
      </c>
      <c r="E615" s="5" t="b">
        <v>1</v>
      </c>
      <c r="H615" s="9" t="s">
        <v>925</v>
      </c>
      <c r="I615" s="7" t="s">
        <v>837</v>
      </c>
      <c r="J615" s="7" t="s">
        <v>861</v>
      </c>
      <c r="K615" s="7" t="s">
        <v>403</v>
      </c>
      <c r="L615" s="8" t="s">
        <v>924</v>
      </c>
      <c r="M615" s="8" t="s">
        <v>923</v>
      </c>
      <c r="N615" s="7">
        <v>2019</v>
      </c>
      <c r="O615" s="5">
        <v>502</v>
      </c>
      <c r="P615" s="5" t="s">
        <v>220</v>
      </c>
    </row>
    <row r="616" spans="1:16" ht="21.5" x14ac:dyDescent="0.9">
      <c r="H616" s="9" t="s">
        <v>922</v>
      </c>
      <c r="I616" s="7" t="s">
        <v>837</v>
      </c>
      <c r="J616" s="7" t="s">
        <v>861</v>
      </c>
      <c r="K616" s="7" t="s">
        <v>403</v>
      </c>
      <c r="L616" s="8" t="s">
        <v>921</v>
      </c>
      <c r="M616" s="8" t="s">
        <v>920</v>
      </c>
      <c r="N616" s="7">
        <v>2019</v>
      </c>
      <c r="O616" s="5">
        <v>503</v>
      </c>
      <c r="P616" s="5" t="s">
        <v>220</v>
      </c>
    </row>
    <row r="617" spans="1:16" ht="21.5" x14ac:dyDescent="0.9">
      <c r="A617" s="3" t="s">
        <v>919</v>
      </c>
      <c r="H617" s="9" t="s">
        <v>918</v>
      </c>
      <c r="I617" s="7" t="s">
        <v>837</v>
      </c>
      <c r="J617" s="7" t="s">
        <v>861</v>
      </c>
      <c r="K617" s="7" t="s">
        <v>403</v>
      </c>
      <c r="L617" s="8" t="s">
        <v>917</v>
      </c>
      <c r="M617" s="8" t="s">
        <v>916</v>
      </c>
      <c r="N617" s="7">
        <v>2019</v>
      </c>
      <c r="O617" s="5">
        <v>504</v>
      </c>
      <c r="P617" s="5" t="s">
        <v>220</v>
      </c>
    </row>
    <row r="618" spans="1:16" ht="21.5" x14ac:dyDescent="0.9">
      <c r="A618" s="6" t="s">
        <v>34</v>
      </c>
      <c r="B618" s="6" t="s">
        <v>33</v>
      </c>
      <c r="C618" s="6" t="s">
        <v>32</v>
      </c>
      <c r="D618" s="6" t="s">
        <v>31</v>
      </c>
      <c r="E618" s="6" t="s">
        <v>0</v>
      </c>
      <c r="H618" s="9" t="s">
        <v>915</v>
      </c>
      <c r="I618" s="7" t="s">
        <v>837</v>
      </c>
      <c r="J618" s="7" t="s">
        <v>861</v>
      </c>
      <c r="K618" s="7" t="s">
        <v>403</v>
      </c>
      <c r="L618" s="8" t="s">
        <v>914</v>
      </c>
      <c r="M618" s="8" t="s">
        <v>913</v>
      </c>
      <c r="N618" s="7">
        <v>2019</v>
      </c>
      <c r="O618" s="5">
        <v>505</v>
      </c>
      <c r="P618" s="5" t="s">
        <v>220</v>
      </c>
    </row>
    <row r="619" spans="1:16" ht="21.5" x14ac:dyDescent="0.9">
      <c r="A619" s="5" t="s">
        <v>912</v>
      </c>
      <c r="B619" s="5" t="s">
        <v>911</v>
      </c>
      <c r="C619" s="5"/>
      <c r="D619" s="5">
        <v>1</v>
      </c>
      <c r="E619" s="5" t="b">
        <v>1</v>
      </c>
      <c r="H619" s="9" t="s">
        <v>910</v>
      </c>
      <c r="I619" s="7" t="s">
        <v>837</v>
      </c>
      <c r="J619" s="7" t="s">
        <v>861</v>
      </c>
      <c r="K619" s="7" t="s">
        <v>403</v>
      </c>
      <c r="L619" s="8" t="s">
        <v>909</v>
      </c>
      <c r="M619" s="8" t="s">
        <v>908</v>
      </c>
      <c r="N619" s="7">
        <v>2020</v>
      </c>
      <c r="O619" s="5">
        <v>506</v>
      </c>
      <c r="P619" s="5" t="s">
        <v>220</v>
      </c>
    </row>
    <row r="620" spans="1:16" ht="21.5" x14ac:dyDescent="0.9">
      <c r="A620" s="5" t="s">
        <v>907</v>
      </c>
      <c r="B620" s="5" t="s">
        <v>906</v>
      </c>
      <c r="C620" s="5"/>
      <c r="D620" s="5">
        <v>2</v>
      </c>
      <c r="E620" s="5" t="b">
        <v>1</v>
      </c>
      <c r="H620" s="9" t="s">
        <v>905</v>
      </c>
      <c r="I620" s="7" t="s">
        <v>837</v>
      </c>
      <c r="J620" s="7" t="s">
        <v>861</v>
      </c>
      <c r="K620" s="7" t="s">
        <v>403</v>
      </c>
      <c r="L620" s="8" t="s">
        <v>904</v>
      </c>
      <c r="M620" s="8" t="s">
        <v>903</v>
      </c>
      <c r="N620" s="7">
        <v>2020</v>
      </c>
      <c r="O620" s="5">
        <v>507</v>
      </c>
      <c r="P620" s="5" t="s">
        <v>220</v>
      </c>
    </row>
    <row r="621" spans="1:16" ht="21.5" x14ac:dyDescent="0.9">
      <c r="A621" s="5" t="s">
        <v>902</v>
      </c>
      <c r="B621" s="5" t="s">
        <v>733</v>
      </c>
      <c r="C621" s="5"/>
      <c r="D621" s="5">
        <v>3</v>
      </c>
      <c r="E621" s="5" t="b">
        <v>1</v>
      </c>
      <c r="H621" s="9" t="s">
        <v>901</v>
      </c>
      <c r="I621" s="7" t="s">
        <v>837</v>
      </c>
      <c r="J621" s="7" t="s">
        <v>861</v>
      </c>
      <c r="K621" s="7" t="s">
        <v>403</v>
      </c>
      <c r="L621" s="8" t="s">
        <v>900</v>
      </c>
      <c r="M621" s="8" t="s">
        <v>899</v>
      </c>
      <c r="N621" s="7">
        <v>2020</v>
      </c>
      <c r="O621" s="5">
        <v>508</v>
      </c>
      <c r="P621" s="5" t="s">
        <v>220</v>
      </c>
    </row>
    <row r="622" spans="1:16" ht="21.5" x14ac:dyDescent="0.9">
      <c r="A622" s="5" t="s">
        <v>898</v>
      </c>
      <c r="B622" s="5" t="s">
        <v>897</v>
      </c>
      <c r="C622" s="5"/>
      <c r="D622" s="5">
        <v>4</v>
      </c>
      <c r="E622" s="5" t="b">
        <v>1</v>
      </c>
      <c r="H622" s="9" t="s">
        <v>896</v>
      </c>
      <c r="I622" s="7" t="s">
        <v>837</v>
      </c>
      <c r="J622" s="7" t="s">
        <v>861</v>
      </c>
      <c r="K622" s="7" t="s">
        <v>403</v>
      </c>
      <c r="L622" s="8" t="s">
        <v>895</v>
      </c>
      <c r="M622" s="8" t="s">
        <v>894</v>
      </c>
      <c r="N622" s="7">
        <v>2021</v>
      </c>
      <c r="O622" s="5">
        <v>509</v>
      </c>
      <c r="P622" s="5" t="s">
        <v>220</v>
      </c>
    </row>
    <row r="623" spans="1:16" ht="21.5" x14ac:dyDescent="0.9">
      <c r="H623" s="9" t="s">
        <v>893</v>
      </c>
      <c r="I623" s="7" t="s">
        <v>837</v>
      </c>
      <c r="J623" s="7" t="s">
        <v>861</v>
      </c>
      <c r="K623" s="7" t="s">
        <v>403</v>
      </c>
      <c r="L623" s="8" t="s">
        <v>892</v>
      </c>
      <c r="M623" s="8" t="s">
        <v>891</v>
      </c>
      <c r="N623" s="7">
        <v>2021</v>
      </c>
      <c r="O623" s="5">
        <v>510</v>
      </c>
      <c r="P623" s="5" t="s">
        <v>220</v>
      </c>
    </row>
    <row r="624" spans="1:16" ht="21.5" x14ac:dyDescent="0.9">
      <c r="A624" s="3" t="s">
        <v>890</v>
      </c>
      <c r="H624" s="9" t="s">
        <v>889</v>
      </c>
      <c r="I624" s="7" t="s">
        <v>837</v>
      </c>
      <c r="J624" s="7" t="s">
        <v>861</v>
      </c>
      <c r="K624" s="7" t="s">
        <v>403</v>
      </c>
      <c r="L624" s="8" t="s">
        <v>888</v>
      </c>
      <c r="M624" s="8" t="s">
        <v>887</v>
      </c>
      <c r="N624" s="7">
        <v>2021</v>
      </c>
      <c r="O624" s="5">
        <v>511</v>
      </c>
      <c r="P624" s="5" t="s">
        <v>220</v>
      </c>
    </row>
    <row r="625" spans="1:16" ht="21.5" x14ac:dyDescent="0.9">
      <c r="A625" s="6" t="s">
        <v>34</v>
      </c>
      <c r="B625" s="6" t="s">
        <v>33</v>
      </c>
      <c r="C625" s="6" t="s">
        <v>32</v>
      </c>
      <c r="D625" s="6" t="s">
        <v>31</v>
      </c>
      <c r="E625" s="6" t="s">
        <v>0</v>
      </c>
      <c r="H625" s="9" t="s">
        <v>886</v>
      </c>
      <c r="I625" s="7" t="s">
        <v>837</v>
      </c>
      <c r="J625" s="7" t="s">
        <v>861</v>
      </c>
      <c r="K625" s="7" t="s">
        <v>403</v>
      </c>
      <c r="L625" s="8" t="s">
        <v>885</v>
      </c>
      <c r="M625" s="8" t="s">
        <v>884</v>
      </c>
      <c r="N625" s="7">
        <v>2022</v>
      </c>
      <c r="O625" s="5">
        <v>512</v>
      </c>
      <c r="P625" s="5" t="s">
        <v>220</v>
      </c>
    </row>
    <row r="626" spans="1:16" ht="21.5" x14ac:dyDescent="0.9">
      <c r="A626" s="5" t="s">
        <v>883</v>
      </c>
      <c r="B626" s="5" t="s">
        <v>882</v>
      </c>
      <c r="C626" s="5"/>
      <c r="D626" s="5">
        <v>1</v>
      </c>
      <c r="E626" s="5" t="b">
        <v>1</v>
      </c>
      <c r="H626" s="9" t="s">
        <v>881</v>
      </c>
      <c r="I626" s="7" t="s">
        <v>837</v>
      </c>
      <c r="J626" s="7" t="s">
        <v>861</v>
      </c>
      <c r="K626" s="7" t="s">
        <v>403</v>
      </c>
      <c r="L626" s="8" t="s">
        <v>880</v>
      </c>
      <c r="M626" s="8" t="s">
        <v>879</v>
      </c>
      <c r="N626" s="7">
        <v>2022</v>
      </c>
      <c r="O626" s="5">
        <v>513</v>
      </c>
      <c r="P626" s="5" t="s">
        <v>220</v>
      </c>
    </row>
    <row r="627" spans="1:16" ht="21.5" x14ac:dyDescent="0.9">
      <c r="A627" s="5" t="s">
        <v>878</v>
      </c>
      <c r="B627" s="5" t="s">
        <v>801</v>
      </c>
      <c r="C627" s="5"/>
      <c r="D627" s="5">
        <v>2</v>
      </c>
      <c r="E627" s="5" t="b">
        <v>1</v>
      </c>
      <c r="H627" s="9" t="s">
        <v>877</v>
      </c>
      <c r="I627" s="7" t="s">
        <v>837</v>
      </c>
      <c r="J627" s="7" t="s">
        <v>861</v>
      </c>
      <c r="K627" s="7" t="s">
        <v>403</v>
      </c>
      <c r="L627" s="8" t="s">
        <v>876</v>
      </c>
      <c r="M627" s="8" t="s">
        <v>875</v>
      </c>
      <c r="N627" s="7">
        <v>2023</v>
      </c>
      <c r="O627" s="5">
        <v>514</v>
      </c>
      <c r="P627" s="5" t="s">
        <v>220</v>
      </c>
    </row>
    <row r="628" spans="1:16" ht="21.5" x14ac:dyDescent="0.9">
      <c r="A628" s="5" t="s">
        <v>874</v>
      </c>
      <c r="B628" s="5" t="s">
        <v>873</v>
      </c>
      <c r="C628" s="5"/>
      <c r="D628" s="5">
        <v>3</v>
      </c>
      <c r="E628" s="5" t="b">
        <v>1</v>
      </c>
      <c r="H628" s="9" t="s">
        <v>872</v>
      </c>
      <c r="I628" s="7" t="s">
        <v>837</v>
      </c>
      <c r="J628" s="7" t="s">
        <v>861</v>
      </c>
      <c r="K628" s="7" t="s">
        <v>403</v>
      </c>
      <c r="L628" s="8" t="s">
        <v>871</v>
      </c>
      <c r="M628" s="8" t="s">
        <v>870</v>
      </c>
      <c r="N628" s="7">
        <v>2024</v>
      </c>
      <c r="O628" s="5">
        <v>515</v>
      </c>
      <c r="P628" s="5" t="s">
        <v>220</v>
      </c>
    </row>
    <row r="629" spans="1:16" ht="21.5" x14ac:dyDescent="0.9">
      <c r="A629" s="5" t="s">
        <v>869</v>
      </c>
      <c r="B629" s="5" t="s">
        <v>868</v>
      </c>
      <c r="C629" s="5"/>
      <c r="D629" s="5">
        <v>4</v>
      </c>
      <c r="E629" s="5" t="b">
        <v>1</v>
      </c>
      <c r="H629" s="9" t="s">
        <v>867</v>
      </c>
      <c r="I629" s="7" t="s">
        <v>837</v>
      </c>
      <c r="J629" s="7" t="s">
        <v>861</v>
      </c>
      <c r="K629" s="7" t="s">
        <v>403</v>
      </c>
      <c r="L629" s="8" t="s">
        <v>866</v>
      </c>
      <c r="M629" s="8" t="s">
        <v>865</v>
      </c>
      <c r="N629" s="7">
        <v>2024</v>
      </c>
      <c r="O629" s="5">
        <v>516</v>
      </c>
      <c r="P629" s="5" t="s">
        <v>220</v>
      </c>
    </row>
    <row r="630" spans="1:16" ht="21.5" x14ac:dyDescent="0.9">
      <c r="A630" s="5" t="s">
        <v>864</v>
      </c>
      <c r="B630" s="5" t="s">
        <v>863</v>
      </c>
      <c r="C630" s="5"/>
      <c r="D630" s="5">
        <v>5</v>
      </c>
      <c r="E630" s="5" t="b">
        <v>1</v>
      </c>
      <c r="H630" s="9" t="s">
        <v>862</v>
      </c>
      <c r="I630" s="7" t="s">
        <v>837</v>
      </c>
      <c r="J630" s="7" t="s">
        <v>861</v>
      </c>
      <c r="K630" s="7" t="s">
        <v>403</v>
      </c>
      <c r="L630" s="8" t="s">
        <v>860</v>
      </c>
      <c r="M630" s="8" t="s">
        <v>859</v>
      </c>
      <c r="N630" s="7">
        <v>2025</v>
      </c>
      <c r="O630" s="5">
        <v>517</v>
      </c>
      <c r="P630" s="5" t="s">
        <v>220</v>
      </c>
    </row>
    <row r="631" spans="1:16" ht="21.5" x14ac:dyDescent="0.9">
      <c r="A631" s="5" t="s">
        <v>858</v>
      </c>
      <c r="B631" s="5" t="s">
        <v>857</v>
      </c>
      <c r="C631" s="5"/>
      <c r="D631" s="5">
        <v>6</v>
      </c>
      <c r="E631" s="5" t="b">
        <v>1</v>
      </c>
      <c r="H631" s="9" t="s">
        <v>856</v>
      </c>
      <c r="I631" s="7" t="s">
        <v>837</v>
      </c>
      <c r="J631" s="7" t="s">
        <v>849</v>
      </c>
      <c r="K631" s="7" t="s">
        <v>403</v>
      </c>
      <c r="L631" s="8" t="s">
        <v>855</v>
      </c>
      <c r="M631" s="8" t="s">
        <v>854</v>
      </c>
      <c r="N631" s="7">
        <v>2020</v>
      </c>
      <c r="O631" s="5">
        <v>518</v>
      </c>
      <c r="P631" s="5" t="s">
        <v>220</v>
      </c>
    </row>
    <row r="632" spans="1:16" ht="21.5" x14ac:dyDescent="0.9">
      <c r="A632" s="5"/>
      <c r="B632" s="5"/>
      <c r="C632" s="5"/>
      <c r="D632" s="5"/>
      <c r="E632" s="5"/>
      <c r="H632" s="9" t="s">
        <v>853</v>
      </c>
      <c r="I632" s="7" t="s">
        <v>837</v>
      </c>
      <c r="J632" s="7" t="s">
        <v>849</v>
      </c>
      <c r="K632" s="7" t="s">
        <v>403</v>
      </c>
      <c r="L632" s="8" t="s">
        <v>852</v>
      </c>
      <c r="M632" s="8" t="s">
        <v>851</v>
      </c>
      <c r="N632" s="7">
        <v>2023</v>
      </c>
      <c r="O632" s="5">
        <v>519</v>
      </c>
      <c r="P632" s="5" t="s">
        <v>220</v>
      </c>
    </row>
    <row r="633" spans="1:16" ht="27.5" x14ac:dyDescent="0.9">
      <c r="A633" s="10" t="s">
        <v>378</v>
      </c>
      <c r="B633" s="5"/>
      <c r="C633" s="5"/>
      <c r="D633" s="5"/>
      <c r="E633" s="5"/>
      <c r="H633" s="9" t="s">
        <v>850</v>
      </c>
      <c r="I633" s="7" t="s">
        <v>837</v>
      </c>
      <c r="J633" s="7" t="s">
        <v>849</v>
      </c>
      <c r="K633" s="7" t="s">
        <v>403</v>
      </c>
      <c r="L633" s="8" t="s">
        <v>848</v>
      </c>
      <c r="M633" s="8" t="s">
        <v>847</v>
      </c>
      <c r="N633" s="7">
        <v>2023</v>
      </c>
      <c r="O633" s="5">
        <v>520</v>
      </c>
      <c r="P633" s="5" t="s">
        <v>220</v>
      </c>
    </row>
    <row r="634" spans="1:16" ht="35" x14ac:dyDescent="0.9">
      <c r="A634" s="99" t="s">
        <v>846</v>
      </c>
      <c r="B634" s="99"/>
      <c r="C634" s="99"/>
      <c r="D634" s="99"/>
      <c r="E634" s="99"/>
      <c r="H634" s="9" t="s">
        <v>845</v>
      </c>
      <c r="I634" s="7" t="s">
        <v>837</v>
      </c>
      <c r="J634" s="7" t="s">
        <v>844</v>
      </c>
      <c r="K634" s="7" t="s">
        <v>403</v>
      </c>
      <c r="L634" s="8" t="s">
        <v>843</v>
      </c>
      <c r="M634" s="8" t="s">
        <v>842</v>
      </c>
      <c r="N634" s="7">
        <v>2023</v>
      </c>
      <c r="O634" s="5">
        <v>521</v>
      </c>
      <c r="P634" s="5" t="s">
        <v>220</v>
      </c>
    </row>
    <row r="635" spans="1:16" ht="27.5" x14ac:dyDescent="0.9">
      <c r="A635" s="10" t="s">
        <v>378</v>
      </c>
      <c r="B635" s="5"/>
      <c r="C635" s="5"/>
      <c r="D635" s="5"/>
      <c r="E635" s="5"/>
      <c r="H635" s="9" t="s">
        <v>841</v>
      </c>
      <c r="I635" s="7" t="s">
        <v>837</v>
      </c>
      <c r="J635" s="7" t="s">
        <v>836</v>
      </c>
      <c r="K635" s="7" t="s">
        <v>386</v>
      </c>
      <c r="L635" s="8" t="s">
        <v>840</v>
      </c>
      <c r="M635" s="8" t="s">
        <v>839</v>
      </c>
      <c r="N635" s="7">
        <v>2023</v>
      </c>
      <c r="O635" s="5">
        <v>522</v>
      </c>
      <c r="P635" s="5" t="s">
        <v>220</v>
      </c>
    </row>
    <row r="636" spans="1:16" ht="21.5" x14ac:dyDescent="0.9">
      <c r="H636" s="9" t="s">
        <v>838</v>
      </c>
      <c r="I636" s="7" t="s">
        <v>837</v>
      </c>
      <c r="J636" s="7" t="s">
        <v>836</v>
      </c>
      <c r="K636" s="7" t="s">
        <v>386</v>
      </c>
      <c r="L636" s="8" t="s">
        <v>835</v>
      </c>
      <c r="M636" s="8" t="s">
        <v>834</v>
      </c>
      <c r="N636" s="7">
        <v>2024</v>
      </c>
      <c r="O636" s="5">
        <v>523</v>
      </c>
      <c r="P636" s="5" t="s">
        <v>220</v>
      </c>
    </row>
    <row r="637" spans="1:16" ht="21.5" x14ac:dyDescent="0.9">
      <c r="A637" s="3" t="s">
        <v>833</v>
      </c>
      <c r="H637" s="9" t="s">
        <v>832</v>
      </c>
      <c r="I637" s="7" t="s">
        <v>731</v>
      </c>
      <c r="J637" s="7" t="s">
        <v>772</v>
      </c>
      <c r="K637" s="7" t="s">
        <v>403</v>
      </c>
      <c r="L637" s="8" t="s">
        <v>831</v>
      </c>
      <c r="M637" s="8" t="s">
        <v>830</v>
      </c>
      <c r="N637" s="7">
        <v>2018</v>
      </c>
      <c r="O637" s="5">
        <v>524</v>
      </c>
      <c r="P637" s="5" t="s">
        <v>220</v>
      </c>
    </row>
    <row r="638" spans="1:16" ht="21.5" x14ac:dyDescent="0.9">
      <c r="A638" s="6" t="s">
        <v>34</v>
      </c>
      <c r="B638" s="6" t="s">
        <v>33</v>
      </c>
      <c r="C638" s="6" t="s">
        <v>32</v>
      </c>
      <c r="D638" s="6" t="s">
        <v>31</v>
      </c>
      <c r="E638" s="6" t="s">
        <v>0</v>
      </c>
      <c r="H638" s="9" t="s">
        <v>829</v>
      </c>
      <c r="I638" s="7" t="s">
        <v>731</v>
      </c>
      <c r="J638" s="7" t="s">
        <v>772</v>
      </c>
      <c r="K638" s="7" t="s">
        <v>403</v>
      </c>
      <c r="L638" s="8" t="s">
        <v>828</v>
      </c>
      <c r="M638" s="8" t="s">
        <v>827</v>
      </c>
      <c r="N638" s="7">
        <v>2019</v>
      </c>
      <c r="O638" s="5">
        <v>525</v>
      </c>
      <c r="P638" s="5" t="s">
        <v>220</v>
      </c>
    </row>
    <row r="639" spans="1:16" ht="21.5" x14ac:dyDescent="0.9">
      <c r="A639" s="5" t="s">
        <v>826</v>
      </c>
      <c r="B639" s="5" t="s">
        <v>825</v>
      </c>
      <c r="C639" s="5" t="s">
        <v>825</v>
      </c>
      <c r="D639" s="5">
        <v>1</v>
      </c>
      <c r="E639" s="5" t="b">
        <v>1</v>
      </c>
      <c r="H639" s="9" t="s">
        <v>824</v>
      </c>
      <c r="I639" s="7" t="s">
        <v>731</v>
      </c>
      <c r="J639" s="7" t="s">
        <v>772</v>
      </c>
      <c r="K639" s="7" t="s">
        <v>403</v>
      </c>
      <c r="L639" s="8" t="s">
        <v>823</v>
      </c>
      <c r="M639" s="8" t="s">
        <v>822</v>
      </c>
      <c r="N639" s="7">
        <v>2020</v>
      </c>
      <c r="O639" s="5">
        <v>526</v>
      </c>
      <c r="P639" s="5" t="s">
        <v>220</v>
      </c>
    </row>
    <row r="640" spans="1:16" ht="21.5" x14ac:dyDescent="0.9">
      <c r="A640" s="5" t="s">
        <v>821</v>
      </c>
      <c r="B640" s="5" t="s">
        <v>820</v>
      </c>
      <c r="C640" s="5" t="s">
        <v>819</v>
      </c>
      <c r="D640" s="5">
        <v>2</v>
      </c>
      <c r="E640" s="5" t="b">
        <v>1</v>
      </c>
      <c r="H640" s="9" t="s">
        <v>818</v>
      </c>
      <c r="I640" s="7" t="s">
        <v>731</v>
      </c>
      <c r="J640" s="7" t="s">
        <v>772</v>
      </c>
      <c r="K640" s="7" t="s">
        <v>403</v>
      </c>
      <c r="L640" s="8" t="s">
        <v>817</v>
      </c>
      <c r="M640" s="8" t="s">
        <v>816</v>
      </c>
      <c r="N640" s="7">
        <v>2021</v>
      </c>
      <c r="O640" s="5">
        <v>527</v>
      </c>
      <c r="P640" s="5" t="s">
        <v>220</v>
      </c>
    </row>
    <row r="641" spans="1:16" ht="21.5" x14ac:dyDescent="0.9">
      <c r="A641" s="5" t="s">
        <v>815</v>
      </c>
      <c r="B641" s="5" t="s">
        <v>814</v>
      </c>
      <c r="C641" s="5" t="s">
        <v>813</v>
      </c>
      <c r="D641" s="5">
        <v>3</v>
      </c>
      <c r="E641" s="5" t="b">
        <v>1</v>
      </c>
      <c r="H641" s="9" t="s">
        <v>812</v>
      </c>
      <c r="I641" s="7" t="s">
        <v>731</v>
      </c>
      <c r="J641" s="7" t="s">
        <v>772</v>
      </c>
      <c r="K641" s="7" t="s">
        <v>403</v>
      </c>
      <c r="L641" s="8" t="s">
        <v>811</v>
      </c>
      <c r="M641" s="8" t="s">
        <v>810</v>
      </c>
      <c r="N641" s="7">
        <v>2022</v>
      </c>
      <c r="O641" s="5">
        <v>528</v>
      </c>
      <c r="P641" s="5" t="s">
        <v>220</v>
      </c>
    </row>
    <row r="642" spans="1:16" ht="21.5" x14ac:dyDescent="0.9">
      <c r="A642" s="5" t="s">
        <v>809</v>
      </c>
      <c r="B642" s="5" t="s">
        <v>808</v>
      </c>
      <c r="C642" s="5" t="s">
        <v>807</v>
      </c>
      <c r="D642" s="5">
        <v>4</v>
      </c>
      <c r="E642" s="5" t="b">
        <v>1</v>
      </c>
      <c r="H642" s="9" t="s">
        <v>806</v>
      </c>
      <c r="I642" s="7" t="s">
        <v>731</v>
      </c>
      <c r="J642" s="7" t="s">
        <v>772</v>
      </c>
      <c r="K642" s="7" t="s">
        <v>403</v>
      </c>
      <c r="L642" s="8" t="s">
        <v>805</v>
      </c>
      <c r="M642" s="8" t="s">
        <v>804</v>
      </c>
      <c r="N642" s="7">
        <v>2023</v>
      </c>
      <c r="O642" s="5">
        <v>529</v>
      </c>
      <c r="P642" s="5" t="s">
        <v>220</v>
      </c>
    </row>
    <row r="643" spans="1:16" ht="21.5" x14ac:dyDescent="0.9">
      <c r="A643" s="5" t="s">
        <v>803</v>
      </c>
      <c r="B643" s="5" t="s">
        <v>802</v>
      </c>
      <c r="C643" s="5" t="s">
        <v>801</v>
      </c>
      <c r="D643" s="5">
        <v>5</v>
      </c>
      <c r="E643" s="5" t="b">
        <v>1</v>
      </c>
      <c r="H643" s="9" t="s">
        <v>800</v>
      </c>
      <c r="I643" s="7" t="s">
        <v>731</v>
      </c>
      <c r="J643" s="7" t="s">
        <v>772</v>
      </c>
      <c r="K643" s="7" t="s">
        <v>403</v>
      </c>
      <c r="L643" s="8" t="s">
        <v>799</v>
      </c>
      <c r="M643" s="8" t="s">
        <v>798</v>
      </c>
      <c r="N643" s="7">
        <v>2024</v>
      </c>
      <c r="O643" s="5">
        <v>530</v>
      </c>
      <c r="P643" s="5" t="s">
        <v>220</v>
      </c>
    </row>
    <row r="644" spans="1:16" ht="21.5" x14ac:dyDescent="0.9">
      <c r="A644" s="5" t="s">
        <v>797</v>
      </c>
      <c r="B644" s="5" t="s">
        <v>796</v>
      </c>
      <c r="C644" s="5" t="s">
        <v>795</v>
      </c>
      <c r="D644" s="5">
        <v>6</v>
      </c>
      <c r="E644" s="5" t="b">
        <v>1</v>
      </c>
      <c r="H644" s="9" t="s">
        <v>794</v>
      </c>
      <c r="I644" s="7" t="s">
        <v>731</v>
      </c>
      <c r="J644" s="7" t="s">
        <v>761</v>
      </c>
      <c r="K644" s="7" t="s">
        <v>403</v>
      </c>
      <c r="L644" s="8" t="s">
        <v>793</v>
      </c>
      <c r="M644" s="8" t="s">
        <v>792</v>
      </c>
      <c r="N644" s="7">
        <v>2021</v>
      </c>
      <c r="O644" s="5">
        <v>531</v>
      </c>
      <c r="P644" s="5" t="s">
        <v>220</v>
      </c>
    </row>
    <row r="645" spans="1:16" ht="21.5" x14ac:dyDescent="0.9">
      <c r="A645" s="5" t="s">
        <v>791</v>
      </c>
      <c r="B645" s="5" t="s">
        <v>790</v>
      </c>
      <c r="C645" s="5" t="s">
        <v>790</v>
      </c>
      <c r="D645" s="5">
        <v>7</v>
      </c>
      <c r="E645" s="5" t="b">
        <v>1</v>
      </c>
      <c r="H645" s="9" t="s">
        <v>789</v>
      </c>
      <c r="I645" s="7" t="s">
        <v>731</v>
      </c>
      <c r="J645" s="7" t="s">
        <v>761</v>
      </c>
      <c r="K645" s="7" t="s">
        <v>403</v>
      </c>
      <c r="L645" s="8" t="s">
        <v>788</v>
      </c>
      <c r="M645" s="8" t="s">
        <v>787</v>
      </c>
      <c r="N645" s="7">
        <v>2022</v>
      </c>
      <c r="O645" s="5">
        <v>532</v>
      </c>
      <c r="P645" s="5" t="s">
        <v>220</v>
      </c>
    </row>
    <row r="646" spans="1:16" ht="21.5" x14ac:dyDescent="0.9">
      <c r="A646" s="5" t="s">
        <v>786</v>
      </c>
      <c r="B646" s="5" t="s">
        <v>785</v>
      </c>
      <c r="C646" s="5" t="s">
        <v>784</v>
      </c>
      <c r="D646" s="5">
        <v>8</v>
      </c>
      <c r="E646" s="5" t="b">
        <v>1</v>
      </c>
      <c r="H646" s="9" t="s">
        <v>783</v>
      </c>
      <c r="I646" s="7" t="s">
        <v>731</v>
      </c>
      <c r="J646" s="7" t="s">
        <v>761</v>
      </c>
      <c r="K646" s="7" t="s">
        <v>403</v>
      </c>
      <c r="L646" s="8" t="s">
        <v>782</v>
      </c>
      <c r="M646" s="8" t="s">
        <v>781</v>
      </c>
      <c r="N646" s="7">
        <v>2023</v>
      </c>
      <c r="O646" s="5">
        <v>533</v>
      </c>
      <c r="P646" s="5" t="s">
        <v>220</v>
      </c>
    </row>
    <row r="647" spans="1:16" ht="21.5" x14ac:dyDescent="0.9">
      <c r="H647" s="9" t="s">
        <v>780</v>
      </c>
      <c r="I647" s="7" t="s">
        <v>731</v>
      </c>
      <c r="J647" s="7" t="s">
        <v>772</v>
      </c>
      <c r="K647" s="7" t="s">
        <v>403</v>
      </c>
      <c r="L647" s="8" t="s">
        <v>779</v>
      </c>
      <c r="M647" s="8" t="s">
        <v>778</v>
      </c>
      <c r="N647" s="7">
        <v>2024</v>
      </c>
      <c r="O647" s="5">
        <v>534</v>
      </c>
      <c r="P647" s="5" t="s">
        <v>220</v>
      </c>
    </row>
    <row r="648" spans="1:16" ht="21.5" x14ac:dyDescent="0.9">
      <c r="A648" s="3" t="s">
        <v>777</v>
      </c>
      <c r="H648" s="9" t="s">
        <v>776</v>
      </c>
      <c r="I648" s="7" t="s">
        <v>731</v>
      </c>
      <c r="J648" s="7" t="s">
        <v>772</v>
      </c>
      <c r="K648" s="7" t="s">
        <v>403</v>
      </c>
      <c r="L648" s="8" t="s">
        <v>775</v>
      </c>
      <c r="M648" s="8" t="s">
        <v>774</v>
      </c>
      <c r="N648" s="7">
        <v>2025</v>
      </c>
      <c r="O648" s="5">
        <v>535</v>
      </c>
      <c r="P648" s="5" t="s">
        <v>220</v>
      </c>
    </row>
    <row r="649" spans="1:16" ht="21.5" x14ac:dyDescent="0.9">
      <c r="A649" s="14" t="s">
        <v>34</v>
      </c>
      <c r="B649" s="13" t="s">
        <v>33</v>
      </c>
      <c r="C649" s="13" t="s">
        <v>32</v>
      </c>
      <c r="D649" s="13" t="s">
        <v>31</v>
      </c>
      <c r="E649" s="12" t="s">
        <v>0</v>
      </c>
      <c r="H649" s="9" t="s">
        <v>773</v>
      </c>
      <c r="I649" s="7" t="s">
        <v>731</v>
      </c>
      <c r="J649" s="7" t="s">
        <v>772</v>
      </c>
      <c r="K649" s="7" t="s">
        <v>403</v>
      </c>
      <c r="L649" s="8" t="s">
        <v>771</v>
      </c>
      <c r="M649" s="8" t="s">
        <v>770</v>
      </c>
      <c r="N649" s="7">
        <v>2025</v>
      </c>
      <c r="O649" s="5">
        <v>536</v>
      </c>
      <c r="P649" s="5" t="s">
        <v>220</v>
      </c>
    </row>
    <row r="650" spans="1:16" ht="21.5" x14ac:dyDescent="0.9">
      <c r="A650" s="3" t="s">
        <v>769</v>
      </c>
      <c r="B650" s="15" t="s">
        <v>768</v>
      </c>
      <c r="C650" s="15" t="s">
        <v>768</v>
      </c>
      <c r="D650" s="4">
        <v>1</v>
      </c>
      <c r="E650" s="4" t="b">
        <v>1</v>
      </c>
      <c r="H650" s="9" t="s">
        <v>767</v>
      </c>
      <c r="I650" s="7" t="s">
        <v>731</v>
      </c>
      <c r="J650" s="7" t="s">
        <v>761</v>
      </c>
      <c r="K650" s="7" t="s">
        <v>403</v>
      </c>
      <c r="L650" s="8" t="s">
        <v>766</v>
      </c>
      <c r="M650" s="8" t="s">
        <v>765</v>
      </c>
      <c r="N650" s="7">
        <v>2024</v>
      </c>
      <c r="O650" s="5">
        <v>537</v>
      </c>
      <c r="P650" s="5" t="s">
        <v>220</v>
      </c>
    </row>
    <row r="651" spans="1:16" ht="21.5" x14ac:dyDescent="0.9">
      <c r="A651" s="3" t="s">
        <v>764</v>
      </c>
      <c r="B651" s="15" t="s">
        <v>763</v>
      </c>
      <c r="C651" s="15" t="s">
        <v>763</v>
      </c>
      <c r="D651" s="4">
        <v>2</v>
      </c>
      <c r="E651" s="4" t="b">
        <v>1</v>
      </c>
      <c r="H651" s="9" t="s">
        <v>762</v>
      </c>
      <c r="I651" s="7" t="s">
        <v>731</v>
      </c>
      <c r="J651" s="7" t="s">
        <v>761</v>
      </c>
      <c r="K651" s="7" t="s">
        <v>403</v>
      </c>
      <c r="L651" s="8" t="s">
        <v>760</v>
      </c>
      <c r="M651" s="8" t="s">
        <v>759</v>
      </c>
      <c r="N651" s="7">
        <v>2025</v>
      </c>
      <c r="O651" s="5">
        <v>538</v>
      </c>
      <c r="P651" s="5" t="s">
        <v>220</v>
      </c>
    </row>
    <row r="652" spans="1:16" ht="21.5" x14ac:dyDescent="0.9">
      <c r="A652" s="3" t="s">
        <v>758</v>
      </c>
      <c r="B652" s="15" t="s">
        <v>757</v>
      </c>
      <c r="C652" s="15" t="s">
        <v>757</v>
      </c>
      <c r="D652" s="4">
        <v>3</v>
      </c>
      <c r="E652" s="4" t="b">
        <v>1</v>
      </c>
      <c r="H652" s="9" t="s">
        <v>756</v>
      </c>
      <c r="I652" s="7" t="s">
        <v>731</v>
      </c>
      <c r="J652" s="7" t="s">
        <v>755</v>
      </c>
      <c r="K652" s="7" t="s">
        <v>403</v>
      </c>
      <c r="L652" s="8" t="s">
        <v>754</v>
      </c>
      <c r="M652" s="8" t="s">
        <v>753</v>
      </c>
      <c r="N652" s="7">
        <v>2023</v>
      </c>
      <c r="O652" s="5">
        <v>539</v>
      </c>
      <c r="P652" s="5" t="s">
        <v>220</v>
      </c>
    </row>
    <row r="653" spans="1:16" ht="21.5" x14ac:dyDescent="0.9">
      <c r="A653" s="3" t="s">
        <v>752</v>
      </c>
      <c r="B653" s="15" t="s">
        <v>751</v>
      </c>
      <c r="C653" s="15" t="s">
        <v>751</v>
      </c>
      <c r="D653" s="4">
        <v>4</v>
      </c>
      <c r="E653" s="4" t="b">
        <v>1</v>
      </c>
      <c r="H653" s="9" t="s">
        <v>750</v>
      </c>
      <c r="I653" s="7" t="s">
        <v>731</v>
      </c>
      <c r="J653" s="7" t="s">
        <v>749</v>
      </c>
      <c r="K653" s="7" t="s">
        <v>403</v>
      </c>
      <c r="L653" s="8" t="s">
        <v>748</v>
      </c>
      <c r="M653" s="8" t="s">
        <v>747</v>
      </c>
      <c r="N653" s="7">
        <v>2024</v>
      </c>
      <c r="O653" s="5">
        <v>540</v>
      </c>
      <c r="P653" s="5" t="s">
        <v>220</v>
      </c>
    </row>
    <row r="654" spans="1:16" ht="21.5" x14ac:dyDescent="0.9">
      <c r="A654" s="3" t="s">
        <v>746</v>
      </c>
      <c r="B654" s="15" t="s">
        <v>745</v>
      </c>
      <c r="C654" s="15" t="s">
        <v>745</v>
      </c>
      <c r="D654" s="4">
        <v>5</v>
      </c>
      <c r="E654" s="4" t="b">
        <v>1</v>
      </c>
      <c r="H654" s="9" t="s">
        <v>744</v>
      </c>
      <c r="I654" s="7" t="s">
        <v>731</v>
      </c>
      <c r="J654" s="7" t="s">
        <v>743</v>
      </c>
      <c r="K654" s="7" t="s">
        <v>403</v>
      </c>
      <c r="L654" s="8" t="s">
        <v>742</v>
      </c>
      <c r="M654" s="8" t="s">
        <v>741</v>
      </c>
      <c r="N654" s="7">
        <v>2024</v>
      </c>
      <c r="O654" s="5">
        <v>541</v>
      </c>
      <c r="P654" s="5" t="s">
        <v>220</v>
      </c>
    </row>
    <row r="655" spans="1:16" ht="21.5" x14ac:dyDescent="0.9">
      <c r="A655" s="3" t="s">
        <v>740</v>
      </c>
      <c r="B655" s="15" t="s">
        <v>739</v>
      </c>
      <c r="C655" s="15" t="s">
        <v>739</v>
      </c>
      <c r="D655" s="4">
        <v>6</v>
      </c>
      <c r="E655" s="4" t="b">
        <v>1</v>
      </c>
      <c r="H655" s="9" t="s">
        <v>738</v>
      </c>
      <c r="I655" s="7" t="s">
        <v>731</v>
      </c>
      <c r="J655" s="7" t="s">
        <v>737</v>
      </c>
      <c r="K655" s="7" t="s">
        <v>403</v>
      </c>
      <c r="L655" s="8" t="s">
        <v>736</v>
      </c>
      <c r="M655" s="8" t="s">
        <v>735</v>
      </c>
      <c r="N655" s="7">
        <v>2024</v>
      </c>
      <c r="O655" s="5">
        <v>542</v>
      </c>
      <c r="P655" s="5" t="s">
        <v>220</v>
      </c>
    </row>
    <row r="656" spans="1:16" ht="21.5" x14ac:dyDescent="0.9">
      <c r="A656" s="3" t="s">
        <v>734</v>
      </c>
      <c r="B656" s="15" t="s">
        <v>733</v>
      </c>
      <c r="C656" s="15" t="s">
        <v>733</v>
      </c>
      <c r="D656" s="4">
        <v>7</v>
      </c>
      <c r="E656" s="4" t="b">
        <v>1</v>
      </c>
      <c r="H656" s="9" t="s">
        <v>732</v>
      </c>
      <c r="I656" s="7" t="s">
        <v>731</v>
      </c>
      <c r="J656" s="7" t="s">
        <v>730</v>
      </c>
      <c r="K656" s="7" t="s">
        <v>386</v>
      </c>
      <c r="L656" s="8" t="s">
        <v>729</v>
      </c>
      <c r="M656" s="8" t="s">
        <v>728</v>
      </c>
      <c r="N656" s="7">
        <v>2024</v>
      </c>
      <c r="O656" s="5">
        <v>543</v>
      </c>
      <c r="P656" s="5" t="s">
        <v>220</v>
      </c>
    </row>
    <row r="657" spans="1:16" ht="21.5" x14ac:dyDescent="0.9">
      <c r="A657" s="3" t="s">
        <v>727</v>
      </c>
      <c r="B657" s="15" t="s">
        <v>726</v>
      </c>
      <c r="C657" s="15" t="s">
        <v>726</v>
      </c>
      <c r="D657" s="4">
        <v>8</v>
      </c>
      <c r="E657" s="4" t="b">
        <v>1</v>
      </c>
      <c r="H657" s="9" t="s">
        <v>725</v>
      </c>
      <c r="I657" s="7" t="s">
        <v>656</v>
      </c>
      <c r="J657" s="7" t="s">
        <v>714</v>
      </c>
      <c r="K657" s="7" t="s">
        <v>403</v>
      </c>
      <c r="L657" s="8" t="s">
        <v>724</v>
      </c>
      <c r="M657" s="8" t="s">
        <v>723</v>
      </c>
      <c r="N657" s="7">
        <v>2025</v>
      </c>
      <c r="O657" s="5">
        <v>544</v>
      </c>
      <c r="P657" s="5" t="s">
        <v>220</v>
      </c>
    </row>
    <row r="658" spans="1:16" ht="21.5" x14ac:dyDescent="0.9">
      <c r="A658" s="3" t="s">
        <v>722</v>
      </c>
      <c r="B658" s="15" t="s">
        <v>721</v>
      </c>
      <c r="C658" s="15" t="s">
        <v>721</v>
      </c>
      <c r="D658" s="4">
        <v>9</v>
      </c>
      <c r="E658" s="4" t="b">
        <v>1</v>
      </c>
      <c r="H658" s="9" t="s">
        <v>720</v>
      </c>
      <c r="I658" s="7" t="s">
        <v>656</v>
      </c>
      <c r="J658" s="7" t="s">
        <v>714</v>
      </c>
      <c r="K658" s="7" t="s">
        <v>403</v>
      </c>
      <c r="L658" s="8" t="s">
        <v>719</v>
      </c>
      <c r="M658" s="8" t="s">
        <v>718</v>
      </c>
      <c r="N658" s="7">
        <v>2024</v>
      </c>
      <c r="O658" s="5">
        <v>545</v>
      </c>
      <c r="P658" s="5" t="s">
        <v>220</v>
      </c>
    </row>
    <row r="659" spans="1:16" ht="21.5" x14ac:dyDescent="0.9">
      <c r="A659" s="3" t="s">
        <v>717</v>
      </c>
      <c r="B659" s="15" t="s">
        <v>716</v>
      </c>
      <c r="C659" s="15" t="s">
        <v>716</v>
      </c>
      <c r="D659" s="4">
        <v>10</v>
      </c>
      <c r="E659" s="4" t="b">
        <v>1</v>
      </c>
      <c r="H659" s="9" t="s">
        <v>715</v>
      </c>
      <c r="I659" s="7" t="s">
        <v>656</v>
      </c>
      <c r="J659" s="7" t="s">
        <v>714</v>
      </c>
      <c r="K659" s="7" t="s">
        <v>403</v>
      </c>
      <c r="L659" s="8" t="s">
        <v>713</v>
      </c>
      <c r="M659" s="8" t="s">
        <v>712</v>
      </c>
      <c r="N659" s="7">
        <v>2024</v>
      </c>
      <c r="O659" s="5">
        <v>546</v>
      </c>
      <c r="P659" s="5" t="s">
        <v>220</v>
      </c>
    </row>
    <row r="660" spans="1:16" ht="21.5" x14ac:dyDescent="0.9">
      <c r="A660" s="3" t="s">
        <v>711</v>
      </c>
      <c r="B660" s="15" t="s">
        <v>710</v>
      </c>
      <c r="C660" s="15" t="s">
        <v>710</v>
      </c>
      <c r="D660" s="4">
        <v>11</v>
      </c>
      <c r="E660" s="4" t="b">
        <v>1</v>
      </c>
      <c r="H660" s="9" t="s">
        <v>709</v>
      </c>
      <c r="I660" s="7" t="s">
        <v>656</v>
      </c>
      <c r="J660" s="7" t="s">
        <v>664</v>
      </c>
      <c r="K660" s="7" t="s">
        <v>403</v>
      </c>
      <c r="L660" s="8" t="s">
        <v>708</v>
      </c>
      <c r="M660" s="8" t="s">
        <v>707</v>
      </c>
      <c r="N660" s="7">
        <v>2024</v>
      </c>
      <c r="O660" s="5">
        <v>547</v>
      </c>
      <c r="P660" s="5" t="s">
        <v>220</v>
      </c>
    </row>
    <row r="661" spans="1:16" ht="21.5" x14ac:dyDescent="0.9">
      <c r="H661" s="9" t="s">
        <v>706</v>
      </c>
      <c r="I661" s="7" t="s">
        <v>656</v>
      </c>
      <c r="J661" s="7" t="s">
        <v>664</v>
      </c>
      <c r="K661" s="7" t="s">
        <v>403</v>
      </c>
      <c r="L661" s="8" t="s">
        <v>705</v>
      </c>
      <c r="M661" s="8" t="s">
        <v>704</v>
      </c>
      <c r="N661" s="7">
        <v>2024</v>
      </c>
      <c r="O661" s="5">
        <v>548</v>
      </c>
      <c r="P661" s="5" t="s">
        <v>220</v>
      </c>
    </row>
    <row r="662" spans="1:16" ht="21.5" x14ac:dyDescent="0.9">
      <c r="A662" s="3" t="s">
        <v>703</v>
      </c>
      <c r="H662" s="9" t="s">
        <v>702</v>
      </c>
      <c r="I662" s="7" t="s">
        <v>656</v>
      </c>
      <c r="J662" s="7" t="s">
        <v>655</v>
      </c>
      <c r="K662" s="7" t="s">
        <v>403</v>
      </c>
      <c r="L662" s="8" t="s">
        <v>701</v>
      </c>
      <c r="M662" s="8" t="s">
        <v>700</v>
      </c>
      <c r="N662" s="7">
        <v>2023</v>
      </c>
      <c r="O662" s="5">
        <v>549</v>
      </c>
      <c r="P662" s="5" t="s">
        <v>220</v>
      </c>
    </row>
    <row r="663" spans="1:16" ht="21.5" x14ac:dyDescent="0.9">
      <c r="A663" s="6" t="s">
        <v>34</v>
      </c>
      <c r="B663" s="6" t="s">
        <v>33</v>
      </c>
      <c r="C663" s="6" t="s">
        <v>32</v>
      </c>
      <c r="D663" s="6" t="s">
        <v>31</v>
      </c>
      <c r="E663" s="6" t="s">
        <v>0</v>
      </c>
      <c r="H663" s="9" t="s">
        <v>699</v>
      </c>
      <c r="I663" s="7" t="s">
        <v>656</v>
      </c>
      <c r="J663" s="7" t="s">
        <v>655</v>
      </c>
      <c r="K663" s="7" t="s">
        <v>403</v>
      </c>
      <c r="L663" s="8" t="s">
        <v>698</v>
      </c>
      <c r="M663" s="8" t="s">
        <v>697</v>
      </c>
      <c r="N663" s="7">
        <v>2023</v>
      </c>
      <c r="O663" s="5">
        <v>550</v>
      </c>
      <c r="P663" s="5" t="s">
        <v>220</v>
      </c>
    </row>
    <row r="664" spans="1:16" ht="21.5" x14ac:dyDescent="0.9">
      <c r="A664" s="5" t="s">
        <v>696</v>
      </c>
      <c r="B664" s="5" t="s">
        <v>695</v>
      </c>
      <c r="C664" s="5" t="s">
        <v>694</v>
      </c>
      <c r="D664" s="5">
        <v>1</v>
      </c>
      <c r="E664" s="5" t="b">
        <v>1</v>
      </c>
      <c r="H664" s="9" t="s">
        <v>693</v>
      </c>
      <c r="I664" s="7" t="s">
        <v>656</v>
      </c>
      <c r="J664" s="7" t="s">
        <v>655</v>
      </c>
      <c r="K664" s="7" t="s">
        <v>403</v>
      </c>
      <c r="L664" s="8" t="s">
        <v>692</v>
      </c>
      <c r="M664" s="8" t="s">
        <v>691</v>
      </c>
      <c r="N664" s="7">
        <v>2024</v>
      </c>
      <c r="O664" s="5">
        <v>551</v>
      </c>
      <c r="P664" s="5" t="s">
        <v>220</v>
      </c>
    </row>
    <row r="665" spans="1:16" ht="21.5" x14ac:dyDescent="0.9">
      <c r="A665" s="5" t="s">
        <v>690</v>
      </c>
      <c r="B665" s="5" t="s">
        <v>689</v>
      </c>
      <c r="C665" s="5" t="s">
        <v>689</v>
      </c>
      <c r="D665" s="5">
        <v>2</v>
      </c>
      <c r="E665" s="5" t="b">
        <v>1</v>
      </c>
      <c r="H665" s="9" t="s">
        <v>688</v>
      </c>
      <c r="I665" s="7" t="s">
        <v>656</v>
      </c>
      <c r="J665" s="7" t="s">
        <v>682</v>
      </c>
      <c r="K665" s="7" t="s">
        <v>403</v>
      </c>
      <c r="L665" s="8" t="s">
        <v>687</v>
      </c>
      <c r="M665" s="8" t="s">
        <v>686</v>
      </c>
      <c r="N665" s="7">
        <v>2023</v>
      </c>
      <c r="O665" s="5">
        <v>552</v>
      </c>
      <c r="P665" s="5" t="s">
        <v>220</v>
      </c>
    </row>
    <row r="666" spans="1:16" ht="21.5" x14ac:dyDescent="0.9">
      <c r="A666" s="5" t="s">
        <v>685</v>
      </c>
      <c r="B666" s="5" t="s">
        <v>684</v>
      </c>
      <c r="C666" s="5" t="s">
        <v>684</v>
      </c>
      <c r="D666" s="5">
        <v>3</v>
      </c>
      <c r="E666" s="5" t="b">
        <v>1</v>
      </c>
      <c r="H666" s="9" t="s">
        <v>683</v>
      </c>
      <c r="I666" s="7" t="s">
        <v>656</v>
      </c>
      <c r="J666" s="7" t="s">
        <v>682</v>
      </c>
      <c r="K666" s="7" t="s">
        <v>403</v>
      </c>
      <c r="L666" s="8" t="s">
        <v>681</v>
      </c>
      <c r="M666" s="8" t="s">
        <v>680</v>
      </c>
      <c r="N666" s="7">
        <v>2023</v>
      </c>
      <c r="O666" s="5">
        <v>553</v>
      </c>
      <c r="P666" s="5" t="s">
        <v>220</v>
      </c>
    </row>
    <row r="667" spans="1:16" ht="21.5" x14ac:dyDescent="0.9">
      <c r="A667" s="5" t="s">
        <v>679</v>
      </c>
      <c r="B667" s="5" t="s">
        <v>678</v>
      </c>
      <c r="C667" s="5" t="s">
        <v>678</v>
      </c>
      <c r="D667" s="5">
        <v>4</v>
      </c>
      <c r="E667" s="5" t="b">
        <v>1</v>
      </c>
      <c r="H667" s="9" t="s">
        <v>677</v>
      </c>
      <c r="I667" s="7" t="s">
        <v>656</v>
      </c>
      <c r="J667" s="7" t="s">
        <v>676</v>
      </c>
      <c r="K667" s="7" t="s">
        <v>386</v>
      </c>
      <c r="L667" s="8" t="s">
        <v>675</v>
      </c>
      <c r="M667" s="8" t="s">
        <v>674</v>
      </c>
      <c r="N667" s="7">
        <v>2023</v>
      </c>
      <c r="O667" s="5">
        <v>554</v>
      </c>
      <c r="P667" s="5" t="s">
        <v>220</v>
      </c>
    </row>
    <row r="668" spans="1:16" ht="21.5" x14ac:dyDescent="0.9">
      <c r="A668" s="5" t="s">
        <v>673</v>
      </c>
      <c r="B668" s="5" t="s">
        <v>672</v>
      </c>
      <c r="C668" s="5" t="s">
        <v>671</v>
      </c>
      <c r="D668" s="5">
        <v>5</v>
      </c>
      <c r="E668" s="5" t="b">
        <v>1</v>
      </c>
      <c r="H668" s="9" t="s">
        <v>670</v>
      </c>
      <c r="I668" s="7" t="s">
        <v>656</v>
      </c>
      <c r="J668" s="7" t="s">
        <v>664</v>
      </c>
      <c r="K668" s="7" t="s">
        <v>403</v>
      </c>
      <c r="L668" s="8" t="s">
        <v>669</v>
      </c>
      <c r="M668" s="8" t="s">
        <v>668</v>
      </c>
      <c r="N668" s="7">
        <v>2024</v>
      </c>
      <c r="O668" s="5">
        <v>555</v>
      </c>
      <c r="P668" s="5" t="s">
        <v>220</v>
      </c>
    </row>
    <row r="669" spans="1:16" ht="21.5" x14ac:dyDescent="0.9">
      <c r="A669" s="5" t="s">
        <v>667</v>
      </c>
      <c r="B669" s="5" t="s">
        <v>666</v>
      </c>
      <c r="C669" s="5" t="s">
        <v>666</v>
      </c>
      <c r="D669" s="5">
        <v>6</v>
      </c>
      <c r="E669" s="5" t="b">
        <v>1</v>
      </c>
      <c r="H669" s="9" t="s">
        <v>665</v>
      </c>
      <c r="I669" s="7" t="s">
        <v>656</v>
      </c>
      <c r="J669" s="7" t="s">
        <v>664</v>
      </c>
      <c r="K669" s="7" t="s">
        <v>403</v>
      </c>
      <c r="L669" s="8" t="s">
        <v>663</v>
      </c>
      <c r="M669" s="8" t="s">
        <v>662</v>
      </c>
      <c r="N669" s="7">
        <v>2024</v>
      </c>
      <c r="O669" s="5">
        <v>556</v>
      </c>
      <c r="P669" s="5" t="s">
        <v>220</v>
      </c>
    </row>
    <row r="670" spans="1:16" ht="21.5" x14ac:dyDescent="0.9">
      <c r="H670" s="9" t="s">
        <v>661</v>
      </c>
      <c r="I670" s="7" t="s">
        <v>656</v>
      </c>
      <c r="J670" s="7" t="s">
        <v>655</v>
      </c>
      <c r="K670" s="7" t="s">
        <v>403</v>
      </c>
      <c r="L670" s="8" t="s">
        <v>660</v>
      </c>
      <c r="M670" s="8" t="s">
        <v>659</v>
      </c>
      <c r="N670" s="7">
        <v>2023</v>
      </c>
      <c r="O670" s="5">
        <v>557</v>
      </c>
      <c r="P670" s="5" t="s">
        <v>220</v>
      </c>
    </row>
    <row r="671" spans="1:16" ht="21.5" x14ac:dyDescent="0.9">
      <c r="A671" s="3" t="s">
        <v>658</v>
      </c>
      <c r="H671" s="9" t="s">
        <v>657</v>
      </c>
      <c r="I671" s="7" t="s">
        <v>656</v>
      </c>
      <c r="J671" s="7" t="s">
        <v>655</v>
      </c>
      <c r="K671" s="7" t="s">
        <v>403</v>
      </c>
      <c r="L671" s="8" t="s">
        <v>654</v>
      </c>
      <c r="M671" s="8" t="s">
        <v>653</v>
      </c>
      <c r="N671" s="7">
        <v>2023</v>
      </c>
      <c r="O671" s="5">
        <v>558</v>
      </c>
      <c r="P671" s="5" t="s">
        <v>220</v>
      </c>
    </row>
    <row r="672" spans="1:16" ht="21.5" x14ac:dyDescent="0.9">
      <c r="A672" s="14" t="s">
        <v>34</v>
      </c>
      <c r="B672" s="13" t="s">
        <v>33</v>
      </c>
      <c r="C672" s="13" t="s">
        <v>32</v>
      </c>
      <c r="D672" s="13" t="s">
        <v>31</v>
      </c>
      <c r="E672" s="12" t="s">
        <v>0</v>
      </c>
      <c r="H672" s="9" t="s">
        <v>652</v>
      </c>
      <c r="I672" s="7" t="s">
        <v>604</v>
      </c>
      <c r="J672" s="7" t="s">
        <v>621</v>
      </c>
      <c r="K672" s="7" t="s">
        <v>403</v>
      </c>
      <c r="L672" s="8" t="s">
        <v>651</v>
      </c>
      <c r="M672" s="8" t="s">
        <v>650</v>
      </c>
      <c r="N672" s="7">
        <v>2024</v>
      </c>
      <c r="O672" s="5">
        <v>559</v>
      </c>
      <c r="P672" s="5" t="s">
        <v>220</v>
      </c>
    </row>
    <row r="673" spans="1:16" ht="21.5" x14ac:dyDescent="0.9">
      <c r="A673" s="3" t="s">
        <v>649</v>
      </c>
      <c r="B673" s="5" t="s">
        <v>648</v>
      </c>
      <c r="C673" s="5" t="s">
        <v>648</v>
      </c>
      <c r="D673" s="4">
        <v>1</v>
      </c>
      <c r="E673" s="4" t="b">
        <v>1</v>
      </c>
      <c r="H673" s="9" t="s">
        <v>647</v>
      </c>
      <c r="I673" s="7" t="s">
        <v>604</v>
      </c>
      <c r="J673" s="7" t="s">
        <v>621</v>
      </c>
      <c r="K673" s="7" t="s">
        <v>403</v>
      </c>
      <c r="L673" s="8" t="s">
        <v>646</v>
      </c>
      <c r="M673" s="8" t="s">
        <v>645</v>
      </c>
      <c r="N673" s="7">
        <v>2024</v>
      </c>
      <c r="O673" s="5">
        <v>560</v>
      </c>
      <c r="P673" s="5" t="s">
        <v>220</v>
      </c>
    </row>
    <row r="674" spans="1:16" ht="21.5" x14ac:dyDescent="0.9">
      <c r="A674" s="3" t="s">
        <v>644</v>
      </c>
      <c r="B674" s="5" t="s">
        <v>643</v>
      </c>
      <c r="C674" s="5" t="s">
        <v>643</v>
      </c>
      <c r="D674" s="4">
        <v>2</v>
      </c>
      <c r="E674" s="4" t="b">
        <v>1</v>
      </c>
      <c r="H674" s="9" t="s">
        <v>642</v>
      </c>
      <c r="I674" s="7" t="s">
        <v>604</v>
      </c>
      <c r="J674" s="7" t="s">
        <v>610</v>
      </c>
      <c r="K674" s="7" t="s">
        <v>403</v>
      </c>
      <c r="L674" s="8" t="s">
        <v>641</v>
      </c>
      <c r="M674" s="8" t="s">
        <v>640</v>
      </c>
      <c r="N674" s="7">
        <v>2024</v>
      </c>
      <c r="O674" s="5">
        <v>561</v>
      </c>
      <c r="P674" s="5" t="s">
        <v>220</v>
      </c>
    </row>
    <row r="675" spans="1:16" ht="21.5" x14ac:dyDescent="0.9">
      <c r="A675" s="3" t="s">
        <v>639</v>
      </c>
      <c r="B675" s="5" t="s">
        <v>638</v>
      </c>
      <c r="C675" s="5" t="s">
        <v>638</v>
      </c>
      <c r="D675" s="4">
        <v>3</v>
      </c>
      <c r="E675" s="4" t="b">
        <v>1</v>
      </c>
      <c r="H675" s="9" t="s">
        <v>637</v>
      </c>
      <c r="I675" s="7" t="s">
        <v>604</v>
      </c>
      <c r="J675" s="7" t="s">
        <v>603</v>
      </c>
      <c r="K675" s="7" t="s">
        <v>403</v>
      </c>
      <c r="L675" s="8" t="s">
        <v>636</v>
      </c>
      <c r="M675" s="8" t="s">
        <v>635</v>
      </c>
      <c r="N675" s="7">
        <v>2024</v>
      </c>
      <c r="O675" s="5">
        <v>562</v>
      </c>
      <c r="P675" s="5" t="s">
        <v>220</v>
      </c>
    </row>
    <row r="676" spans="1:16" ht="21.5" x14ac:dyDescent="0.9">
      <c r="A676" s="3" t="s">
        <v>634</v>
      </c>
      <c r="B676" s="5" t="s">
        <v>633</v>
      </c>
      <c r="C676" s="5" t="s">
        <v>633</v>
      </c>
      <c r="D676" s="4">
        <v>4</v>
      </c>
      <c r="E676" s="4" t="b">
        <v>1</v>
      </c>
      <c r="H676" s="9" t="s">
        <v>632</v>
      </c>
      <c r="I676" s="7" t="s">
        <v>604</v>
      </c>
      <c r="J676" s="7" t="s">
        <v>621</v>
      </c>
      <c r="K676" s="7" t="s">
        <v>403</v>
      </c>
      <c r="L676" s="8" t="s">
        <v>631</v>
      </c>
      <c r="M676" s="8" t="s">
        <v>630</v>
      </c>
      <c r="N676" s="7">
        <v>2024</v>
      </c>
      <c r="O676" s="5">
        <v>563</v>
      </c>
      <c r="P676" s="5" t="s">
        <v>220</v>
      </c>
    </row>
    <row r="677" spans="1:16" ht="21.5" x14ac:dyDescent="0.9">
      <c r="A677" s="3" t="s">
        <v>629</v>
      </c>
      <c r="B677" s="5" t="s">
        <v>628</v>
      </c>
      <c r="C677" s="5" t="s">
        <v>628</v>
      </c>
      <c r="D677" s="4">
        <v>5</v>
      </c>
      <c r="E677" s="4" t="b">
        <v>1</v>
      </c>
      <c r="H677" s="9" t="s">
        <v>627</v>
      </c>
      <c r="I677" s="7" t="s">
        <v>604</v>
      </c>
      <c r="J677" s="7" t="s">
        <v>621</v>
      </c>
      <c r="K677" s="7" t="s">
        <v>403</v>
      </c>
      <c r="L677" s="8" t="s">
        <v>626</v>
      </c>
      <c r="M677" s="8" t="s">
        <v>625</v>
      </c>
      <c r="N677" s="7">
        <v>2025</v>
      </c>
      <c r="O677" s="5">
        <v>564</v>
      </c>
      <c r="P677" s="5" t="s">
        <v>220</v>
      </c>
    </row>
    <row r="678" spans="1:16" ht="21.5" x14ac:dyDescent="0.9">
      <c r="A678" s="3" t="s">
        <v>624</v>
      </c>
      <c r="B678" s="5" t="s">
        <v>623</v>
      </c>
      <c r="C678" s="5" t="s">
        <v>623</v>
      </c>
      <c r="D678" s="4">
        <v>6</v>
      </c>
      <c r="E678" s="4" t="b">
        <v>1</v>
      </c>
      <c r="H678" s="9" t="s">
        <v>622</v>
      </c>
      <c r="I678" s="7" t="s">
        <v>604</v>
      </c>
      <c r="J678" s="7" t="s">
        <v>621</v>
      </c>
      <c r="K678" s="7" t="s">
        <v>403</v>
      </c>
      <c r="L678" s="8" t="s">
        <v>620</v>
      </c>
      <c r="M678" s="8" t="s">
        <v>619</v>
      </c>
      <c r="N678" s="7">
        <v>2025</v>
      </c>
      <c r="O678" s="5">
        <v>565</v>
      </c>
      <c r="P678" s="5" t="s">
        <v>220</v>
      </c>
    </row>
    <row r="679" spans="1:16" ht="21.5" x14ac:dyDescent="0.9">
      <c r="A679" s="3" t="s">
        <v>618</v>
      </c>
      <c r="B679" s="5" t="s">
        <v>617</v>
      </c>
      <c r="C679" s="5" t="s">
        <v>617</v>
      </c>
      <c r="D679" s="4">
        <v>7</v>
      </c>
      <c r="E679" s="4" t="b">
        <v>1</v>
      </c>
      <c r="H679" s="9" t="s">
        <v>616</v>
      </c>
      <c r="I679" s="7" t="s">
        <v>604</v>
      </c>
      <c r="J679" s="7" t="s">
        <v>610</v>
      </c>
      <c r="K679" s="7" t="s">
        <v>403</v>
      </c>
      <c r="L679" s="8" t="s">
        <v>615</v>
      </c>
      <c r="M679" s="8" t="s">
        <v>614</v>
      </c>
      <c r="N679" s="7">
        <v>2024</v>
      </c>
      <c r="O679" s="5">
        <v>566</v>
      </c>
      <c r="P679" s="5" t="s">
        <v>220</v>
      </c>
    </row>
    <row r="680" spans="1:16" ht="21.5" x14ac:dyDescent="0.9">
      <c r="A680" s="3" t="s">
        <v>613</v>
      </c>
      <c r="B680" s="5" t="s">
        <v>612</v>
      </c>
      <c r="C680" s="5" t="s">
        <v>612</v>
      </c>
      <c r="D680" s="4">
        <v>8</v>
      </c>
      <c r="E680" s="4" t="b">
        <v>1</v>
      </c>
      <c r="H680" s="9" t="s">
        <v>611</v>
      </c>
      <c r="I680" s="7" t="s">
        <v>604</v>
      </c>
      <c r="J680" s="7" t="s">
        <v>610</v>
      </c>
      <c r="K680" s="7" t="s">
        <v>403</v>
      </c>
      <c r="L680" s="8" t="s">
        <v>609</v>
      </c>
      <c r="M680" s="8" t="s">
        <v>608</v>
      </c>
      <c r="N680" s="7">
        <v>2024</v>
      </c>
      <c r="O680" s="5">
        <v>567</v>
      </c>
      <c r="P680" s="5" t="s">
        <v>220</v>
      </c>
    </row>
    <row r="681" spans="1:16" ht="21.5" x14ac:dyDescent="0.9">
      <c r="A681" s="3" t="s">
        <v>607</v>
      </c>
      <c r="B681" s="5" t="s">
        <v>606</v>
      </c>
      <c r="C681" s="5" t="s">
        <v>606</v>
      </c>
      <c r="D681" s="4">
        <v>9</v>
      </c>
      <c r="E681" s="4" t="b">
        <v>1</v>
      </c>
      <c r="H681" s="9" t="s">
        <v>605</v>
      </c>
      <c r="I681" s="7" t="s">
        <v>604</v>
      </c>
      <c r="J681" s="7" t="s">
        <v>603</v>
      </c>
      <c r="K681" s="7" t="s">
        <v>403</v>
      </c>
      <c r="L681" s="8" t="s">
        <v>602</v>
      </c>
      <c r="M681" s="8" t="s">
        <v>601</v>
      </c>
      <c r="N681" s="7">
        <v>2024</v>
      </c>
      <c r="O681" s="5">
        <v>568</v>
      </c>
      <c r="P681" s="5" t="s">
        <v>220</v>
      </c>
    </row>
    <row r="682" spans="1:16" ht="21.5" x14ac:dyDescent="0.9">
      <c r="A682" s="3" t="s">
        <v>600</v>
      </c>
      <c r="B682" s="5" t="s">
        <v>599</v>
      </c>
      <c r="C682" s="5" t="s">
        <v>599</v>
      </c>
      <c r="D682" s="4">
        <v>10</v>
      </c>
      <c r="E682" s="4" t="b">
        <v>1</v>
      </c>
      <c r="H682" s="9" t="s">
        <v>598</v>
      </c>
      <c r="I682" s="7" t="s">
        <v>566</v>
      </c>
      <c r="J682" s="7" t="s">
        <v>581</v>
      </c>
      <c r="K682" s="7" t="s">
        <v>403</v>
      </c>
      <c r="L682" s="8" t="s">
        <v>597</v>
      </c>
      <c r="M682" s="8" t="s">
        <v>596</v>
      </c>
      <c r="N682" s="7">
        <v>2024</v>
      </c>
      <c r="O682" s="5">
        <v>569</v>
      </c>
      <c r="P682" s="5" t="s">
        <v>220</v>
      </c>
    </row>
    <row r="683" spans="1:16" ht="21.5" x14ac:dyDescent="0.9">
      <c r="A683" s="3" t="s">
        <v>595</v>
      </c>
      <c r="B683" s="5" t="s">
        <v>594</v>
      </c>
      <c r="C683" s="5" t="s">
        <v>594</v>
      </c>
      <c r="D683" s="4">
        <v>11</v>
      </c>
      <c r="E683" s="4" t="b">
        <v>1</v>
      </c>
      <c r="H683" s="9" t="s">
        <v>593</v>
      </c>
      <c r="I683" s="7" t="s">
        <v>566</v>
      </c>
      <c r="J683" s="7" t="s">
        <v>581</v>
      </c>
      <c r="K683" s="7" t="s">
        <v>403</v>
      </c>
      <c r="L683" s="8" t="s">
        <v>592</v>
      </c>
      <c r="M683" s="8" t="s">
        <v>591</v>
      </c>
      <c r="N683" s="7">
        <v>2024</v>
      </c>
      <c r="O683" s="5">
        <v>570</v>
      </c>
      <c r="P683" s="5" t="s">
        <v>220</v>
      </c>
    </row>
    <row r="684" spans="1:16" ht="21.5" x14ac:dyDescent="0.9">
      <c r="H684" s="9" t="s">
        <v>590</v>
      </c>
      <c r="I684" s="7" t="s">
        <v>566</v>
      </c>
      <c r="J684" s="7" t="s">
        <v>577</v>
      </c>
      <c r="K684" s="7" t="s">
        <v>403</v>
      </c>
      <c r="L684" s="8" t="s">
        <v>589</v>
      </c>
      <c r="M684" s="8" t="s">
        <v>588</v>
      </c>
      <c r="N684" s="7">
        <v>2024</v>
      </c>
      <c r="O684" s="5">
        <v>571</v>
      </c>
      <c r="P684" s="5" t="s">
        <v>220</v>
      </c>
    </row>
    <row r="685" spans="1:16" ht="21.5" x14ac:dyDescent="0.9">
      <c r="H685" s="9" t="s">
        <v>587</v>
      </c>
      <c r="I685" s="7" t="s">
        <v>566</v>
      </c>
      <c r="J685" s="7" t="s">
        <v>586</v>
      </c>
      <c r="K685" s="7" t="s">
        <v>403</v>
      </c>
      <c r="L685" s="8" t="s">
        <v>585</v>
      </c>
      <c r="M685" s="8" t="s">
        <v>584</v>
      </c>
      <c r="N685" s="7">
        <v>2024</v>
      </c>
      <c r="O685" s="5">
        <v>572</v>
      </c>
      <c r="P685" s="5" t="s">
        <v>220</v>
      </c>
    </row>
    <row r="686" spans="1:16" ht="21.5" x14ac:dyDescent="0.9">
      <c r="A686" s="3" t="s">
        <v>583</v>
      </c>
      <c r="H686" s="9" t="s">
        <v>582</v>
      </c>
      <c r="I686" s="7" t="s">
        <v>566</v>
      </c>
      <c r="J686" s="7" t="s">
        <v>581</v>
      </c>
      <c r="K686" s="7" t="s">
        <v>403</v>
      </c>
      <c r="L686" s="8" t="s">
        <v>580</v>
      </c>
      <c r="M686" s="8" t="s">
        <v>579</v>
      </c>
      <c r="N686" s="7">
        <v>2024</v>
      </c>
      <c r="O686" s="5">
        <v>573</v>
      </c>
      <c r="P686" s="5" t="s">
        <v>220</v>
      </c>
    </row>
    <row r="687" spans="1:16" ht="21.5" x14ac:dyDescent="0.9">
      <c r="A687" s="6" t="s">
        <v>34</v>
      </c>
      <c r="B687" s="6" t="s">
        <v>33</v>
      </c>
      <c r="C687" s="6" t="s">
        <v>32</v>
      </c>
      <c r="D687" s="6" t="s">
        <v>31</v>
      </c>
      <c r="E687" s="6" t="s">
        <v>0</v>
      </c>
      <c r="H687" s="9" t="s">
        <v>578</v>
      </c>
      <c r="I687" s="7" t="s">
        <v>566</v>
      </c>
      <c r="J687" s="7" t="s">
        <v>577</v>
      </c>
      <c r="K687" s="7" t="s">
        <v>403</v>
      </c>
      <c r="L687" s="8" t="s">
        <v>576</v>
      </c>
      <c r="M687" s="8" t="s">
        <v>575</v>
      </c>
      <c r="N687" s="7">
        <v>2024</v>
      </c>
      <c r="O687" s="5">
        <v>574</v>
      </c>
      <c r="P687" s="5" t="s">
        <v>220</v>
      </c>
    </row>
    <row r="688" spans="1:16" ht="21.5" x14ac:dyDescent="0.9">
      <c r="A688" s="5" t="s">
        <v>574</v>
      </c>
      <c r="B688" s="11">
        <v>0</v>
      </c>
      <c r="C688" s="5" t="s">
        <v>573</v>
      </c>
      <c r="D688" s="5">
        <v>1</v>
      </c>
      <c r="E688" s="5" t="b">
        <v>1</v>
      </c>
      <c r="H688" s="9" t="s">
        <v>572</v>
      </c>
      <c r="I688" s="7" t="s">
        <v>566</v>
      </c>
      <c r="J688" s="7" t="s">
        <v>565</v>
      </c>
      <c r="K688" s="7" t="s">
        <v>403</v>
      </c>
      <c r="L688" s="8" t="s">
        <v>571</v>
      </c>
      <c r="M688" s="8" t="s">
        <v>570</v>
      </c>
      <c r="N688" s="7">
        <v>2024</v>
      </c>
      <c r="O688" s="5">
        <v>575</v>
      </c>
      <c r="P688" s="5" t="s">
        <v>220</v>
      </c>
    </row>
    <row r="689" spans="1:16" ht="21.5" x14ac:dyDescent="0.9">
      <c r="A689" s="5" t="s">
        <v>569</v>
      </c>
      <c r="B689" s="11">
        <v>0.01</v>
      </c>
      <c r="C689" s="5" t="s">
        <v>568</v>
      </c>
      <c r="D689" s="5">
        <v>2</v>
      </c>
      <c r="E689" s="5" t="b">
        <v>1</v>
      </c>
      <c r="H689" s="9" t="s">
        <v>567</v>
      </c>
      <c r="I689" s="7" t="s">
        <v>566</v>
      </c>
      <c r="J689" s="7" t="s">
        <v>565</v>
      </c>
      <c r="K689" s="7" t="s">
        <v>403</v>
      </c>
      <c r="L689" s="8" t="s">
        <v>564</v>
      </c>
      <c r="M689" s="8" t="s">
        <v>563</v>
      </c>
      <c r="N689" s="7">
        <v>2024</v>
      </c>
      <c r="O689" s="5">
        <v>576</v>
      </c>
      <c r="P689" s="5" t="s">
        <v>220</v>
      </c>
    </row>
    <row r="690" spans="1:16" ht="21.5" x14ac:dyDescent="0.9">
      <c r="A690" s="5" t="s">
        <v>562</v>
      </c>
      <c r="B690" s="11">
        <v>0.02</v>
      </c>
      <c r="C690" s="5" t="s">
        <v>524</v>
      </c>
      <c r="D690" s="5">
        <v>3</v>
      </c>
      <c r="E690" s="5" t="b">
        <v>1</v>
      </c>
      <c r="H690" s="9" t="s">
        <v>561</v>
      </c>
      <c r="I690" s="7" t="s">
        <v>538</v>
      </c>
      <c r="J690" s="7" t="s">
        <v>548</v>
      </c>
      <c r="K690" s="7" t="s">
        <v>403</v>
      </c>
      <c r="L690" s="8" t="s">
        <v>560</v>
      </c>
      <c r="M690" s="8" t="s">
        <v>559</v>
      </c>
      <c r="N690" s="7">
        <v>2024</v>
      </c>
      <c r="O690" s="5">
        <v>577</v>
      </c>
      <c r="P690" s="5" t="s">
        <v>220</v>
      </c>
    </row>
    <row r="691" spans="1:16" ht="21.5" x14ac:dyDescent="0.9">
      <c r="A691" s="5" t="s">
        <v>558</v>
      </c>
      <c r="B691" s="11">
        <v>0.03</v>
      </c>
      <c r="C691" s="5" t="s">
        <v>524</v>
      </c>
      <c r="D691" s="5">
        <v>4</v>
      </c>
      <c r="E691" s="5" t="b">
        <v>1</v>
      </c>
      <c r="H691" s="9" t="s">
        <v>557</v>
      </c>
      <c r="I691" s="7" t="s">
        <v>538</v>
      </c>
      <c r="J691" s="7" t="s">
        <v>548</v>
      </c>
      <c r="K691" s="7" t="s">
        <v>403</v>
      </c>
      <c r="L691" s="8" t="s">
        <v>556</v>
      </c>
      <c r="M691" s="8" t="s">
        <v>555</v>
      </c>
      <c r="N691" s="7">
        <v>2024</v>
      </c>
      <c r="O691" s="5">
        <v>578</v>
      </c>
      <c r="P691" s="5" t="s">
        <v>220</v>
      </c>
    </row>
    <row r="692" spans="1:16" ht="21.5" x14ac:dyDescent="0.9">
      <c r="A692" s="5" t="s">
        <v>554</v>
      </c>
      <c r="B692" s="11">
        <v>0.04</v>
      </c>
      <c r="C692" s="5" t="s">
        <v>524</v>
      </c>
      <c r="D692" s="5">
        <v>5</v>
      </c>
      <c r="E692" s="5" t="b">
        <v>1</v>
      </c>
      <c r="H692" s="9" t="s">
        <v>553</v>
      </c>
      <c r="I692" s="7" t="s">
        <v>538</v>
      </c>
      <c r="J692" s="7" t="s">
        <v>548</v>
      </c>
      <c r="K692" s="7" t="s">
        <v>403</v>
      </c>
      <c r="L692" s="8" t="s">
        <v>552</v>
      </c>
      <c r="M692" s="8" t="s">
        <v>551</v>
      </c>
      <c r="N692" s="7">
        <v>2023</v>
      </c>
      <c r="O692" s="5">
        <v>579</v>
      </c>
      <c r="P692" s="5" t="s">
        <v>220</v>
      </c>
    </row>
    <row r="693" spans="1:16" ht="21.5" x14ac:dyDescent="0.9">
      <c r="A693" s="5" t="s">
        <v>550</v>
      </c>
      <c r="B693" s="11">
        <v>0.05</v>
      </c>
      <c r="C693" s="5" t="s">
        <v>524</v>
      </c>
      <c r="D693" s="5">
        <v>6</v>
      </c>
      <c r="E693" s="5" t="b">
        <v>1</v>
      </c>
      <c r="H693" s="9" t="s">
        <v>549</v>
      </c>
      <c r="I693" s="7" t="s">
        <v>538</v>
      </c>
      <c r="J693" s="7" t="s">
        <v>548</v>
      </c>
      <c r="K693" s="7" t="s">
        <v>403</v>
      </c>
      <c r="L693" s="8" t="s">
        <v>547</v>
      </c>
      <c r="M693" s="8" t="s">
        <v>546</v>
      </c>
      <c r="N693" s="7">
        <v>2024</v>
      </c>
      <c r="O693" s="5">
        <v>580</v>
      </c>
      <c r="P693" s="5" t="s">
        <v>220</v>
      </c>
    </row>
    <row r="694" spans="1:16" ht="21.5" x14ac:dyDescent="0.9">
      <c r="A694" s="5" t="s">
        <v>545</v>
      </c>
      <c r="B694" s="11">
        <v>0.06</v>
      </c>
      <c r="C694" s="5" t="s">
        <v>524</v>
      </c>
      <c r="D694" s="5">
        <v>7</v>
      </c>
      <c r="E694" s="5" t="b">
        <v>1</v>
      </c>
      <c r="H694" s="9" t="s">
        <v>544</v>
      </c>
      <c r="I694" s="7" t="s">
        <v>538</v>
      </c>
      <c r="J694" s="7" t="s">
        <v>543</v>
      </c>
      <c r="K694" s="7" t="s">
        <v>403</v>
      </c>
      <c r="L694" s="8" t="s">
        <v>542</v>
      </c>
      <c r="M694" s="8" t="s">
        <v>541</v>
      </c>
      <c r="N694" s="7">
        <v>2024</v>
      </c>
      <c r="O694" s="5">
        <v>581</v>
      </c>
      <c r="P694" s="5" t="s">
        <v>220</v>
      </c>
    </row>
    <row r="695" spans="1:16" ht="21.5" x14ac:dyDescent="0.9">
      <c r="A695" s="5" t="s">
        <v>540</v>
      </c>
      <c r="B695" s="11">
        <v>7.0000000000000007E-2</v>
      </c>
      <c r="C695" s="5" t="s">
        <v>524</v>
      </c>
      <c r="D695" s="5">
        <v>8</v>
      </c>
      <c r="E695" s="5" t="b">
        <v>1</v>
      </c>
      <c r="H695" s="9" t="s">
        <v>539</v>
      </c>
      <c r="I695" s="7" t="s">
        <v>538</v>
      </c>
      <c r="J695" s="7" t="s">
        <v>537</v>
      </c>
      <c r="K695" s="7" t="s">
        <v>403</v>
      </c>
      <c r="L695" s="8" t="s">
        <v>536</v>
      </c>
      <c r="M695" s="8" t="s">
        <v>535</v>
      </c>
      <c r="N695" s="7">
        <v>2024</v>
      </c>
      <c r="O695" s="5">
        <v>582</v>
      </c>
      <c r="P695" s="5" t="s">
        <v>220</v>
      </c>
    </row>
    <row r="696" spans="1:16" ht="21.5" x14ac:dyDescent="0.9">
      <c r="A696" s="5" t="s">
        <v>534</v>
      </c>
      <c r="B696" s="11">
        <v>0.08</v>
      </c>
      <c r="C696" s="5" t="s">
        <v>524</v>
      </c>
      <c r="D696" s="5">
        <v>9</v>
      </c>
      <c r="E696" s="5" t="b">
        <v>1</v>
      </c>
      <c r="H696" s="9" t="s">
        <v>533</v>
      </c>
      <c r="I696" s="7" t="s">
        <v>510</v>
      </c>
      <c r="J696" s="7" t="s">
        <v>528</v>
      </c>
      <c r="K696" s="7" t="s">
        <v>403</v>
      </c>
      <c r="L696" s="8" t="s">
        <v>532</v>
      </c>
      <c r="M696" s="8" t="s">
        <v>531</v>
      </c>
      <c r="N696" s="7">
        <v>2023</v>
      </c>
      <c r="O696" s="5">
        <v>583</v>
      </c>
      <c r="P696" s="5" t="s">
        <v>220</v>
      </c>
    </row>
    <row r="697" spans="1:16" ht="21.5" x14ac:dyDescent="0.9">
      <c r="A697" s="5" t="s">
        <v>530</v>
      </c>
      <c r="B697" s="11">
        <v>0.09</v>
      </c>
      <c r="C697" s="5" t="s">
        <v>524</v>
      </c>
      <c r="D697" s="5">
        <v>10</v>
      </c>
      <c r="E697" s="5" t="b">
        <v>1</v>
      </c>
      <c r="H697" s="9" t="s">
        <v>529</v>
      </c>
      <c r="I697" s="7" t="s">
        <v>510</v>
      </c>
      <c r="J697" s="7" t="s">
        <v>528</v>
      </c>
      <c r="K697" s="7" t="s">
        <v>403</v>
      </c>
      <c r="L697" s="8" t="s">
        <v>527</v>
      </c>
      <c r="M697" s="8" t="s">
        <v>526</v>
      </c>
      <c r="N697" s="7">
        <v>2023</v>
      </c>
      <c r="O697" s="5">
        <v>584</v>
      </c>
      <c r="P697" s="5" t="s">
        <v>220</v>
      </c>
    </row>
    <row r="698" spans="1:16" ht="21.5" x14ac:dyDescent="0.9">
      <c r="A698" s="5" t="s">
        <v>525</v>
      </c>
      <c r="B698" s="11">
        <v>0.1</v>
      </c>
      <c r="C698" s="5" t="s">
        <v>524</v>
      </c>
      <c r="D698" s="5">
        <v>11</v>
      </c>
      <c r="E698" s="5" t="b">
        <v>1</v>
      </c>
      <c r="H698" s="9" t="s">
        <v>523</v>
      </c>
      <c r="I698" s="7" t="s">
        <v>510</v>
      </c>
      <c r="J698" s="7" t="s">
        <v>519</v>
      </c>
      <c r="K698" s="7" t="s">
        <v>403</v>
      </c>
      <c r="L698" s="8" t="s">
        <v>522</v>
      </c>
      <c r="M698" s="8" t="s">
        <v>521</v>
      </c>
      <c r="N698" s="7">
        <v>2023</v>
      </c>
      <c r="O698" s="5">
        <v>585</v>
      </c>
      <c r="P698" s="5" t="s">
        <v>220</v>
      </c>
    </row>
    <row r="699" spans="1:16" ht="21.5" x14ac:dyDescent="0.9">
      <c r="A699" s="5"/>
      <c r="B699" s="11"/>
      <c r="C699" s="5"/>
      <c r="D699" s="5"/>
      <c r="E699" s="5"/>
      <c r="H699" s="9" t="s">
        <v>520</v>
      </c>
      <c r="I699" s="7" t="s">
        <v>510</v>
      </c>
      <c r="J699" s="7" t="s">
        <v>519</v>
      </c>
      <c r="K699" s="7" t="s">
        <v>403</v>
      </c>
      <c r="L699" s="8" t="s">
        <v>518</v>
      </c>
      <c r="M699" s="8" t="s">
        <v>517</v>
      </c>
      <c r="N699" s="7">
        <v>2024</v>
      </c>
      <c r="O699" s="5">
        <v>586</v>
      </c>
      <c r="P699" s="5" t="s">
        <v>220</v>
      </c>
    </row>
    <row r="700" spans="1:16" ht="27.5" x14ac:dyDescent="0.9">
      <c r="A700" s="10" t="s">
        <v>378</v>
      </c>
      <c r="B700" s="11"/>
      <c r="C700" s="5"/>
      <c r="D700" s="5"/>
      <c r="E700" s="5"/>
      <c r="H700" s="9" t="s">
        <v>516</v>
      </c>
      <c r="I700" s="7" t="s">
        <v>510</v>
      </c>
      <c r="J700" s="7" t="s">
        <v>515</v>
      </c>
      <c r="K700" s="7" t="s">
        <v>403</v>
      </c>
      <c r="L700" s="8" t="s">
        <v>514</v>
      </c>
      <c r="M700" s="8" t="s">
        <v>513</v>
      </c>
      <c r="N700" s="7">
        <v>2024</v>
      </c>
      <c r="O700" s="5">
        <v>587</v>
      </c>
      <c r="P700" s="5" t="s">
        <v>220</v>
      </c>
    </row>
    <row r="701" spans="1:16" ht="35" x14ac:dyDescent="0.9">
      <c r="A701" s="99" t="s">
        <v>512</v>
      </c>
      <c r="B701" s="99"/>
      <c r="C701" s="99"/>
      <c r="D701" s="99"/>
      <c r="E701" s="99"/>
      <c r="H701" s="9" t="s">
        <v>511</v>
      </c>
      <c r="I701" s="7" t="s">
        <v>510</v>
      </c>
      <c r="J701" s="7" t="s">
        <v>509</v>
      </c>
      <c r="K701" s="7" t="s">
        <v>386</v>
      </c>
      <c r="L701" s="8" t="s">
        <v>508</v>
      </c>
      <c r="M701" s="8" t="s">
        <v>507</v>
      </c>
      <c r="N701" s="7">
        <v>2024</v>
      </c>
      <c r="O701" s="5">
        <v>588</v>
      </c>
      <c r="P701" s="5" t="s">
        <v>220</v>
      </c>
    </row>
    <row r="702" spans="1:16" ht="27.5" x14ac:dyDescent="0.9">
      <c r="A702" s="10" t="s">
        <v>378</v>
      </c>
      <c r="B702" s="11"/>
      <c r="C702" s="5"/>
      <c r="D702" s="5"/>
      <c r="E702" s="5"/>
      <c r="H702" s="9" t="s">
        <v>506</v>
      </c>
      <c r="I702" s="7" t="s">
        <v>501</v>
      </c>
      <c r="J702" s="7" t="s">
        <v>505</v>
      </c>
      <c r="K702" s="7" t="s">
        <v>403</v>
      </c>
      <c r="L702" s="8" t="s">
        <v>504</v>
      </c>
      <c r="M702" s="8" t="s">
        <v>503</v>
      </c>
      <c r="N702" s="7">
        <v>2023</v>
      </c>
      <c r="O702" s="5">
        <v>589</v>
      </c>
      <c r="P702" s="5" t="s">
        <v>220</v>
      </c>
    </row>
    <row r="703" spans="1:16" ht="21.5" x14ac:dyDescent="0.9">
      <c r="H703" s="9" t="s">
        <v>502</v>
      </c>
      <c r="I703" s="7" t="s">
        <v>501</v>
      </c>
      <c r="J703" s="7" t="s">
        <v>500</v>
      </c>
      <c r="K703" s="7" t="s">
        <v>403</v>
      </c>
      <c r="L703" s="8" t="s">
        <v>499</v>
      </c>
      <c r="M703" s="8" t="s">
        <v>498</v>
      </c>
      <c r="N703" s="7">
        <v>2024</v>
      </c>
      <c r="O703" s="5">
        <v>590</v>
      </c>
      <c r="P703" s="5" t="s">
        <v>220</v>
      </c>
    </row>
    <row r="704" spans="1:16" ht="21.5" x14ac:dyDescent="0.9">
      <c r="A704" s="3" t="s">
        <v>497</v>
      </c>
      <c r="H704" s="9" t="s">
        <v>496</v>
      </c>
      <c r="I704" s="7" t="s">
        <v>481</v>
      </c>
      <c r="J704" s="7" t="s">
        <v>487</v>
      </c>
      <c r="K704" s="7" t="s">
        <v>403</v>
      </c>
      <c r="L704" s="8" t="s">
        <v>495</v>
      </c>
      <c r="M704" s="8" t="s">
        <v>494</v>
      </c>
      <c r="N704" s="7">
        <v>2023</v>
      </c>
      <c r="O704" s="5">
        <v>591</v>
      </c>
      <c r="P704" s="5" t="s">
        <v>220</v>
      </c>
    </row>
    <row r="705" spans="1:16" ht="21.5" x14ac:dyDescent="0.9">
      <c r="A705" s="6" t="s">
        <v>34</v>
      </c>
      <c r="B705" s="6" t="s">
        <v>33</v>
      </c>
      <c r="C705" s="6" t="s">
        <v>32</v>
      </c>
      <c r="D705" s="6" t="s">
        <v>31</v>
      </c>
      <c r="E705" s="6" t="s">
        <v>0</v>
      </c>
      <c r="H705" s="9" t="s">
        <v>493</v>
      </c>
      <c r="I705" s="7" t="s">
        <v>481</v>
      </c>
      <c r="J705" s="7" t="s">
        <v>487</v>
      </c>
      <c r="K705" s="7" t="s">
        <v>403</v>
      </c>
      <c r="L705" s="8" t="s">
        <v>492</v>
      </c>
      <c r="M705" s="8" t="s">
        <v>491</v>
      </c>
      <c r="N705" s="7">
        <v>2024</v>
      </c>
      <c r="O705" s="5">
        <v>592</v>
      </c>
      <c r="P705" s="5" t="s">
        <v>220</v>
      </c>
    </row>
    <row r="706" spans="1:16" ht="21.5" x14ac:dyDescent="0.9">
      <c r="A706" s="5" t="s">
        <v>490</v>
      </c>
      <c r="B706" s="5" t="s">
        <v>489</v>
      </c>
      <c r="C706" s="5"/>
      <c r="D706" s="5">
        <v>1</v>
      </c>
      <c r="E706" s="5" t="b">
        <v>1</v>
      </c>
      <c r="H706" s="9" t="s">
        <v>488</v>
      </c>
      <c r="I706" s="7" t="s">
        <v>481</v>
      </c>
      <c r="J706" s="7" t="s">
        <v>487</v>
      </c>
      <c r="K706" s="7" t="s">
        <v>403</v>
      </c>
      <c r="L706" s="8" t="s">
        <v>486</v>
      </c>
      <c r="M706" s="8" t="s">
        <v>485</v>
      </c>
      <c r="N706" s="7">
        <v>2025</v>
      </c>
      <c r="O706" s="5">
        <v>593</v>
      </c>
      <c r="P706" s="5" t="s">
        <v>220</v>
      </c>
    </row>
    <row r="707" spans="1:16" ht="21.5" x14ac:dyDescent="0.9">
      <c r="A707" s="5" t="s">
        <v>484</v>
      </c>
      <c r="B707" s="5" t="s">
        <v>483</v>
      </c>
      <c r="C707" s="5"/>
      <c r="D707" s="5">
        <v>2</v>
      </c>
      <c r="E707" s="5" t="b">
        <v>1</v>
      </c>
      <c r="H707" s="9" t="s">
        <v>482</v>
      </c>
      <c r="I707" s="7" t="s">
        <v>481</v>
      </c>
      <c r="J707" s="7" t="s">
        <v>480</v>
      </c>
      <c r="K707" s="7" t="s">
        <v>403</v>
      </c>
      <c r="L707" s="8" t="s">
        <v>479</v>
      </c>
      <c r="M707" s="8" t="s">
        <v>478</v>
      </c>
      <c r="N707" s="7">
        <v>2024</v>
      </c>
      <c r="O707" s="5">
        <v>594</v>
      </c>
      <c r="P707" s="5" t="s">
        <v>220</v>
      </c>
    </row>
    <row r="708" spans="1:16" ht="21.5" x14ac:dyDescent="0.9">
      <c r="A708" s="5" t="s">
        <v>477</v>
      </c>
      <c r="B708" s="5" t="s">
        <v>476</v>
      </c>
      <c r="C708" s="5"/>
      <c r="D708" s="5">
        <v>3</v>
      </c>
      <c r="E708" s="5" t="b">
        <v>1</v>
      </c>
      <c r="H708" s="9" t="s">
        <v>475</v>
      </c>
      <c r="I708" s="7" t="s">
        <v>469</v>
      </c>
      <c r="J708" s="7" t="s">
        <v>468</v>
      </c>
      <c r="K708" s="7" t="s">
        <v>403</v>
      </c>
      <c r="L708" s="8" t="s">
        <v>474</v>
      </c>
      <c r="M708" s="8" t="s">
        <v>473</v>
      </c>
      <c r="N708" s="7">
        <v>2024</v>
      </c>
      <c r="O708" s="5">
        <v>595</v>
      </c>
      <c r="P708" s="5" t="s">
        <v>220</v>
      </c>
    </row>
    <row r="709" spans="1:16" ht="21.5" x14ac:dyDescent="0.9">
      <c r="A709" s="5" t="s">
        <v>472</v>
      </c>
      <c r="B709" s="5" t="s">
        <v>471</v>
      </c>
      <c r="C709" s="5"/>
      <c r="D709" s="5">
        <v>4</v>
      </c>
      <c r="E709" s="5" t="b">
        <v>1</v>
      </c>
      <c r="H709" s="9" t="s">
        <v>470</v>
      </c>
      <c r="I709" s="7" t="s">
        <v>469</v>
      </c>
      <c r="J709" s="7" t="s">
        <v>468</v>
      </c>
      <c r="K709" s="7" t="s">
        <v>403</v>
      </c>
      <c r="L709" s="8" t="s">
        <v>467</v>
      </c>
      <c r="M709" s="8" t="s">
        <v>466</v>
      </c>
      <c r="N709" s="7">
        <v>2023</v>
      </c>
      <c r="O709" s="5">
        <v>596</v>
      </c>
      <c r="P709" s="5" t="s">
        <v>220</v>
      </c>
    </row>
    <row r="710" spans="1:16" ht="21.5" x14ac:dyDescent="0.9">
      <c r="A710" s="5" t="s">
        <v>465</v>
      </c>
      <c r="B710" s="5" t="s">
        <v>464</v>
      </c>
      <c r="C710" s="5"/>
      <c r="D710" s="5">
        <v>5</v>
      </c>
      <c r="E710" s="5" t="b">
        <v>1</v>
      </c>
      <c r="H710" s="9" t="s">
        <v>463</v>
      </c>
      <c r="I710" s="7" t="s">
        <v>462</v>
      </c>
      <c r="J710" s="7" t="s">
        <v>461</v>
      </c>
      <c r="K710" s="7" t="s">
        <v>403</v>
      </c>
      <c r="L710" s="8" t="s">
        <v>460</v>
      </c>
      <c r="M710" s="8" t="s">
        <v>459</v>
      </c>
      <c r="N710" s="7">
        <v>2024</v>
      </c>
      <c r="O710" s="5">
        <v>597</v>
      </c>
      <c r="P710" s="5" t="s">
        <v>220</v>
      </c>
    </row>
    <row r="711" spans="1:16" ht="21.5" x14ac:dyDescent="0.9">
      <c r="A711" s="5" t="s">
        <v>458</v>
      </c>
      <c r="B711" s="5" t="s">
        <v>457</v>
      </c>
      <c r="C711" s="5"/>
      <c r="D711" s="5">
        <v>6</v>
      </c>
      <c r="E711" s="5" t="b">
        <v>1</v>
      </c>
      <c r="H711" s="9" t="s">
        <v>456</v>
      </c>
      <c r="I711" s="7" t="s">
        <v>455</v>
      </c>
      <c r="J711" s="7" t="s">
        <v>454</v>
      </c>
      <c r="K711" s="7" t="s">
        <v>403</v>
      </c>
      <c r="L711" s="8" t="s">
        <v>453</v>
      </c>
      <c r="M711" s="8" t="s">
        <v>452</v>
      </c>
      <c r="N711" s="7">
        <v>2023</v>
      </c>
      <c r="O711" s="5">
        <v>598</v>
      </c>
      <c r="P711" s="5" t="s">
        <v>220</v>
      </c>
    </row>
    <row r="712" spans="1:16" ht="21.5" x14ac:dyDescent="0.9">
      <c r="A712" s="5" t="s">
        <v>451</v>
      </c>
      <c r="B712" s="5" t="s">
        <v>450</v>
      </c>
      <c r="C712" s="5"/>
      <c r="D712" s="5">
        <v>7</v>
      </c>
      <c r="E712" s="5" t="b">
        <v>1</v>
      </c>
      <c r="H712" s="9" t="s">
        <v>449</v>
      </c>
      <c r="I712" s="7" t="s">
        <v>448</v>
      </c>
      <c r="J712" s="7" t="s">
        <v>447</v>
      </c>
      <c r="K712" s="7" t="s">
        <v>403</v>
      </c>
      <c r="L712" s="8" t="s">
        <v>446</v>
      </c>
      <c r="M712" s="8" t="s">
        <v>445</v>
      </c>
      <c r="N712" s="7">
        <v>2023</v>
      </c>
      <c r="O712" s="5">
        <v>599</v>
      </c>
      <c r="P712" s="5" t="s">
        <v>220</v>
      </c>
    </row>
    <row r="713" spans="1:16" ht="21.5" x14ac:dyDescent="0.9">
      <c r="A713" s="5" t="s">
        <v>444</v>
      </c>
      <c r="B713" s="5" t="s">
        <v>443</v>
      </c>
      <c r="C713" s="5"/>
      <c r="D713" s="5">
        <v>8</v>
      </c>
      <c r="E713" s="5" t="b">
        <v>1</v>
      </c>
      <c r="H713" s="9" t="s">
        <v>442</v>
      </c>
      <c r="I713" s="7" t="s">
        <v>441</v>
      </c>
      <c r="J713" s="7" t="s">
        <v>440</v>
      </c>
      <c r="K713" s="7" t="s">
        <v>403</v>
      </c>
      <c r="L713" s="8" t="s">
        <v>439</v>
      </c>
      <c r="M713" s="8" t="s">
        <v>438</v>
      </c>
      <c r="N713" s="7">
        <v>2023</v>
      </c>
      <c r="O713" s="5">
        <v>600</v>
      </c>
      <c r="P713" s="5" t="s">
        <v>220</v>
      </c>
    </row>
    <row r="714" spans="1:16" ht="21.5" x14ac:dyDescent="0.9">
      <c r="H714" s="9" t="s">
        <v>437</v>
      </c>
      <c r="I714" s="7" t="s">
        <v>436</v>
      </c>
      <c r="J714" s="7" t="s">
        <v>435</v>
      </c>
      <c r="K714" s="7" t="s">
        <v>403</v>
      </c>
      <c r="L714" s="8" t="s">
        <v>434</v>
      </c>
      <c r="M714" s="8" t="s">
        <v>433</v>
      </c>
      <c r="N714" s="7">
        <v>2023</v>
      </c>
      <c r="O714" s="5">
        <v>601</v>
      </c>
      <c r="P714" s="5" t="s">
        <v>220</v>
      </c>
    </row>
    <row r="715" spans="1:16" ht="21.5" x14ac:dyDescent="0.9">
      <c r="A715" s="3" t="s">
        <v>432</v>
      </c>
      <c r="H715" s="9" t="s">
        <v>431</v>
      </c>
      <c r="I715" s="7" t="s">
        <v>430</v>
      </c>
      <c r="J715" s="7" t="s">
        <v>429</v>
      </c>
      <c r="K715" s="7" t="s">
        <v>403</v>
      </c>
      <c r="L715" s="8" t="s">
        <v>428</v>
      </c>
      <c r="M715" s="8" t="s">
        <v>427</v>
      </c>
      <c r="N715" s="7">
        <v>2023</v>
      </c>
      <c r="O715" s="5">
        <v>602</v>
      </c>
      <c r="P715" s="5" t="s">
        <v>220</v>
      </c>
    </row>
    <row r="716" spans="1:16" ht="21.5" x14ac:dyDescent="0.9">
      <c r="A716" s="6" t="s">
        <v>34</v>
      </c>
      <c r="B716" s="6" t="s">
        <v>33</v>
      </c>
      <c r="C716" s="6" t="s">
        <v>32</v>
      </c>
      <c r="D716" s="6" t="s">
        <v>31</v>
      </c>
      <c r="E716" s="6" t="s">
        <v>0</v>
      </c>
      <c r="H716" s="9" t="s">
        <v>426</v>
      </c>
      <c r="I716" s="7" t="s">
        <v>425</v>
      </c>
      <c r="J716" s="7" t="s">
        <v>424</v>
      </c>
      <c r="K716" s="7" t="s">
        <v>403</v>
      </c>
      <c r="L716" s="8" t="s">
        <v>423</v>
      </c>
      <c r="M716" s="8" t="s">
        <v>422</v>
      </c>
      <c r="N716" s="7">
        <v>2024</v>
      </c>
      <c r="O716" s="5">
        <v>603</v>
      </c>
      <c r="P716" s="5" t="s">
        <v>220</v>
      </c>
    </row>
    <row r="717" spans="1:16" ht="21.5" x14ac:dyDescent="0.9">
      <c r="A717" s="5" t="s">
        <v>421</v>
      </c>
      <c r="B717" s="5" t="s">
        <v>0</v>
      </c>
      <c r="C717" s="5"/>
      <c r="D717" s="5">
        <v>1</v>
      </c>
      <c r="E717" s="5" t="b">
        <v>1</v>
      </c>
      <c r="H717" s="9" t="s">
        <v>420</v>
      </c>
      <c r="I717" s="7" t="s">
        <v>419</v>
      </c>
      <c r="J717" s="7" t="s">
        <v>418</v>
      </c>
      <c r="K717" s="7" t="s">
        <v>403</v>
      </c>
      <c r="L717" s="8" t="s">
        <v>417</v>
      </c>
      <c r="M717" s="8" t="s">
        <v>416</v>
      </c>
      <c r="N717" s="7">
        <v>2024</v>
      </c>
      <c r="O717" s="5">
        <v>604</v>
      </c>
      <c r="P717" s="5" t="s">
        <v>220</v>
      </c>
    </row>
    <row r="718" spans="1:16" ht="21.5" x14ac:dyDescent="0.9">
      <c r="A718" s="5" t="s">
        <v>415</v>
      </c>
      <c r="B718" s="5" t="s">
        <v>414</v>
      </c>
      <c r="C718" s="5"/>
      <c r="D718" s="5">
        <v>2</v>
      </c>
      <c r="E718" s="5" t="b">
        <v>1</v>
      </c>
      <c r="H718" s="9" t="s">
        <v>413</v>
      </c>
      <c r="I718" s="7" t="s">
        <v>412</v>
      </c>
      <c r="J718" s="7" t="s">
        <v>411</v>
      </c>
      <c r="K718" s="7" t="s">
        <v>403</v>
      </c>
      <c r="L718" s="8" t="s">
        <v>410</v>
      </c>
      <c r="M718" s="8" t="s">
        <v>409</v>
      </c>
      <c r="N718" s="7">
        <v>2024</v>
      </c>
      <c r="O718" s="5">
        <v>605</v>
      </c>
      <c r="P718" s="5" t="s">
        <v>220</v>
      </c>
    </row>
    <row r="719" spans="1:16" ht="21.5" x14ac:dyDescent="0.9">
      <c r="A719" s="5" t="s">
        <v>408</v>
      </c>
      <c r="B719" s="5" t="s">
        <v>407</v>
      </c>
      <c r="C719" s="5"/>
      <c r="D719" s="5">
        <v>3</v>
      </c>
      <c r="E719" s="5" t="b">
        <v>1</v>
      </c>
      <c r="H719" s="9" t="s">
        <v>406</v>
      </c>
      <c r="I719" s="7" t="s">
        <v>405</v>
      </c>
      <c r="J719" s="7" t="s">
        <v>404</v>
      </c>
      <c r="K719" s="7" t="s">
        <v>403</v>
      </c>
      <c r="L719" s="8" t="s">
        <v>402</v>
      </c>
      <c r="M719" s="8" t="s">
        <v>401</v>
      </c>
      <c r="N719" s="7">
        <v>2024</v>
      </c>
      <c r="O719" s="5">
        <v>606</v>
      </c>
      <c r="P719" s="5" t="s">
        <v>220</v>
      </c>
    </row>
    <row r="720" spans="1:16" ht="21.5" x14ac:dyDescent="0.9">
      <c r="A720" s="5" t="s">
        <v>400</v>
      </c>
      <c r="B720" s="5" t="s">
        <v>399</v>
      </c>
      <c r="C720" s="5"/>
      <c r="D720" s="5">
        <v>4</v>
      </c>
      <c r="E720" s="5" t="b">
        <v>1</v>
      </c>
      <c r="H720" s="9" t="s">
        <v>398</v>
      </c>
      <c r="I720" s="7" t="s">
        <v>397</v>
      </c>
      <c r="J720" s="7" t="s">
        <v>396</v>
      </c>
      <c r="K720" s="7" t="s">
        <v>386</v>
      </c>
      <c r="L720" s="8" t="s">
        <v>395</v>
      </c>
      <c r="M720" s="8">
        <v>2023</v>
      </c>
      <c r="N720" s="7" t="s">
        <v>394</v>
      </c>
      <c r="O720" s="5">
        <v>607</v>
      </c>
      <c r="P720" s="5" t="s">
        <v>220</v>
      </c>
    </row>
    <row r="721" spans="1:16" ht="21.5" x14ac:dyDescent="0.9">
      <c r="A721" s="5"/>
      <c r="B721" s="5"/>
      <c r="C721" s="5"/>
      <c r="D721" s="5"/>
      <c r="E721" s="5"/>
      <c r="H721" s="9" t="s">
        <v>393</v>
      </c>
      <c r="I721" s="7" t="s">
        <v>392</v>
      </c>
      <c r="J721" s="7" t="s">
        <v>391</v>
      </c>
      <c r="K721" s="7" t="s">
        <v>386</v>
      </c>
      <c r="L721" s="8" t="s">
        <v>390</v>
      </c>
      <c r="M721" s="8" t="s">
        <v>389</v>
      </c>
      <c r="N721" s="7">
        <v>2023</v>
      </c>
      <c r="O721" s="5">
        <v>608</v>
      </c>
      <c r="P721" s="5" t="s">
        <v>220</v>
      </c>
    </row>
    <row r="722" spans="1:16" ht="27.5" x14ac:dyDescent="0.9">
      <c r="A722" s="10" t="s">
        <v>378</v>
      </c>
      <c r="B722" s="5"/>
      <c r="C722" s="5"/>
      <c r="D722" s="5"/>
      <c r="E722" s="5"/>
      <c r="H722" s="9" t="s">
        <v>388</v>
      </c>
      <c r="I722" s="7" t="s">
        <v>264</v>
      </c>
      <c r="J722" s="7" t="s">
        <v>387</v>
      </c>
      <c r="K722" s="7" t="s">
        <v>386</v>
      </c>
      <c r="L722" s="8" t="s">
        <v>385</v>
      </c>
      <c r="M722" s="8" t="s">
        <v>384</v>
      </c>
      <c r="N722" s="7">
        <v>2024</v>
      </c>
      <c r="O722" s="5">
        <v>609</v>
      </c>
      <c r="P722" s="5" t="s">
        <v>220</v>
      </c>
    </row>
    <row r="723" spans="1:16" ht="35" x14ac:dyDescent="0.9">
      <c r="A723" s="99" t="s">
        <v>383</v>
      </c>
      <c r="B723" s="99"/>
      <c r="C723" s="99"/>
      <c r="D723" s="99"/>
      <c r="E723" s="99"/>
      <c r="H723" s="9" t="s">
        <v>382</v>
      </c>
      <c r="I723" s="7" t="s">
        <v>363</v>
      </c>
      <c r="J723" s="7" t="s">
        <v>381</v>
      </c>
      <c r="K723" s="7" t="s">
        <v>262</v>
      </c>
      <c r="L723" s="8" t="s">
        <v>380</v>
      </c>
      <c r="M723" s="8" t="s">
        <v>379</v>
      </c>
      <c r="N723" s="7">
        <v>2025</v>
      </c>
      <c r="O723" s="5">
        <v>610</v>
      </c>
      <c r="P723" s="5" t="s">
        <v>220</v>
      </c>
    </row>
    <row r="724" spans="1:16" ht="27.5" x14ac:dyDescent="0.9">
      <c r="A724" s="10" t="s">
        <v>378</v>
      </c>
      <c r="B724" s="5"/>
      <c r="C724" s="5"/>
      <c r="D724" s="5"/>
      <c r="E724" s="5"/>
      <c r="H724" s="9" t="s">
        <v>377</v>
      </c>
      <c r="I724" s="7" t="s">
        <v>349</v>
      </c>
      <c r="J724" s="7" t="s">
        <v>376</v>
      </c>
      <c r="K724" s="7" t="s">
        <v>262</v>
      </c>
      <c r="L724" s="8" t="s">
        <v>375</v>
      </c>
      <c r="M724" s="8" t="s">
        <v>374</v>
      </c>
      <c r="N724" s="7">
        <v>2024</v>
      </c>
      <c r="O724" s="5">
        <v>611</v>
      </c>
      <c r="P724" s="5" t="s">
        <v>220</v>
      </c>
    </row>
    <row r="725" spans="1:16" ht="21.5" x14ac:dyDescent="0.9">
      <c r="A725" s="5"/>
      <c r="B725" s="5"/>
      <c r="C725" s="5"/>
      <c r="D725" s="5"/>
      <c r="E725" s="5"/>
      <c r="H725" s="9" t="s">
        <v>373</v>
      </c>
      <c r="I725" s="7" t="s">
        <v>232</v>
      </c>
      <c r="J725" s="7" t="s">
        <v>372</v>
      </c>
      <c r="K725" s="7" t="s">
        <v>262</v>
      </c>
      <c r="L725" s="8" t="s">
        <v>371</v>
      </c>
      <c r="M725" s="8" t="s">
        <v>370</v>
      </c>
      <c r="N725" s="7">
        <v>2024</v>
      </c>
      <c r="O725" s="5">
        <v>612</v>
      </c>
      <c r="P725" s="5" t="s">
        <v>220</v>
      </c>
    </row>
    <row r="726" spans="1:16" ht="21.5" x14ac:dyDescent="0.9">
      <c r="A726" s="3" t="s">
        <v>369</v>
      </c>
      <c r="H726" s="9" t="s">
        <v>368</v>
      </c>
      <c r="I726" s="7" t="s">
        <v>363</v>
      </c>
      <c r="J726" s="7" t="s">
        <v>367</v>
      </c>
      <c r="K726" s="7" t="s">
        <v>262</v>
      </c>
      <c r="L726" s="8" t="s">
        <v>366</v>
      </c>
      <c r="M726" s="8" t="s">
        <v>365</v>
      </c>
      <c r="N726" s="7">
        <v>2024</v>
      </c>
      <c r="O726" s="5">
        <v>613</v>
      </c>
      <c r="P726" s="5" t="s">
        <v>220</v>
      </c>
    </row>
    <row r="727" spans="1:16" ht="21.5" x14ac:dyDescent="0.9">
      <c r="A727" s="6" t="s">
        <v>34</v>
      </c>
      <c r="B727" s="6" t="s">
        <v>33</v>
      </c>
      <c r="C727" s="6" t="s">
        <v>32</v>
      </c>
      <c r="D727" s="6" t="s">
        <v>31</v>
      </c>
      <c r="E727" s="6" t="s">
        <v>0</v>
      </c>
      <c r="H727" s="9" t="s">
        <v>364</v>
      </c>
      <c r="I727" s="7" t="s">
        <v>363</v>
      </c>
      <c r="J727" s="7" t="s">
        <v>362</v>
      </c>
      <c r="K727" s="7" t="s">
        <v>262</v>
      </c>
      <c r="L727" s="8" t="s">
        <v>361</v>
      </c>
      <c r="M727" s="8" t="s">
        <v>360</v>
      </c>
      <c r="N727" s="7">
        <v>2024</v>
      </c>
      <c r="O727" s="5">
        <v>614</v>
      </c>
      <c r="P727" s="5" t="s">
        <v>220</v>
      </c>
    </row>
    <row r="728" spans="1:16" ht="21.5" x14ac:dyDescent="0.9">
      <c r="A728" s="5" t="s">
        <v>359</v>
      </c>
      <c r="B728" s="5" t="s">
        <v>358</v>
      </c>
      <c r="C728" s="5" t="s">
        <v>357</v>
      </c>
      <c r="D728" s="5">
        <v>1</v>
      </c>
      <c r="E728" s="5" t="b">
        <v>1</v>
      </c>
      <c r="H728" s="9" t="s">
        <v>356</v>
      </c>
      <c r="I728" s="7" t="s">
        <v>349</v>
      </c>
      <c r="J728" s="7" t="s">
        <v>355</v>
      </c>
      <c r="K728" s="7" t="s">
        <v>262</v>
      </c>
      <c r="L728" s="8" t="s">
        <v>354</v>
      </c>
      <c r="M728" s="8" t="s">
        <v>353</v>
      </c>
      <c r="N728" s="7">
        <v>2024</v>
      </c>
      <c r="O728" s="5">
        <v>615</v>
      </c>
      <c r="P728" s="5" t="s">
        <v>220</v>
      </c>
    </row>
    <row r="729" spans="1:16" ht="21.5" x14ac:dyDescent="0.9">
      <c r="A729" s="5" t="s">
        <v>352</v>
      </c>
      <c r="B729" s="5" t="s">
        <v>351</v>
      </c>
      <c r="C729" s="5" t="s">
        <v>199</v>
      </c>
      <c r="D729" s="5">
        <v>2</v>
      </c>
      <c r="E729" s="5" t="b">
        <v>1</v>
      </c>
      <c r="H729" s="9" t="s">
        <v>350</v>
      </c>
      <c r="I729" s="7" t="s">
        <v>349</v>
      </c>
      <c r="J729" s="7" t="s">
        <v>348</v>
      </c>
      <c r="K729" s="7" t="s">
        <v>262</v>
      </c>
      <c r="L729" s="8" t="s">
        <v>347</v>
      </c>
      <c r="M729" s="8" t="s">
        <v>346</v>
      </c>
      <c r="N729" s="7">
        <v>2024</v>
      </c>
      <c r="O729" s="5">
        <v>616</v>
      </c>
      <c r="P729" s="5" t="s">
        <v>220</v>
      </c>
    </row>
    <row r="730" spans="1:16" ht="21.5" x14ac:dyDescent="0.9">
      <c r="A730" s="5" t="s">
        <v>345</v>
      </c>
      <c r="B730" s="5" t="s">
        <v>344</v>
      </c>
      <c r="C730" s="5" t="s">
        <v>343</v>
      </c>
      <c r="D730" s="5">
        <v>3</v>
      </c>
      <c r="E730" s="5" t="b">
        <v>1</v>
      </c>
      <c r="H730" s="9" t="s">
        <v>342</v>
      </c>
      <c r="I730" s="7" t="s">
        <v>232</v>
      </c>
      <c r="J730" s="7" t="s">
        <v>341</v>
      </c>
      <c r="K730" s="7" t="s">
        <v>262</v>
      </c>
      <c r="L730" s="8" t="s">
        <v>340</v>
      </c>
      <c r="M730" s="8" t="s">
        <v>339</v>
      </c>
      <c r="N730" s="7">
        <v>2024</v>
      </c>
      <c r="O730" s="5">
        <v>617</v>
      </c>
      <c r="P730" s="5" t="s">
        <v>220</v>
      </c>
    </row>
    <row r="731" spans="1:16" ht="21.5" x14ac:dyDescent="0.9">
      <c r="A731" s="5" t="s">
        <v>338</v>
      </c>
      <c r="B731" s="5" t="s">
        <v>337</v>
      </c>
      <c r="C731" s="5" t="s">
        <v>336</v>
      </c>
      <c r="D731" s="5">
        <v>4</v>
      </c>
      <c r="E731" s="5" t="b">
        <v>1</v>
      </c>
      <c r="H731" s="9" t="s">
        <v>335</v>
      </c>
      <c r="I731" s="7" t="s">
        <v>334</v>
      </c>
      <c r="J731" s="7" t="s">
        <v>333</v>
      </c>
      <c r="K731" s="7" t="s">
        <v>262</v>
      </c>
      <c r="L731" s="8" t="s">
        <v>332</v>
      </c>
      <c r="M731" s="8" t="s">
        <v>331</v>
      </c>
      <c r="N731" s="7">
        <v>2024</v>
      </c>
      <c r="O731" s="5">
        <v>618</v>
      </c>
      <c r="P731" s="5" t="s">
        <v>220</v>
      </c>
    </row>
    <row r="732" spans="1:16" ht="21.5" x14ac:dyDescent="0.9">
      <c r="A732" s="5" t="s">
        <v>330</v>
      </c>
      <c r="B732" s="5" t="s">
        <v>329</v>
      </c>
      <c r="C732" s="5" t="s">
        <v>328</v>
      </c>
      <c r="D732" s="5">
        <v>5</v>
      </c>
      <c r="E732" s="5" t="b">
        <v>1</v>
      </c>
      <c r="H732" s="9" t="s">
        <v>327</v>
      </c>
      <c r="I732" s="7" t="s">
        <v>326</v>
      </c>
      <c r="J732" s="7" t="s">
        <v>325</v>
      </c>
      <c r="K732" s="7" t="s">
        <v>262</v>
      </c>
      <c r="L732" s="8" t="s">
        <v>324</v>
      </c>
      <c r="M732" s="8" t="s">
        <v>323</v>
      </c>
      <c r="N732" s="7">
        <v>2024</v>
      </c>
      <c r="O732" s="5">
        <v>619</v>
      </c>
      <c r="P732" s="5" t="s">
        <v>220</v>
      </c>
    </row>
    <row r="733" spans="1:16" ht="21.5" x14ac:dyDescent="0.9">
      <c r="A733" s="5" t="s">
        <v>322</v>
      </c>
      <c r="B733" s="5" t="s">
        <v>321</v>
      </c>
      <c r="C733" s="5" t="s">
        <v>190</v>
      </c>
      <c r="D733" s="5">
        <v>6</v>
      </c>
      <c r="E733" s="5" t="b">
        <v>1</v>
      </c>
      <c r="H733" s="9" t="s">
        <v>320</v>
      </c>
      <c r="I733" s="7" t="s">
        <v>319</v>
      </c>
      <c r="J733" s="7" t="s">
        <v>318</v>
      </c>
      <c r="K733" s="7" t="s">
        <v>262</v>
      </c>
      <c r="L733" s="8" t="s">
        <v>317</v>
      </c>
      <c r="M733" s="8" t="s">
        <v>316</v>
      </c>
      <c r="N733" s="7">
        <v>2024</v>
      </c>
      <c r="O733" s="5">
        <v>620</v>
      </c>
      <c r="P733" s="5" t="s">
        <v>220</v>
      </c>
    </row>
    <row r="734" spans="1:16" ht="21.5" x14ac:dyDescent="0.9">
      <c r="A734" s="5" t="s">
        <v>315</v>
      </c>
      <c r="B734" s="5" t="s">
        <v>314</v>
      </c>
      <c r="C734" s="5" t="s">
        <v>313</v>
      </c>
      <c r="D734" s="5">
        <v>7</v>
      </c>
      <c r="E734" s="5" t="b">
        <v>1</v>
      </c>
      <c r="H734" s="9" t="s">
        <v>312</v>
      </c>
      <c r="I734" s="7" t="s">
        <v>311</v>
      </c>
      <c r="J734" s="7" t="s">
        <v>310</v>
      </c>
      <c r="K734" s="7" t="s">
        <v>262</v>
      </c>
      <c r="L734" s="8" t="s">
        <v>309</v>
      </c>
      <c r="M734" s="8" t="s">
        <v>308</v>
      </c>
      <c r="N734" s="7">
        <v>2024</v>
      </c>
      <c r="O734" s="5">
        <v>621</v>
      </c>
      <c r="P734" s="5" t="s">
        <v>220</v>
      </c>
    </row>
    <row r="735" spans="1:16" ht="21.5" x14ac:dyDescent="0.9">
      <c r="A735" s="5" t="s">
        <v>307</v>
      </c>
      <c r="B735" s="5" t="s">
        <v>306</v>
      </c>
      <c r="C735" s="5" t="s">
        <v>305</v>
      </c>
      <c r="D735" s="5">
        <v>8</v>
      </c>
      <c r="E735" s="5" t="b">
        <v>1</v>
      </c>
      <c r="H735" s="9" t="s">
        <v>304</v>
      </c>
      <c r="I735" s="7" t="s">
        <v>303</v>
      </c>
      <c r="J735" s="7" t="s">
        <v>302</v>
      </c>
      <c r="K735" s="7" t="s">
        <v>262</v>
      </c>
      <c r="L735" s="8" t="s">
        <v>301</v>
      </c>
      <c r="M735" s="8" t="s">
        <v>300</v>
      </c>
      <c r="N735" s="7">
        <v>2024</v>
      </c>
      <c r="O735" s="5">
        <v>622</v>
      </c>
      <c r="P735" s="5" t="s">
        <v>220</v>
      </c>
    </row>
    <row r="736" spans="1:16" ht="21.5" x14ac:dyDescent="0.9">
      <c r="A736" s="5" t="s">
        <v>299</v>
      </c>
      <c r="B736" s="5" t="s">
        <v>298</v>
      </c>
      <c r="C736" s="5" t="s">
        <v>297</v>
      </c>
      <c r="D736" s="5">
        <v>9</v>
      </c>
      <c r="E736" s="5" t="b">
        <v>1</v>
      </c>
      <c r="H736" s="9" t="s">
        <v>296</v>
      </c>
      <c r="I736" s="7" t="s">
        <v>295</v>
      </c>
      <c r="J736" s="7" t="s">
        <v>294</v>
      </c>
      <c r="K736" s="7" t="s">
        <v>262</v>
      </c>
      <c r="L736" s="8" t="s">
        <v>293</v>
      </c>
      <c r="M736" s="8" t="s">
        <v>292</v>
      </c>
      <c r="N736" s="7">
        <v>2024</v>
      </c>
      <c r="O736" s="5">
        <v>623</v>
      </c>
      <c r="P736" s="5" t="s">
        <v>220</v>
      </c>
    </row>
    <row r="737" spans="1:16" ht="21.5" x14ac:dyDescent="0.9">
      <c r="A737" s="5" t="s">
        <v>291</v>
      </c>
      <c r="B737" s="5" t="s">
        <v>290</v>
      </c>
      <c r="C737" s="5" t="s">
        <v>289</v>
      </c>
      <c r="D737" s="5">
        <v>10</v>
      </c>
      <c r="E737" s="5" t="b">
        <v>1</v>
      </c>
      <c r="H737" s="9" t="s">
        <v>288</v>
      </c>
      <c r="I737" s="7" t="s">
        <v>287</v>
      </c>
      <c r="J737" s="7" t="s">
        <v>286</v>
      </c>
      <c r="K737" s="7" t="s">
        <v>262</v>
      </c>
      <c r="L737" s="8" t="s">
        <v>285</v>
      </c>
      <c r="M737" s="8" t="s">
        <v>284</v>
      </c>
      <c r="N737" s="7">
        <v>2024</v>
      </c>
      <c r="O737" s="5">
        <v>624</v>
      </c>
      <c r="P737" s="5" t="s">
        <v>220</v>
      </c>
    </row>
    <row r="738" spans="1:16" ht="21.5" x14ac:dyDescent="0.9">
      <c r="A738" s="5" t="s">
        <v>283</v>
      </c>
      <c r="B738" s="5" t="s">
        <v>282</v>
      </c>
      <c r="C738" s="5" t="s">
        <v>281</v>
      </c>
      <c r="D738" s="5">
        <v>11</v>
      </c>
      <c r="E738" s="5" t="b">
        <v>1</v>
      </c>
      <c r="H738" s="9" t="s">
        <v>280</v>
      </c>
      <c r="I738" s="7" t="s">
        <v>279</v>
      </c>
      <c r="J738" s="7" t="s">
        <v>278</v>
      </c>
      <c r="K738" s="7" t="s">
        <v>262</v>
      </c>
      <c r="L738" s="8" t="s">
        <v>277</v>
      </c>
      <c r="M738" s="8" t="s">
        <v>276</v>
      </c>
      <c r="N738" s="7">
        <v>2024</v>
      </c>
      <c r="O738" s="5">
        <v>625</v>
      </c>
      <c r="P738" s="5" t="s">
        <v>220</v>
      </c>
    </row>
    <row r="739" spans="1:16" ht="21.5" x14ac:dyDescent="0.9">
      <c r="A739" s="5" t="s">
        <v>275</v>
      </c>
      <c r="B739" s="5" t="s">
        <v>274</v>
      </c>
      <c r="C739" s="5" t="s">
        <v>273</v>
      </c>
      <c r="D739" s="5">
        <v>12</v>
      </c>
      <c r="E739" s="5" t="b">
        <v>1</v>
      </c>
      <c r="H739" s="9" t="s">
        <v>272</v>
      </c>
      <c r="I739" s="7" t="s">
        <v>264</v>
      </c>
      <c r="J739" s="7" t="s">
        <v>271</v>
      </c>
      <c r="K739" s="7" t="s">
        <v>262</v>
      </c>
      <c r="L739" s="8" t="s">
        <v>270</v>
      </c>
      <c r="M739" s="8" t="s">
        <v>269</v>
      </c>
      <c r="N739" s="7">
        <v>2024</v>
      </c>
      <c r="O739" s="5">
        <v>626</v>
      </c>
      <c r="P739" s="5" t="s">
        <v>220</v>
      </c>
    </row>
    <row r="740" spans="1:16" ht="21.5" x14ac:dyDescent="0.9">
      <c r="A740" s="5" t="s">
        <v>268</v>
      </c>
      <c r="B740" s="5" t="s">
        <v>267</v>
      </c>
      <c r="C740" s="5" t="s">
        <v>266</v>
      </c>
      <c r="D740" s="5">
        <v>13</v>
      </c>
      <c r="E740" s="5" t="b">
        <v>1</v>
      </c>
      <c r="H740" s="9" t="s">
        <v>265</v>
      </c>
      <c r="I740" s="7" t="s">
        <v>264</v>
      </c>
      <c r="J740" s="7" t="s">
        <v>263</v>
      </c>
      <c r="K740" s="7" t="s">
        <v>262</v>
      </c>
      <c r="L740" s="8" t="s">
        <v>261</v>
      </c>
      <c r="M740" s="8" t="s">
        <v>260</v>
      </c>
      <c r="N740" s="7">
        <v>2023</v>
      </c>
      <c r="O740" s="5">
        <v>627</v>
      </c>
      <c r="P740" s="5" t="s">
        <v>220</v>
      </c>
    </row>
    <row r="741" spans="1:16" ht="21.5" x14ac:dyDescent="0.9">
      <c r="A741" s="5" t="s">
        <v>259</v>
      </c>
      <c r="B741" s="5" t="s">
        <v>258</v>
      </c>
      <c r="C741" s="5" t="s">
        <v>257</v>
      </c>
      <c r="D741" s="5">
        <v>14</v>
      </c>
      <c r="E741" s="5" t="b">
        <v>1</v>
      </c>
      <c r="H741" s="9" t="s">
        <v>256</v>
      </c>
      <c r="I741" s="7" t="s">
        <v>255</v>
      </c>
      <c r="J741" s="7" t="s">
        <v>254</v>
      </c>
      <c r="K741" s="7" t="s">
        <v>223</v>
      </c>
      <c r="L741" s="8" t="s">
        <v>253</v>
      </c>
      <c r="M741" s="8" t="s">
        <v>252</v>
      </c>
      <c r="N741" s="7">
        <v>2021</v>
      </c>
      <c r="O741" s="5">
        <v>628</v>
      </c>
      <c r="P741" s="5" t="s">
        <v>220</v>
      </c>
    </row>
    <row r="742" spans="1:16" ht="21.5" x14ac:dyDescent="0.9">
      <c r="A742" s="5" t="s">
        <v>251</v>
      </c>
      <c r="B742" s="5" t="s">
        <v>250</v>
      </c>
      <c r="C742" s="5" t="s">
        <v>174</v>
      </c>
      <c r="D742" s="5">
        <v>15</v>
      </c>
      <c r="E742" s="5" t="b">
        <v>1</v>
      </c>
      <c r="H742" s="9" t="s">
        <v>249</v>
      </c>
      <c r="I742" s="7" t="s">
        <v>248</v>
      </c>
      <c r="J742" s="7" t="s">
        <v>247</v>
      </c>
      <c r="K742" s="7" t="s">
        <v>223</v>
      </c>
      <c r="L742" s="8" t="s">
        <v>246</v>
      </c>
      <c r="M742" s="8" t="s">
        <v>245</v>
      </c>
      <c r="N742" s="7">
        <v>2023</v>
      </c>
      <c r="O742" s="5">
        <v>629</v>
      </c>
      <c r="P742" s="5" t="s">
        <v>220</v>
      </c>
    </row>
    <row r="743" spans="1:16" ht="21.5" x14ac:dyDescent="0.9">
      <c r="A743" s="5" t="s">
        <v>244</v>
      </c>
      <c r="B743" s="5" t="s">
        <v>243</v>
      </c>
      <c r="C743" s="5" t="s">
        <v>242</v>
      </c>
      <c r="D743" s="5">
        <v>16</v>
      </c>
      <c r="E743" s="5" t="b">
        <v>1</v>
      </c>
      <c r="H743" s="9" t="s">
        <v>241</v>
      </c>
      <c r="I743" s="7" t="s">
        <v>240</v>
      </c>
      <c r="J743" s="7" t="s">
        <v>239</v>
      </c>
      <c r="K743" s="7" t="s">
        <v>223</v>
      </c>
      <c r="L743" s="8" t="s">
        <v>238</v>
      </c>
      <c r="M743" s="8" t="s">
        <v>237</v>
      </c>
      <c r="N743" s="7">
        <v>2024</v>
      </c>
      <c r="O743" s="5">
        <v>630</v>
      </c>
      <c r="P743" s="5" t="s">
        <v>220</v>
      </c>
    </row>
    <row r="744" spans="1:16" ht="21.5" x14ac:dyDescent="0.9">
      <c r="A744" s="5" t="s">
        <v>236</v>
      </c>
      <c r="B744" s="5" t="s">
        <v>235</v>
      </c>
      <c r="C744" s="5" t="s">
        <v>234</v>
      </c>
      <c r="D744" s="5">
        <v>17</v>
      </c>
      <c r="E744" s="5" t="b">
        <v>1</v>
      </c>
      <c r="H744" s="9" t="s">
        <v>233</v>
      </c>
      <c r="I744" s="7" t="s">
        <v>232</v>
      </c>
      <c r="J744" s="7" t="s">
        <v>231</v>
      </c>
      <c r="K744" s="7" t="s">
        <v>223</v>
      </c>
      <c r="L744" s="8" t="s">
        <v>230</v>
      </c>
      <c r="M744" s="8" t="s">
        <v>229</v>
      </c>
      <c r="N744" s="7">
        <v>2023</v>
      </c>
      <c r="O744" s="5">
        <v>631</v>
      </c>
      <c r="P744" s="5" t="s">
        <v>220</v>
      </c>
    </row>
    <row r="745" spans="1:16" ht="21.5" x14ac:dyDescent="0.9">
      <c r="A745" s="5" t="s">
        <v>228</v>
      </c>
      <c r="B745" s="5" t="s">
        <v>227</v>
      </c>
      <c r="C745" s="5" t="s">
        <v>202</v>
      </c>
      <c r="D745" s="5">
        <v>18</v>
      </c>
      <c r="E745" s="5" t="b">
        <v>1</v>
      </c>
      <c r="H745" s="9" t="s">
        <v>226</v>
      </c>
      <c r="I745" s="7" t="s">
        <v>225</v>
      </c>
      <c r="J745" s="7" t="s">
        <v>224</v>
      </c>
      <c r="K745" s="7" t="s">
        <v>223</v>
      </c>
      <c r="L745" s="8" t="s">
        <v>222</v>
      </c>
      <c r="M745" s="8" t="s">
        <v>221</v>
      </c>
      <c r="N745" s="7">
        <v>2023</v>
      </c>
      <c r="O745" s="5">
        <v>632</v>
      </c>
      <c r="P745" s="5" t="s">
        <v>220</v>
      </c>
    </row>
    <row r="746" spans="1:16" ht="21.5" x14ac:dyDescent="0.9">
      <c r="A746" s="5" t="s">
        <v>219</v>
      </c>
      <c r="B746" s="5" t="s">
        <v>218</v>
      </c>
      <c r="C746" s="5" t="s">
        <v>217</v>
      </c>
      <c r="D746" s="5">
        <v>19</v>
      </c>
      <c r="E746" s="5" t="b">
        <v>1</v>
      </c>
    </row>
    <row r="747" spans="1:16" ht="21.5" x14ac:dyDescent="0.9">
      <c r="A747" s="5" t="s">
        <v>216</v>
      </c>
      <c r="B747" s="5" t="s">
        <v>215</v>
      </c>
      <c r="C747" s="5" t="s">
        <v>214</v>
      </c>
      <c r="D747" s="5">
        <v>20</v>
      </c>
      <c r="E747" s="5" t="b">
        <v>1</v>
      </c>
    </row>
    <row r="748" spans="1:16" ht="21.5" x14ac:dyDescent="0.9">
      <c r="A748" s="5"/>
      <c r="B748" s="5"/>
      <c r="C748" s="5"/>
      <c r="D748" s="5"/>
      <c r="E748" s="5"/>
    </row>
    <row r="749" spans="1:16" x14ac:dyDescent="0.85">
      <c r="A749" s="3" t="s">
        <v>213</v>
      </c>
    </row>
    <row r="750" spans="1:16" ht="21.5" x14ac:dyDescent="0.9">
      <c r="A750" s="6" t="s">
        <v>34</v>
      </c>
      <c r="B750" s="6" t="s">
        <v>33</v>
      </c>
      <c r="C750" s="6" t="s">
        <v>32</v>
      </c>
      <c r="D750" s="6" t="s">
        <v>31</v>
      </c>
      <c r="E750" s="6" t="s">
        <v>0</v>
      </c>
    </row>
    <row r="751" spans="1:16" ht="21.5" x14ac:dyDescent="0.9">
      <c r="A751" s="5" t="s">
        <v>212</v>
      </c>
      <c r="B751" s="5" t="s">
        <v>211</v>
      </c>
      <c r="C751" s="5" t="s">
        <v>210</v>
      </c>
      <c r="D751" s="5">
        <v>1</v>
      </c>
      <c r="E751" s="5" t="b">
        <v>1</v>
      </c>
    </row>
    <row r="752" spans="1:16" ht="21.5" x14ac:dyDescent="0.9">
      <c r="A752" s="5" t="s">
        <v>209</v>
      </c>
      <c r="B752" s="5" t="s">
        <v>17</v>
      </c>
      <c r="C752" s="5" t="s">
        <v>208</v>
      </c>
      <c r="D752" s="5">
        <v>2</v>
      </c>
      <c r="E752" s="5" t="b">
        <v>1</v>
      </c>
    </row>
    <row r="753" spans="1:5" ht="21.5" x14ac:dyDescent="0.9">
      <c r="A753" s="5" t="s">
        <v>207</v>
      </c>
      <c r="B753" s="5" t="s">
        <v>206</v>
      </c>
      <c r="C753" s="5" t="s">
        <v>205</v>
      </c>
      <c r="D753" s="5">
        <v>3</v>
      </c>
      <c r="E753" s="5" t="b">
        <v>1</v>
      </c>
    </row>
    <row r="754" spans="1:5" ht="21.5" x14ac:dyDescent="0.9">
      <c r="A754" s="5" t="s">
        <v>204</v>
      </c>
      <c r="B754" s="5" t="s">
        <v>203</v>
      </c>
      <c r="C754" s="5" t="s">
        <v>202</v>
      </c>
      <c r="D754" s="5">
        <v>4</v>
      </c>
      <c r="E754" s="5" t="b">
        <v>1</v>
      </c>
    </row>
    <row r="755" spans="1:5" ht="21.5" x14ac:dyDescent="0.9">
      <c r="A755" s="5" t="s">
        <v>201</v>
      </c>
      <c r="B755" s="5" t="s">
        <v>200</v>
      </c>
      <c r="C755" s="5" t="s">
        <v>199</v>
      </c>
      <c r="D755" s="5">
        <v>5</v>
      </c>
      <c r="E755" s="5" t="b">
        <v>1</v>
      </c>
    </row>
    <row r="756" spans="1:5" ht="21.5" x14ac:dyDescent="0.9">
      <c r="A756" s="5" t="s">
        <v>198</v>
      </c>
      <c r="B756" s="5" t="s">
        <v>197</v>
      </c>
      <c r="C756" s="5" t="s">
        <v>196</v>
      </c>
      <c r="D756" s="5">
        <v>6</v>
      </c>
      <c r="E756" s="5" t="b">
        <v>1</v>
      </c>
    </row>
    <row r="757" spans="1:5" ht="21.5" x14ac:dyDescent="0.9">
      <c r="A757" s="5" t="s">
        <v>195</v>
      </c>
      <c r="B757" s="5" t="s">
        <v>194</v>
      </c>
      <c r="C757" s="5" t="s">
        <v>193</v>
      </c>
      <c r="D757" s="5">
        <v>7</v>
      </c>
      <c r="E757" s="5" t="b">
        <v>1</v>
      </c>
    </row>
    <row r="758" spans="1:5" ht="21.5" x14ac:dyDescent="0.9">
      <c r="A758" s="5" t="s">
        <v>192</v>
      </c>
      <c r="B758" s="5" t="s">
        <v>191</v>
      </c>
      <c r="C758" s="5" t="s">
        <v>190</v>
      </c>
      <c r="D758" s="5">
        <v>8</v>
      </c>
      <c r="E758" s="5" t="b">
        <v>1</v>
      </c>
    </row>
    <row r="759" spans="1:5" ht="21.5" x14ac:dyDescent="0.9">
      <c r="A759" s="5" t="s">
        <v>189</v>
      </c>
      <c r="B759" s="5" t="s">
        <v>188</v>
      </c>
      <c r="C759" s="5" t="s">
        <v>187</v>
      </c>
      <c r="D759" s="5">
        <v>9</v>
      </c>
      <c r="E759" s="5" t="b">
        <v>1</v>
      </c>
    </row>
    <row r="760" spans="1:5" ht="21.5" x14ac:dyDescent="0.9">
      <c r="A760" s="5" t="s">
        <v>186</v>
      </c>
      <c r="B760" s="5" t="s">
        <v>185</v>
      </c>
      <c r="C760" s="5" t="s">
        <v>184</v>
      </c>
      <c r="D760" s="5">
        <v>10</v>
      </c>
      <c r="E760" s="5" t="b">
        <v>1</v>
      </c>
    </row>
    <row r="761" spans="1:5" ht="21.5" x14ac:dyDescent="0.9">
      <c r="A761" s="5" t="s">
        <v>183</v>
      </c>
      <c r="B761" s="5" t="s">
        <v>14</v>
      </c>
      <c r="C761" s="5" t="s">
        <v>182</v>
      </c>
      <c r="D761" s="5">
        <v>11</v>
      </c>
      <c r="E761" s="5" t="b">
        <v>1</v>
      </c>
    </row>
    <row r="762" spans="1:5" ht="21.5" x14ac:dyDescent="0.9">
      <c r="A762" s="5" t="s">
        <v>181</v>
      </c>
      <c r="B762" s="5" t="s">
        <v>180</v>
      </c>
      <c r="C762" s="5" t="s">
        <v>34</v>
      </c>
      <c r="D762" s="5">
        <v>12</v>
      </c>
      <c r="E762" s="5" t="b">
        <v>1</v>
      </c>
    </row>
    <row r="763" spans="1:5" ht="21.5" x14ac:dyDescent="0.9">
      <c r="A763" s="5" t="s">
        <v>179</v>
      </c>
      <c r="B763" s="5" t="s">
        <v>178</v>
      </c>
      <c r="C763" s="5" t="s">
        <v>177</v>
      </c>
      <c r="D763" s="5">
        <v>13</v>
      </c>
      <c r="E763" s="5" t="b">
        <v>1</v>
      </c>
    </row>
    <row r="764" spans="1:5" ht="21.5" x14ac:dyDescent="0.9">
      <c r="A764" s="5" t="s">
        <v>176</v>
      </c>
      <c r="B764" s="5" t="s">
        <v>175</v>
      </c>
      <c r="C764" s="5" t="s">
        <v>174</v>
      </c>
      <c r="D764" s="5">
        <v>14</v>
      </c>
      <c r="E764" s="5" t="b">
        <v>1</v>
      </c>
    </row>
    <row r="765" spans="1:5" ht="21.5" x14ac:dyDescent="0.9">
      <c r="A765" s="5" t="s">
        <v>173</v>
      </c>
      <c r="B765" s="5" t="s">
        <v>172</v>
      </c>
      <c r="C765" s="5" t="s">
        <v>171</v>
      </c>
      <c r="D765" s="5">
        <v>15</v>
      </c>
      <c r="E765" s="5" t="b">
        <v>1</v>
      </c>
    </row>
    <row r="766" spans="1:5" ht="21.5" x14ac:dyDescent="0.9">
      <c r="A766" s="5" t="s">
        <v>170</v>
      </c>
      <c r="B766" s="5" t="s">
        <v>169</v>
      </c>
      <c r="C766" s="5" t="s">
        <v>168</v>
      </c>
      <c r="D766" s="5">
        <v>16</v>
      </c>
      <c r="E766" s="5" t="b">
        <v>1</v>
      </c>
    </row>
    <row r="767" spans="1:5" ht="21.5" x14ac:dyDescent="0.9">
      <c r="A767" s="5" t="s">
        <v>167</v>
      </c>
      <c r="B767" s="5" t="s">
        <v>166</v>
      </c>
      <c r="C767" s="5" t="s">
        <v>165</v>
      </c>
      <c r="D767" s="5">
        <v>17</v>
      </c>
      <c r="E767" s="5" t="b">
        <v>1</v>
      </c>
    </row>
    <row r="768" spans="1:5" ht="21.5" x14ac:dyDescent="0.9">
      <c r="A768" s="5" t="s">
        <v>164</v>
      </c>
      <c r="B768" s="5" t="s">
        <v>163</v>
      </c>
      <c r="C768" s="5" t="s">
        <v>162</v>
      </c>
      <c r="D768" s="5">
        <v>18</v>
      </c>
      <c r="E768" s="5" t="b">
        <v>1</v>
      </c>
    </row>
    <row r="769" spans="1:5" ht="21.5" x14ac:dyDescent="0.9">
      <c r="A769" s="5" t="s">
        <v>161</v>
      </c>
      <c r="B769" s="5" t="s">
        <v>160</v>
      </c>
      <c r="C769" s="5" t="s">
        <v>159</v>
      </c>
      <c r="D769" s="5">
        <v>19</v>
      </c>
      <c r="E769" s="5" t="b">
        <v>1</v>
      </c>
    </row>
    <row r="770" spans="1:5" ht="21.5" x14ac:dyDescent="0.9">
      <c r="A770" s="5" t="s">
        <v>158</v>
      </c>
      <c r="B770" s="5" t="s">
        <v>157</v>
      </c>
      <c r="C770" s="5" t="s">
        <v>156</v>
      </c>
      <c r="D770" s="5">
        <v>20</v>
      </c>
      <c r="E770" s="5" t="b">
        <v>1</v>
      </c>
    </row>
    <row r="771" spans="1:5" ht="21.5" x14ac:dyDescent="0.9">
      <c r="A771" s="5" t="s">
        <v>155</v>
      </c>
      <c r="B771" s="5" t="s">
        <v>154</v>
      </c>
      <c r="C771" s="5" t="s">
        <v>153</v>
      </c>
      <c r="D771" s="5">
        <v>21</v>
      </c>
      <c r="E771" s="5" t="b">
        <v>1</v>
      </c>
    </row>
    <row r="772" spans="1:5" ht="21.5" x14ac:dyDescent="0.9">
      <c r="A772" s="5" t="s">
        <v>152</v>
      </c>
      <c r="B772" s="5" t="s">
        <v>151</v>
      </c>
      <c r="C772" s="5" t="s">
        <v>150</v>
      </c>
      <c r="D772" s="5">
        <v>22</v>
      </c>
      <c r="E772" s="5" t="b">
        <v>1</v>
      </c>
    </row>
    <row r="773" spans="1:5" ht="21.5" x14ac:dyDescent="0.9">
      <c r="A773" s="5" t="s">
        <v>149</v>
      </c>
      <c r="B773" s="5" t="s">
        <v>148</v>
      </c>
      <c r="C773" s="5" t="s">
        <v>147</v>
      </c>
      <c r="D773" s="5">
        <v>23</v>
      </c>
      <c r="E773" s="5" t="b">
        <v>1</v>
      </c>
    </row>
    <row r="774" spans="1:5" ht="21.5" x14ac:dyDescent="0.9">
      <c r="A774" s="5" t="s">
        <v>146</v>
      </c>
      <c r="B774" s="5" t="s">
        <v>145</v>
      </c>
      <c r="C774" s="5" t="s">
        <v>144</v>
      </c>
      <c r="D774" s="5">
        <v>24</v>
      </c>
      <c r="E774" s="5" t="b">
        <v>1</v>
      </c>
    </row>
    <row r="775" spans="1:5" ht="21.5" x14ac:dyDescent="0.9">
      <c r="A775" s="5" t="s">
        <v>143</v>
      </c>
      <c r="B775" s="5" t="s">
        <v>142</v>
      </c>
      <c r="C775" s="5" t="s">
        <v>141</v>
      </c>
      <c r="D775" s="5">
        <v>25</v>
      </c>
      <c r="E775" s="5" t="b">
        <v>1</v>
      </c>
    </row>
    <row r="776" spans="1:5" ht="21.5" x14ac:dyDescent="0.9">
      <c r="A776" s="5" t="s">
        <v>140</v>
      </c>
      <c r="B776" s="5" t="s">
        <v>139</v>
      </c>
      <c r="C776" s="5" t="s">
        <v>138</v>
      </c>
      <c r="D776" s="5">
        <v>26</v>
      </c>
      <c r="E776" s="5" t="b">
        <v>1</v>
      </c>
    </row>
    <row r="777" spans="1:5" ht="21.5" x14ac:dyDescent="0.9">
      <c r="A777" s="5" t="s">
        <v>137</v>
      </c>
      <c r="B777" s="5" t="s">
        <v>136</v>
      </c>
      <c r="C777" s="5" t="s">
        <v>135</v>
      </c>
      <c r="D777" s="5">
        <v>27</v>
      </c>
      <c r="E777" s="5" t="b">
        <v>1</v>
      </c>
    </row>
    <row r="778" spans="1:5" ht="21.5" x14ac:dyDescent="0.9">
      <c r="A778" s="5" t="s">
        <v>134</v>
      </c>
      <c r="B778" s="5" t="s">
        <v>133</v>
      </c>
      <c r="C778" s="5" t="s">
        <v>132</v>
      </c>
      <c r="D778" s="5">
        <v>28</v>
      </c>
      <c r="E778" s="5" t="b">
        <v>1</v>
      </c>
    </row>
    <row r="779" spans="1:5" ht="21.5" x14ac:dyDescent="0.9">
      <c r="A779" s="5" t="s">
        <v>131</v>
      </c>
      <c r="B779" s="5" t="s">
        <v>130</v>
      </c>
      <c r="C779" s="5" t="s">
        <v>129</v>
      </c>
      <c r="D779" s="5">
        <v>29</v>
      </c>
      <c r="E779" s="5" t="b">
        <v>1</v>
      </c>
    </row>
    <row r="780" spans="1:5" ht="21.5" x14ac:dyDescent="0.9">
      <c r="A780" s="5" t="s">
        <v>128</v>
      </c>
      <c r="B780" s="5" t="s">
        <v>127</v>
      </c>
      <c r="C780" s="5" t="s">
        <v>126</v>
      </c>
      <c r="D780" s="5">
        <v>30</v>
      </c>
      <c r="E780" s="5" t="b">
        <v>1</v>
      </c>
    </row>
    <row r="781" spans="1:5" ht="21.5" x14ac:dyDescent="0.9">
      <c r="A781" s="5" t="s">
        <v>125</v>
      </c>
      <c r="B781" s="5" t="s">
        <v>124</v>
      </c>
      <c r="C781" s="5" t="s">
        <v>123</v>
      </c>
      <c r="D781" s="5">
        <v>31</v>
      </c>
      <c r="E781" s="5" t="b">
        <v>1</v>
      </c>
    </row>
    <row r="782" spans="1:5" ht="21.5" x14ac:dyDescent="0.9">
      <c r="A782" s="5" t="s">
        <v>122</v>
      </c>
      <c r="B782" s="5" t="s">
        <v>121</v>
      </c>
      <c r="C782" s="5" t="s">
        <v>120</v>
      </c>
      <c r="D782" s="5">
        <v>32</v>
      </c>
      <c r="E782" s="5" t="b">
        <v>1</v>
      </c>
    </row>
    <row r="783" spans="1:5" ht="21.5" x14ac:dyDescent="0.9">
      <c r="A783" s="5" t="s">
        <v>119</v>
      </c>
      <c r="B783" s="5" t="s">
        <v>118</v>
      </c>
      <c r="C783" s="5" t="s">
        <v>117</v>
      </c>
      <c r="D783" s="5">
        <v>33</v>
      </c>
      <c r="E783" s="5" t="b">
        <v>1</v>
      </c>
    </row>
    <row r="784" spans="1:5" ht="21.5" x14ac:dyDescent="0.9">
      <c r="A784" s="5" t="s">
        <v>116</v>
      </c>
      <c r="B784" s="5" t="s">
        <v>115</v>
      </c>
      <c r="C784" s="5" t="s">
        <v>114</v>
      </c>
      <c r="D784" s="5">
        <v>34</v>
      </c>
      <c r="E784" s="5" t="b">
        <v>1</v>
      </c>
    </row>
    <row r="785" spans="1:5" ht="21.5" x14ac:dyDescent="0.9">
      <c r="A785" s="5" t="s">
        <v>113</v>
      </c>
      <c r="B785" s="5" t="s">
        <v>112</v>
      </c>
      <c r="C785" s="5" t="s">
        <v>111</v>
      </c>
      <c r="D785" s="5">
        <v>35</v>
      </c>
      <c r="E785" s="5" t="b">
        <v>1</v>
      </c>
    </row>
    <row r="786" spans="1:5" ht="21.5" x14ac:dyDescent="0.9">
      <c r="A786" s="5" t="s">
        <v>110</v>
      </c>
      <c r="B786" s="5" t="s">
        <v>109</v>
      </c>
      <c r="C786" s="5" t="s">
        <v>108</v>
      </c>
      <c r="D786" s="5">
        <v>36</v>
      </c>
      <c r="E786" s="5" t="b">
        <v>1</v>
      </c>
    </row>
    <row r="787" spans="1:5" ht="21.5" x14ac:dyDescent="0.9">
      <c r="A787" s="5" t="s">
        <v>107</v>
      </c>
      <c r="B787" s="5" t="s">
        <v>106</v>
      </c>
      <c r="C787" s="5" t="s">
        <v>105</v>
      </c>
      <c r="D787" s="5">
        <v>37</v>
      </c>
      <c r="E787" s="5" t="b">
        <v>1</v>
      </c>
    </row>
    <row r="788" spans="1:5" ht="21.5" x14ac:dyDescent="0.9">
      <c r="A788" s="5" t="s">
        <v>104</v>
      </c>
      <c r="B788" s="5" t="s">
        <v>103</v>
      </c>
      <c r="C788" s="5" t="s">
        <v>102</v>
      </c>
      <c r="D788" s="5">
        <v>38</v>
      </c>
      <c r="E788" s="5" t="b">
        <v>1</v>
      </c>
    </row>
    <row r="789" spans="1:5" ht="21.5" x14ac:dyDescent="0.9">
      <c r="A789" s="5" t="s">
        <v>101</v>
      </c>
      <c r="B789" s="5" t="s">
        <v>100</v>
      </c>
      <c r="C789" s="5" t="s">
        <v>99</v>
      </c>
      <c r="D789" s="5">
        <v>39</v>
      </c>
      <c r="E789" s="5" t="b">
        <v>1</v>
      </c>
    </row>
    <row r="790" spans="1:5" ht="21.5" x14ac:dyDescent="0.9">
      <c r="A790" s="5" t="s">
        <v>98</v>
      </c>
      <c r="B790" s="5" t="s">
        <v>97</v>
      </c>
      <c r="C790" s="5" t="s">
        <v>96</v>
      </c>
      <c r="D790" s="5">
        <v>40</v>
      </c>
      <c r="E790" s="5" t="b">
        <v>1</v>
      </c>
    </row>
    <row r="791" spans="1:5" ht="21.5" x14ac:dyDescent="0.9">
      <c r="A791" s="5" t="s">
        <v>95</v>
      </c>
      <c r="B791" s="5" t="s">
        <v>94</v>
      </c>
      <c r="C791" s="5" t="s">
        <v>93</v>
      </c>
      <c r="D791" s="5">
        <v>41</v>
      </c>
      <c r="E791" s="5" t="b">
        <v>1</v>
      </c>
    </row>
    <row r="792" spans="1:5" ht="21.5" x14ac:dyDescent="0.9">
      <c r="A792" s="5" t="s">
        <v>92</v>
      </c>
      <c r="B792" s="5" t="s">
        <v>91</v>
      </c>
      <c r="C792" s="5" t="s">
        <v>90</v>
      </c>
      <c r="D792" s="5">
        <v>42</v>
      </c>
      <c r="E792" s="5" t="b">
        <v>1</v>
      </c>
    </row>
    <row r="793" spans="1:5" ht="21.5" x14ac:dyDescent="0.9">
      <c r="A793" s="5" t="s">
        <v>89</v>
      </c>
      <c r="B793" s="5" t="s">
        <v>88</v>
      </c>
      <c r="C793" s="5" t="s">
        <v>87</v>
      </c>
      <c r="D793" s="5">
        <v>43</v>
      </c>
      <c r="E793" s="5" t="b">
        <v>1</v>
      </c>
    </row>
    <row r="794" spans="1:5" ht="21.5" x14ac:dyDescent="0.9">
      <c r="A794" s="5" t="s">
        <v>86</v>
      </c>
      <c r="B794" s="5" t="s">
        <v>85</v>
      </c>
      <c r="C794" s="5" t="s">
        <v>84</v>
      </c>
      <c r="D794" s="5">
        <v>44</v>
      </c>
      <c r="E794" s="5" t="b">
        <v>1</v>
      </c>
    </row>
    <row r="795" spans="1:5" ht="21.5" x14ac:dyDescent="0.9">
      <c r="A795" s="5" t="s">
        <v>83</v>
      </c>
      <c r="B795" s="5" t="s">
        <v>82</v>
      </c>
      <c r="C795" s="5" t="s">
        <v>81</v>
      </c>
      <c r="D795" s="5">
        <v>45</v>
      </c>
      <c r="E795" s="5" t="b">
        <v>1</v>
      </c>
    </row>
    <row r="796" spans="1:5" ht="21.5" x14ac:dyDescent="0.9">
      <c r="A796" s="5" t="s">
        <v>80</v>
      </c>
      <c r="B796" s="5" t="s">
        <v>79</v>
      </c>
      <c r="C796" s="5" t="s">
        <v>78</v>
      </c>
      <c r="D796" s="5">
        <v>46</v>
      </c>
      <c r="E796" s="5" t="b">
        <v>1</v>
      </c>
    </row>
    <row r="797" spans="1:5" ht="21.5" x14ac:dyDescent="0.9">
      <c r="A797" s="5" t="s">
        <v>77</v>
      </c>
      <c r="B797" s="5" t="s">
        <v>76</v>
      </c>
      <c r="C797" s="5" t="s">
        <v>75</v>
      </c>
      <c r="D797" s="5">
        <v>47</v>
      </c>
      <c r="E797" s="5" t="b">
        <v>1</v>
      </c>
    </row>
    <row r="798" spans="1:5" ht="21.5" x14ac:dyDescent="0.9">
      <c r="A798" s="5" t="s">
        <v>74</v>
      </c>
      <c r="B798" s="5" t="s">
        <v>73</v>
      </c>
      <c r="C798" s="5" t="s">
        <v>72</v>
      </c>
      <c r="D798" s="5">
        <v>48</v>
      </c>
      <c r="E798" s="5" t="b">
        <v>1</v>
      </c>
    </row>
    <row r="799" spans="1:5" ht="21.5" x14ac:dyDescent="0.9">
      <c r="A799" s="5" t="s">
        <v>71</v>
      </c>
      <c r="B799" s="5" t="s">
        <v>70</v>
      </c>
      <c r="C799" s="5" t="s">
        <v>69</v>
      </c>
      <c r="D799" s="5">
        <v>49</v>
      </c>
      <c r="E799" s="5" t="b">
        <v>1</v>
      </c>
    </row>
    <row r="800" spans="1:5" ht="21.5" x14ac:dyDescent="0.9">
      <c r="A800" s="5" t="s">
        <v>68</v>
      </c>
      <c r="B800" s="5" t="s">
        <v>67</v>
      </c>
      <c r="C800" s="5" t="s">
        <v>66</v>
      </c>
      <c r="D800" s="5">
        <v>50</v>
      </c>
      <c r="E800" s="5" t="b">
        <v>1</v>
      </c>
    </row>
    <row r="801" spans="1:5" ht="21.5" x14ac:dyDescent="0.9">
      <c r="A801" s="5" t="s">
        <v>65</v>
      </c>
      <c r="B801" s="5" t="s">
        <v>64</v>
      </c>
      <c r="C801" s="5" t="s">
        <v>63</v>
      </c>
      <c r="D801" s="5">
        <v>51</v>
      </c>
      <c r="E801" s="5" t="b">
        <v>1</v>
      </c>
    </row>
    <row r="802" spans="1:5" ht="21.5" x14ac:dyDescent="0.9">
      <c r="A802" s="5" t="s">
        <v>62</v>
      </c>
      <c r="B802" s="5" t="s">
        <v>61</v>
      </c>
      <c r="C802" s="5" t="s">
        <v>60</v>
      </c>
      <c r="D802" s="5">
        <v>52</v>
      </c>
      <c r="E802" s="5" t="b">
        <v>1</v>
      </c>
    </row>
    <row r="803" spans="1:5" ht="21.5" x14ac:dyDescent="0.9">
      <c r="A803" s="5" t="s">
        <v>59</v>
      </c>
      <c r="B803" s="5" t="s">
        <v>58</v>
      </c>
      <c r="C803" s="5" t="s">
        <v>57</v>
      </c>
      <c r="D803" s="5">
        <v>53</v>
      </c>
      <c r="E803" s="5" t="b">
        <v>1</v>
      </c>
    </row>
    <row r="804" spans="1:5" ht="21.5" x14ac:dyDescent="0.9">
      <c r="A804" s="5" t="s">
        <v>56</v>
      </c>
      <c r="B804" s="5" t="s">
        <v>55</v>
      </c>
      <c r="C804" s="5" t="s">
        <v>54</v>
      </c>
      <c r="D804" s="5">
        <v>54</v>
      </c>
      <c r="E804" s="5" t="b">
        <v>1</v>
      </c>
    </row>
    <row r="805" spans="1:5" ht="21.5" x14ac:dyDescent="0.9">
      <c r="A805" s="5" t="s">
        <v>53</v>
      </c>
      <c r="B805" s="5" t="s">
        <v>52</v>
      </c>
      <c r="C805" s="5" t="s">
        <v>51</v>
      </c>
      <c r="D805" s="5">
        <v>55</v>
      </c>
      <c r="E805" s="5" t="b">
        <v>1</v>
      </c>
    </row>
    <row r="806" spans="1:5" ht="21.5" x14ac:dyDescent="0.9">
      <c r="A806" s="5" t="s">
        <v>50</v>
      </c>
      <c r="B806" s="5" t="s">
        <v>49</v>
      </c>
      <c r="C806" s="5" t="s">
        <v>48</v>
      </c>
      <c r="D806" s="5">
        <v>56</v>
      </c>
      <c r="E806" s="5" t="b">
        <v>1</v>
      </c>
    </row>
    <row r="807" spans="1:5" ht="21.5" x14ac:dyDescent="0.9">
      <c r="A807" s="5" t="s">
        <v>47</v>
      </c>
      <c r="B807" s="5" t="s">
        <v>46</v>
      </c>
      <c r="C807" s="5" t="s">
        <v>45</v>
      </c>
      <c r="D807" s="5">
        <v>57</v>
      </c>
      <c r="E807" s="5" t="b">
        <v>1</v>
      </c>
    </row>
    <row r="808" spans="1:5" ht="21.5" x14ac:dyDescent="0.9">
      <c r="A808" s="5" t="s">
        <v>44</v>
      </c>
      <c r="B808" s="5" t="s">
        <v>43</v>
      </c>
      <c r="C808" s="5" t="s">
        <v>42</v>
      </c>
      <c r="D808" s="5">
        <v>58</v>
      </c>
      <c r="E808" s="5" t="b">
        <v>1</v>
      </c>
    </row>
    <row r="809" spans="1:5" ht="21.5" x14ac:dyDescent="0.9">
      <c r="A809" s="5" t="s">
        <v>41</v>
      </c>
      <c r="B809" s="5" t="s">
        <v>40</v>
      </c>
      <c r="C809" s="5" t="s">
        <v>39</v>
      </c>
      <c r="D809" s="5">
        <v>59</v>
      </c>
      <c r="E809" s="5" t="b">
        <v>1</v>
      </c>
    </row>
    <row r="810" spans="1:5" ht="21.5" x14ac:dyDescent="0.9">
      <c r="A810" s="5" t="s">
        <v>38</v>
      </c>
      <c r="B810" s="5" t="s">
        <v>37</v>
      </c>
      <c r="C810" s="5" t="s">
        <v>36</v>
      </c>
      <c r="D810" s="5">
        <v>60</v>
      </c>
      <c r="E810" s="5" t="b">
        <v>1</v>
      </c>
    </row>
    <row r="812" spans="1:5" x14ac:dyDescent="0.85">
      <c r="A812" s="3" t="s">
        <v>35</v>
      </c>
    </row>
    <row r="813" spans="1:5" ht="21.5" x14ac:dyDescent="0.9">
      <c r="A813" s="6" t="s">
        <v>34</v>
      </c>
      <c r="B813" s="6" t="s">
        <v>33</v>
      </c>
      <c r="C813" s="6" t="s">
        <v>32</v>
      </c>
      <c r="D813" s="6" t="s">
        <v>31</v>
      </c>
      <c r="E813" s="6" t="s">
        <v>0</v>
      </c>
    </row>
    <row r="814" spans="1:5" ht="21.5" x14ac:dyDescent="0.9">
      <c r="A814" s="5" t="s">
        <v>30</v>
      </c>
      <c r="B814" s="5" t="s">
        <v>29</v>
      </c>
      <c r="C814" s="5" t="s">
        <v>28</v>
      </c>
      <c r="D814" s="5">
        <v>1</v>
      </c>
      <c r="E814" s="5" t="b">
        <v>1</v>
      </c>
    </row>
    <row r="815" spans="1:5" ht="21.5" x14ac:dyDescent="0.9">
      <c r="A815" s="5" t="s">
        <v>27</v>
      </c>
      <c r="B815" s="5" t="s">
        <v>26</v>
      </c>
      <c r="C815" s="5" t="s">
        <v>25</v>
      </c>
      <c r="D815" s="5">
        <v>2</v>
      </c>
      <c r="E815" s="5" t="b">
        <v>1</v>
      </c>
    </row>
    <row r="816" spans="1:5" ht="21.5" x14ac:dyDescent="0.9">
      <c r="A816" s="5" t="s">
        <v>24</v>
      </c>
      <c r="B816" s="5" t="s">
        <v>23</v>
      </c>
      <c r="C816" s="5" t="s">
        <v>22</v>
      </c>
      <c r="D816" s="5">
        <v>3</v>
      </c>
      <c r="E816" s="5" t="b">
        <v>1</v>
      </c>
    </row>
    <row r="817" spans="1:5" ht="21.5" x14ac:dyDescent="0.9">
      <c r="A817" s="5" t="s">
        <v>21</v>
      </c>
      <c r="B817" s="5" t="s">
        <v>20</v>
      </c>
      <c r="C817" s="5" t="s">
        <v>19</v>
      </c>
      <c r="D817" s="5">
        <v>4</v>
      </c>
      <c r="E817" s="5" t="b">
        <v>1</v>
      </c>
    </row>
    <row r="818" spans="1:5" ht="21.5" x14ac:dyDescent="0.9">
      <c r="A818" s="5" t="s">
        <v>18</v>
      </c>
      <c r="B818" s="5" t="s">
        <v>17</v>
      </c>
      <c r="C818" s="5" t="s">
        <v>16</v>
      </c>
      <c r="D818" s="5">
        <v>5</v>
      </c>
      <c r="E818" s="5" t="b">
        <v>1</v>
      </c>
    </row>
    <row r="819" spans="1:5" ht="21.5" x14ac:dyDescent="0.9">
      <c r="A819" s="5" t="s">
        <v>15</v>
      </c>
      <c r="B819" s="5" t="s">
        <v>14</v>
      </c>
      <c r="C819" s="5" t="s">
        <v>13</v>
      </c>
      <c r="D819" s="5">
        <v>6</v>
      </c>
      <c r="E819" s="5" t="b">
        <v>1</v>
      </c>
    </row>
  </sheetData>
  <mergeCells count="10">
    <mergeCell ref="A352:E352"/>
    <mergeCell ref="A108:E108"/>
    <mergeCell ref="A13:F13"/>
    <mergeCell ref="A2:F2"/>
    <mergeCell ref="A723:E723"/>
    <mergeCell ref="A701:E701"/>
    <mergeCell ref="A634:E634"/>
    <mergeCell ref="A603:E603"/>
    <mergeCell ref="A578:E578"/>
    <mergeCell ref="A483:E483"/>
  </mergeCells>
  <dataValidations count="2">
    <dataValidation type="list" allowBlank="1" showInputMessage="1" showErrorMessage="1" sqref="B18:B73" xr:uid="{DAF3EEE6-537C-4E0B-863F-12EC889515B2}">
      <formula1>LookupGroupIDs</formula1>
    </dataValidation>
    <dataValidation type="list" allowBlank="1" showInputMessage="1" showErrorMessage="1" sqref="I112:I745" xr:uid="{1DB87F9E-29E6-4273-9E8F-B2DB5655E560}">
      <formula1>$A$127:$A$146</formula1>
    </dataValidation>
  </dataValidations>
  <hyperlinks>
    <hyperlink ref="A1" location="'TOC - Table of Contents'!A5" display="⬅ Return to Table of Contents" xr:uid="{F92264C9-B6A2-4C27-ADA0-A67C4F2971B6}"/>
  </hyperlinks>
  <pageMargins left="0.7" right="0.7" top="0.75" bottom="0.75" header="0.3" footer="0.3"/>
  <pageSetup orientation="portrait" horizontalDpi="4294967293" verticalDpi="0" r:id="rId1"/>
  <tableParts count="5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A027-8A8E-4BF6-BB82-A19FFA543C5C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DF170-E3B0-4572-A19E-29ACAC462876}">
  <sheetPr>
    <tabColor rgb="FF14D8C4"/>
  </sheetPr>
  <dimension ref="A1:Q22"/>
  <sheetViews>
    <sheetView workbookViewId="0">
      <selection activeCell="N13" sqref="N13"/>
    </sheetView>
  </sheetViews>
  <sheetFormatPr defaultRowHeight="14.5" x14ac:dyDescent="0.35"/>
  <cols>
    <col min="1" max="1" width="29.7265625" customWidth="1"/>
    <col min="2" max="2" width="18.08984375" customWidth="1"/>
    <col min="3" max="3" width="13.36328125" customWidth="1"/>
    <col min="4" max="4" width="18.54296875" customWidth="1"/>
    <col min="5" max="5" width="21.6328125" bestFit="1" customWidth="1"/>
    <col min="6" max="6" width="24.81640625" bestFit="1" customWidth="1"/>
    <col min="7" max="7" width="16.1796875" customWidth="1"/>
    <col min="8" max="8" width="15.6328125" customWidth="1"/>
    <col min="9" max="9" width="14.54296875" customWidth="1"/>
    <col min="10" max="10" width="20.6328125" customWidth="1"/>
    <col min="11" max="11" width="17.08984375" customWidth="1"/>
    <col min="12" max="12" width="20.1796875" customWidth="1"/>
    <col min="13" max="13" width="14.26953125" customWidth="1"/>
    <col min="14" max="14" width="8.90625" customWidth="1"/>
    <col min="15" max="15" width="16.453125" customWidth="1"/>
    <col min="16" max="16" width="15.90625" customWidth="1"/>
  </cols>
  <sheetData>
    <row r="1" spans="1:17" x14ac:dyDescent="0.35">
      <c r="A1" s="2" t="s">
        <v>12</v>
      </c>
    </row>
    <row r="3" spans="1:17" x14ac:dyDescent="0.35">
      <c r="A3" t="s">
        <v>3736</v>
      </c>
    </row>
    <row r="4" spans="1:17" ht="21.5" x14ac:dyDescent="0.9">
      <c r="A4" s="5" t="s">
        <v>3735</v>
      </c>
      <c r="B4" s="5" t="s">
        <v>3413</v>
      </c>
      <c r="C4" s="5" t="s">
        <v>3734</v>
      </c>
      <c r="D4" s="5" t="s">
        <v>3733</v>
      </c>
      <c r="E4" s="5" t="s">
        <v>3732</v>
      </c>
      <c r="F4" s="5" t="s">
        <v>3356</v>
      </c>
      <c r="G4" s="5" t="s">
        <v>3731</v>
      </c>
      <c r="H4" s="5" t="s">
        <v>3730</v>
      </c>
      <c r="I4" s="5" t="s">
        <v>3729</v>
      </c>
      <c r="J4" s="5" t="s">
        <v>3728</v>
      </c>
      <c r="K4" s="5" t="s">
        <v>3727</v>
      </c>
      <c r="L4" s="5" t="s">
        <v>3726</v>
      </c>
      <c r="M4" s="5" t="s">
        <v>573</v>
      </c>
      <c r="N4" s="5" t="s">
        <v>0</v>
      </c>
      <c r="O4" s="5" t="s">
        <v>3725</v>
      </c>
      <c r="P4" s="5" t="s">
        <v>3724</v>
      </c>
      <c r="Q4" s="5" t="s">
        <v>3723</v>
      </c>
    </row>
    <row r="5" spans="1:17" ht="21.5" x14ac:dyDescent="0.9">
      <c r="A5" s="65" t="s">
        <v>5319</v>
      </c>
      <c r="B5" s="65" t="s">
        <v>5329</v>
      </c>
      <c r="C5" s="65" t="s">
        <v>5330</v>
      </c>
      <c r="D5" s="65" t="s">
        <v>5331</v>
      </c>
      <c r="E5" s="57"/>
      <c r="F5" s="93" t="s">
        <v>5332</v>
      </c>
      <c r="G5" s="65" t="s">
        <v>5333</v>
      </c>
      <c r="H5" s="5"/>
      <c r="I5" s="5"/>
      <c r="J5" s="5"/>
      <c r="K5" s="5"/>
      <c r="L5" s="5"/>
      <c r="M5" s="94" t="b">
        <v>0</v>
      </c>
      <c r="N5" s="94" t="b">
        <v>1</v>
      </c>
      <c r="O5" s="5"/>
      <c r="P5" s="5"/>
      <c r="Q5" s="5"/>
    </row>
    <row r="6" spans="1:17" ht="21.5" x14ac:dyDescent="0.9">
      <c r="A6" s="65" t="s">
        <v>5320</v>
      </c>
      <c r="B6" s="65" t="s">
        <v>5329</v>
      </c>
      <c r="C6" s="65" t="s">
        <v>5334</v>
      </c>
      <c r="D6" s="65" t="s">
        <v>5335</v>
      </c>
      <c r="E6" s="57"/>
      <c r="F6" s="93" t="s">
        <v>5336</v>
      </c>
      <c r="G6" s="65" t="s">
        <v>5337</v>
      </c>
      <c r="H6" s="5"/>
      <c r="I6" s="5"/>
      <c r="J6" s="5"/>
      <c r="K6" s="5"/>
      <c r="L6" s="5"/>
      <c r="M6" s="94" t="b">
        <v>0</v>
      </c>
      <c r="N6" s="94" t="b">
        <v>1</v>
      </c>
      <c r="O6" s="5"/>
      <c r="P6" s="5"/>
      <c r="Q6" s="5"/>
    </row>
    <row r="7" spans="1:17" ht="21.5" x14ac:dyDescent="0.9">
      <c r="A7" s="65" t="s">
        <v>5321</v>
      </c>
      <c r="B7" s="65" t="s">
        <v>5329</v>
      </c>
      <c r="C7" s="65" t="s">
        <v>5338</v>
      </c>
      <c r="D7" s="65" t="s">
        <v>5339</v>
      </c>
      <c r="E7" s="57"/>
      <c r="F7" s="93" t="s">
        <v>5340</v>
      </c>
      <c r="G7" s="65" t="s">
        <v>5341</v>
      </c>
      <c r="H7" s="5"/>
      <c r="I7" s="5"/>
      <c r="J7" s="5"/>
      <c r="K7" s="5"/>
      <c r="L7" s="5"/>
      <c r="M7" s="94" t="b">
        <v>0</v>
      </c>
      <c r="N7" s="94" t="b">
        <v>1</v>
      </c>
      <c r="O7" s="5"/>
      <c r="P7" s="5"/>
      <c r="Q7" s="5"/>
    </row>
    <row r="8" spans="1:17" ht="21.5" x14ac:dyDescent="0.9">
      <c r="A8" s="65" t="s">
        <v>5322</v>
      </c>
      <c r="B8" s="65" t="s">
        <v>5329</v>
      </c>
      <c r="C8" s="65" t="s">
        <v>5342</v>
      </c>
      <c r="D8" s="65" t="s">
        <v>5343</v>
      </c>
      <c r="E8" s="57"/>
      <c r="F8" s="93" t="s">
        <v>5344</v>
      </c>
      <c r="G8" s="65" t="s">
        <v>5345</v>
      </c>
      <c r="H8" s="5"/>
      <c r="I8" s="5"/>
      <c r="J8" s="5"/>
      <c r="K8" s="5"/>
      <c r="L8" s="5"/>
      <c r="M8" s="94" t="b">
        <v>0</v>
      </c>
      <c r="N8" s="94" t="b">
        <v>1</v>
      </c>
      <c r="O8" s="5"/>
      <c r="P8" s="5"/>
      <c r="Q8" s="5"/>
    </row>
    <row r="9" spans="1:17" ht="21.5" x14ac:dyDescent="0.9">
      <c r="A9" s="65" t="s">
        <v>5323</v>
      </c>
      <c r="B9" s="65" t="s">
        <v>5329</v>
      </c>
      <c r="C9" s="65" t="s">
        <v>5346</v>
      </c>
      <c r="D9" s="65" t="s">
        <v>5347</v>
      </c>
      <c r="E9" s="57"/>
      <c r="F9" s="93" t="s">
        <v>5348</v>
      </c>
      <c r="G9" s="65" t="s">
        <v>5349</v>
      </c>
      <c r="H9" s="5"/>
      <c r="I9" s="5"/>
      <c r="J9" s="5"/>
      <c r="K9" s="5"/>
      <c r="L9" s="5"/>
      <c r="M9" s="94" t="b">
        <v>0</v>
      </c>
      <c r="N9" s="94" t="b">
        <v>1</v>
      </c>
      <c r="O9" s="5"/>
      <c r="P9" s="5"/>
      <c r="Q9" s="5"/>
    </row>
    <row r="10" spans="1:17" ht="29" x14ac:dyDescent="0.9">
      <c r="A10" s="65" t="s">
        <v>5324</v>
      </c>
      <c r="B10" s="65" t="s">
        <v>3403</v>
      </c>
      <c r="C10" s="65" t="s">
        <v>5350</v>
      </c>
      <c r="D10" s="65"/>
      <c r="E10" s="57" t="s">
        <v>5351</v>
      </c>
      <c r="F10" s="93" t="s">
        <v>5352</v>
      </c>
      <c r="G10" s="65" t="s">
        <v>5353</v>
      </c>
      <c r="H10" s="5"/>
      <c r="I10" s="5"/>
      <c r="J10" s="5"/>
      <c r="K10" s="5"/>
      <c r="L10" s="5"/>
      <c r="M10" s="94" t="b">
        <v>0</v>
      </c>
      <c r="N10" s="94" t="b">
        <v>1</v>
      </c>
      <c r="O10" s="5"/>
      <c r="P10" s="5"/>
      <c r="Q10" s="5"/>
    </row>
    <row r="11" spans="1:17" ht="21.5" x14ac:dyDescent="0.9">
      <c r="A11" s="65" t="s">
        <v>5325</v>
      </c>
      <c r="B11" s="65" t="s">
        <v>3403</v>
      </c>
      <c r="C11" s="65" t="s">
        <v>5354</v>
      </c>
      <c r="D11" s="65" t="s">
        <v>5355</v>
      </c>
      <c r="E11" s="57" t="s">
        <v>5356</v>
      </c>
      <c r="F11" s="93" t="s">
        <v>5357</v>
      </c>
      <c r="G11" s="65" t="s">
        <v>5358</v>
      </c>
      <c r="H11" s="5"/>
      <c r="I11" s="5"/>
      <c r="J11" s="5"/>
      <c r="K11" s="5"/>
      <c r="L11" s="5"/>
      <c r="M11" s="94" t="b">
        <v>0</v>
      </c>
      <c r="N11" s="94" t="b">
        <v>1</v>
      </c>
      <c r="O11" s="5"/>
      <c r="P11" s="5"/>
      <c r="Q11" s="5"/>
    </row>
    <row r="12" spans="1:17" ht="21.5" x14ac:dyDescent="0.9">
      <c r="A12" s="65" t="s">
        <v>5326</v>
      </c>
      <c r="B12" s="65" t="s">
        <v>3403</v>
      </c>
      <c r="C12" s="65" t="s">
        <v>5359</v>
      </c>
      <c r="D12" s="65" t="s">
        <v>5360</v>
      </c>
      <c r="E12" s="57" t="s">
        <v>5361</v>
      </c>
      <c r="F12" s="93" t="s">
        <v>5362</v>
      </c>
      <c r="G12" s="65" t="s">
        <v>5363</v>
      </c>
      <c r="H12" s="5"/>
      <c r="I12" s="5"/>
      <c r="J12" s="5"/>
      <c r="K12" s="5"/>
      <c r="L12" s="5"/>
      <c r="M12" s="94" t="b">
        <v>0</v>
      </c>
      <c r="N12" s="94" t="b">
        <v>1</v>
      </c>
      <c r="O12" s="5"/>
      <c r="P12" s="5"/>
      <c r="Q12" s="5"/>
    </row>
    <row r="13" spans="1:17" ht="21.5" x14ac:dyDescent="0.9">
      <c r="A13" s="65" t="s">
        <v>5327</v>
      </c>
      <c r="B13" s="65" t="s">
        <v>5329</v>
      </c>
      <c r="C13" s="65" t="s">
        <v>5364</v>
      </c>
      <c r="D13" s="65" t="s">
        <v>5365</v>
      </c>
      <c r="E13" s="57"/>
      <c r="F13" s="93" t="s">
        <v>5366</v>
      </c>
      <c r="G13" s="65" t="s">
        <v>5367</v>
      </c>
      <c r="H13" s="5"/>
      <c r="I13" s="5"/>
      <c r="J13" s="5"/>
      <c r="K13" s="5"/>
      <c r="L13" s="5"/>
      <c r="M13" s="94" t="b">
        <v>0</v>
      </c>
      <c r="N13" s="94" t="b">
        <v>1</v>
      </c>
      <c r="O13" s="5"/>
      <c r="P13" s="5"/>
      <c r="Q13" s="5"/>
    </row>
    <row r="14" spans="1:17" x14ac:dyDescent="0.35">
      <c r="A14" s="65" t="s">
        <v>5328</v>
      </c>
      <c r="B14" s="65" t="s">
        <v>3403</v>
      </c>
      <c r="C14" s="65" t="s">
        <v>5368</v>
      </c>
      <c r="D14" s="65" t="s">
        <v>5369</v>
      </c>
      <c r="E14" s="57" t="s">
        <v>5370</v>
      </c>
      <c r="F14" s="93" t="s">
        <v>5371</v>
      </c>
      <c r="G14" s="65" t="s">
        <v>5372</v>
      </c>
    </row>
    <row r="15" spans="1:17" ht="21.5" x14ac:dyDescent="0.35">
      <c r="A15" s="16"/>
      <c r="B15" s="16"/>
      <c r="C15" s="40"/>
      <c r="D15" s="16"/>
    </row>
    <row r="16" spans="1:17" ht="21.5" x14ac:dyDescent="0.35">
      <c r="A16" s="16"/>
      <c r="B16" s="16"/>
      <c r="C16" s="40"/>
      <c r="D16" s="16"/>
    </row>
    <row r="17" spans="1:4" ht="21.5" x14ac:dyDescent="0.35">
      <c r="A17" s="16"/>
      <c r="B17" s="16"/>
      <c r="C17" s="40"/>
      <c r="D17" s="16"/>
    </row>
    <row r="18" spans="1:4" ht="21.5" x14ac:dyDescent="0.35">
      <c r="A18" s="16"/>
      <c r="B18" s="16"/>
      <c r="C18" s="40"/>
      <c r="D18" s="16"/>
    </row>
    <row r="19" spans="1:4" ht="21.5" x14ac:dyDescent="0.35">
      <c r="A19" s="16"/>
      <c r="B19" s="16"/>
      <c r="C19" s="40"/>
      <c r="D19" s="16"/>
    </row>
    <row r="20" spans="1:4" ht="21.5" x14ac:dyDescent="0.35">
      <c r="A20" s="16"/>
      <c r="B20" s="16"/>
      <c r="C20" s="40"/>
      <c r="D20" s="16"/>
    </row>
    <row r="21" spans="1:4" ht="21.5" x14ac:dyDescent="0.35">
      <c r="A21" s="16"/>
      <c r="B21" s="16"/>
      <c r="C21" s="40"/>
      <c r="D21" s="16"/>
    </row>
    <row r="22" spans="1:4" ht="21.5" x14ac:dyDescent="0.35">
      <c r="A22" s="16"/>
      <c r="B22" s="16"/>
      <c r="C22" s="40"/>
      <c r="D22" s="16"/>
    </row>
  </sheetData>
  <phoneticPr fontId="27" type="noConversion"/>
  <hyperlinks>
    <hyperlink ref="A1" location="'TOC - Table of Contents'!A5" display="⬅ Return to Table of Contents" xr:uid="{867CA64A-1CE4-4FD4-80C5-6D1A07E9B871}"/>
    <hyperlink ref="F5" r:id="rId1" display="mailto:michael.johnson@email.com" xr:uid="{D34885B9-2614-4C6A-95ED-B02EAE3C9FF3}"/>
    <hyperlink ref="F6" r:id="rId2" display="mailto:sarah.miller@email.com" xr:uid="{43190511-38D2-4070-895A-E95C28EB638A}"/>
    <hyperlink ref="F7" r:id="rId3" display="mailto:david.thompson@email.com" xr:uid="{063FFA40-32E4-45DE-8435-4CF60658B5F4}"/>
    <hyperlink ref="F8" r:id="rId4" display="mailto:jennifer.adams@email.com" xr:uid="{EA469750-D659-4CCC-A2E8-4A5A03D118FB}"/>
    <hyperlink ref="F9" r:id="rId5" display="mailto:chris.wilson@email.com" xr:uid="{16997CF8-1264-4D1F-AA5B-F9974C96794E}"/>
    <hyperlink ref="F10" r:id="rId6" display="mailto:service@gmtech.com" xr:uid="{1803F047-9D5E-4CF7-8186-158746CA9463}"/>
    <hyperlink ref="F11" r:id="rId7" display="mailto:emily@carterphoto.com" xr:uid="{81C96851-A60B-4963-8904-3E014511B32A}"/>
    <hyperlink ref="F12" r:id="rId8" display="mailto:office@harrisbuild.com" xr:uid="{9EF94779-F9DE-4A0B-BC38-6AF1ED494690}"/>
    <hyperlink ref="F13" r:id="rId9" display="mailto:amanda.brooks@email.com" xr:uid="{FB8D81AB-D378-4FCA-A4BA-095D7C182855}"/>
    <hyperlink ref="F14" r:id="rId10" display="mailto:daniel@fosterconsulting.com" xr:uid="{4D498587-5476-4064-96C7-8F57E7E78569}"/>
  </hyperlinks>
  <pageMargins left="0.7" right="0.7" top="0.75" bottom="0.75" header="0.3" footer="0.3"/>
  <tableParts count="1"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DF37C-E013-4FE0-AD73-23B75632DF6D}">
  <sheetPr>
    <tabColor rgb="FF14D8C4"/>
  </sheetPr>
  <dimension ref="A1:N4"/>
  <sheetViews>
    <sheetView workbookViewId="0">
      <selection activeCell="A3" sqref="A3:N4"/>
    </sheetView>
  </sheetViews>
  <sheetFormatPr defaultRowHeight="14.5" x14ac:dyDescent="0.35"/>
  <cols>
    <col min="1" max="1" width="13.36328125" customWidth="1"/>
    <col min="2" max="2" width="15" customWidth="1"/>
    <col min="3" max="3" width="13.6328125" customWidth="1"/>
    <col min="4" max="4" width="14.26953125" customWidth="1"/>
    <col min="5" max="5" width="13.7265625" customWidth="1"/>
    <col min="6" max="6" width="14.6328125" customWidth="1"/>
    <col min="7" max="7" width="16.81640625" customWidth="1"/>
    <col min="9" max="9" width="9.08984375" customWidth="1"/>
    <col min="11" max="11" width="14.54296875" customWidth="1"/>
    <col min="12" max="12" width="18.90625" customWidth="1"/>
  </cols>
  <sheetData>
    <row r="1" spans="1:14" x14ac:dyDescent="0.35">
      <c r="A1" s="2" t="s">
        <v>12</v>
      </c>
    </row>
    <row r="3" spans="1:14" x14ac:dyDescent="0.35">
      <c r="A3" t="s">
        <v>3748</v>
      </c>
      <c r="B3" t="s">
        <v>3735</v>
      </c>
      <c r="C3" t="s">
        <v>9</v>
      </c>
      <c r="D3" t="s">
        <v>8</v>
      </c>
      <c r="E3" t="s">
        <v>3751</v>
      </c>
      <c r="F3" t="s">
        <v>5381</v>
      </c>
      <c r="G3" t="s">
        <v>5382</v>
      </c>
      <c r="H3" t="s">
        <v>5383</v>
      </c>
      <c r="I3" t="s">
        <v>5071</v>
      </c>
      <c r="J3" t="s">
        <v>5384</v>
      </c>
      <c r="K3" t="s">
        <v>5385</v>
      </c>
      <c r="L3" t="s">
        <v>5386</v>
      </c>
      <c r="M3" t="s">
        <v>0</v>
      </c>
      <c r="N3" t="s">
        <v>3723</v>
      </c>
    </row>
    <row r="4" spans="1:14" x14ac:dyDescent="0.35">
      <c r="A4" s="52"/>
      <c r="B4" s="52"/>
      <c r="C4" s="52"/>
      <c r="D4" s="52"/>
      <c r="E4" s="52"/>
      <c r="M4" s="98" t="b">
        <v>0</v>
      </c>
    </row>
  </sheetData>
  <hyperlinks>
    <hyperlink ref="A1" location="'TOC - Table of Contents'!A5" display="⬅ Return to Table of Contents" xr:uid="{36BE2D04-16B2-480C-89A8-AFBF1E5882E9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9B77-0705-4575-B515-A5010A922B12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3.453125" customWidth="1"/>
    <col min="2" max="2" width="15.81640625" customWidth="1"/>
    <col min="3" max="3" width="16.6328125" customWidth="1"/>
  </cols>
  <sheetData>
    <row r="1" spans="1:5" x14ac:dyDescent="0.35">
      <c r="A1" s="2" t="s">
        <v>12</v>
      </c>
    </row>
    <row r="3" spans="1:5" x14ac:dyDescent="0.35">
      <c r="A3" t="s">
        <v>3741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EF4FD5BA-6DE7-4B02-8C46-463BDB9E5D12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CD64-E389-481C-ADAC-C93F28164817}">
  <sheetPr>
    <tabColor rgb="FF14D8C4"/>
  </sheetPr>
  <dimension ref="A1:E5"/>
  <sheetViews>
    <sheetView workbookViewId="0">
      <selection activeCell="D20" sqref="D20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3742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BA7B1B01-E5DB-4281-95E7-4799102045FB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259B-FED1-4FDF-85F0-A2DC848078F8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D25FA4-0459-4D96-8894-9F1E5D618327}">
  <sheetPr>
    <tabColor rgb="FF00B0F0"/>
  </sheetPr>
  <dimension ref="A1:N5"/>
  <sheetViews>
    <sheetView tabSelected="1" workbookViewId="0">
      <selection activeCell="A2" sqref="A2:N3"/>
    </sheetView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  <col min="4" max="4" width="13.7265625" customWidth="1"/>
    <col min="5" max="5" width="12.08984375" customWidth="1"/>
    <col min="6" max="6" width="10.7265625" customWidth="1"/>
    <col min="7" max="7" width="19.6328125" customWidth="1"/>
    <col min="8" max="8" width="10.7265625" customWidth="1"/>
    <col min="9" max="9" width="15.26953125" customWidth="1"/>
    <col min="10" max="10" width="10.90625" customWidth="1"/>
    <col min="11" max="11" width="16.1796875" customWidth="1"/>
    <col min="12" max="12" width="15.26953125" customWidth="1"/>
    <col min="13" max="13" width="10.26953125" customWidth="1"/>
  </cols>
  <sheetData>
    <row r="1" spans="1:14" x14ac:dyDescent="0.35">
      <c r="A1" s="2" t="s">
        <v>12</v>
      </c>
    </row>
    <row r="2" spans="1:14" x14ac:dyDescent="0.35">
      <c r="A2" t="s">
        <v>5373</v>
      </c>
      <c r="B2" t="s">
        <v>3735</v>
      </c>
      <c r="C2" t="s">
        <v>3748</v>
      </c>
      <c r="D2" t="s">
        <v>3579</v>
      </c>
      <c r="E2" t="s">
        <v>5374</v>
      </c>
      <c r="F2" t="s">
        <v>471</v>
      </c>
      <c r="G2" t="s">
        <v>5375</v>
      </c>
      <c r="H2" t="s">
        <v>5376</v>
      </c>
      <c r="I2" t="s">
        <v>5377</v>
      </c>
      <c r="J2" t="s">
        <v>5378</v>
      </c>
      <c r="K2" t="s">
        <v>5379</v>
      </c>
      <c r="L2" t="s">
        <v>5380</v>
      </c>
      <c r="M2" t="s">
        <v>1</v>
      </c>
      <c r="N2" t="s">
        <v>3723</v>
      </c>
    </row>
    <row r="4" spans="1:14" x14ac:dyDescent="0.35">
      <c r="A4" s="95"/>
      <c r="B4" s="95"/>
      <c r="C4" s="95"/>
      <c r="D4" s="95"/>
      <c r="E4" s="95"/>
      <c r="F4" s="95"/>
    </row>
    <row r="5" spans="1:14" x14ac:dyDescent="0.35">
      <c r="A5" s="96"/>
      <c r="B5" s="97"/>
      <c r="C5" s="97"/>
      <c r="D5" s="97"/>
      <c r="E5" s="97"/>
      <c r="F5" s="97"/>
    </row>
  </sheetData>
  <hyperlinks>
    <hyperlink ref="A1" location="'TOC - Table of Contents'!A5" display="⬅ Return to Table of Contents" xr:uid="{CEC39A75-C972-4169-92D8-4AAC6A6578D4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8D77A-016C-443F-A001-D6AB4D679360}">
  <sheetPr>
    <tabColor rgb="FF00B0F0"/>
  </sheetPr>
  <dimension ref="A1:E5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3" spans="1:5" x14ac:dyDescent="0.35">
      <c r="A3" t="s">
        <v>3743</v>
      </c>
    </row>
    <row r="4" spans="1:5" x14ac:dyDescent="0.35">
      <c r="A4" s="54" t="s">
        <v>3740</v>
      </c>
      <c r="B4" s="54" t="s">
        <v>3739</v>
      </c>
      <c r="C4" s="54" t="s">
        <v>3738</v>
      </c>
      <c r="D4" s="54" t="s">
        <v>3737</v>
      </c>
      <c r="E4" s="54" t="s">
        <v>3356</v>
      </c>
    </row>
    <row r="5" spans="1:5" x14ac:dyDescent="0.35">
      <c r="A5" s="53"/>
      <c r="B5" s="53"/>
      <c r="C5" s="53"/>
      <c r="D5" s="53"/>
      <c r="E5" s="53"/>
    </row>
  </sheetData>
  <hyperlinks>
    <hyperlink ref="A1" location="'TOC - Table of Contents'!A5" display="⬅ Return to Table of Contents" xr:uid="{628096E3-29AA-444D-955A-3E9762367BBE}"/>
  </hyperlink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FD7A1-C204-44CE-B9C5-89FF26E0A1D1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3744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9A02EB62-878F-4E11-936E-B6033BE15B54}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D1485-D043-4FBA-8878-87BF9F505CA9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3745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3CE283B9-8D6F-42FF-B1D1-82221C0BC6A1}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96571-E032-451B-A27F-5E69A70D1C16}">
  <sheetPr>
    <tabColor rgb="FF00B0F0"/>
  </sheetPr>
  <dimension ref="A1:E6"/>
  <sheetViews>
    <sheetView workbookViewId="0"/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3746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B861261D-D70C-41B4-954D-DFACC885F257}"/>
  </hyperlink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A47FE-2312-41B5-BCAE-94BE54A07EB2}">
  <sheetPr>
    <tabColor rgb="FF00B0F0"/>
  </sheetPr>
  <dimension ref="A1:E7"/>
  <sheetViews>
    <sheetView workbookViewId="0"/>
  </sheetViews>
  <sheetFormatPr defaultRowHeight="14.5" x14ac:dyDescent="0.35"/>
  <cols>
    <col min="1" max="1" width="24.36328125" bestFit="1" customWidth="1"/>
    <col min="2" max="2" width="13" bestFit="1" customWidth="1"/>
    <col min="3" max="3" width="12.7265625" bestFit="1" customWidth="1"/>
  </cols>
  <sheetData>
    <row r="1" spans="1:5" x14ac:dyDescent="0.35">
      <c r="A1" s="2" t="s">
        <v>12</v>
      </c>
    </row>
    <row r="5" spans="1:5" x14ac:dyDescent="0.35">
      <c r="A5" t="s">
        <v>3747</v>
      </c>
    </row>
    <row r="6" spans="1:5" x14ac:dyDescent="0.35">
      <c r="A6" s="55" t="s">
        <v>3740</v>
      </c>
      <c r="B6" s="55" t="s">
        <v>3739</v>
      </c>
      <c r="C6" s="55" t="s">
        <v>3738</v>
      </c>
      <c r="D6" s="55" t="s">
        <v>3737</v>
      </c>
      <c r="E6" s="55" t="s">
        <v>3356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D323DFF2-0859-40E6-BE4E-4ABF62EC5C22}"/>
  </hyperlink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839FB-8089-4671-9A25-F34F2269B585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4260-0841-4405-A10A-CB27DEFE0775}">
  <sheetPr>
    <tabColor rgb="FFFFFF00"/>
  </sheetPr>
  <dimension ref="A1:J38"/>
  <sheetViews>
    <sheetView workbookViewId="0">
      <pane ySplit="1" topLeftCell="A4" activePane="bottomLeft" state="frozen"/>
      <selection activeCell="F45" sqref="F45"/>
      <selection pane="bottomLeft" activeCell="A4" sqref="A4"/>
    </sheetView>
  </sheetViews>
  <sheetFormatPr defaultRowHeight="14.5" x14ac:dyDescent="0.35"/>
  <cols>
    <col min="1" max="1" width="17.08984375" bestFit="1" customWidth="1"/>
    <col min="2" max="2" width="14.7265625" bestFit="1" customWidth="1"/>
    <col min="3" max="3" width="28.26953125" bestFit="1" customWidth="1"/>
    <col min="4" max="4" width="8.1796875" bestFit="1" customWidth="1"/>
    <col min="5" max="5" width="8" bestFit="1" customWidth="1"/>
  </cols>
  <sheetData>
    <row r="1" spans="1:10" x14ac:dyDescent="0.35">
      <c r="A1" t="s">
        <v>5254</v>
      </c>
    </row>
    <row r="2" spans="1:10" ht="87" x14ac:dyDescent="0.35">
      <c r="A2" s="82" t="s">
        <v>5253</v>
      </c>
    </row>
    <row r="3" spans="1:10" x14ac:dyDescent="0.35">
      <c r="A3" s="80" t="s">
        <v>5252</v>
      </c>
      <c r="B3" s="81" t="s">
        <v>9</v>
      </c>
      <c r="C3" s="80" t="s">
        <v>5251</v>
      </c>
      <c r="D3" s="80" t="s">
        <v>0</v>
      </c>
      <c r="E3" s="80" t="s">
        <v>3723</v>
      </c>
      <c r="H3" s="52"/>
      <c r="I3" s="52"/>
      <c r="J3" s="52"/>
    </row>
    <row r="4" spans="1:10" x14ac:dyDescent="0.35">
      <c r="A4" s="79" t="s">
        <v>4213</v>
      </c>
      <c r="B4" s="77" t="s">
        <v>3172</v>
      </c>
      <c r="C4" s="78" t="s">
        <v>5250</v>
      </c>
      <c r="D4" s="77" t="b">
        <v>1</v>
      </c>
      <c r="E4" s="77"/>
      <c r="H4" s="65"/>
      <c r="I4" s="65"/>
    </row>
    <row r="5" spans="1:10" x14ac:dyDescent="0.35">
      <c r="A5" s="79" t="s">
        <v>3756</v>
      </c>
      <c r="B5" s="77" t="s">
        <v>801</v>
      </c>
      <c r="C5" s="78" t="s">
        <v>5249</v>
      </c>
      <c r="D5" s="77" t="b">
        <v>1</v>
      </c>
      <c r="E5" s="77"/>
      <c r="H5" s="65"/>
      <c r="I5" s="65"/>
    </row>
    <row r="6" spans="1:10" x14ac:dyDescent="0.35">
      <c r="A6" s="79" t="s">
        <v>4255</v>
      </c>
      <c r="B6" s="77" t="s">
        <v>5248</v>
      </c>
      <c r="C6" s="78" t="s">
        <v>5247</v>
      </c>
      <c r="D6" s="77" t="b">
        <v>1</v>
      </c>
      <c r="E6" s="77"/>
      <c r="H6" s="65"/>
      <c r="I6" s="65"/>
    </row>
    <row r="7" spans="1:10" x14ac:dyDescent="0.35">
      <c r="A7" s="79" t="s">
        <v>4571</v>
      </c>
      <c r="B7" s="77" t="s">
        <v>5246</v>
      </c>
      <c r="C7" s="78" t="s">
        <v>5245</v>
      </c>
      <c r="D7" s="77" t="b">
        <v>1</v>
      </c>
      <c r="E7" s="77"/>
      <c r="H7" s="65"/>
      <c r="I7" s="65"/>
    </row>
    <row r="8" spans="1:10" x14ac:dyDescent="0.35">
      <c r="A8" s="79" t="s">
        <v>3805</v>
      </c>
      <c r="B8" s="77" t="s">
        <v>5244</v>
      </c>
      <c r="C8" s="78" t="s">
        <v>5243</v>
      </c>
      <c r="D8" s="77" t="b">
        <v>1</v>
      </c>
      <c r="E8" s="77"/>
      <c r="H8" s="65"/>
      <c r="I8" s="65"/>
    </row>
    <row r="9" spans="1:10" x14ac:dyDescent="0.35">
      <c r="A9" s="79" t="s">
        <v>4336</v>
      </c>
      <c r="B9" s="77" t="s">
        <v>1260</v>
      </c>
      <c r="C9" s="78" t="s">
        <v>5242</v>
      </c>
      <c r="D9" s="77" t="b">
        <v>1</v>
      </c>
      <c r="E9" s="77"/>
      <c r="H9" s="65"/>
      <c r="I9" s="65"/>
    </row>
    <row r="10" spans="1:10" x14ac:dyDescent="0.35">
      <c r="A10" s="79" t="s">
        <v>4778</v>
      </c>
      <c r="B10" s="77" t="s">
        <v>5241</v>
      </c>
      <c r="C10" s="78" t="s">
        <v>5240</v>
      </c>
      <c r="D10" s="77" t="b">
        <v>1</v>
      </c>
      <c r="E10" s="77"/>
      <c r="H10" s="65"/>
      <c r="I10" s="65"/>
    </row>
    <row r="11" spans="1:10" x14ac:dyDescent="0.35">
      <c r="A11" s="79" t="s">
        <v>4381</v>
      </c>
      <c r="B11" s="77" t="s">
        <v>5239</v>
      </c>
      <c r="C11" s="78" t="s">
        <v>5238</v>
      </c>
      <c r="D11" s="77" t="b">
        <v>1</v>
      </c>
      <c r="E11" s="77"/>
      <c r="H11" s="65"/>
      <c r="I11" s="65"/>
    </row>
    <row r="12" spans="1:10" x14ac:dyDescent="0.35">
      <c r="A12" s="79" t="s">
        <v>4795</v>
      </c>
      <c r="B12" s="77" t="s">
        <v>5237</v>
      </c>
      <c r="C12" s="78" t="s">
        <v>5236</v>
      </c>
      <c r="D12" s="77" t="b">
        <v>1</v>
      </c>
      <c r="E12" s="77"/>
      <c r="H12" s="65"/>
      <c r="I12" s="65"/>
    </row>
    <row r="13" spans="1:10" x14ac:dyDescent="0.35">
      <c r="A13" s="79" t="s">
        <v>3824</v>
      </c>
      <c r="B13" s="77" t="s">
        <v>795</v>
      </c>
      <c r="C13" s="78" t="s">
        <v>5235</v>
      </c>
      <c r="D13" s="77" t="b">
        <v>1</v>
      </c>
      <c r="E13" s="77"/>
      <c r="H13" s="65"/>
      <c r="I13" s="65"/>
    </row>
    <row r="14" spans="1:10" x14ac:dyDescent="0.35">
      <c r="A14" s="79" t="s">
        <v>3854</v>
      </c>
      <c r="B14" s="77" t="s">
        <v>3854</v>
      </c>
      <c r="C14" s="78" t="s">
        <v>5234</v>
      </c>
      <c r="D14" s="77" t="b">
        <v>1</v>
      </c>
      <c r="E14" s="77"/>
      <c r="H14" s="65"/>
      <c r="I14" s="65"/>
    </row>
    <row r="15" spans="1:10" x14ac:dyDescent="0.35">
      <c r="A15" s="79" t="s">
        <v>3856</v>
      </c>
      <c r="B15" s="77" t="s">
        <v>5233</v>
      </c>
      <c r="C15" s="78" t="s">
        <v>5232</v>
      </c>
      <c r="D15" s="77" t="b">
        <v>1</v>
      </c>
      <c r="E15" s="77"/>
      <c r="H15" s="65"/>
      <c r="I15" s="65"/>
    </row>
    <row r="16" spans="1:10" x14ac:dyDescent="0.35">
      <c r="A16" s="79" t="s">
        <v>4387</v>
      </c>
      <c r="B16" s="77" t="s">
        <v>1254</v>
      </c>
      <c r="C16" s="78" t="s">
        <v>5231</v>
      </c>
      <c r="D16" s="77" t="b">
        <v>1</v>
      </c>
      <c r="E16" s="77"/>
      <c r="H16" s="65"/>
      <c r="I16" s="65"/>
    </row>
    <row r="17" spans="1:9" x14ac:dyDescent="0.35">
      <c r="A17" s="79" t="s">
        <v>3863</v>
      </c>
      <c r="B17" s="77" t="s">
        <v>1276</v>
      </c>
      <c r="C17" s="78" t="s">
        <v>5230</v>
      </c>
      <c r="D17" s="77" t="b">
        <v>1</v>
      </c>
      <c r="E17" s="77"/>
      <c r="H17" s="65"/>
      <c r="I17" s="65"/>
    </row>
    <row r="18" spans="1:9" x14ac:dyDescent="0.35">
      <c r="A18" s="79" t="s">
        <v>3869</v>
      </c>
      <c r="B18" s="77" t="s">
        <v>5229</v>
      </c>
      <c r="C18" s="78" t="s">
        <v>5228</v>
      </c>
      <c r="D18" s="77" t="b">
        <v>1</v>
      </c>
      <c r="E18" s="77"/>
      <c r="H18" s="65"/>
      <c r="I18" s="65"/>
    </row>
    <row r="19" spans="1:9" x14ac:dyDescent="0.35">
      <c r="A19" s="79" t="s">
        <v>4414</v>
      </c>
      <c r="B19" s="77" t="s">
        <v>1249</v>
      </c>
      <c r="C19" s="78" t="s">
        <v>5227</v>
      </c>
      <c r="D19" s="77" t="b">
        <v>1</v>
      </c>
      <c r="E19" s="77"/>
      <c r="H19" s="65"/>
      <c r="I19" s="65"/>
    </row>
    <row r="20" spans="1:9" x14ac:dyDescent="0.35">
      <c r="A20" s="79" t="s">
        <v>3871</v>
      </c>
      <c r="B20" s="77" t="s">
        <v>1288</v>
      </c>
      <c r="C20" s="78" t="s">
        <v>5226</v>
      </c>
      <c r="D20" s="77" t="b">
        <v>1</v>
      </c>
      <c r="E20" s="77"/>
      <c r="H20" s="65"/>
      <c r="I20" s="65"/>
    </row>
    <row r="21" spans="1:9" x14ac:dyDescent="0.35">
      <c r="A21" s="79" t="s">
        <v>4449</v>
      </c>
      <c r="B21" s="77" t="s">
        <v>3069</v>
      </c>
      <c r="C21" s="78" t="s">
        <v>5225</v>
      </c>
      <c r="D21" s="77" t="b">
        <v>1</v>
      </c>
      <c r="E21" s="77"/>
      <c r="H21" s="65"/>
      <c r="I21" s="65"/>
    </row>
    <row r="22" spans="1:9" x14ac:dyDescent="0.35">
      <c r="A22" s="79" t="s">
        <v>3892</v>
      </c>
      <c r="B22" s="77" t="s">
        <v>1298</v>
      </c>
      <c r="C22" s="78" t="s">
        <v>5224</v>
      </c>
      <c r="D22" s="77" t="b">
        <v>1</v>
      </c>
      <c r="E22" s="77"/>
      <c r="H22" s="65"/>
      <c r="I22" s="65"/>
    </row>
    <row r="23" spans="1:9" x14ac:dyDescent="0.35">
      <c r="A23" s="79" t="s">
        <v>3167</v>
      </c>
      <c r="B23" s="77" t="s">
        <v>3167</v>
      </c>
      <c r="C23" s="78" t="s">
        <v>5223</v>
      </c>
      <c r="D23" s="77" t="b">
        <v>1</v>
      </c>
      <c r="E23" s="77"/>
      <c r="H23" s="65"/>
      <c r="I23" s="65"/>
    </row>
    <row r="24" spans="1:9" x14ac:dyDescent="0.35">
      <c r="A24" s="79" t="s">
        <v>4878</v>
      </c>
      <c r="B24" s="77" t="s">
        <v>3063</v>
      </c>
      <c r="C24" s="78" t="s">
        <v>5222</v>
      </c>
      <c r="D24" s="77" t="b">
        <v>1</v>
      </c>
      <c r="E24" s="77"/>
      <c r="H24" s="65"/>
      <c r="I24" s="65"/>
    </row>
    <row r="25" spans="1:9" x14ac:dyDescent="0.35">
      <c r="A25" s="79" t="s">
        <v>3923</v>
      </c>
      <c r="B25" s="77" t="s">
        <v>3201</v>
      </c>
      <c r="C25" s="78" t="s">
        <v>5221</v>
      </c>
      <c r="D25" s="77" t="b">
        <v>1</v>
      </c>
      <c r="E25" s="77"/>
      <c r="H25" s="65"/>
      <c r="I25" s="65"/>
    </row>
    <row r="26" spans="1:9" x14ac:dyDescent="0.35">
      <c r="A26" s="79" t="s">
        <v>3941</v>
      </c>
      <c r="B26" s="77" t="s">
        <v>5220</v>
      </c>
      <c r="C26" s="78" t="s">
        <v>5219</v>
      </c>
      <c r="D26" s="77" t="b">
        <v>1</v>
      </c>
      <c r="E26" s="77"/>
      <c r="H26" s="65"/>
      <c r="I26" s="65"/>
    </row>
    <row r="27" spans="1:9" x14ac:dyDescent="0.35">
      <c r="A27" s="79" t="s">
        <v>3945</v>
      </c>
      <c r="B27" s="77" t="s">
        <v>5218</v>
      </c>
      <c r="C27" s="78" t="s">
        <v>5217</v>
      </c>
      <c r="D27" s="77" t="b">
        <v>1</v>
      </c>
      <c r="E27" s="77"/>
      <c r="H27" s="65"/>
      <c r="I27" s="65"/>
    </row>
    <row r="28" spans="1:9" x14ac:dyDescent="0.35">
      <c r="A28" s="79" t="s">
        <v>3947</v>
      </c>
      <c r="B28" s="77" t="s">
        <v>1282</v>
      </c>
      <c r="C28" s="78" t="s">
        <v>5216</v>
      </c>
      <c r="D28" s="77" t="b">
        <v>1</v>
      </c>
      <c r="E28" s="77"/>
      <c r="H28" s="65"/>
      <c r="I28" s="65"/>
    </row>
    <row r="29" spans="1:9" x14ac:dyDescent="0.35">
      <c r="A29" s="79" t="s">
        <v>3976</v>
      </c>
      <c r="B29" s="77" t="s">
        <v>5215</v>
      </c>
      <c r="C29" s="78" t="s">
        <v>5214</v>
      </c>
      <c r="D29" s="77" t="b">
        <v>1</v>
      </c>
      <c r="E29" s="77"/>
      <c r="H29" s="65"/>
      <c r="I29" s="65"/>
    </row>
    <row r="30" spans="1:9" x14ac:dyDescent="0.35">
      <c r="A30" s="79" t="s">
        <v>4502</v>
      </c>
      <c r="B30" s="77" t="s">
        <v>5213</v>
      </c>
      <c r="C30" s="78" t="s">
        <v>5212</v>
      </c>
      <c r="D30" s="77" t="b">
        <v>1</v>
      </c>
      <c r="E30" s="77"/>
      <c r="H30" s="65"/>
      <c r="I30" s="65"/>
    </row>
    <row r="31" spans="1:9" x14ac:dyDescent="0.35">
      <c r="A31" s="79" t="s">
        <v>3991</v>
      </c>
      <c r="B31" s="77" t="s">
        <v>5211</v>
      </c>
      <c r="C31" s="78" t="s">
        <v>5210</v>
      </c>
      <c r="D31" s="77" t="b">
        <v>1</v>
      </c>
      <c r="E31" s="77"/>
      <c r="H31" s="65"/>
      <c r="I31" s="65"/>
    </row>
    <row r="32" spans="1:9" x14ac:dyDescent="0.35">
      <c r="A32" s="79" t="s">
        <v>4000</v>
      </c>
      <c r="B32" s="77" t="s">
        <v>873</v>
      </c>
      <c r="C32" s="78" t="s">
        <v>5209</v>
      </c>
      <c r="D32" s="77" t="b">
        <v>1</v>
      </c>
      <c r="E32" s="77"/>
      <c r="H32" s="65"/>
      <c r="I32" s="65"/>
    </row>
    <row r="33" spans="1:9" x14ac:dyDescent="0.35">
      <c r="A33" s="79" t="s">
        <v>4160</v>
      </c>
      <c r="B33" s="77" t="s">
        <v>1293</v>
      </c>
      <c r="C33" s="78" t="s">
        <v>5208</v>
      </c>
      <c r="D33" s="77" t="b">
        <v>1</v>
      </c>
      <c r="E33" s="77"/>
      <c r="H33" s="65"/>
      <c r="I33" s="65"/>
    </row>
    <row r="34" spans="1:9" x14ac:dyDescent="0.35">
      <c r="A34" s="79" t="s">
        <v>4561</v>
      </c>
      <c r="B34" s="77" t="s">
        <v>5207</v>
      </c>
      <c r="C34" s="78" t="s">
        <v>5206</v>
      </c>
      <c r="D34" s="77" t="b">
        <v>1</v>
      </c>
      <c r="E34" s="77"/>
      <c r="H34" s="65"/>
      <c r="I34" s="65"/>
    </row>
    <row r="35" spans="1:9" x14ac:dyDescent="0.35">
      <c r="A35" s="79" t="s">
        <v>4181</v>
      </c>
      <c r="B35" s="77" t="s">
        <v>1270</v>
      </c>
      <c r="C35" s="78" t="s">
        <v>5205</v>
      </c>
      <c r="D35" s="77" t="b">
        <v>1</v>
      </c>
      <c r="E35" s="77"/>
      <c r="H35" s="65"/>
      <c r="I35" s="65"/>
    </row>
    <row r="36" spans="1:9" x14ac:dyDescent="0.35">
      <c r="A36" s="79" t="s">
        <v>4909</v>
      </c>
      <c r="B36" s="77" t="s">
        <v>5204</v>
      </c>
      <c r="C36" s="78" t="s">
        <v>5203</v>
      </c>
      <c r="D36" s="77" t="b">
        <v>1</v>
      </c>
      <c r="E36" s="77"/>
      <c r="H36" s="65"/>
      <c r="I36" s="65"/>
    </row>
    <row r="37" spans="1:9" x14ac:dyDescent="0.35">
      <c r="A37" s="79" t="s">
        <v>4201</v>
      </c>
      <c r="B37" s="77" t="s">
        <v>5202</v>
      </c>
      <c r="C37" s="78" t="s">
        <v>5201</v>
      </c>
      <c r="D37" s="77" t="b">
        <v>1</v>
      </c>
      <c r="E37" s="77"/>
      <c r="H37" s="65"/>
      <c r="I37" s="65"/>
    </row>
    <row r="38" spans="1:9" x14ac:dyDescent="0.35">
      <c r="A38" s="79" t="s">
        <v>4211</v>
      </c>
      <c r="B38" s="77" t="s">
        <v>4211</v>
      </c>
      <c r="C38" s="78" t="s">
        <v>5200</v>
      </c>
      <c r="D38" s="77" t="b">
        <v>1</v>
      </c>
      <c r="E38" s="77"/>
      <c r="H38" s="65"/>
      <c r="I38" s="65"/>
    </row>
  </sheetData>
  <dataValidations count="1">
    <dataValidation type="list" allowBlank="1" showInputMessage="1" showErrorMessage="1" sqref="D4:D38" xr:uid="{E02CFE02-49BA-4FDD-8542-CB89D12B69E8}">
      <formula1>IstBoolean</formula1>
    </dataValidation>
  </dataValidations>
  <hyperlinks>
    <hyperlink ref="C4" r:id="rId1" display="https://www.acer.com/" xr:uid="{59A8DD5F-561F-4002-8C47-16334D1F91AE}"/>
    <hyperlink ref="C5" r:id="rId2" display="https://www.apple.com/" xr:uid="{2661CA5D-DDF9-4D5F-9EF4-180CF15B28DD}"/>
    <hyperlink ref="C6" r:id="rId3" display="https://www.alienware.com/" xr:uid="{1AAAC102-B139-493C-ACEB-40B9F8C8E3ED}"/>
    <hyperlink ref="C7" r:id="rId4" display="https://www.amazon.com/" xr:uid="{146DC98B-6CAF-415E-B896-360BF8A9B09A}"/>
    <hyperlink ref="C8" r:id="rId5" display="https://www.asus.com/" xr:uid="{0D7C0948-A529-4087-ADE2-93533B30847E}"/>
    <hyperlink ref="C9" r:id="rId6" display="https://www.dell.com/" xr:uid="{0E410D22-00B8-47A5-83FF-C3CACAA52D4C}"/>
    <hyperlink ref="C10" r:id="rId7" display="https://www.fitbit.com/" xr:uid="{AC0019E3-CE5D-4AF3-AE05-96ED63B777BF}"/>
    <hyperlink ref="C11" r:id="rId8" display="https://frame.work/" xr:uid="{CAE25D19-ACD0-46C5-A12C-19D4EE5A0195}"/>
    <hyperlink ref="C12" r:id="rId9" display="https://www.garmin.com/" xr:uid="{7D99B242-171B-487D-B05D-BDF0722EDA49}"/>
    <hyperlink ref="C13" r:id="rId10" display="https://store.google.com/" xr:uid="{2C068A97-D726-4076-9877-130132448001}"/>
    <hyperlink ref="C14" r:id="rId11" display="https://www.hmd.com/" xr:uid="{8D6FEA29-F3C5-4084-910E-CDE21621972D}"/>
    <hyperlink ref="C15" r:id="rId12" display="https://www.honor.com/" xr:uid="{C0A354C2-BFF3-4E03-ADD9-B9C5704643C7}"/>
    <hyperlink ref="C16" r:id="rId13" display="https://www.hp.com/" xr:uid="{581E062D-C59C-41A6-BB10-A162C90DE89E}"/>
    <hyperlink ref="C17" r:id="rId14" display="https://consumer.huawei.com/" xr:uid="{6D776A3C-9300-436B-8B32-C9B16FF21D20}"/>
    <hyperlink ref="C18" r:id="rId15" display="https://www.iqoo.com/" xr:uid="{0221DFA0-0FE0-4E0F-9105-645DEEAD0338}"/>
    <hyperlink ref="C19" r:id="rId16" display="https://www.lenovo.com/" xr:uid="{A5FC526D-557F-4FBF-B61F-C2C607665BDA}"/>
    <hyperlink ref="C20" r:id="rId17" display="https://www.lg.com/" xr:uid="{E797517B-6B48-4295-80A5-ABDBF9CA1A13}"/>
    <hyperlink ref="C21" r:id="rId18" display="https://www.microsoft.com/" xr:uid="{F4F666E8-B9CE-4C8E-98DC-25E35459B570}"/>
    <hyperlink ref="C22" r:id="rId19" display="https://www.motorola.com/" xr:uid="{7C0C2E77-AAFC-4A44-BE94-BECA442D1D7E}"/>
    <hyperlink ref="C23" r:id="rId20" display="https://www.msi.com/" xr:uid="{D9F18320-0052-411F-BBC6-BBE45558093A}"/>
    <hyperlink ref="C24" r:id="rId21" display="https://www.nintendo.com/" xr:uid="{86BE49B0-A201-4F4A-8E0C-1666618770A8}"/>
    <hyperlink ref="C25" r:id="rId22" display="https://www.nokia.com/" xr:uid="{E0F385DF-037B-4A26-9331-DF4A39CE27AE}"/>
    <hyperlink ref="C26" r:id="rId23" display="https://nothing.tech/" xr:uid="{2A1150FD-9C26-4EC9-9290-8F5DEAAE3A4E}"/>
    <hyperlink ref="C27" r:id="rId24" display="https://global.nubia.com/" xr:uid="{D7AA21D3-6103-45E3-9121-D4F61A7608B6}"/>
    <hyperlink ref="C28" r:id="rId25" display="https://www.oneplus.com/" xr:uid="{F7B0D9C0-C3EB-4590-820C-C207BE843E01}"/>
    <hyperlink ref="C29" r:id="rId26" display="https://www.oppo.com/" xr:uid="{3BE29B44-6D12-49E9-A1CD-F49315F4FA92}"/>
    <hyperlink ref="C30" r:id="rId27" display="https://www.razer.com/" xr:uid="{2569E2CF-7123-46CB-B92A-E8EF10F8F922}"/>
    <hyperlink ref="C31" r:id="rId28" display="https://www.realme.com/" xr:uid="{12D08A0A-9C75-4B5D-8741-2309725164D3}"/>
    <hyperlink ref="C32" r:id="rId29" display="https://www.samsung.com/" xr:uid="{4C52C31F-EC36-417E-B238-F60249CF65D8}"/>
    <hyperlink ref="C33" r:id="rId30" display="https://www.sony.com/" xr:uid="{A6C6BBFC-6A8D-4840-8931-7DC8D0D04362}"/>
    <hyperlink ref="C34" r:id="rId31" display="https://www.starlink.com/" xr:uid="{4C7F15F2-FF4A-4999-B6F8-1D1EE7DEE645}"/>
    <hyperlink ref="C35" r:id="rId32" display="https://www.mi.com/" xr:uid="{50F53F65-F069-49C2-A955-1EB55C887565}"/>
    <hyperlink ref="C36" r:id="rId33" display="https://www.valvesoftware.com/" xr:uid="{9E5BE524-CD80-4B9D-92A8-D46553D235F7}"/>
    <hyperlink ref="C37" r:id="rId34" display="https://www.vivo.com/" xr:uid="{82BFD57F-900E-4566-A5CD-F2274BB7A96F}"/>
    <hyperlink ref="C38" r:id="rId35" display="https://www.zte.com.cn/" xr:uid="{9608BD3D-BD50-44E2-91F9-AB2BEC2835BC}"/>
  </hyperlinks>
  <pageMargins left="0.7" right="0.7" top="0.75" bottom="0.75" header="0.3" footer="0.3"/>
  <tableParts count="1">
    <tablePart r:id="rId3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03FF-872A-4880-8955-5B4C4246041E}">
  <sheetPr>
    <tabColor rgb="FFFFFF00"/>
  </sheetPr>
  <dimension ref="A1:D15"/>
  <sheetViews>
    <sheetView workbookViewId="0">
      <selection activeCell="A4" sqref="A4"/>
    </sheetView>
  </sheetViews>
  <sheetFormatPr defaultRowHeight="14.5" x14ac:dyDescent="0.35"/>
  <cols>
    <col min="1" max="1" width="19.26953125" customWidth="1"/>
    <col min="2" max="2" width="16.6328125" bestFit="1" customWidth="1"/>
    <col min="3" max="3" width="38.08984375" bestFit="1" customWidth="1"/>
    <col min="5" max="5" width="17.54296875" customWidth="1"/>
    <col min="6" max="6" width="17.08984375" customWidth="1"/>
    <col min="7" max="7" width="38.08984375" bestFit="1" customWidth="1"/>
  </cols>
  <sheetData>
    <row r="1" spans="1:4" x14ac:dyDescent="0.35">
      <c r="A1" t="s">
        <v>5255</v>
      </c>
    </row>
    <row r="2" spans="1:4" ht="72.5" x14ac:dyDescent="0.35">
      <c r="A2" s="82" t="s">
        <v>5256</v>
      </c>
    </row>
    <row r="3" spans="1:4" x14ac:dyDescent="0.35">
      <c r="A3" t="s">
        <v>3750</v>
      </c>
      <c r="B3" t="s">
        <v>8</v>
      </c>
      <c r="C3" t="s">
        <v>32</v>
      </c>
      <c r="D3" t="s">
        <v>0</v>
      </c>
    </row>
    <row r="4" spans="1:4" x14ac:dyDescent="0.35">
      <c r="A4" t="s">
        <v>3757</v>
      </c>
      <c r="B4" t="s">
        <v>3737</v>
      </c>
      <c r="C4" t="s">
        <v>5257</v>
      </c>
      <c r="D4" t="b">
        <v>1</v>
      </c>
    </row>
    <row r="5" spans="1:4" x14ac:dyDescent="0.35">
      <c r="A5" t="s">
        <v>4572</v>
      </c>
      <c r="B5" t="s">
        <v>3312</v>
      </c>
      <c r="C5" t="s">
        <v>5258</v>
      </c>
      <c r="D5" t="b">
        <v>1</v>
      </c>
    </row>
    <row r="6" spans="1:4" x14ac:dyDescent="0.35">
      <c r="A6" t="s">
        <v>4214</v>
      </c>
      <c r="B6" t="s">
        <v>5259</v>
      </c>
      <c r="C6" t="s">
        <v>5260</v>
      </c>
      <c r="D6" t="b">
        <v>1</v>
      </c>
    </row>
    <row r="7" spans="1:4" x14ac:dyDescent="0.35">
      <c r="A7" t="s">
        <v>4748</v>
      </c>
      <c r="B7" t="s">
        <v>5261</v>
      </c>
      <c r="C7" t="s">
        <v>5262</v>
      </c>
      <c r="D7" t="b">
        <v>1</v>
      </c>
    </row>
    <row r="8" spans="1:4" x14ac:dyDescent="0.35">
      <c r="A8" t="s">
        <v>4862</v>
      </c>
      <c r="B8" t="s">
        <v>4953</v>
      </c>
      <c r="C8" t="s">
        <v>5263</v>
      </c>
      <c r="D8" t="b">
        <v>1</v>
      </c>
    </row>
    <row r="9" spans="1:4" x14ac:dyDescent="0.35">
      <c r="A9" t="s">
        <v>5264</v>
      </c>
      <c r="B9" t="s">
        <v>1473</v>
      </c>
      <c r="C9" t="s">
        <v>5265</v>
      </c>
      <c r="D9" t="b">
        <v>1</v>
      </c>
    </row>
    <row r="10" spans="1:4" x14ac:dyDescent="0.35">
      <c r="A10" t="s">
        <v>4562</v>
      </c>
      <c r="B10" t="s">
        <v>3252</v>
      </c>
      <c r="C10" t="s">
        <v>5266</v>
      </c>
      <c r="D10" t="b">
        <v>1</v>
      </c>
    </row>
    <row r="11" spans="1:4" x14ac:dyDescent="0.35">
      <c r="B11" s="57"/>
      <c r="C11" s="57"/>
    </row>
    <row r="12" spans="1:4" x14ac:dyDescent="0.35">
      <c r="B12" s="57"/>
      <c r="C12" s="57"/>
    </row>
    <row r="13" spans="1:4" x14ac:dyDescent="0.35">
      <c r="B13" s="57"/>
      <c r="C13" s="57"/>
    </row>
    <row r="14" spans="1:4" x14ac:dyDescent="0.35">
      <c r="B14" s="57"/>
      <c r="C14" s="57"/>
    </row>
    <row r="15" spans="1:4" x14ac:dyDescent="0.35">
      <c r="B15" s="57"/>
      <c r="C15" s="57"/>
    </row>
  </sheetData>
  <dataValidations count="1">
    <dataValidation type="list" allowBlank="1" showInputMessage="1" showErrorMessage="1" sqref="D4:D10" xr:uid="{2375266B-7B33-4A82-A2F8-1E7F4562F216}">
      <formula1>IstBoolean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0C30A-3E87-486A-868F-692864D1392D}">
  <sheetPr>
    <tabColor rgb="FFFFFF00"/>
  </sheetPr>
  <dimension ref="A1:I838"/>
  <sheetViews>
    <sheetView topLeftCell="A2" workbookViewId="0">
      <selection activeCell="A2" sqref="A2"/>
    </sheetView>
  </sheetViews>
  <sheetFormatPr defaultRowHeight="14.5" x14ac:dyDescent="0.35"/>
  <cols>
    <col min="1" max="1" width="11" bestFit="1" customWidth="1"/>
    <col min="2" max="2" width="19.453125" style="59" customWidth="1"/>
    <col min="3" max="3" width="22" style="59" bestFit="1" customWidth="1"/>
    <col min="4" max="4" width="36.90625" bestFit="1" customWidth="1"/>
    <col min="5" max="5" width="32.26953125" customWidth="1"/>
    <col min="6" max="6" width="28.81640625" customWidth="1"/>
    <col min="7" max="7" width="18.81640625" customWidth="1"/>
    <col min="8" max="8" width="19.26953125" customWidth="1"/>
    <col min="9" max="9" width="36.90625" bestFit="1" customWidth="1"/>
    <col min="10" max="10" width="15" customWidth="1"/>
    <col min="11" max="11" width="13.54296875" customWidth="1"/>
    <col min="12" max="12" width="15" customWidth="1"/>
  </cols>
  <sheetData>
    <row r="1" spans="1:9" x14ac:dyDescent="0.35">
      <c r="A1" t="s">
        <v>3748</v>
      </c>
      <c r="B1" s="59" t="s">
        <v>3749</v>
      </c>
      <c r="C1" s="59" t="s">
        <v>3750</v>
      </c>
      <c r="D1" t="s">
        <v>3751</v>
      </c>
      <c r="E1" t="s">
        <v>3752</v>
      </c>
      <c r="F1" t="s">
        <v>3753</v>
      </c>
      <c r="G1" t="s">
        <v>3754</v>
      </c>
      <c r="H1" t="s">
        <v>0</v>
      </c>
      <c r="I1" t="s">
        <v>3723</v>
      </c>
    </row>
    <row r="2" spans="1:9" ht="21.5" x14ac:dyDescent="0.35">
      <c r="A2" t="s">
        <v>3755</v>
      </c>
      <c r="B2" s="59" t="s">
        <v>3756</v>
      </c>
      <c r="C2" s="59" t="s">
        <v>3757</v>
      </c>
      <c r="D2" s="60" t="s">
        <v>3315</v>
      </c>
      <c r="E2" t="str">
        <f>_xlfn.XLOOKUP(D2,'[2]8A. Master Device Catalog'!$F$5:$F$914,'[2]8A. Master Device Catalog'!$G$5:$G$914,"")</f>
        <v>A1203</v>
      </c>
      <c r="F2">
        <f>_xlfn.XLOOKUP(D2,'[2]8A. Master Device Catalog'!$F$5:$F$914,'[2]8A. Master Device Catalog'!$H$5:$H$914,"")</f>
        <v>2007</v>
      </c>
    </row>
    <row r="3" spans="1:9" ht="21.5" x14ac:dyDescent="0.35">
      <c r="A3" t="s">
        <v>3758</v>
      </c>
      <c r="B3" s="59" t="s">
        <v>3756</v>
      </c>
      <c r="C3" s="59" t="s">
        <v>3757</v>
      </c>
      <c r="D3" s="60" t="s">
        <v>3309</v>
      </c>
      <c r="E3" t="str">
        <f>_xlfn.XLOOKUP(D3,'[2]8A. Master Device Catalog'!$F$5:$F$914,'[2]8A. Master Device Catalog'!$G$5:$G$914,"")</f>
        <v>A1241</v>
      </c>
      <c r="F3">
        <f>_xlfn.XLOOKUP(D3,'[2]8A. Master Device Catalog'!$F$5:$F$914,'[2]8A. Master Device Catalog'!$H$5:$H$914,"")</f>
        <v>2008</v>
      </c>
    </row>
    <row r="4" spans="1:9" ht="21.5" x14ac:dyDescent="0.35">
      <c r="A4" t="s">
        <v>3759</v>
      </c>
      <c r="B4" s="59" t="s">
        <v>3756</v>
      </c>
      <c r="C4" s="59" t="s">
        <v>3757</v>
      </c>
      <c r="D4" s="60" t="s">
        <v>3303</v>
      </c>
      <c r="E4" t="str">
        <f>_xlfn.XLOOKUP(D4,'[2]8A. Master Device Catalog'!$F$5:$F$914,'[2]8A. Master Device Catalog'!$G$5:$G$914,"")</f>
        <v>A1303</v>
      </c>
      <c r="F4">
        <f>_xlfn.XLOOKUP(D4,'[2]8A. Master Device Catalog'!$F$5:$F$914,'[2]8A. Master Device Catalog'!$H$5:$H$914,"")</f>
        <v>2009</v>
      </c>
    </row>
    <row r="5" spans="1:9" ht="21.5" x14ac:dyDescent="0.35">
      <c r="A5" t="s">
        <v>3760</v>
      </c>
      <c r="B5" s="59" t="s">
        <v>3756</v>
      </c>
      <c r="C5" s="59" t="s">
        <v>3757</v>
      </c>
      <c r="D5" s="60" t="s">
        <v>3297</v>
      </c>
      <c r="E5" t="str">
        <f>_xlfn.XLOOKUP(D5,'[2]8A. Master Device Catalog'!$F$5:$F$914,'[2]8A. Master Device Catalog'!$G$5:$G$914,"")</f>
        <v>A1332</v>
      </c>
      <c r="F5">
        <f>_xlfn.XLOOKUP(D5,'[2]8A. Master Device Catalog'!$F$5:$F$914,'[2]8A. Master Device Catalog'!$H$5:$H$914,"")</f>
        <v>2010</v>
      </c>
    </row>
    <row r="6" spans="1:9" ht="21.5" x14ac:dyDescent="0.35">
      <c r="A6" t="s">
        <v>3761</v>
      </c>
      <c r="B6" s="59" t="s">
        <v>3756</v>
      </c>
      <c r="C6" s="59" t="s">
        <v>3757</v>
      </c>
      <c r="D6" s="60" t="s">
        <v>3291</v>
      </c>
      <c r="E6" t="str">
        <f>_xlfn.XLOOKUP(D6,'[2]8A. Master Device Catalog'!$F$5:$F$914,'[2]8A. Master Device Catalog'!$G$5:$G$914,"")</f>
        <v>A1387</v>
      </c>
      <c r="F6">
        <f>_xlfn.XLOOKUP(D6,'[2]8A. Master Device Catalog'!$F$5:$F$914,'[2]8A. Master Device Catalog'!$H$5:$H$914,"")</f>
        <v>2011</v>
      </c>
    </row>
    <row r="7" spans="1:9" ht="21.5" x14ac:dyDescent="0.35">
      <c r="A7" t="s">
        <v>3762</v>
      </c>
      <c r="B7" s="59" t="s">
        <v>3756</v>
      </c>
      <c r="C7" s="59" t="s">
        <v>3757</v>
      </c>
      <c r="D7" s="60" t="s">
        <v>3285</v>
      </c>
      <c r="E7" t="str">
        <f>_xlfn.XLOOKUP(D7,'[2]8A. Master Device Catalog'!$F$5:$F$914,'[2]8A. Master Device Catalog'!$G$5:$G$914,"")</f>
        <v>A1428</v>
      </c>
      <c r="F7">
        <f>_xlfn.XLOOKUP(D7,'[2]8A. Master Device Catalog'!$F$5:$F$914,'[2]8A. Master Device Catalog'!$H$5:$H$914,"")</f>
        <v>2012</v>
      </c>
    </row>
    <row r="8" spans="1:9" ht="21.5" x14ac:dyDescent="0.35">
      <c r="A8" t="s">
        <v>3763</v>
      </c>
      <c r="B8" s="59" t="s">
        <v>3756</v>
      </c>
      <c r="C8" s="59" t="s">
        <v>3757</v>
      </c>
      <c r="D8" s="60" t="s">
        <v>3279</v>
      </c>
      <c r="E8" t="str">
        <f>_xlfn.XLOOKUP(D8,'[2]8A. Master Device Catalog'!$F$5:$F$914,'[2]8A. Master Device Catalog'!$G$5:$G$914,"")</f>
        <v>A1532</v>
      </c>
      <c r="F8">
        <f>_xlfn.XLOOKUP(D8,'[2]8A. Master Device Catalog'!$F$5:$F$914,'[2]8A. Master Device Catalog'!$H$5:$H$914,"")</f>
        <v>2013</v>
      </c>
    </row>
    <row r="9" spans="1:9" ht="21.5" x14ac:dyDescent="0.35">
      <c r="A9" t="s">
        <v>3764</v>
      </c>
      <c r="B9" s="59" t="s">
        <v>3756</v>
      </c>
      <c r="C9" s="59" t="s">
        <v>3757</v>
      </c>
      <c r="D9" s="60" t="s">
        <v>3273</v>
      </c>
      <c r="E9" t="str">
        <f>_xlfn.XLOOKUP(D9,'[2]8A. Master Device Catalog'!$F$5:$F$914,'[2]8A. Master Device Catalog'!$G$5:$G$914,"")</f>
        <v>A1533</v>
      </c>
      <c r="F9">
        <f>_xlfn.XLOOKUP(D9,'[2]8A. Master Device Catalog'!$F$5:$F$914,'[2]8A. Master Device Catalog'!$H$5:$H$914,"")</f>
        <v>2013</v>
      </c>
    </row>
    <row r="10" spans="1:9" ht="21.5" x14ac:dyDescent="0.35">
      <c r="A10" t="s">
        <v>3765</v>
      </c>
      <c r="B10" s="59" t="s">
        <v>3756</v>
      </c>
      <c r="C10" s="59" t="s">
        <v>3757</v>
      </c>
      <c r="D10" s="60" t="s">
        <v>3267</v>
      </c>
      <c r="E10" t="str">
        <f>_xlfn.XLOOKUP(D10,'[2]8A. Master Device Catalog'!$F$5:$F$914,'[2]8A. Master Device Catalog'!$G$5:$G$914,"")</f>
        <v>A1549</v>
      </c>
      <c r="F10">
        <f>_xlfn.XLOOKUP(D10,'[2]8A. Master Device Catalog'!$F$5:$F$914,'[2]8A. Master Device Catalog'!$H$5:$H$914,"")</f>
        <v>2014</v>
      </c>
    </row>
    <row r="11" spans="1:9" ht="21.5" x14ac:dyDescent="0.35">
      <c r="A11" t="s">
        <v>3766</v>
      </c>
      <c r="B11" s="59" t="s">
        <v>3756</v>
      </c>
      <c r="C11" s="59" t="s">
        <v>3757</v>
      </c>
      <c r="D11" s="60" t="s">
        <v>3261</v>
      </c>
      <c r="E11" t="str">
        <f>_xlfn.XLOOKUP(D11,'[2]8A. Master Device Catalog'!$F$5:$F$914,'[2]8A. Master Device Catalog'!$G$5:$G$914,"")</f>
        <v>A1522</v>
      </c>
      <c r="F11">
        <f>_xlfn.XLOOKUP(D11,'[2]8A. Master Device Catalog'!$F$5:$F$914,'[2]8A. Master Device Catalog'!$H$5:$H$914,"")</f>
        <v>2014</v>
      </c>
    </row>
    <row r="12" spans="1:9" ht="21.5" x14ac:dyDescent="0.35">
      <c r="A12" t="s">
        <v>3767</v>
      </c>
      <c r="B12" s="59" t="s">
        <v>3756</v>
      </c>
      <c r="C12" s="59" t="s">
        <v>3757</v>
      </c>
      <c r="D12" s="60" t="s">
        <v>3255</v>
      </c>
      <c r="E12" t="str">
        <f>_xlfn.XLOOKUP(D12,'[2]8A. Master Device Catalog'!$F$5:$F$914,'[2]8A. Master Device Catalog'!$G$5:$G$914,"")</f>
        <v>A1633</v>
      </c>
      <c r="F12">
        <f>_xlfn.XLOOKUP(D12,'[2]8A. Master Device Catalog'!$F$5:$F$914,'[2]8A. Master Device Catalog'!$H$5:$H$914,"")</f>
        <v>2015</v>
      </c>
    </row>
    <row r="13" spans="1:9" ht="21.5" x14ac:dyDescent="0.35">
      <c r="A13" t="s">
        <v>3768</v>
      </c>
      <c r="B13" s="59" t="s">
        <v>3756</v>
      </c>
      <c r="C13" s="59" t="s">
        <v>3757</v>
      </c>
      <c r="D13" s="60" t="s">
        <v>3249</v>
      </c>
      <c r="E13" t="str">
        <f>_xlfn.XLOOKUP(D13,'[2]8A. Master Device Catalog'!$F$5:$F$914,'[2]8A. Master Device Catalog'!$G$5:$G$914,"")</f>
        <v>A1634</v>
      </c>
      <c r="F13">
        <f>_xlfn.XLOOKUP(D13,'[2]8A. Master Device Catalog'!$F$5:$F$914,'[2]8A. Master Device Catalog'!$H$5:$H$914,"")</f>
        <v>2015</v>
      </c>
    </row>
    <row r="14" spans="1:9" ht="21.5" x14ac:dyDescent="0.35">
      <c r="A14" t="s">
        <v>3769</v>
      </c>
      <c r="B14" s="59" t="s">
        <v>3756</v>
      </c>
      <c r="C14" s="59" t="s">
        <v>3757</v>
      </c>
      <c r="D14" s="60" t="s">
        <v>3246</v>
      </c>
      <c r="E14" t="str">
        <f>_xlfn.XLOOKUP(D14,'[2]8A. Master Device Catalog'!$F$5:$F$914,'[2]8A. Master Device Catalog'!$G$5:$G$914,"")</f>
        <v>A1662</v>
      </c>
      <c r="F14">
        <f>_xlfn.XLOOKUP(D14,'[2]8A. Master Device Catalog'!$F$5:$F$914,'[2]8A. Master Device Catalog'!$H$5:$H$914,"")</f>
        <v>2016</v>
      </c>
    </row>
    <row r="15" spans="1:9" ht="21.5" x14ac:dyDescent="0.35">
      <c r="A15" t="s">
        <v>3770</v>
      </c>
      <c r="B15" s="59" t="s">
        <v>3756</v>
      </c>
      <c r="C15" s="59" t="s">
        <v>3757</v>
      </c>
      <c r="D15" s="60" t="s">
        <v>3242</v>
      </c>
      <c r="E15" t="str">
        <f>_xlfn.XLOOKUP(D15,'[2]8A. Master Device Catalog'!$F$5:$F$914,'[2]8A. Master Device Catalog'!$G$5:$G$914,"")</f>
        <v>A1660</v>
      </c>
      <c r="F15">
        <f>_xlfn.XLOOKUP(D15,'[2]8A. Master Device Catalog'!$F$5:$F$914,'[2]8A. Master Device Catalog'!$H$5:$H$914,"")</f>
        <v>2016</v>
      </c>
    </row>
    <row r="16" spans="1:9" ht="21.5" x14ac:dyDescent="0.35">
      <c r="A16" t="s">
        <v>3771</v>
      </c>
      <c r="B16" s="59" t="s">
        <v>3756</v>
      </c>
      <c r="C16" s="59" t="s">
        <v>3757</v>
      </c>
      <c r="D16" s="60" t="s">
        <v>3238</v>
      </c>
      <c r="E16" t="str">
        <f>_xlfn.XLOOKUP(D16,'[2]8A. Master Device Catalog'!$F$5:$F$914,'[2]8A. Master Device Catalog'!$G$5:$G$914,"")</f>
        <v>A1661</v>
      </c>
      <c r="F16">
        <f>_xlfn.XLOOKUP(D16,'[2]8A. Master Device Catalog'!$F$5:$F$914,'[2]8A. Master Device Catalog'!$H$5:$H$914,"")</f>
        <v>2016</v>
      </c>
    </row>
    <row r="17" spans="1:6" ht="21.5" x14ac:dyDescent="0.35">
      <c r="A17" t="s">
        <v>3772</v>
      </c>
      <c r="B17" s="59" t="s">
        <v>3756</v>
      </c>
      <c r="C17" s="59" t="s">
        <v>3757</v>
      </c>
      <c r="D17" s="60" t="s">
        <v>3233</v>
      </c>
      <c r="E17" t="str">
        <f>_xlfn.XLOOKUP(D17,'[2]8A. Master Device Catalog'!$F$5:$F$914,'[2]8A. Master Device Catalog'!$G$5:$G$914,"")</f>
        <v>A1863</v>
      </c>
      <c r="F17">
        <f>_xlfn.XLOOKUP(D17,'[2]8A. Master Device Catalog'!$F$5:$F$914,'[2]8A. Master Device Catalog'!$H$5:$H$914,"")</f>
        <v>2017</v>
      </c>
    </row>
    <row r="18" spans="1:6" ht="21.5" x14ac:dyDescent="0.35">
      <c r="A18" t="s">
        <v>3773</v>
      </c>
      <c r="B18" s="59" t="s">
        <v>3756</v>
      </c>
      <c r="C18" s="59" t="s">
        <v>3757</v>
      </c>
      <c r="D18" s="60" t="s">
        <v>3228</v>
      </c>
      <c r="E18" t="str">
        <f>_xlfn.XLOOKUP(D18,'[2]8A. Master Device Catalog'!$F$5:$F$914,'[2]8A. Master Device Catalog'!$G$5:$G$914,"")</f>
        <v>A1864</v>
      </c>
      <c r="F18">
        <f>_xlfn.XLOOKUP(D18,'[2]8A. Master Device Catalog'!$F$5:$F$914,'[2]8A. Master Device Catalog'!$H$5:$H$914,"")</f>
        <v>2017</v>
      </c>
    </row>
    <row r="19" spans="1:6" ht="21.5" x14ac:dyDescent="0.35">
      <c r="A19" t="s">
        <v>3774</v>
      </c>
      <c r="B19" s="59" t="s">
        <v>3756</v>
      </c>
      <c r="C19" s="59" t="s">
        <v>3757</v>
      </c>
      <c r="D19" s="60" t="s">
        <v>3223</v>
      </c>
      <c r="E19" t="str">
        <f>_xlfn.XLOOKUP(D19,'[2]8A. Master Device Catalog'!$F$5:$F$914,'[2]8A. Master Device Catalog'!$G$5:$G$914,"")</f>
        <v>A1865</v>
      </c>
      <c r="F19">
        <f>_xlfn.XLOOKUP(D19,'[2]8A. Master Device Catalog'!$F$5:$F$914,'[2]8A. Master Device Catalog'!$H$5:$H$914,"")</f>
        <v>2017</v>
      </c>
    </row>
    <row r="20" spans="1:6" ht="21.5" x14ac:dyDescent="0.35">
      <c r="A20" t="s">
        <v>3775</v>
      </c>
      <c r="B20" s="59" t="s">
        <v>3756</v>
      </c>
      <c r="C20" s="59" t="s">
        <v>3757</v>
      </c>
      <c r="D20" s="60" t="s">
        <v>3218</v>
      </c>
      <c r="E20" t="str">
        <f>_xlfn.XLOOKUP(D20,'[2]8A. Master Device Catalog'!$F$5:$F$914,'[2]8A. Master Device Catalog'!$G$5:$G$914,"")</f>
        <v>A1984</v>
      </c>
      <c r="F20">
        <f>_xlfn.XLOOKUP(D20,'[2]8A. Master Device Catalog'!$F$5:$F$914,'[2]8A. Master Device Catalog'!$H$5:$H$914,"")</f>
        <v>2018</v>
      </c>
    </row>
    <row r="21" spans="1:6" ht="21.5" x14ac:dyDescent="0.35">
      <c r="A21" t="s">
        <v>3776</v>
      </c>
      <c r="B21" s="59" t="s">
        <v>3756</v>
      </c>
      <c r="C21" s="59" t="s">
        <v>3757</v>
      </c>
      <c r="D21" s="60" t="s">
        <v>3214</v>
      </c>
      <c r="E21" t="str">
        <f>_xlfn.XLOOKUP(D21,'[2]8A. Master Device Catalog'!$F$5:$F$914,'[2]8A. Master Device Catalog'!$G$5:$G$914,"")</f>
        <v>A1920</v>
      </c>
      <c r="F21">
        <f>_xlfn.XLOOKUP(D21,'[2]8A. Master Device Catalog'!$F$5:$F$914,'[2]8A. Master Device Catalog'!$H$5:$H$914,"")</f>
        <v>2018</v>
      </c>
    </row>
    <row r="22" spans="1:6" ht="21.5" x14ac:dyDescent="0.35">
      <c r="A22" t="s">
        <v>3777</v>
      </c>
      <c r="B22" s="59" t="s">
        <v>3756</v>
      </c>
      <c r="C22" s="59" t="s">
        <v>3757</v>
      </c>
      <c r="D22" s="60" t="s">
        <v>3209</v>
      </c>
      <c r="E22" t="str">
        <f>_xlfn.XLOOKUP(D22,'[2]8A. Master Device Catalog'!$F$5:$F$914,'[2]8A. Master Device Catalog'!$G$5:$G$914,"")</f>
        <v>A1921</v>
      </c>
      <c r="F22">
        <f>_xlfn.XLOOKUP(D22,'[2]8A. Master Device Catalog'!$F$5:$F$914,'[2]8A. Master Device Catalog'!$H$5:$H$914,"")</f>
        <v>2018</v>
      </c>
    </row>
    <row r="23" spans="1:6" ht="21.5" x14ac:dyDescent="0.35">
      <c r="A23" t="s">
        <v>3778</v>
      </c>
      <c r="B23" s="59" t="s">
        <v>3756</v>
      </c>
      <c r="C23" s="59" t="s">
        <v>3757</v>
      </c>
      <c r="D23" s="60" t="s">
        <v>3204</v>
      </c>
      <c r="E23" t="str">
        <f>_xlfn.XLOOKUP(D23,'[2]8A. Master Device Catalog'!$F$5:$F$914,'[2]8A. Master Device Catalog'!$G$5:$G$914,"")</f>
        <v>A2111</v>
      </c>
      <c r="F23">
        <f>_xlfn.XLOOKUP(D23,'[2]8A. Master Device Catalog'!$F$5:$F$914,'[2]8A. Master Device Catalog'!$H$5:$H$914,"")</f>
        <v>2019</v>
      </c>
    </row>
    <row r="24" spans="1:6" ht="21.5" x14ac:dyDescent="0.35">
      <c r="A24" t="s">
        <v>3779</v>
      </c>
      <c r="B24" s="59" t="s">
        <v>3756</v>
      </c>
      <c r="C24" s="59" t="s">
        <v>3757</v>
      </c>
      <c r="D24" s="60" t="s">
        <v>3198</v>
      </c>
      <c r="E24" t="str">
        <f>_xlfn.XLOOKUP(D24,'[2]8A. Master Device Catalog'!$F$5:$F$914,'[2]8A. Master Device Catalog'!$G$5:$G$914,"")</f>
        <v>A2160</v>
      </c>
      <c r="F24">
        <f>_xlfn.XLOOKUP(D24,'[2]8A. Master Device Catalog'!$F$5:$F$914,'[2]8A. Master Device Catalog'!$H$5:$H$914,"")</f>
        <v>2019</v>
      </c>
    </row>
    <row r="25" spans="1:6" ht="21.5" x14ac:dyDescent="0.35">
      <c r="A25" t="s">
        <v>3780</v>
      </c>
      <c r="B25" s="59" t="s">
        <v>3756</v>
      </c>
      <c r="C25" s="59" t="s">
        <v>3757</v>
      </c>
      <c r="D25" s="60" t="s">
        <v>3193</v>
      </c>
      <c r="E25" t="str">
        <f>_xlfn.XLOOKUP(D25,'[2]8A. Master Device Catalog'!$F$5:$F$914,'[2]8A. Master Device Catalog'!$G$5:$G$914,"")</f>
        <v>A2161</v>
      </c>
      <c r="F25">
        <f>_xlfn.XLOOKUP(D25,'[2]8A. Master Device Catalog'!$F$5:$F$914,'[2]8A. Master Device Catalog'!$H$5:$H$914,"")</f>
        <v>2019</v>
      </c>
    </row>
    <row r="26" spans="1:6" ht="21.5" x14ac:dyDescent="0.35">
      <c r="A26" t="s">
        <v>3781</v>
      </c>
      <c r="B26" s="59" t="s">
        <v>3756</v>
      </c>
      <c r="C26" s="59" t="s">
        <v>3757</v>
      </c>
      <c r="D26" s="60" t="s">
        <v>3188</v>
      </c>
      <c r="E26" t="str">
        <f>_xlfn.XLOOKUP(D26,'[2]8A. Master Device Catalog'!$F$5:$F$914,'[2]8A. Master Device Catalog'!$G$5:$G$914,"")</f>
        <v>A2275</v>
      </c>
      <c r="F26">
        <f>_xlfn.XLOOKUP(D26,'[2]8A. Master Device Catalog'!$F$5:$F$914,'[2]8A. Master Device Catalog'!$H$5:$H$914,"")</f>
        <v>2020</v>
      </c>
    </row>
    <row r="27" spans="1:6" ht="21.5" x14ac:dyDescent="0.35">
      <c r="A27" t="s">
        <v>3782</v>
      </c>
      <c r="B27" s="59" t="s">
        <v>3756</v>
      </c>
      <c r="C27" s="59" t="s">
        <v>3757</v>
      </c>
      <c r="D27" s="60" t="s">
        <v>3183</v>
      </c>
      <c r="E27" t="str">
        <f>_xlfn.XLOOKUP(D27,'[2]8A. Master Device Catalog'!$F$5:$F$914,'[2]8A. Master Device Catalog'!$G$5:$G$914,"")</f>
        <v>A2176</v>
      </c>
      <c r="F27">
        <f>_xlfn.XLOOKUP(D27,'[2]8A. Master Device Catalog'!$F$5:$F$914,'[2]8A. Master Device Catalog'!$H$5:$H$914,"")</f>
        <v>2020</v>
      </c>
    </row>
    <row r="28" spans="1:6" ht="21.5" x14ac:dyDescent="0.35">
      <c r="A28" t="s">
        <v>3783</v>
      </c>
      <c r="B28" s="59" t="s">
        <v>3756</v>
      </c>
      <c r="C28" s="59" t="s">
        <v>3757</v>
      </c>
      <c r="D28" s="60" t="s">
        <v>3179</v>
      </c>
      <c r="E28" t="str">
        <f>_xlfn.XLOOKUP(D28,'[2]8A. Master Device Catalog'!$F$5:$F$914,'[2]8A. Master Device Catalog'!$G$5:$G$914,"")</f>
        <v>A2172</v>
      </c>
      <c r="F28">
        <f>_xlfn.XLOOKUP(D28,'[2]8A. Master Device Catalog'!$F$5:$F$914,'[2]8A. Master Device Catalog'!$H$5:$H$914,"")</f>
        <v>2020</v>
      </c>
    </row>
    <row r="29" spans="1:6" ht="21.5" x14ac:dyDescent="0.35">
      <c r="A29" t="s">
        <v>3784</v>
      </c>
      <c r="B29" s="59" t="s">
        <v>3756</v>
      </c>
      <c r="C29" s="59" t="s">
        <v>3757</v>
      </c>
      <c r="D29" s="60" t="s">
        <v>3175</v>
      </c>
      <c r="E29" t="str">
        <f>_xlfn.XLOOKUP(D29,'[2]8A. Master Device Catalog'!$F$5:$F$914,'[2]8A. Master Device Catalog'!$G$5:$G$914,"")</f>
        <v>A2341</v>
      </c>
      <c r="F29">
        <f>_xlfn.XLOOKUP(D29,'[2]8A. Master Device Catalog'!$F$5:$F$914,'[2]8A. Master Device Catalog'!$H$5:$H$914,"")</f>
        <v>2020</v>
      </c>
    </row>
    <row r="30" spans="1:6" ht="21.5" x14ac:dyDescent="0.35">
      <c r="A30" t="s">
        <v>3785</v>
      </c>
      <c r="B30" s="59" t="s">
        <v>3756</v>
      </c>
      <c r="C30" s="59" t="s">
        <v>3757</v>
      </c>
      <c r="D30" s="60" t="s">
        <v>3170</v>
      </c>
      <c r="E30" t="str">
        <f>_xlfn.XLOOKUP(D30,'[2]8A. Master Device Catalog'!$F$5:$F$914,'[2]8A. Master Device Catalog'!$G$5:$G$914,"")</f>
        <v>A2342</v>
      </c>
      <c r="F30">
        <f>_xlfn.XLOOKUP(D30,'[2]8A. Master Device Catalog'!$F$5:$F$914,'[2]8A. Master Device Catalog'!$H$5:$H$914,"")</f>
        <v>2020</v>
      </c>
    </row>
    <row r="31" spans="1:6" ht="21.5" x14ac:dyDescent="0.35">
      <c r="A31" t="s">
        <v>3786</v>
      </c>
      <c r="B31" s="59" t="s">
        <v>3756</v>
      </c>
      <c r="C31" s="59" t="s">
        <v>3757</v>
      </c>
      <c r="D31" s="60" t="s">
        <v>3165</v>
      </c>
      <c r="E31" t="str">
        <f>_xlfn.XLOOKUP(D31,'[2]8A. Master Device Catalog'!$F$5:$F$914,'[2]8A. Master Device Catalog'!$G$5:$G$914,"")</f>
        <v>A2481</v>
      </c>
      <c r="F31">
        <f>_xlfn.XLOOKUP(D31,'[2]8A. Master Device Catalog'!$F$5:$F$914,'[2]8A. Master Device Catalog'!$H$5:$H$914,"")</f>
        <v>2021</v>
      </c>
    </row>
    <row r="32" spans="1:6" ht="21.5" x14ac:dyDescent="0.35">
      <c r="A32" t="s">
        <v>3787</v>
      </c>
      <c r="B32" s="59" t="s">
        <v>3756</v>
      </c>
      <c r="C32" s="59" t="s">
        <v>3757</v>
      </c>
      <c r="D32" s="60" t="s">
        <v>3161</v>
      </c>
      <c r="E32" t="str">
        <f>_xlfn.XLOOKUP(D32,'[2]8A. Master Device Catalog'!$F$5:$F$914,'[2]8A. Master Device Catalog'!$G$5:$G$914,"")</f>
        <v>A2482</v>
      </c>
      <c r="F32">
        <f>_xlfn.XLOOKUP(D32,'[2]8A. Master Device Catalog'!$F$5:$F$914,'[2]8A. Master Device Catalog'!$H$5:$H$914,"")</f>
        <v>2021</v>
      </c>
    </row>
    <row r="33" spans="1:6" ht="21.5" x14ac:dyDescent="0.35">
      <c r="A33" t="s">
        <v>3788</v>
      </c>
      <c r="B33" s="59" t="s">
        <v>3756</v>
      </c>
      <c r="C33" s="59" t="s">
        <v>3757</v>
      </c>
      <c r="D33" s="60" t="s">
        <v>3156</v>
      </c>
      <c r="E33" t="str">
        <f>_xlfn.XLOOKUP(D33,'[2]8A. Master Device Catalog'!$F$5:$F$914,'[2]8A. Master Device Catalog'!$G$5:$G$914,"")</f>
        <v>A2483</v>
      </c>
      <c r="F33">
        <f>_xlfn.XLOOKUP(D33,'[2]8A. Master Device Catalog'!$F$5:$F$914,'[2]8A. Master Device Catalog'!$H$5:$H$914,"")</f>
        <v>2021</v>
      </c>
    </row>
    <row r="34" spans="1:6" ht="21.5" x14ac:dyDescent="0.35">
      <c r="A34" t="s">
        <v>3789</v>
      </c>
      <c r="B34" s="59" t="s">
        <v>3756</v>
      </c>
      <c r="C34" s="59" t="s">
        <v>3757</v>
      </c>
      <c r="D34" s="60" t="s">
        <v>3151</v>
      </c>
      <c r="E34" t="str">
        <f>_xlfn.XLOOKUP(D34,'[2]8A. Master Device Catalog'!$F$5:$F$914,'[2]8A. Master Device Catalog'!$G$5:$G$914,"")</f>
        <v>A2484</v>
      </c>
      <c r="F34">
        <f>_xlfn.XLOOKUP(D34,'[2]8A. Master Device Catalog'!$F$5:$F$914,'[2]8A. Master Device Catalog'!$H$5:$H$914,"")</f>
        <v>2021</v>
      </c>
    </row>
    <row r="35" spans="1:6" ht="21.5" x14ac:dyDescent="0.35">
      <c r="A35" t="s">
        <v>3790</v>
      </c>
      <c r="B35" s="59" t="s">
        <v>3756</v>
      </c>
      <c r="C35" s="59" t="s">
        <v>3757</v>
      </c>
      <c r="D35" s="60" t="s">
        <v>3145</v>
      </c>
      <c r="E35" t="str">
        <f>_xlfn.XLOOKUP(D35,'[2]8A. Master Device Catalog'!$F$5:$F$914,'[2]8A. Master Device Catalog'!$G$5:$G$914,"")</f>
        <v>A2595</v>
      </c>
      <c r="F35">
        <f>_xlfn.XLOOKUP(D35,'[2]8A. Master Device Catalog'!$F$5:$F$914,'[2]8A. Master Device Catalog'!$H$5:$H$914,"")</f>
        <v>2022</v>
      </c>
    </row>
    <row r="36" spans="1:6" ht="21.5" x14ac:dyDescent="0.35">
      <c r="A36" t="s">
        <v>3791</v>
      </c>
      <c r="B36" s="59" t="s">
        <v>3756</v>
      </c>
      <c r="C36" s="59" t="s">
        <v>3757</v>
      </c>
      <c r="D36" s="60" t="s">
        <v>3139</v>
      </c>
      <c r="E36" t="str">
        <f>_xlfn.XLOOKUP(D36,'[2]8A. Master Device Catalog'!$F$5:$F$914,'[2]8A. Master Device Catalog'!$G$5:$G$914,"")</f>
        <v>A2649</v>
      </c>
      <c r="F36">
        <f>_xlfn.XLOOKUP(D36,'[2]8A. Master Device Catalog'!$F$5:$F$914,'[2]8A. Master Device Catalog'!$H$5:$H$914,"")</f>
        <v>2022</v>
      </c>
    </row>
    <row r="37" spans="1:6" ht="21.5" x14ac:dyDescent="0.35">
      <c r="A37" t="s">
        <v>3792</v>
      </c>
      <c r="B37" s="59" t="s">
        <v>3756</v>
      </c>
      <c r="C37" s="59" t="s">
        <v>3757</v>
      </c>
      <c r="D37" s="60" t="s">
        <v>3136</v>
      </c>
      <c r="E37" t="str">
        <f>_xlfn.XLOOKUP(D37,'[2]8A. Master Device Catalog'!$F$5:$F$914,'[2]8A. Master Device Catalog'!$G$5:$G$914,"")</f>
        <v>A2632</v>
      </c>
      <c r="F37">
        <f>_xlfn.XLOOKUP(D37,'[2]8A. Master Device Catalog'!$F$5:$F$914,'[2]8A. Master Device Catalog'!$H$5:$H$914,"")</f>
        <v>2022</v>
      </c>
    </row>
    <row r="38" spans="1:6" ht="21.5" x14ac:dyDescent="0.35">
      <c r="A38" t="s">
        <v>3793</v>
      </c>
      <c r="B38" s="59" t="s">
        <v>3756</v>
      </c>
      <c r="C38" s="59" t="s">
        <v>3757</v>
      </c>
      <c r="D38" s="60" t="s">
        <v>3132</v>
      </c>
      <c r="E38" t="str">
        <f>_xlfn.XLOOKUP(D38,'[2]8A. Master Device Catalog'!$F$5:$F$914,'[2]8A. Master Device Catalog'!$G$5:$G$914,"")</f>
        <v>A2650</v>
      </c>
      <c r="F38">
        <f>_xlfn.XLOOKUP(D38,'[2]8A. Master Device Catalog'!$F$5:$F$914,'[2]8A. Master Device Catalog'!$H$5:$H$914,"")</f>
        <v>2022</v>
      </c>
    </row>
    <row r="39" spans="1:6" ht="21.5" x14ac:dyDescent="0.35">
      <c r="A39" t="s">
        <v>3794</v>
      </c>
      <c r="B39" s="59" t="s">
        <v>3756</v>
      </c>
      <c r="C39" s="59" t="s">
        <v>3757</v>
      </c>
      <c r="D39" s="60" t="s">
        <v>3126</v>
      </c>
      <c r="E39" t="str">
        <f>_xlfn.XLOOKUP(D39,'[2]8A. Master Device Catalog'!$F$5:$F$914,'[2]8A. Master Device Catalog'!$G$5:$G$914,"")</f>
        <v>A2651</v>
      </c>
      <c r="F39">
        <f>_xlfn.XLOOKUP(D39,'[2]8A. Master Device Catalog'!$F$5:$F$914,'[2]8A. Master Device Catalog'!$H$5:$H$914,"")</f>
        <v>2022</v>
      </c>
    </row>
    <row r="40" spans="1:6" ht="21.5" x14ac:dyDescent="0.35">
      <c r="A40" t="s">
        <v>3795</v>
      </c>
      <c r="B40" s="59" t="s">
        <v>3756</v>
      </c>
      <c r="C40" s="59" t="s">
        <v>3757</v>
      </c>
      <c r="D40" s="60" t="s">
        <v>3121</v>
      </c>
      <c r="E40" t="str">
        <f>_xlfn.XLOOKUP(D40,'[2]8A. Master Device Catalog'!$F$5:$F$914,'[2]8A. Master Device Catalog'!$G$5:$G$914,"")</f>
        <v>A2846</v>
      </c>
      <c r="F40">
        <f>_xlfn.XLOOKUP(D40,'[2]8A. Master Device Catalog'!$F$5:$F$914,'[2]8A. Master Device Catalog'!$H$5:$H$914,"")</f>
        <v>2023</v>
      </c>
    </row>
    <row r="41" spans="1:6" ht="21.5" x14ac:dyDescent="0.35">
      <c r="A41" t="s">
        <v>3796</v>
      </c>
      <c r="B41" s="59" t="s">
        <v>3756</v>
      </c>
      <c r="C41" s="59" t="s">
        <v>3757</v>
      </c>
      <c r="D41" s="60" t="s">
        <v>3116</v>
      </c>
      <c r="E41" t="str">
        <f>_xlfn.XLOOKUP(D41,'[2]8A. Master Device Catalog'!$F$5:$F$914,'[2]8A. Master Device Catalog'!$G$5:$G$914,"")</f>
        <v>A2847</v>
      </c>
      <c r="F41">
        <f>_xlfn.XLOOKUP(D41,'[2]8A. Master Device Catalog'!$F$5:$F$914,'[2]8A. Master Device Catalog'!$H$5:$H$914,"")</f>
        <v>2023</v>
      </c>
    </row>
    <row r="42" spans="1:6" ht="21.5" x14ac:dyDescent="0.35">
      <c r="A42" t="s">
        <v>3797</v>
      </c>
      <c r="B42" s="59" t="s">
        <v>3756</v>
      </c>
      <c r="C42" s="59" t="s">
        <v>3757</v>
      </c>
      <c r="D42" s="60" t="s">
        <v>3111</v>
      </c>
      <c r="E42" t="str">
        <f>_xlfn.XLOOKUP(D42,'[2]8A. Master Device Catalog'!$F$5:$F$914,'[2]8A. Master Device Catalog'!$G$5:$G$914,"")</f>
        <v>A2848</v>
      </c>
      <c r="F42">
        <f>_xlfn.XLOOKUP(D42,'[2]8A. Master Device Catalog'!$F$5:$F$914,'[2]8A. Master Device Catalog'!$H$5:$H$914,"")</f>
        <v>2023</v>
      </c>
    </row>
    <row r="43" spans="1:6" ht="21.5" x14ac:dyDescent="0.35">
      <c r="A43" t="s">
        <v>3798</v>
      </c>
      <c r="B43" s="59" t="s">
        <v>3756</v>
      </c>
      <c r="C43" s="59" t="s">
        <v>3757</v>
      </c>
      <c r="D43" s="60" t="s">
        <v>3107</v>
      </c>
      <c r="E43" t="str">
        <f>_xlfn.XLOOKUP(D43,'[2]8A. Master Device Catalog'!$F$5:$F$914,'[2]8A. Master Device Catalog'!$G$5:$G$914,"")</f>
        <v>A2849</v>
      </c>
      <c r="F43">
        <f>_xlfn.XLOOKUP(D43,'[2]8A. Master Device Catalog'!$F$5:$F$914,'[2]8A. Master Device Catalog'!$H$5:$H$914,"")</f>
        <v>2023</v>
      </c>
    </row>
    <row r="44" spans="1:6" ht="21.5" x14ac:dyDescent="0.35">
      <c r="A44" t="s">
        <v>3799</v>
      </c>
      <c r="B44" s="59" t="s">
        <v>3756</v>
      </c>
      <c r="C44" s="59" t="s">
        <v>3757</v>
      </c>
      <c r="D44" s="60" t="s">
        <v>3103</v>
      </c>
      <c r="E44" t="str">
        <f>_xlfn.XLOOKUP(D44,'[2]8A. Master Device Catalog'!$F$5:$F$914,'[2]8A. Master Device Catalog'!$G$5:$G$914,"")</f>
        <v>A3287</v>
      </c>
      <c r="F44">
        <f>_xlfn.XLOOKUP(D44,'[2]8A. Master Device Catalog'!$F$5:$F$914,'[2]8A. Master Device Catalog'!$H$5:$H$914,"")</f>
        <v>2024</v>
      </c>
    </row>
    <row r="45" spans="1:6" ht="21.5" x14ac:dyDescent="0.35">
      <c r="A45" t="s">
        <v>3800</v>
      </c>
      <c r="B45" s="59" t="s">
        <v>3756</v>
      </c>
      <c r="C45" s="59" t="s">
        <v>3757</v>
      </c>
      <c r="D45" s="60" t="s">
        <v>3098</v>
      </c>
      <c r="E45" t="str">
        <f>_xlfn.XLOOKUP(D45,'[2]8A. Master Device Catalog'!$F$5:$F$914,'[2]8A. Master Device Catalog'!$G$5:$G$914,"")</f>
        <v>A3288</v>
      </c>
      <c r="F45">
        <f>_xlfn.XLOOKUP(D45,'[2]8A. Master Device Catalog'!$F$5:$F$914,'[2]8A. Master Device Catalog'!$H$5:$H$914,"")</f>
        <v>2024</v>
      </c>
    </row>
    <row r="46" spans="1:6" ht="21.5" x14ac:dyDescent="0.35">
      <c r="A46" t="s">
        <v>3801</v>
      </c>
      <c r="B46" s="59" t="s">
        <v>3756</v>
      </c>
      <c r="C46" s="59" t="s">
        <v>3757</v>
      </c>
      <c r="D46" s="60" t="s">
        <v>3094</v>
      </c>
      <c r="E46" t="str">
        <f>_xlfn.XLOOKUP(D46,'[2]8A. Master Device Catalog'!$F$5:$F$914,'[2]8A. Master Device Catalog'!$G$5:$G$914,"")</f>
        <v>A3293</v>
      </c>
      <c r="F46">
        <f>_xlfn.XLOOKUP(D46,'[2]8A. Master Device Catalog'!$F$5:$F$914,'[2]8A. Master Device Catalog'!$H$5:$H$914,"")</f>
        <v>2024</v>
      </c>
    </row>
    <row r="47" spans="1:6" ht="21.5" x14ac:dyDescent="0.35">
      <c r="A47" t="s">
        <v>3802</v>
      </c>
      <c r="B47" s="59" t="s">
        <v>3756</v>
      </c>
      <c r="C47" s="59" t="s">
        <v>3757</v>
      </c>
      <c r="D47" s="60" t="s">
        <v>3089</v>
      </c>
      <c r="E47" t="str">
        <f>_xlfn.XLOOKUP(D47,'[2]8A. Master Device Catalog'!$F$5:$F$914,'[2]8A. Master Device Catalog'!$G$5:$G$914,"")</f>
        <v>A3295</v>
      </c>
      <c r="F47">
        <f>_xlfn.XLOOKUP(D47,'[2]8A. Master Device Catalog'!$F$5:$F$914,'[2]8A. Master Device Catalog'!$H$5:$H$914,"")</f>
        <v>2024</v>
      </c>
    </row>
    <row r="48" spans="1:6" ht="21.5" x14ac:dyDescent="0.35">
      <c r="A48" t="s">
        <v>3803</v>
      </c>
      <c r="B48" s="59" t="s">
        <v>3756</v>
      </c>
      <c r="C48" s="59" t="s">
        <v>3757</v>
      </c>
      <c r="D48" s="60" t="s">
        <v>3083</v>
      </c>
      <c r="E48" t="str">
        <f>_xlfn.XLOOKUP(D48,'[2]8A. Master Device Catalog'!$F$5:$F$914,'[2]8A. Master Device Catalog'!$G$5:$G$914,"")</f>
        <v>A3409</v>
      </c>
      <c r="F48">
        <f>_xlfn.XLOOKUP(D48,'[2]8A. Master Device Catalog'!$F$5:$F$914,'[2]8A. Master Device Catalog'!$H$5:$H$914,"")</f>
        <v>2025</v>
      </c>
    </row>
    <row r="49" spans="1:6" ht="21.5" x14ac:dyDescent="0.35">
      <c r="A49" t="s">
        <v>3804</v>
      </c>
      <c r="B49" s="59" t="s">
        <v>3805</v>
      </c>
      <c r="C49" s="59" t="s">
        <v>3757</v>
      </c>
      <c r="D49" s="60" t="s">
        <v>1042</v>
      </c>
      <c r="E49" t="str">
        <f>_xlfn.XLOOKUP(D49,'[2]8A. Master Device Catalog'!$F$5:$F$914,'[2]8A. Master Device Catalog'!$G$5:$G$914,"")</f>
        <v>ZE620KL</v>
      </c>
      <c r="F49">
        <f>_xlfn.XLOOKUP(D49,'[2]8A. Master Device Catalog'!$F$5:$F$914,'[2]8A. Master Device Catalog'!$H$5:$H$914,"")</f>
        <v>2018</v>
      </c>
    </row>
    <row r="50" spans="1:6" ht="21.5" x14ac:dyDescent="0.35">
      <c r="A50" t="s">
        <v>3806</v>
      </c>
      <c r="B50" s="59" t="s">
        <v>3805</v>
      </c>
      <c r="C50" s="59" t="s">
        <v>3757</v>
      </c>
      <c r="D50" s="60" t="s">
        <v>1037</v>
      </c>
      <c r="E50" t="str">
        <f>_xlfn.XLOOKUP(D50,'[2]8A. Master Device Catalog'!$F$5:$F$914,'[2]8A. Master Device Catalog'!$G$5:$G$914,"")</f>
        <v>ZS630KL</v>
      </c>
      <c r="F50">
        <f>_xlfn.XLOOKUP(D50,'[2]8A. Master Device Catalog'!$F$5:$F$914,'[2]8A. Master Device Catalog'!$H$5:$H$914,"")</f>
        <v>2019</v>
      </c>
    </row>
    <row r="51" spans="1:6" ht="21.5" x14ac:dyDescent="0.35">
      <c r="A51" t="s">
        <v>3807</v>
      </c>
      <c r="B51" s="59" t="s">
        <v>3805</v>
      </c>
      <c r="C51" s="59" t="s">
        <v>3757</v>
      </c>
      <c r="D51" s="60" t="s">
        <v>1032</v>
      </c>
      <c r="E51" t="str">
        <f>_xlfn.XLOOKUP(D51,'[2]8A. Master Device Catalog'!$F$5:$F$914,'[2]8A. Master Device Catalog'!$G$5:$G$914,"")</f>
        <v>ZS670KS</v>
      </c>
      <c r="F51">
        <f>_xlfn.XLOOKUP(D51,'[2]8A. Master Device Catalog'!$F$5:$F$914,'[2]8A. Master Device Catalog'!$H$5:$H$914,"")</f>
        <v>2020</v>
      </c>
    </row>
    <row r="52" spans="1:6" ht="21.5" x14ac:dyDescent="0.35">
      <c r="A52" t="s">
        <v>3808</v>
      </c>
      <c r="B52" s="59" t="s">
        <v>3805</v>
      </c>
      <c r="C52" s="59" t="s">
        <v>3757</v>
      </c>
      <c r="D52" s="60" t="s">
        <v>1027</v>
      </c>
      <c r="E52" t="str">
        <f>_xlfn.XLOOKUP(D52,'[2]8A. Master Device Catalog'!$F$5:$F$914,'[2]8A. Master Device Catalog'!$G$5:$G$914,"")</f>
        <v>ZS590KS</v>
      </c>
      <c r="F52">
        <f>_xlfn.XLOOKUP(D52,'[2]8A. Master Device Catalog'!$F$5:$F$914,'[2]8A. Master Device Catalog'!$H$5:$H$914,"")</f>
        <v>2021</v>
      </c>
    </row>
    <row r="53" spans="1:6" ht="21.5" x14ac:dyDescent="0.35">
      <c r="A53" t="s">
        <v>3809</v>
      </c>
      <c r="B53" s="59" t="s">
        <v>3805</v>
      </c>
      <c r="C53" s="59" t="s">
        <v>3757</v>
      </c>
      <c r="D53" s="60" t="s">
        <v>1024</v>
      </c>
      <c r="E53" t="str">
        <f>_xlfn.XLOOKUP(D53,'[2]8A. Master Device Catalog'!$F$5:$F$914,'[2]8A. Master Device Catalog'!$G$5:$G$914,"")</f>
        <v>AI2202</v>
      </c>
      <c r="F53">
        <f>_xlfn.XLOOKUP(D53,'[2]8A. Master Device Catalog'!$F$5:$F$914,'[2]8A. Master Device Catalog'!$H$5:$H$914,"")</f>
        <v>2022</v>
      </c>
    </row>
    <row r="54" spans="1:6" ht="21.5" x14ac:dyDescent="0.35">
      <c r="A54" t="s">
        <v>3810</v>
      </c>
      <c r="B54" s="59" t="s">
        <v>3805</v>
      </c>
      <c r="C54" s="59" t="s">
        <v>3757</v>
      </c>
      <c r="D54" s="60" t="s">
        <v>1020</v>
      </c>
      <c r="E54" t="str">
        <f>_xlfn.XLOOKUP(D54,'[2]8A. Master Device Catalog'!$F$5:$F$914,'[2]8A. Master Device Catalog'!$G$5:$G$914,"")</f>
        <v>AI2302</v>
      </c>
      <c r="F54">
        <f>_xlfn.XLOOKUP(D54,'[2]8A. Master Device Catalog'!$F$5:$F$914,'[2]8A. Master Device Catalog'!$H$5:$H$914,"")</f>
        <v>2023</v>
      </c>
    </row>
    <row r="55" spans="1:6" ht="21.5" x14ac:dyDescent="0.35">
      <c r="A55" t="s">
        <v>3811</v>
      </c>
      <c r="B55" s="59" t="s">
        <v>3805</v>
      </c>
      <c r="C55" s="59" t="s">
        <v>3757</v>
      </c>
      <c r="D55" s="60" t="s">
        <v>1017</v>
      </c>
      <c r="E55" t="str">
        <f>_xlfn.XLOOKUP(D55,'[2]8A. Master Device Catalog'!$F$5:$F$914,'[2]8A. Master Device Catalog'!$G$5:$G$914,"")</f>
        <v>ZS600KL</v>
      </c>
      <c r="F55">
        <f>_xlfn.XLOOKUP(D55,'[2]8A. Master Device Catalog'!$F$5:$F$914,'[2]8A. Master Device Catalog'!$H$5:$H$914,"")</f>
        <v>2018</v>
      </c>
    </row>
    <row r="56" spans="1:6" ht="21.5" x14ac:dyDescent="0.35">
      <c r="A56" t="s">
        <v>3812</v>
      </c>
      <c r="B56" s="59" t="s">
        <v>3805</v>
      </c>
      <c r="C56" s="59" t="s">
        <v>3757</v>
      </c>
      <c r="D56" s="60" t="s">
        <v>1012</v>
      </c>
      <c r="E56" t="str">
        <f>_xlfn.XLOOKUP(D56,'[2]8A. Master Device Catalog'!$F$5:$F$914,'[2]8A. Master Device Catalog'!$G$5:$G$914,"")</f>
        <v>ZS660KL</v>
      </c>
      <c r="F56">
        <f>_xlfn.XLOOKUP(D56,'[2]8A. Master Device Catalog'!$F$5:$F$914,'[2]8A. Master Device Catalog'!$H$5:$H$914,"")</f>
        <v>2019</v>
      </c>
    </row>
    <row r="57" spans="1:6" ht="21.5" x14ac:dyDescent="0.35">
      <c r="A57" t="s">
        <v>3813</v>
      </c>
      <c r="B57" s="59" t="s">
        <v>3805</v>
      </c>
      <c r="C57" s="59" t="s">
        <v>3757</v>
      </c>
      <c r="D57" s="60" t="s">
        <v>1007</v>
      </c>
      <c r="E57" t="str">
        <f>_xlfn.XLOOKUP(D57,'[2]8A. Master Device Catalog'!$F$5:$F$914,'[2]8A. Master Device Catalog'!$G$5:$G$914,"")</f>
        <v>ZS673KS</v>
      </c>
      <c r="F57">
        <f>_xlfn.XLOOKUP(D57,'[2]8A. Master Device Catalog'!$F$5:$F$914,'[2]8A. Master Device Catalog'!$H$5:$H$914,"")</f>
        <v>2021</v>
      </c>
    </row>
    <row r="58" spans="1:6" ht="21.5" x14ac:dyDescent="0.35">
      <c r="A58" t="s">
        <v>3814</v>
      </c>
      <c r="B58" s="59" t="s">
        <v>3805</v>
      </c>
      <c r="C58" s="59" t="s">
        <v>3757</v>
      </c>
      <c r="D58" s="60" t="s">
        <v>1002</v>
      </c>
      <c r="E58" t="str">
        <f>_xlfn.XLOOKUP(D58,'[2]8A. Master Device Catalog'!$F$5:$F$914,'[2]8A. Master Device Catalog'!$G$5:$G$914,"")</f>
        <v>AI2401</v>
      </c>
      <c r="F58">
        <f>_xlfn.XLOOKUP(D58,'[2]8A. Master Device Catalog'!$F$5:$F$914,'[2]8A. Master Device Catalog'!$H$5:$H$914,"")</f>
        <v>2024</v>
      </c>
    </row>
    <row r="59" spans="1:6" ht="21.5" x14ac:dyDescent="0.35">
      <c r="A59" t="s">
        <v>3815</v>
      </c>
      <c r="B59" s="59" t="s">
        <v>3805</v>
      </c>
      <c r="C59" s="59" t="s">
        <v>3757</v>
      </c>
      <c r="D59" s="60" t="s">
        <v>999</v>
      </c>
      <c r="E59" t="str">
        <f>_xlfn.XLOOKUP(D59,'[2]8A. Master Device Catalog'!$F$5:$F$914,'[2]8A. Master Device Catalog'!$G$5:$G$914,"")</f>
        <v>ZS661KS</v>
      </c>
      <c r="F59">
        <f>_xlfn.XLOOKUP(D59,'[2]8A. Master Device Catalog'!$F$5:$F$914,'[2]8A. Master Device Catalog'!$H$5:$H$914,"")</f>
        <v>2020</v>
      </c>
    </row>
    <row r="60" spans="1:6" ht="21.5" x14ac:dyDescent="0.35">
      <c r="A60" t="s">
        <v>3816</v>
      </c>
      <c r="B60" s="59" t="s">
        <v>3805</v>
      </c>
      <c r="C60" s="59" t="s">
        <v>3757</v>
      </c>
      <c r="D60" s="60" t="s">
        <v>995</v>
      </c>
      <c r="E60" t="str">
        <f>_xlfn.XLOOKUP(D60,'[2]8A. Master Device Catalog'!$F$5:$F$914,'[2]8A. Master Device Catalog'!$G$5:$G$914,"")</f>
        <v>ZS676KS</v>
      </c>
      <c r="F60">
        <f>_xlfn.XLOOKUP(D60,'[2]8A. Master Device Catalog'!$F$5:$F$914,'[2]8A. Master Device Catalog'!$H$5:$H$914,"")</f>
        <v>2021</v>
      </c>
    </row>
    <row r="61" spans="1:6" ht="21.5" x14ac:dyDescent="0.35">
      <c r="A61" t="s">
        <v>3817</v>
      </c>
      <c r="B61" s="59" t="s">
        <v>3805</v>
      </c>
      <c r="C61" s="59" t="s">
        <v>3757</v>
      </c>
      <c r="D61" s="60" t="s">
        <v>990</v>
      </c>
      <c r="E61" t="str">
        <f>_xlfn.XLOOKUP(D61,'[2]8A. Master Device Catalog'!$F$5:$F$914,'[2]8A. Master Device Catalog'!$G$5:$G$914,"")</f>
        <v>AI2201</v>
      </c>
      <c r="F61">
        <f>_xlfn.XLOOKUP(D61,'[2]8A. Master Device Catalog'!$F$5:$F$914,'[2]8A. Master Device Catalog'!$H$5:$H$914,"")</f>
        <v>2022</v>
      </c>
    </row>
    <row r="62" spans="1:6" ht="21.5" x14ac:dyDescent="0.35">
      <c r="A62" t="s">
        <v>3818</v>
      </c>
      <c r="B62" s="59" t="s">
        <v>3805</v>
      </c>
      <c r="C62" s="59" t="s">
        <v>3757</v>
      </c>
      <c r="D62" s="60" t="s">
        <v>988</v>
      </c>
      <c r="E62" t="str">
        <f>_xlfn.XLOOKUP(D62,'[2]8A. Master Device Catalog'!$F$5:$F$914,'[2]8A. Master Device Catalog'!$G$5:$G$914,"")</f>
        <v>AI2201</v>
      </c>
      <c r="F62">
        <f>_xlfn.XLOOKUP(D62,'[2]8A. Master Device Catalog'!$F$5:$F$914,'[2]8A. Master Device Catalog'!$H$5:$H$914,"")</f>
        <v>2022</v>
      </c>
    </row>
    <row r="63" spans="1:6" ht="21.5" x14ac:dyDescent="0.35">
      <c r="A63" t="s">
        <v>3819</v>
      </c>
      <c r="B63" s="59" t="s">
        <v>3805</v>
      </c>
      <c r="C63" s="59" t="s">
        <v>3757</v>
      </c>
      <c r="D63" s="60" t="s">
        <v>985</v>
      </c>
      <c r="E63" t="str">
        <f>_xlfn.XLOOKUP(D63,'[2]8A. Master Device Catalog'!$F$5:$F$914,'[2]8A. Master Device Catalog'!$G$5:$G$914,"")</f>
        <v>AI2205</v>
      </c>
      <c r="F63">
        <f>_xlfn.XLOOKUP(D63,'[2]8A. Master Device Catalog'!$F$5:$F$914,'[2]8A. Master Device Catalog'!$H$5:$H$914,"")</f>
        <v>2023</v>
      </c>
    </row>
    <row r="64" spans="1:6" ht="21.5" x14ac:dyDescent="0.35">
      <c r="A64" t="s">
        <v>3820</v>
      </c>
      <c r="B64" s="59" t="s">
        <v>3805</v>
      </c>
      <c r="C64" s="59" t="s">
        <v>3757</v>
      </c>
      <c r="D64" s="60" t="s">
        <v>983</v>
      </c>
      <c r="E64" t="str">
        <f>_xlfn.XLOOKUP(D64,'[2]8A. Master Device Catalog'!$F$5:$F$914,'[2]8A. Master Device Catalog'!$G$5:$G$914,"")</f>
        <v>AI2205</v>
      </c>
      <c r="F64">
        <f>_xlfn.XLOOKUP(D64,'[2]8A. Master Device Catalog'!$F$5:$F$914,'[2]8A. Master Device Catalog'!$H$5:$H$914,"")</f>
        <v>2023</v>
      </c>
    </row>
    <row r="65" spans="1:6" ht="21.5" x14ac:dyDescent="0.35">
      <c r="A65" t="s">
        <v>3821</v>
      </c>
      <c r="B65" s="59" t="s">
        <v>3805</v>
      </c>
      <c r="C65" s="59" t="s">
        <v>3757</v>
      </c>
      <c r="D65" s="60" t="s">
        <v>979</v>
      </c>
      <c r="E65" t="str">
        <f>_xlfn.XLOOKUP(D65,'[2]8A. Master Device Catalog'!$F$5:$F$914,'[2]8A. Master Device Catalog'!$G$5:$G$914,"")</f>
        <v>AI2401</v>
      </c>
      <c r="F65">
        <f>_xlfn.XLOOKUP(D65,'[2]8A. Master Device Catalog'!$F$5:$F$914,'[2]8A. Master Device Catalog'!$H$5:$H$914,"")</f>
        <v>2024</v>
      </c>
    </row>
    <row r="66" spans="1:6" ht="21.5" x14ac:dyDescent="0.35">
      <c r="A66" t="s">
        <v>3822</v>
      </c>
      <c r="B66" s="59" t="s">
        <v>3805</v>
      </c>
      <c r="C66" s="59" t="s">
        <v>3757</v>
      </c>
      <c r="D66" s="60" t="s">
        <v>976</v>
      </c>
      <c r="E66" t="str">
        <f>_xlfn.XLOOKUP(D66,'[2]8A. Master Device Catalog'!$F$5:$F$914,'[2]8A. Master Device Catalog'!$G$5:$G$914,"")</f>
        <v>AI2401</v>
      </c>
      <c r="F66">
        <f>_xlfn.XLOOKUP(D66,'[2]8A. Master Device Catalog'!$F$5:$F$914,'[2]8A. Master Device Catalog'!$H$5:$H$914,"")</f>
        <v>2024</v>
      </c>
    </row>
    <row r="67" spans="1:6" ht="21.5" x14ac:dyDescent="0.35">
      <c r="A67" t="s">
        <v>3823</v>
      </c>
      <c r="B67" s="59" t="s">
        <v>3824</v>
      </c>
      <c r="C67" s="59" t="s">
        <v>3757</v>
      </c>
      <c r="D67" s="60" t="s">
        <v>1610</v>
      </c>
      <c r="E67" t="str">
        <f>_xlfn.XLOOKUP(D67,'[2]8A. Master Device Catalog'!$F$5:$F$914,'[2]8A. Master Device Catalog'!$G$5:$G$914,"")</f>
        <v>G-2PW4100</v>
      </c>
      <c r="F67">
        <f>_xlfn.XLOOKUP(D67,'[2]8A. Master Device Catalog'!$F$5:$F$914,'[2]8A. Master Device Catalog'!$H$5:$H$914,"")</f>
        <v>2016</v>
      </c>
    </row>
    <row r="68" spans="1:6" ht="21.5" x14ac:dyDescent="0.35">
      <c r="A68" t="s">
        <v>3825</v>
      </c>
      <c r="B68" s="59" t="s">
        <v>3824</v>
      </c>
      <c r="C68" s="59" t="s">
        <v>3757</v>
      </c>
      <c r="D68" s="60" t="s">
        <v>1604</v>
      </c>
      <c r="E68" t="str">
        <f>_xlfn.XLOOKUP(D68,'[2]8A. Master Device Catalog'!$F$5:$F$914,'[2]8A. Master Device Catalog'!$G$5:$G$914,"")</f>
        <v>G-2PW2100</v>
      </c>
      <c r="F68">
        <f>_xlfn.XLOOKUP(D68,'[2]8A. Master Device Catalog'!$F$5:$F$914,'[2]8A. Master Device Catalog'!$H$5:$H$914,"")</f>
        <v>2016</v>
      </c>
    </row>
    <row r="69" spans="1:6" ht="21.5" x14ac:dyDescent="0.35">
      <c r="A69" t="s">
        <v>3826</v>
      </c>
      <c r="B69" s="59" t="s">
        <v>3824</v>
      </c>
      <c r="C69" s="59" t="s">
        <v>3757</v>
      </c>
      <c r="D69" s="60" t="s">
        <v>1601</v>
      </c>
      <c r="E69" t="str">
        <f>_xlfn.XLOOKUP(D69,'[2]8A. Master Device Catalog'!$F$5:$F$914,'[2]8A. Master Device Catalog'!$G$5:$G$914,"")</f>
        <v>G011A</v>
      </c>
      <c r="F69">
        <f>_xlfn.XLOOKUP(D69,'[2]8A. Master Device Catalog'!$F$5:$F$914,'[2]8A. Master Device Catalog'!$H$5:$H$914,"")</f>
        <v>2017</v>
      </c>
    </row>
    <row r="70" spans="1:6" ht="21.5" x14ac:dyDescent="0.35">
      <c r="A70" t="s">
        <v>3827</v>
      </c>
      <c r="B70" s="59" t="s">
        <v>3824</v>
      </c>
      <c r="C70" s="59" t="s">
        <v>3757</v>
      </c>
      <c r="D70" s="60" t="s">
        <v>1597</v>
      </c>
      <c r="E70" t="str">
        <f>_xlfn.XLOOKUP(D70,'[2]8A. Master Device Catalog'!$F$5:$F$914,'[2]8A. Master Device Catalog'!$G$5:$G$914,"")</f>
        <v>G011C</v>
      </c>
      <c r="F70">
        <f>_xlfn.XLOOKUP(D70,'[2]8A. Master Device Catalog'!$F$5:$F$914,'[2]8A. Master Device Catalog'!$H$5:$H$914,"")</f>
        <v>2017</v>
      </c>
    </row>
    <row r="71" spans="1:6" ht="21.5" x14ac:dyDescent="0.35">
      <c r="A71" t="s">
        <v>3828</v>
      </c>
      <c r="B71" s="59" t="s">
        <v>3824</v>
      </c>
      <c r="C71" s="59" t="s">
        <v>3757</v>
      </c>
      <c r="D71" s="60" t="s">
        <v>1594</v>
      </c>
      <c r="E71" t="str">
        <f>_xlfn.XLOOKUP(D71,'[2]8A. Master Device Catalog'!$F$5:$F$914,'[2]8A. Master Device Catalog'!$G$5:$G$914,"")</f>
        <v>G013A</v>
      </c>
      <c r="F71">
        <f>_xlfn.XLOOKUP(D71,'[2]8A. Master Device Catalog'!$F$5:$F$914,'[2]8A. Master Device Catalog'!$H$5:$H$914,"")</f>
        <v>2018</v>
      </c>
    </row>
    <row r="72" spans="1:6" ht="21.5" x14ac:dyDescent="0.35">
      <c r="A72" t="s">
        <v>3829</v>
      </c>
      <c r="B72" s="59" t="s">
        <v>3824</v>
      </c>
      <c r="C72" s="59" t="s">
        <v>3757</v>
      </c>
      <c r="D72" s="60" t="s">
        <v>1589</v>
      </c>
      <c r="E72" t="str">
        <f>_xlfn.XLOOKUP(D72,'[2]8A. Master Device Catalog'!$F$5:$F$914,'[2]8A. Master Device Catalog'!$G$5:$G$914,"")</f>
        <v>G013C</v>
      </c>
      <c r="F72">
        <f>_xlfn.XLOOKUP(D72,'[2]8A. Master Device Catalog'!$F$5:$F$914,'[2]8A. Master Device Catalog'!$H$5:$H$914,"")</f>
        <v>2018</v>
      </c>
    </row>
    <row r="73" spans="1:6" ht="21.5" x14ac:dyDescent="0.35">
      <c r="A73" t="s">
        <v>3830</v>
      </c>
      <c r="B73" s="59" t="s">
        <v>3824</v>
      </c>
      <c r="C73" s="59" t="s">
        <v>3757</v>
      </c>
      <c r="D73" s="60" t="s">
        <v>1584</v>
      </c>
      <c r="E73" t="str">
        <f>_xlfn.XLOOKUP(D73,'[2]8A. Master Device Catalog'!$F$5:$F$914,'[2]8A. Master Device Catalog'!$G$5:$G$914,"")</f>
        <v>G020A</v>
      </c>
      <c r="F73">
        <f>_xlfn.XLOOKUP(D73,'[2]8A. Master Device Catalog'!$F$5:$F$914,'[2]8A. Master Device Catalog'!$H$5:$H$914,"")</f>
        <v>2019</v>
      </c>
    </row>
    <row r="74" spans="1:6" ht="21.5" x14ac:dyDescent="0.35">
      <c r="A74" t="s">
        <v>3831</v>
      </c>
      <c r="B74" s="59" t="s">
        <v>3824</v>
      </c>
      <c r="C74" s="59" t="s">
        <v>3757</v>
      </c>
      <c r="D74" s="60" t="s">
        <v>1579</v>
      </c>
      <c r="E74" t="str">
        <f>_xlfn.XLOOKUP(D74,'[2]8A. Master Device Catalog'!$F$5:$F$914,'[2]8A. Master Device Catalog'!$G$5:$G$914,"")</f>
        <v>G020C</v>
      </c>
      <c r="F74">
        <f>_xlfn.XLOOKUP(D74,'[2]8A. Master Device Catalog'!$F$5:$F$914,'[2]8A. Master Device Catalog'!$H$5:$H$914,"")</f>
        <v>2019</v>
      </c>
    </row>
    <row r="75" spans="1:6" ht="21.5" x14ac:dyDescent="0.35">
      <c r="A75" t="s">
        <v>3832</v>
      </c>
      <c r="B75" s="59" t="s">
        <v>3824</v>
      </c>
      <c r="C75" s="59" t="s">
        <v>3757</v>
      </c>
      <c r="D75" s="60" t="s">
        <v>1574</v>
      </c>
      <c r="E75" t="str">
        <f>_xlfn.XLOOKUP(D75,'[2]8A. Master Device Catalog'!$F$5:$F$914,'[2]8A. Master Device Catalog'!$G$5:$G$914,"")</f>
        <v>G020I</v>
      </c>
      <c r="F75">
        <f>_xlfn.XLOOKUP(D75,'[2]8A. Master Device Catalog'!$F$5:$F$914,'[2]8A. Master Device Catalog'!$H$5:$H$914,"")</f>
        <v>2019</v>
      </c>
    </row>
    <row r="76" spans="1:6" ht="21.5" x14ac:dyDescent="0.35">
      <c r="A76" t="s">
        <v>3833</v>
      </c>
      <c r="B76" s="59" t="s">
        <v>3824</v>
      </c>
      <c r="C76" s="59" t="s">
        <v>3757</v>
      </c>
      <c r="D76" s="60" t="s">
        <v>1569</v>
      </c>
      <c r="E76" t="str">
        <f>_xlfn.XLOOKUP(D76,'[2]8A. Master Device Catalog'!$F$5:$F$914,'[2]8A. Master Device Catalog'!$G$5:$G$914,"")</f>
        <v>G020J</v>
      </c>
      <c r="F76">
        <f>_xlfn.XLOOKUP(D76,'[2]8A. Master Device Catalog'!$F$5:$F$914,'[2]8A. Master Device Catalog'!$H$5:$H$914,"")</f>
        <v>2019</v>
      </c>
    </row>
    <row r="77" spans="1:6" ht="21.5" x14ac:dyDescent="0.35">
      <c r="A77" t="s">
        <v>3834</v>
      </c>
      <c r="B77" s="59" t="s">
        <v>3824</v>
      </c>
      <c r="C77" s="59" t="s">
        <v>3757</v>
      </c>
      <c r="D77" s="60" t="s">
        <v>1564</v>
      </c>
      <c r="E77" t="str">
        <f>_xlfn.XLOOKUP(D77,'[2]8A. Master Device Catalog'!$F$5:$F$914,'[2]8A. Master Device Catalog'!$G$5:$G$914,"")</f>
        <v>G025J</v>
      </c>
      <c r="F77">
        <f>_xlfn.XLOOKUP(D77,'[2]8A. Master Device Catalog'!$F$5:$F$914,'[2]8A. Master Device Catalog'!$H$5:$H$914,"")</f>
        <v>2020</v>
      </c>
    </row>
    <row r="78" spans="1:6" ht="21.5" x14ac:dyDescent="0.35">
      <c r="A78" t="s">
        <v>3835</v>
      </c>
      <c r="B78" s="59" t="s">
        <v>3824</v>
      </c>
      <c r="C78" s="59" t="s">
        <v>3757</v>
      </c>
      <c r="D78" s="60" t="s">
        <v>1559</v>
      </c>
      <c r="E78" t="str">
        <f>_xlfn.XLOOKUP(D78,'[2]8A. Master Device Catalog'!$F$5:$F$914,'[2]8A. Master Device Catalog'!$G$5:$G$914,"")</f>
        <v>G025E</v>
      </c>
      <c r="F78">
        <f>_xlfn.XLOOKUP(D78,'[2]8A. Master Device Catalog'!$F$5:$F$914,'[2]8A. Master Device Catalog'!$H$5:$H$914,"")</f>
        <v>2020</v>
      </c>
    </row>
    <row r="79" spans="1:6" ht="21.5" x14ac:dyDescent="0.35">
      <c r="A79" t="s">
        <v>3836</v>
      </c>
      <c r="B79" s="59" t="s">
        <v>3824</v>
      </c>
      <c r="C79" s="59" t="s">
        <v>3757</v>
      </c>
      <c r="D79" s="60" t="s">
        <v>1554</v>
      </c>
      <c r="E79" t="str">
        <f>_xlfn.XLOOKUP(D79,'[2]8A. Master Device Catalog'!$F$5:$F$914,'[2]8A. Master Device Catalog'!$G$5:$G$914,"")</f>
        <v>GD1YQ</v>
      </c>
      <c r="F79">
        <f>_xlfn.XLOOKUP(D79,'[2]8A. Master Device Catalog'!$F$5:$F$914,'[2]8A. Master Device Catalog'!$H$5:$H$914,"")</f>
        <v>2020</v>
      </c>
    </row>
    <row r="80" spans="1:6" ht="21.5" x14ac:dyDescent="0.35">
      <c r="A80" t="s">
        <v>3837</v>
      </c>
      <c r="B80" s="59" t="s">
        <v>3824</v>
      </c>
      <c r="C80" s="59" t="s">
        <v>3757</v>
      </c>
      <c r="D80" s="60" t="s">
        <v>1551</v>
      </c>
      <c r="E80" t="str">
        <f>_xlfn.XLOOKUP(D80,'[2]8A. Master Device Catalog'!$F$5:$F$914,'[2]8A. Master Device Catalog'!$G$5:$G$914,"")</f>
        <v>G4S1M</v>
      </c>
      <c r="F80">
        <f>_xlfn.XLOOKUP(D80,'[2]8A. Master Device Catalog'!$F$5:$F$914,'[2]8A. Master Device Catalog'!$H$5:$H$914,"")</f>
        <v>2021</v>
      </c>
    </row>
    <row r="81" spans="1:6" ht="21.5" x14ac:dyDescent="0.35">
      <c r="A81" t="s">
        <v>3838</v>
      </c>
      <c r="B81" s="59" t="s">
        <v>3824</v>
      </c>
      <c r="C81" s="59" t="s">
        <v>3757</v>
      </c>
      <c r="D81" s="60" t="s">
        <v>1548</v>
      </c>
      <c r="E81" t="str">
        <f>_xlfn.XLOOKUP(D81,'[2]8A. Master Device Catalog'!$F$5:$F$914,'[2]8A. Master Device Catalog'!$G$5:$G$914,"")</f>
        <v>GB7N6</v>
      </c>
      <c r="F81">
        <f>_xlfn.XLOOKUP(D81,'[2]8A. Master Device Catalog'!$F$5:$F$914,'[2]8A. Master Device Catalog'!$H$5:$H$914,"")</f>
        <v>2021</v>
      </c>
    </row>
    <row r="82" spans="1:6" ht="21.5" x14ac:dyDescent="0.35">
      <c r="A82" t="s">
        <v>3839</v>
      </c>
      <c r="B82" s="59" t="s">
        <v>3824</v>
      </c>
      <c r="C82" s="59" t="s">
        <v>3757</v>
      </c>
      <c r="D82" s="60" t="s">
        <v>1544</v>
      </c>
      <c r="E82" t="str">
        <f>_xlfn.XLOOKUP(D82,'[2]8A. Master Device Catalog'!$F$5:$F$914,'[2]8A. Master Device Catalog'!$G$5:$G$914,"")</f>
        <v>GLU0G</v>
      </c>
      <c r="F82">
        <f>_xlfn.XLOOKUP(D82,'[2]8A. Master Device Catalog'!$F$5:$F$914,'[2]8A. Master Device Catalog'!$H$5:$H$914,"")</f>
        <v>2021</v>
      </c>
    </row>
    <row r="83" spans="1:6" ht="21.5" x14ac:dyDescent="0.35">
      <c r="A83" t="s">
        <v>3840</v>
      </c>
      <c r="B83" s="59" t="s">
        <v>3824</v>
      </c>
      <c r="C83" s="59" t="s">
        <v>3757</v>
      </c>
      <c r="D83" s="60" t="s">
        <v>1541</v>
      </c>
      <c r="E83" t="str">
        <f>_xlfn.XLOOKUP(D83,'[2]8A. Master Device Catalog'!$F$5:$F$914,'[2]8A. Master Device Catalog'!$G$5:$G$914,"")</f>
        <v>GX7AS</v>
      </c>
      <c r="F83">
        <f>_xlfn.XLOOKUP(D83,'[2]8A. Master Device Catalog'!$F$5:$F$914,'[2]8A. Master Device Catalog'!$H$5:$H$914,"")</f>
        <v>2022</v>
      </c>
    </row>
    <row r="84" spans="1:6" ht="21.5" x14ac:dyDescent="0.35">
      <c r="A84" t="s">
        <v>3841</v>
      </c>
      <c r="B84" s="59" t="s">
        <v>3824</v>
      </c>
      <c r="C84" s="59" t="s">
        <v>3757</v>
      </c>
      <c r="D84" s="60" t="s">
        <v>1538</v>
      </c>
      <c r="E84" t="str">
        <f>_xlfn.XLOOKUP(D84,'[2]8A. Master Device Catalog'!$F$5:$F$914,'[2]8A. Master Device Catalog'!$G$5:$G$914,"")</f>
        <v>GVU6C</v>
      </c>
      <c r="F84">
        <f>_xlfn.XLOOKUP(D84,'[2]8A. Master Device Catalog'!$F$5:$F$914,'[2]8A. Master Device Catalog'!$H$5:$H$914,"")</f>
        <v>2022</v>
      </c>
    </row>
    <row r="85" spans="1:6" ht="21.5" x14ac:dyDescent="0.35">
      <c r="A85" t="s">
        <v>3842</v>
      </c>
      <c r="B85" s="59" t="s">
        <v>3824</v>
      </c>
      <c r="C85" s="59" t="s">
        <v>3757</v>
      </c>
      <c r="D85" s="60" t="s">
        <v>1534</v>
      </c>
      <c r="E85" t="str">
        <f>_xlfn.XLOOKUP(D85,'[2]8A. Master Device Catalog'!$F$5:$F$914,'[2]8A. Master Device Catalog'!$G$5:$G$914,"")</f>
        <v>GE2AE</v>
      </c>
      <c r="F85">
        <f>_xlfn.XLOOKUP(D85,'[2]8A. Master Device Catalog'!$F$5:$F$914,'[2]8A. Master Device Catalog'!$H$5:$H$914,"")</f>
        <v>2022</v>
      </c>
    </row>
    <row r="86" spans="1:6" ht="21.5" x14ac:dyDescent="0.35">
      <c r="A86" t="s">
        <v>3843</v>
      </c>
      <c r="B86" s="59" t="s">
        <v>3824</v>
      </c>
      <c r="C86" s="59" t="s">
        <v>3757</v>
      </c>
      <c r="D86" s="60" t="s">
        <v>1531</v>
      </c>
      <c r="E86" t="str">
        <f>_xlfn.XLOOKUP(D86,'[2]8A. Master Device Catalog'!$F$5:$F$914,'[2]8A. Master Device Catalog'!$G$5:$G$914,"")</f>
        <v>GWKK3</v>
      </c>
      <c r="F86">
        <f>_xlfn.XLOOKUP(D86,'[2]8A. Master Device Catalog'!$F$5:$F$914,'[2]8A. Master Device Catalog'!$H$5:$H$914,"")</f>
        <v>2023</v>
      </c>
    </row>
    <row r="87" spans="1:6" ht="21.5" x14ac:dyDescent="0.35">
      <c r="A87" t="s">
        <v>3844</v>
      </c>
      <c r="B87" s="59" t="s">
        <v>3824</v>
      </c>
      <c r="C87" s="59" t="s">
        <v>3757</v>
      </c>
      <c r="D87" s="60" t="s">
        <v>1525</v>
      </c>
      <c r="E87" t="str">
        <f>_xlfn.XLOOKUP(D87,'[2]8A. Master Device Catalog'!$F$5:$F$914,'[2]8A. Master Device Catalog'!$G$5:$G$914,"")</f>
        <v>GC3VE</v>
      </c>
      <c r="F87">
        <f>_xlfn.XLOOKUP(D87,'[2]8A. Master Device Catalog'!$F$5:$F$914,'[2]8A. Master Device Catalog'!$H$5:$H$914,"")</f>
        <v>2023</v>
      </c>
    </row>
    <row r="88" spans="1:6" ht="21.5" x14ac:dyDescent="0.35">
      <c r="A88" t="s">
        <v>3845</v>
      </c>
      <c r="B88" s="59" t="s">
        <v>3824</v>
      </c>
      <c r="C88" s="59" t="s">
        <v>3757</v>
      </c>
      <c r="D88" s="60" t="s">
        <v>1512</v>
      </c>
      <c r="E88" t="str">
        <f>_xlfn.XLOOKUP(D88,'[2]8A. Master Device Catalog'!$F$5:$F$914,'[2]8A. Master Device Catalog'!$G$5:$G$914,"")</f>
        <v>GKWS6</v>
      </c>
      <c r="F88">
        <f>_xlfn.XLOOKUP(D88,'[2]8A. Master Device Catalog'!$F$5:$F$914,'[2]8A. Master Device Catalog'!$H$5:$H$914,"")</f>
        <v>2023</v>
      </c>
    </row>
    <row r="89" spans="1:6" ht="21.5" x14ac:dyDescent="0.35">
      <c r="A89" t="s">
        <v>3846</v>
      </c>
      <c r="B89" s="59" t="s">
        <v>3824</v>
      </c>
      <c r="C89" s="59" t="s">
        <v>3757</v>
      </c>
      <c r="D89" s="60" t="s">
        <v>1506</v>
      </c>
      <c r="E89" t="str">
        <f>_xlfn.XLOOKUP(D89,'[2]8A. Master Device Catalog'!$F$5:$F$914,'[2]8A. Master Device Catalog'!$G$5:$G$914,"")</f>
        <v>GC3HQ</v>
      </c>
      <c r="F89">
        <f>_xlfn.XLOOKUP(D89,'[2]8A. Master Device Catalog'!$F$5:$F$914,'[2]8A. Master Device Catalog'!$H$5:$H$914,"")</f>
        <v>2023</v>
      </c>
    </row>
    <row r="90" spans="1:6" ht="21.5" x14ac:dyDescent="0.35">
      <c r="A90" t="s">
        <v>3847</v>
      </c>
      <c r="B90" s="59" t="s">
        <v>3824</v>
      </c>
      <c r="C90" s="59" t="s">
        <v>3757</v>
      </c>
      <c r="D90" s="60" t="s">
        <v>1500</v>
      </c>
      <c r="E90" t="str">
        <f>_xlfn.XLOOKUP(D90,'[2]8A. Master Device Catalog'!$F$5:$F$914,'[2]8A. Master Device Catalog'!$G$5:$G$914,"")</f>
        <v>G8HNN</v>
      </c>
      <c r="F90">
        <f>_xlfn.XLOOKUP(D90,'[2]8A. Master Device Catalog'!$F$5:$F$914,'[2]8A. Master Device Catalog'!$H$5:$H$914,"")</f>
        <v>2024</v>
      </c>
    </row>
    <row r="91" spans="1:6" ht="21.5" x14ac:dyDescent="0.35">
      <c r="A91" t="s">
        <v>3848</v>
      </c>
      <c r="B91" s="59" t="s">
        <v>3824</v>
      </c>
      <c r="C91" s="59" t="s">
        <v>3757</v>
      </c>
      <c r="D91" s="60" t="s">
        <v>1494</v>
      </c>
      <c r="E91" t="str">
        <f>_xlfn.XLOOKUP(D91,'[2]8A. Master Device Catalog'!$F$5:$F$914,'[2]8A. Master Device Catalog'!$G$5:$G$914,"")</f>
        <v>GR83Y</v>
      </c>
      <c r="F91">
        <f>_xlfn.XLOOKUP(D91,'[2]8A. Master Device Catalog'!$F$5:$F$914,'[2]8A. Master Device Catalog'!$H$5:$H$914,"")</f>
        <v>2024</v>
      </c>
    </row>
    <row r="92" spans="1:6" ht="21.5" x14ac:dyDescent="0.35">
      <c r="A92" t="s">
        <v>3849</v>
      </c>
      <c r="B92" s="59" t="s">
        <v>3824</v>
      </c>
      <c r="C92" s="59" t="s">
        <v>3757</v>
      </c>
      <c r="D92" s="60" t="s">
        <v>1488</v>
      </c>
      <c r="E92" t="str">
        <f>_xlfn.XLOOKUP(D92,'[2]8A. Master Device Catalog'!$F$5:$F$914,'[2]8A. Master Device Catalog'!$G$5:$G$914,"")</f>
        <v>GGX8B</v>
      </c>
      <c r="F92">
        <f>_xlfn.XLOOKUP(D92,'[2]8A. Master Device Catalog'!$F$5:$F$914,'[2]8A. Master Device Catalog'!$H$5:$H$914,"")</f>
        <v>2024</v>
      </c>
    </row>
    <row r="93" spans="1:6" ht="21.5" x14ac:dyDescent="0.35">
      <c r="A93" t="s">
        <v>3850</v>
      </c>
      <c r="B93" s="59" t="s">
        <v>3824</v>
      </c>
      <c r="C93" s="59" t="s">
        <v>3757</v>
      </c>
      <c r="D93" s="60" t="s">
        <v>1482</v>
      </c>
      <c r="E93" t="str">
        <f>_xlfn.XLOOKUP(D93,'[2]8A. Master Device Catalog'!$F$5:$F$914,'[2]8A. Master Device Catalog'!$G$5:$G$914,"")</f>
        <v>GZC4K</v>
      </c>
      <c r="F93">
        <f>_xlfn.XLOOKUP(D93,'[2]8A. Master Device Catalog'!$F$5:$F$914,'[2]8A. Master Device Catalog'!$H$5:$H$914,"")</f>
        <v>2024</v>
      </c>
    </row>
    <row r="94" spans="1:6" ht="21.5" x14ac:dyDescent="0.35">
      <c r="A94" t="s">
        <v>3851</v>
      </c>
      <c r="B94" s="59" t="s">
        <v>3824</v>
      </c>
      <c r="C94" s="59" t="s">
        <v>3757</v>
      </c>
      <c r="D94" s="60" t="s">
        <v>1476</v>
      </c>
      <c r="E94" t="str">
        <f>_xlfn.XLOOKUP(D94,'[2]8A. Master Device Catalog'!$F$5:$F$914,'[2]8A. Master Device Catalog'!$G$5:$G$914,"")</f>
        <v>GGH2X</v>
      </c>
      <c r="F94">
        <f>_xlfn.XLOOKUP(D94,'[2]8A. Master Device Catalog'!$F$5:$F$914,'[2]8A. Master Device Catalog'!$H$5:$H$914,"")</f>
        <v>2024</v>
      </c>
    </row>
    <row r="95" spans="1:6" ht="21.5" x14ac:dyDescent="0.35">
      <c r="A95" t="s">
        <v>3852</v>
      </c>
      <c r="B95" s="59" t="s">
        <v>3824</v>
      </c>
      <c r="C95" s="59" t="s">
        <v>3757</v>
      </c>
      <c r="D95" s="60" t="s">
        <v>1468</v>
      </c>
      <c r="E95" t="str">
        <f>_xlfn.XLOOKUP(D95,'[2]8A. Master Device Catalog'!$F$5:$F$914,'[2]8A. Master Device Catalog'!$G$5:$G$914,"")</f>
        <v>GXQ96</v>
      </c>
      <c r="F95">
        <f>_xlfn.XLOOKUP(D95,'[2]8A. Master Device Catalog'!$F$5:$F$914,'[2]8A. Master Device Catalog'!$H$5:$H$914,"")</f>
        <v>2025</v>
      </c>
    </row>
    <row r="96" spans="1:6" ht="21.5" x14ac:dyDescent="0.35">
      <c r="A96" t="s">
        <v>3853</v>
      </c>
      <c r="B96" s="59" t="s">
        <v>3854</v>
      </c>
      <c r="C96" s="59" t="s">
        <v>3757</v>
      </c>
      <c r="D96" s="60" t="s">
        <v>1047</v>
      </c>
      <c r="E96" t="str">
        <f>_xlfn.XLOOKUP(D96,'[2]8A. Master Device Catalog'!$F$5:$F$914,'[2]8A. Master Device Catalog'!$G$5:$G$914,"")</f>
        <v>TA-1688</v>
      </c>
      <c r="F96">
        <f>_xlfn.XLOOKUP(D96,'[2]8A. Master Device Catalog'!$F$5:$F$914,'[2]8A. Master Device Catalog'!$H$5:$H$914,"")</f>
        <v>2024</v>
      </c>
    </row>
    <row r="97" spans="1:6" ht="21.5" x14ac:dyDescent="0.35">
      <c r="A97" t="s">
        <v>3855</v>
      </c>
      <c r="B97" s="59" t="s">
        <v>3856</v>
      </c>
      <c r="C97" s="59" t="s">
        <v>3757</v>
      </c>
      <c r="D97" s="60" t="s">
        <v>560</v>
      </c>
      <c r="E97" t="str">
        <f>_xlfn.XLOOKUP(D97,'[2]8A. Master Device Catalog'!$F$5:$F$914,'[2]8A. Master Device Catalog'!$G$5:$G$914,"")</f>
        <v>BVL-AN00</v>
      </c>
      <c r="F97">
        <f>_xlfn.XLOOKUP(D97,'[2]8A. Master Device Catalog'!$F$5:$F$914,'[2]8A. Master Device Catalog'!$H$5:$H$914,"")</f>
        <v>2024</v>
      </c>
    </row>
    <row r="98" spans="1:6" ht="21.5" x14ac:dyDescent="0.35">
      <c r="A98" t="s">
        <v>3857</v>
      </c>
      <c r="B98" s="59" t="s">
        <v>3856</v>
      </c>
      <c r="C98" s="59" t="s">
        <v>3757</v>
      </c>
      <c r="D98" s="60" t="s">
        <v>556</v>
      </c>
      <c r="E98" t="str">
        <f>_xlfn.XLOOKUP(D98,'[2]8A. Master Device Catalog'!$F$5:$F$914,'[2]8A. Master Device Catalog'!$G$5:$G$914,"")</f>
        <v>BVL-AN16</v>
      </c>
      <c r="F98">
        <f>_xlfn.XLOOKUP(D98,'[2]8A. Master Device Catalog'!$F$5:$F$914,'[2]8A. Master Device Catalog'!$H$5:$H$914,"")</f>
        <v>2024</v>
      </c>
    </row>
    <row r="99" spans="1:6" ht="21.5" x14ac:dyDescent="0.35">
      <c r="A99" t="s">
        <v>3858</v>
      </c>
      <c r="B99" s="59" t="s">
        <v>3856</v>
      </c>
      <c r="C99" s="59" t="s">
        <v>3757</v>
      </c>
      <c r="D99" s="60" t="s">
        <v>552</v>
      </c>
      <c r="E99" t="str">
        <f>_xlfn.XLOOKUP(D99,'[2]8A. Master Device Catalog'!$F$5:$F$914,'[2]8A. Master Device Catalog'!$G$5:$G$914,"")</f>
        <v>VER-AN10</v>
      </c>
      <c r="F99">
        <f>_xlfn.XLOOKUP(D99,'[2]8A. Master Device Catalog'!$F$5:$F$914,'[2]8A. Master Device Catalog'!$H$5:$H$914,"")</f>
        <v>2023</v>
      </c>
    </row>
    <row r="100" spans="1:6" ht="21.5" x14ac:dyDescent="0.35">
      <c r="A100" t="s">
        <v>3859</v>
      </c>
      <c r="B100" s="59" t="s">
        <v>3856</v>
      </c>
      <c r="C100" s="59" t="s">
        <v>3757</v>
      </c>
      <c r="D100" s="60" t="s">
        <v>547</v>
      </c>
      <c r="E100" t="str">
        <f>_xlfn.XLOOKUP(D100,'[2]8A. Master Device Catalog'!$F$5:$F$914,'[2]8A. Master Device Catalog'!$G$5:$G$914,"")</f>
        <v>FCP-AN10</v>
      </c>
      <c r="F100">
        <f>_xlfn.XLOOKUP(D100,'[2]8A. Master Device Catalog'!$F$5:$F$914,'[2]8A. Master Device Catalog'!$H$5:$H$914,"")</f>
        <v>2024</v>
      </c>
    </row>
    <row r="101" spans="1:6" ht="21.5" x14ac:dyDescent="0.35">
      <c r="A101" t="s">
        <v>3860</v>
      </c>
      <c r="B101" s="59" t="s">
        <v>3856</v>
      </c>
      <c r="C101" s="59" t="s">
        <v>3757</v>
      </c>
      <c r="D101" s="60" t="s">
        <v>542</v>
      </c>
      <c r="E101" t="str">
        <f>_xlfn.XLOOKUP(D101,'[2]8A. Master Device Catalog'!$F$5:$F$914,'[2]8A. Master Device Catalog'!$G$5:$G$914,"")</f>
        <v>ELP-AN00</v>
      </c>
      <c r="F101">
        <f>_xlfn.XLOOKUP(D101,'[2]8A. Master Device Catalog'!$F$5:$F$914,'[2]8A. Master Device Catalog'!$H$5:$H$914,"")</f>
        <v>2024</v>
      </c>
    </row>
    <row r="102" spans="1:6" ht="21.5" x14ac:dyDescent="0.35">
      <c r="A102" t="s">
        <v>3861</v>
      </c>
      <c r="B102" s="59" t="s">
        <v>3856</v>
      </c>
      <c r="C102" s="59" t="s">
        <v>3757</v>
      </c>
      <c r="D102" s="60" t="s">
        <v>536</v>
      </c>
      <c r="E102" t="str">
        <f>_xlfn.XLOOKUP(D102,'[2]8A. Master Device Catalog'!$F$5:$F$914,'[2]8A. Master Device Catalog'!$G$5:$G$914,"")</f>
        <v>ALI-NX1</v>
      </c>
      <c r="F102">
        <f>_xlfn.XLOOKUP(D102,'[2]8A. Master Device Catalog'!$F$5:$F$914,'[2]8A. Master Device Catalog'!$H$5:$H$914,"")</f>
        <v>2024</v>
      </c>
    </row>
    <row r="103" spans="1:6" ht="21.5" x14ac:dyDescent="0.35">
      <c r="A103" t="s">
        <v>3862</v>
      </c>
      <c r="B103" s="59" t="s">
        <v>3863</v>
      </c>
      <c r="C103" s="59" t="s">
        <v>3757</v>
      </c>
      <c r="D103" s="60" t="s">
        <v>532</v>
      </c>
      <c r="E103" t="str">
        <f>_xlfn.XLOOKUP(D103,'[2]8A. Master Device Catalog'!$F$5:$F$914,'[2]8A. Master Device Catalog'!$G$5:$G$914,"")</f>
        <v>ALN-AL10</v>
      </c>
      <c r="F103">
        <f>_xlfn.XLOOKUP(D103,'[2]8A. Master Device Catalog'!$F$5:$F$914,'[2]8A. Master Device Catalog'!$H$5:$H$914,"")</f>
        <v>2023</v>
      </c>
    </row>
    <row r="104" spans="1:6" ht="21.5" x14ac:dyDescent="0.35">
      <c r="A104" t="s">
        <v>3864</v>
      </c>
      <c r="B104" s="59" t="s">
        <v>3863</v>
      </c>
      <c r="C104" s="59" t="s">
        <v>3757</v>
      </c>
      <c r="D104" s="60" t="s">
        <v>527</v>
      </c>
      <c r="E104" t="str">
        <f>_xlfn.XLOOKUP(D104,'[2]8A. Master Device Catalog'!$F$5:$F$914,'[2]8A. Master Device Catalog'!$G$5:$G$914,"")</f>
        <v>ALT-AL10</v>
      </c>
      <c r="F104">
        <f>_xlfn.XLOOKUP(D104,'[2]8A. Master Device Catalog'!$F$5:$F$914,'[2]8A. Master Device Catalog'!$H$5:$H$914,"")</f>
        <v>2023</v>
      </c>
    </row>
    <row r="105" spans="1:6" ht="21.5" x14ac:dyDescent="0.35">
      <c r="A105" t="s">
        <v>3865</v>
      </c>
      <c r="B105" s="59" t="s">
        <v>3863</v>
      </c>
      <c r="C105" s="59" t="s">
        <v>3757</v>
      </c>
      <c r="D105" s="60" t="s">
        <v>522</v>
      </c>
      <c r="E105" t="str">
        <f>_xlfn.XLOOKUP(D105,'[2]8A. Master Device Catalog'!$F$5:$F$914,'[2]8A. Master Device Catalog'!$G$5:$G$914,"")</f>
        <v>MNA-AL00</v>
      </c>
      <c r="F105">
        <f>_xlfn.XLOOKUP(D105,'[2]8A. Master Device Catalog'!$F$5:$F$914,'[2]8A. Master Device Catalog'!$H$5:$H$914,"")</f>
        <v>2023</v>
      </c>
    </row>
    <row r="106" spans="1:6" ht="21.5" x14ac:dyDescent="0.35">
      <c r="A106" t="s">
        <v>3866</v>
      </c>
      <c r="B106" s="59" t="s">
        <v>3863</v>
      </c>
      <c r="C106" s="59" t="s">
        <v>3757</v>
      </c>
      <c r="D106" s="60" t="s">
        <v>518</v>
      </c>
      <c r="E106" t="str">
        <f>_xlfn.XLOOKUP(D106,'[2]8A. Master Device Catalog'!$F$5:$F$914,'[2]8A. Master Device Catalog'!$G$5:$G$914,"")</f>
        <v>HBN-AL80</v>
      </c>
      <c r="F106">
        <f>_xlfn.XLOOKUP(D106,'[2]8A. Master Device Catalog'!$F$5:$F$914,'[2]8A. Master Device Catalog'!$H$5:$H$914,"")</f>
        <v>2024</v>
      </c>
    </row>
    <row r="107" spans="1:6" ht="21.5" x14ac:dyDescent="0.35">
      <c r="A107" t="s">
        <v>3867</v>
      </c>
      <c r="B107" s="59" t="s">
        <v>3863</v>
      </c>
      <c r="C107" s="59" t="s">
        <v>3757</v>
      </c>
      <c r="D107" s="60" t="s">
        <v>514</v>
      </c>
      <c r="E107" t="str">
        <f>_xlfn.XLOOKUP(D107,'[2]8A. Master Device Catalog'!$F$5:$F$914,'[2]8A. Master Device Catalog'!$G$5:$G$914,"")</f>
        <v>FIN-AL60</v>
      </c>
      <c r="F107">
        <f>_xlfn.XLOOKUP(D107,'[2]8A. Master Device Catalog'!$F$5:$F$914,'[2]8A. Master Device Catalog'!$H$5:$H$914,"")</f>
        <v>2024</v>
      </c>
    </row>
    <row r="108" spans="1:6" ht="21.5" x14ac:dyDescent="0.35">
      <c r="A108" t="s">
        <v>3868</v>
      </c>
      <c r="B108" s="59" t="s">
        <v>3869</v>
      </c>
      <c r="C108" s="59" t="s">
        <v>3757</v>
      </c>
      <c r="D108" s="60" t="s">
        <v>602</v>
      </c>
      <c r="E108" t="str">
        <f>_xlfn.XLOOKUP(D108,'[2]8A. Master Device Catalog'!$F$5:$F$914,'[2]8A. Master Device Catalog'!$G$5:$G$914,"")</f>
        <v>I2303</v>
      </c>
      <c r="F108">
        <f>_xlfn.XLOOKUP(D108,'[2]8A. Master Device Catalog'!$F$5:$F$914,'[2]8A. Master Device Catalog'!$H$5:$H$914,"")</f>
        <v>2024</v>
      </c>
    </row>
    <row r="109" spans="1:6" ht="21.5" x14ac:dyDescent="0.35">
      <c r="A109" t="s">
        <v>3870</v>
      </c>
      <c r="B109" s="59" t="s">
        <v>3871</v>
      </c>
      <c r="C109" s="59" t="s">
        <v>3757</v>
      </c>
      <c r="D109" s="60" t="s">
        <v>1324</v>
      </c>
      <c r="E109" t="str">
        <f>_xlfn.XLOOKUP(D109,'[2]8A. Master Device Catalog'!$F$5:$F$914,'[2]8A. Master Device Catalog'!$G$5:$G$914,"")</f>
        <v>D800</v>
      </c>
      <c r="F109">
        <f>_xlfn.XLOOKUP(D109,'[2]8A. Master Device Catalog'!$F$5:$F$914,'[2]8A. Master Device Catalog'!$H$5:$H$914,"")</f>
        <v>2013</v>
      </c>
    </row>
    <row r="110" spans="1:6" ht="21.5" x14ac:dyDescent="0.35">
      <c r="A110" t="s">
        <v>3872</v>
      </c>
      <c r="B110" s="59" t="s">
        <v>3871</v>
      </c>
      <c r="C110" s="59" t="s">
        <v>3757</v>
      </c>
      <c r="D110" s="60" t="s">
        <v>1321</v>
      </c>
      <c r="E110" t="str">
        <f>_xlfn.XLOOKUP(D110,'[2]8A. Master Device Catalog'!$F$5:$F$914,'[2]8A. Master Device Catalog'!$G$5:$G$914,"")</f>
        <v>D850</v>
      </c>
      <c r="F110">
        <f>_xlfn.XLOOKUP(D110,'[2]8A. Master Device Catalog'!$F$5:$F$914,'[2]8A. Master Device Catalog'!$H$5:$H$914,"")</f>
        <v>2014</v>
      </c>
    </row>
    <row r="111" spans="1:6" ht="21.5" x14ac:dyDescent="0.35">
      <c r="A111" t="s">
        <v>3873</v>
      </c>
      <c r="B111" s="59" t="s">
        <v>3871</v>
      </c>
      <c r="C111" s="59" t="s">
        <v>3757</v>
      </c>
      <c r="D111" s="60" t="s">
        <v>1317</v>
      </c>
      <c r="E111" t="str">
        <f>_xlfn.XLOOKUP(D111,'[2]8A. Master Device Catalog'!$F$5:$F$914,'[2]8A. Master Device Catalog'!$G$5:$G$914,"")</f>
        <v>H815</v>
      </c>
      <c r="F111">
        <f>_xlfn.XLOOKUP(D111,'[2]8A. Master Device Catalog'!$F$5:$F$914,'[2]8A. Master Device Catalog'!$H$5:$H$914,"")</f>
        <v>2015</v>
      </c>
    </row>
    <row r="112" spans="1:6" ht="21.5" x14ac:dyDescent="0.35">
      <c r="A112" t="s">
        <v>3874</v>
      </c>
      <c r="B112" s="59" t="s">
        <v>3871</v>
      </c>
      <c r="C112" s="59" t="s">
        <v>3757</v>
      </c>
      <c r="D112" s="60" t="s">
        <v>1314</v>
      </c>
      <c r="E112" t="str">
        <f>_xlfn.XLOOKUP(D112,'[2]8A. Master Device Catalog'!$F$5:$F$914,'[2]8A. Master Device Catalog'!$G$5:$G$914,"")</f>
        <v>H830</v>
      </c>
      <c r="F112">
        <f>_xlfn.XLOOKUP(D112,'[2]8A. Master Device Catalog'!$F$5:$F$914,'[2]8A. Master Device Catalog'!$H$5:$H$914,"")</f>
        <v>2016</v>
      </c>
    </row>
    <row r="113" spans="1:6" ht="21.5" x14ac:dyDescent="0.35">
      <c r="A113" t="s">
        <v>3875</v>
      </c>
      <c r="B113" s="59" t="s">
        <v>3871</v>
      </c>
      <c r="C113" s="59" t="s">
        <v>3757</v>
      </c>
      <c r="D113" s="60" t="s">
        <v>1310</v>
      </c>
      <c r="E113" t="str">
        <f>_xlfn.XLOOKUP(D113,'[2]8A. Master Device Catalog'!$F$5:$F$914,'[2]8A. Master Device Catalog'!$G$5:$G$914,"")</f>
        <v>H870</v>
      </c>
      <c r="F113">
        <f>_xlfn.XLOOKUP(D113,'[2]8A. Master Device Catalog'!$F$5:$F$914,'[2]8A. Master Device Catalog'!$H$5:$H$914,"")</f>
        <v>2017</v>
      </c>
    </row>
    <row r="114" spans="1:6" ht="21.5" x14ac:dyDescent="0.35">
      <c r="A114" t="s">
        <v>3876</v>
      </c>
      <c r="B114" s="59" t="s">
        <v>3871</v>
      </c>
      <c r="C114" s="59" t="s">
        <v>3757</v>
      </c>
      <c r="D114" s="60" t="s">
        <v>1306</v>
      </c>
      <c r="E114" t="str">
        <f>_xlfn.XLOOKUP(D114,'[2]8A. Master Device Catalog'!$F$5:$F$914,'[2]8A. Master Device Catalog'!$G$5:$G$914,"")</f>
        <v>LM-G710</v>
      </c>
      <c r="F114">
        <f>_xlfn.XLOOKUP(D114,'[2]8A. Master Device Catalog'!$F$5:$F$914,'[2]8A. Master Device Catalog'!$H$5:$H$914,"")</f>
        <v>2018</v>
      </c>
    </row>
    <row r="115" spans="1:6" ht="21.5" x14ac:dyDescent="0.35">
      <c r="A115" t="s">
        <v>3877</v>
      </c>
      <c r="B115" s="59" t="s">
        <v>3871</v>
      </c>
      <c r="C115" s="59" t="s">
        <v>3757</v>
      </c>
      <c r="D115" s="60" t="s">
        <v>1301</v>
      </c>
      <c r="E115" t="str">
        <f>_xlfn.XLOOKUP(D115,'[2]8A. Master Device Catalog'!$F$5:$F$914,'[2]8A. Master Device Catalog'!$G$5:$G$914,"")</f>
        <v>LM-G820</v>
      </c>
      <c r="F115">
        <f>_xlfn.XLOOKUP(D115,'[2]8A. Master Device Catalog'!$F$5:$F$914,'[2]8A. Master Device Catalog'!$H$5:$H$914,"")</f>
        <v>2019</v>
      </c>
    </row>
    <row r="116" spans="1:6" ht="21.5" x14ac:dyDescent="0.35">
      <c r="A116" t="s">
        <v>3878</v>
      </c>
      <c r="B116" s="59" t="s">
        <v>3871</v>
      </c>
      <c r="C116" s="59" t="s">
        <v>3757</v>
      </c>
      <c r="D116" s="60" t="s">
        <v>1296</v>
      </c>
      <c r="E116" t="str">
        <f>_xlfn.XLOOKUP(D116,'[2]8A. Master Device Catalog'!$F$5:$F$914,'[2]8A. Master Device Catalog'!$G$5:$G$914,"")</f>
        <v>H910</v>
      </c>
      <c r="F116">
        <f>_xlfn.XLOOKUP(D116,'[2]8A. Master Device Catalog'!$F$5:$F$914,'[2]8A. Master Device Catalog'!$H$5:$H$914,"")</f>
        <v>2016</v>
      </c>
    </row>
    <row r="117" spans="1:6" ht="21.5" x14ac:dyDescent="0.35">
      <c r="A117" t="s">
        <v>3879</v>
      </c>
      <c r="B117" s="59" t="s">
        <v>3871</v>
      </c>
      <c r="C117" s="59" t="s">
        <v>3757</v>
      </c>
      <c r="D117" s="60" t="s">
        <v>1291</v>
      </c>
      <c r="E117" t="str">
        <f>_xlfn.XLOOKUP(D117,'[2]8A. Master Device Catalog'!$F$5:$F$914,'[2]8A. Master Device Catalog'!$G$5:$G$914,"")</f>
        <v>H932</v>
      </c>
      <c r="F117">
        <f>_xlfn.XLOOKUP(D117,'[2]8A. Master Device Catalog'!$F$5:$F$914,'[2]8A. Master Device Catalog'!$H$5:$H$914,"")</f>
        <v>2017</v>
      </c>
    </row>
    <row r="118" spans="1:6" ht="21.5" x14ac:dyDescent="0.35">
      <c r="A118" t="s">
        <v>3880</v>
      </c>
      <c r="B118" s="59" t="s">
        <v>3871</v>
      </c>
      <c r="C118" s="59" t="s">
        <v>3757</v>
      </c>
      <c r="D118" s="60" t="s">
        <v>1285</v>
      </c>
      <c r="E118" t="str">
        <f>_xlfn.XLOOKUP(D118,'[2]8A. Master Device Catalog'!$F$5:$F$914,'[2]8A. Master Device Catalog'!$G$5:$G$914,"")</f>
        <v>LM-V600</v>
      </c>
      <c r="F118">
        <f>_xlfn.XLOOKUP(D118,'[2]8A. Master Device Catalog'!$F$5:$F$914,'[2]8A. Master Device Catalog'!$H$5:$H$914,"")</f>
        <v>2020</v>
      </c>
    </row>
    <row r="119" spans="1:6" ht="21.5" x14ac:dyDescent="0.35">
      <c r="A119" t="s">
        <v>3881</v>
      </c>
      <c r="B119" s="59" t="s">
        <v>3871</v>
      </c>
      <c r="C119" s="59" t="s">
        <v>3757</v>
      </c>
      <c r="D119" s="60" t="s">
        <v>1279</v>
      </c>
      <c r="E119" t="str">
        <f>_xlfn.XLOOKUP(D119,'[2]8A. Master Device Catalog'!$F$5:$F$914,'[2]8A. Master Device Catalog'!$G$5:$G$914,"")</f>
        <v>LM-G900</v>
      </c>
      <c r="F119">
        <f>_xlfn.XLOOKUP(D119,'[2]8A. Master Device Catalog'!$F$5:$F$914,'[2]8A. Master Device Catalog'!$H$5:$H$914,"")</f>
        <v>2020</v>
      </c>
    </row>
    <row r="120" spans="1:6" ht="21.5" x14ac:dyDescent="0.35">
      <c r="A120" t="s">
        <v>3882</v>
      </c>
      <c r="B120" s="59" t="s">
        <v>3871</v>
      </c>
      <c r="C120" s="59" t="s">
        <v>3757</v>
      </c>
      <c r="D120" s="60" t="s">
        <v>1273</v>
      </c>
      <c r="E120" t="str">
        <f>_xlfn.XLOOKUP(D120,'[2]8A. Master Device Catalog'!$F$5:$F$914,'[2]8A. Master Device Catalog'!$G$5:$G$914,"")</f>
        <v>LM-F100</v>
      </c>
      <c r="F120">
        <f>_xlfn.XLOOKUP(D120,'[2]8A. Master Device Catalog'!$F$5:$F$914,'[2]8A. Master Device Catalog'!$H$5:$H$914,"")</f>
        <v>2020</v>
      </c>
    </row>
    <row r="121" spans="1:6" ht="21.5" x14ac:dyDescent="0.35">
      <c r="A121" t="s">
        <v>3883</v>
      </c>
      <c r="B121" s="59" t="s">
        <v>3871</v>
      </c>
      <c r="C121" s="59" t="s">
        <v>3757</v>
      </c>
      <c r="D121" s="60" t="s">
        <v>1268</v>
      </c>
      <c r="E121" t="str">
        <f>_xlfn.XLOOKUP(D121,'[2]8A. Master Device Catalog'!$F$5:$F$914,'[2]8A. Master Device Catalog'!$G$5:$G$914,"")</f>
        <v>LM-Q720</v>
      </c>
      <c r="F121">
        <f>_xlfn.XLOOKUP(D121,'[2]8A. Master Device Catalog'!$F$5:$F$914,'[2]8A. Master Device Catalog'!$H$5:$H$914,"")</f>
        <v>2019</v>
      </c>
    </row>
    <row r="122" spans="1:6" ht="21.5" x14ac:dyDescent="0.35">
      <c r="A122" t="s">
        <v>3884</v>
      </c>
      <c r="B122" s="59" t="s">
        <v>3871</v>
      </c>
      <c r="C122" s="59" t="s">
        <v>3757</v>
      </c>
      <c r="D122" s="60" t="s">
        <v>1263</v>
      </c>
      <c r="E122" t="str">
        <f>_xlfn.XLOOKUP(D122,'[2]8A. Master Device Catalog'!$F$5:$F$914,'[2]8A. Master Device Catalog'!$G$5:$G$914,"")</f>
        <v>LM-Q730</v>
      </c>
      <c r="F122">
        <f>_xlfn.XLOOKUP(D122,'[2]8A. Master Device Catalog'!$F$5:$F$914,'[2]8A. Master Device Catalog'!$H$5:$H$914,"")</f>
        <v>2020</v>
      </c>
    </row>
    <row r="123" spans="1:6" ht="21.5" x14ac:dyDescent="0.35">
      <c r="A123" t="s">
        <v>3885</v>
      </c>
      <c r="B123" s="59" t="s">
        <v>3871</v>
      </c>
      <c r="C123" s="59" t="s">
        <v>3757</v>
      </c>
      <c r="D123" s="60" t="s">
        <v>1257</v>
      </c>
      <c r="E123" t="str">
        <f>_xlfn.XLOOKUP(D123,'[2]8A. Master Device Catalog'!$F$5:$F$914,'[2]8A. Master Device Catalog'!$G$5:$G$914,"")</f>
        <v>LM-Q740</v>
      </c>
      <c r="F123">
        <f>_xlfn.XLOOKUP(D123,'[2]8A. Master Device Catalog'!$F$5:$F$914,'[2]8A. Master Device Catalog'!$H$5:$H$914,"")</f>
        <v>2021</v>
      </c>
    </row>
    <row r="124" spans="1:6" ht="21.5" x14ac:dyDescent="0.35">
      <c r="A124" t="s">
        <v>3886</v>
      </c>
      <c r="B124" s="59" t="s">
        <v>3871</v>
      </c>
      <c r="C124" s="59" t="s">
        <v>3757</v>
      </c>
      <c r="D124" s="60" t="s">
        <v>1252</v>
      </c>
      <c r="E124" t="str">
        <f>_xlfn.XLOOKUP(D124,'[2]8A. Master Device Catalog'!$F$5:$F$914,'[2]8A. Master Device Catalog'!$G$5:$G$914,"")</f>
        <v>LM-K500</v>
      </c>
      <c r="F124">
        <f>_xlfn.XLOOKUP(D124,'[2]8A. Master Device Catalog'!$F$5:$F$914,'[2]8A. Master Device Catalog'!$H$5:$H$914,"")</f>
        <v>2020</v>
      </c>
    </row>
    <row r="125" spans="1:6" ht="21.5" x14ac:dyDescent="0.35">
      <c r="A125" t="s">
        <v>3887</v>
      </c>
      <c r="B125" s="59" t="s">
        <v>3871</v>
      </c>
      <c r="C125" s="59" t="s">
        <v>3757</v>
      </c>
      <c r="D125" s="60" t="s">
        <v>1246</v>
      </c>
      <c r="E125" t="str">
        <f>_xlfn.XLOOKUP(D125,'[2]8A. Master Device Catalog'!$F$5:$F$914,'[2]8A. Master Device Catalog'!$G$5:$G$914,"")</f>
        <v>LM-Q630</v>
      </c>
      <c r="F125">
        <f>_xlfn.XLOOKUP(D125,'[2]8A. Master Device Catalog'!$F$5:$F$914,'[2]8A. Master Device Catalog'!$H$5:$H$914,"")</f>
        <v>2020</v>
      </c>
    </row>
    <row r="126" spans="1:6" ht="21.5" x14ac:dyDescent="0.35">
      <c r="A126" t="s">
        <v>3888</v>
      </c>
      <c r="B126" s="59" t="s">
        <v>3871</v>
      </c>
      <c r="C126" s="59" t="s">
        <v>3757</v>
      </c>
      <c r="D126" s="60" t="s">
        <v>1241</v>
      </c>
      <c r="E126" t="str">
        <f>_xlfn.XLOOKUP(D126,'[2]8A. Master Device Catalog'!$F$5:$F$914,'[2]8A. Master Device Catalog'!$G$5:$G$914,"")</f>
        <v>LM-X525</v>
      </c>
      <c r="F126">
        <f>_xlfn.XLOOKUP(D126,'[2]8A. Master Device Catalog'!$F$5:$F$914,'[2]8A. Master Device Catalog'!$H$5:$H$914,"")</f>
        <v>2019</v>
      </c>
    </row>
    <row r="127" spans="1:6" ht="21.5" x14ac:dyDescent="0.35">
      <c r="A127" t="s">
        <v>3889</v>
      </c>
      <c r="B127" s="59" t="s">
        <v>3871</v>
      </c>
      <c r="C127" s="59" t="s">
        <v>3757</v>
      </c>
      <c r="D127" s="60" t="s">
        <v>1236</v>
      </c>
      <c r="E127" t="str">
        <f>_xlfn.XLOOKUP(D127,'[2]8A. Master Device Catalog'!$F$5:$F$914,'[2]8A. Master Device Catalog'!$G$5:$G$914,"")</f>
        <v>LM-Q920</v>
      </c>
      <c r="F127">
        <f>_xlfn.XLOOKUP(D127,'[2]8A. Master Device Catalog'!$F$5:$F$914,'[2]8A. Master Device Catalog'!$H$5:$H$914,"")</f>
        <v>2020</v>
      </c>
    </row>
    <row r="128" spans="1:6" ht="21.5" x14ac:dyDescent="0.35">
      <c r="A128" t="s">
        <v>3890</v>
      </c>
      <c r="B128" s="59" t="s">
        <v>3871</v>
      </c>
      <c r="C128" s="59" t="s">
        <v>3757</v>
      </c>
      <c r="D128" s="60" t="s">
        <v>1229</v>
      </c>
      <c r="E128" t="str">
        <f>_xlfn.XLOOKUP(D128,'[2]8A. Master Device Catalog'!$F$5:$F$914,'[2]8A. Master Device Catalog'!$G$5:$G$914,"")</f>
        <v>LM-K920</v>
      </c>
      <c r="F128">
        <f>_xlfn.XLOOKUP(D128,'[2]8A. Master Device Catalog'!$F$5:$F$914,'[2]8A. Master Device Catalog'!$H$5:$H$914,"")</f>
        <v>2020</v>
      </c>
    </row>
    <row r="129" spans="1:6" ht="21.5" x14ac:dyDescent="0.35">
      <c r="A129" t="s">
        <v>3891</v>
      </c>
      <c r="B129" s="59" t="s">
        <v>3892</v>
      </c>
      <c r="C129" s="59" t="s">
        <v>3757</v>
      </c>
      <c r="D129" s="60" t="s">
        <v>1465</v>
      </c>
      <c r="E129" t="str">
        <f>_xlfn.XLOOKUP(D129,'[2]8A. Master Device Catalog'!$F$5:$F$914,'[2]8A. Master Device Catalog'!$G$5:$G$914,"")</f>
        <v>XT1032</v>
      </c>
      <c r="F129">
        <f>_xlfn.XLOOKUP(D129,'[2]8A. Master Device Catalog'!$F$5:$F$914,'[2]8A. Master Device Catalog'!$H$5:$H$914,"")</f>
        <v>2013</v>
      </c>
    </row>
    <row r="130" spans="1:6" ht="21.5" x14ac:dyDescent="0.35">
      <c r="A130" t="s">
        <v>3893</v>
      </c>
      <c r="B130" s="59" t="s">
        <v>3892</v>
      </c>
      <c r="C130" s="59" t="s">
        <v>3757</v>
      </c>
      <c r="D130" s="60" t="s">
        <v>1461</v>
      </c>
      <c r="E130" t="str">
        <f>_xlfn.XLOOKUP(D130,'[2]8A. Master Device Catalog'!$F$5:$F$914,'[2]8A. Master Device Catalog'!$G$5:$G$914,"")</f>
        <v>XT1063</v>
      </c>
      <c r="F130">
        <f>_xlfn.XLOOKUP(D130,'[2]8A. Master Device Catalog'!$F$5:$F$914,'[2]8A. Master Device Catalog'!$H$5:$H$914,"")</f>
        <v>2014</v>
      </c>
    </row>
    <row r="131" spans="1:6" ht="21.5" x14ac:dyDescent="0.35">
      <c r="A131" t="s">
        <v>3894</v>
      </c>
      <c r="B131" s="59" t="s">
        <v>3892</v>
      </c>
      <c r="C131" s="59" t="s">
        <v>3757</v>
      </c>
      <c r="D131" s="60" t="s">
        <v>1458</v>
      </c>
      <c r="E131" t="str">
        <f>_xlfn.XLOOKUP(D131,'[2]8A. Master Device Catalog'!$F$5:$F$914,'[2]8A. Master Device Catalog'!$G$5:$G$914,"")</f>
        <v>XT1540</v>
      </c>
      <c r="F131">
        <f>_xlfn.XLOOKUP(D131,'[2]8A. Master Device Catalog'!$F$5:$F$914,'[2]8A. Master Device Catalog'!$H$5:$H$914,"")</f>
        <v>2015</v>
      </c>
    </row>
    <row r="132" spans="1:6" ht="21.5" x14ac:dyDescent="0.35">
      <c r="A132" t="s">
        <v>3895</v>
      </c>
      <c r="B132" s="59" t="s">
        <v>3892</v>
      </c>
      <c r="C132" s="59" t="s">
        <v>3757</v>
      </c>
      <c r="D132" s="60" t="s">
        <v>1452</v>
      </c>
      <c r="E132" t="str">
        <f>_xlfn.XLOOKUP(D132,'[2]8A. Master Device Catalog'!$F$5:$F$914,'[2]8A. Master Device Catalog'!$G$5:$G$914,"")</f>
        <v>XT1625</v>
      </c>
      <c r="F132">
        <f>_xlfn.XLOOKUP(D132,'[2]8A. Master Device Catalog'!$F$5:$F$914,'[2]8A. Master Device Catalog'!$H$5:$H$914,"")</f>
        <v>2016</v>
      </c>
    </row>
    <row r="133" spans="1:6" ht="21.5" x14ac:dyDescent="0.35">
      <c r="A133" t="s">
        <v>3896</v>
      </c>
      <c r="B133" s="59" t="s">
        <v>3892</v>
      </c>
      <c r="C133" s="59" t="s">
        <v>3757</v>
      </c>
      <c r="D133" s="60" t="s">
        <v>1447</v>
      </c>
      <c r="E133" t="str">
        <f>_xlfn.XLOOKUP(D133,'[2]8A. Master Device Catalog'!$F$5:$F$914,'[2]8A. Master Device Catalog'!$G$5:$G$914,"")</f>
        <v>XT1670</v>
      </c>
      <c r="F133">
        <f>_xlfn.XLOOKUP(D133,'[2]8A. Master Device Catalog'!$F$5:$F$914,'[2]8A. Master Device Catalog'!$H$5:$H$914,"")</f>
        <v>2017</v>
      </c>
    </row>
    <row r="134" spans="1:6" ht="21.5" x14ac:dyDescent="0.35">
      <c r="A134" t="s">
        <v>3897</v>
      </c>
      <c r="B134" s="59" t="s">
        <v>3892</v>
      </c>
      <c r="C134" s="59" t="s">
        <v>3757</v>
      </c>
      <c r="D134" s="60" t="s">
        <v>1443</v>
      </c>
      <c r="E134" t="str">
        <f>_xlfn.XLOOKUP(D134,'[2]8A. Master Device Catalog'!$F$5:$F$914,'[2]8A. Master Device Catalog'!$G$5:$G$914,"")</f>
        <v>XT1925</v>
      </c>
      <c r="F134">
        <f>_xlfn.XLOOKUP(D134,'[2]8A. Master Device Catalog'!$F$5:$F$914,'[2]8A. Master Device Catalog'!$H$5:$H$914,"")</f>
        <v>2018</v>
      </c>
    </row>
    <row r="135" spans="1:6" ht="21.5" x14ac:dyDescent="0.35">
      <c r="A135" t="s">
        <v>3898</v>
      </c>
      <c r="B135" s="59" t="s">
        <v>3892</v>
      </c>
      <c r="C135" s="59" t="s">
        <v>3757</v>
      </c>
      <c r="D135" s="60" t="s">
        <v>1439</v>
      </c>
      <c r="E135" t="str">
        <f>_xlfn.XLOOKUP(D135,'[2]8A. Master Device Catalog'!$F$5:$F$914,'[2]8A. Master Device Catalog'!$G$5:$G$914,"")</f>
        <v>XT1962</v>
      </c>
      <c r="F135">
        <f>_xlfn.XLOOKUP(D135,'[2]8A. Master Device Catalog'!$F$5:$F$914,'[2]8A. Master Device Catalog'!$H$5:$H$914,"")</f>
        <v>2019</v>
      </c>
    </row>
    <row r="136" spans="1:6" ht="21.5" x14ac:dyDescent="0.35">
      <c r="A136" t="s">
        <v>3899</v>
      </c>
      <c r="B136" s="59" t="s">
        <v>3892</v>
      </c>
      <c r="C136" s="59" t="s">
        <v>3757</v>
      </c>
      <c r="D136" s="60" t="s">
        <v>1435</v>
      </c>
      <c r="E136" t="str">
        <f>_xlfn.XLOOKUP(D136,'[2]8A. Master Device Catalog'!$F$5:$F$914,'[2]8A. Master Device Catalog'!$G$5:$G$914,"")</f>
        <v>XT2041</v>
      </c>
      <c r="F136">
        <f>_xlfn.XLOOKUP(D136,'[2]8A. Master Device Catalog'!$F$5:$F$914,'[2]8A. Master Device Catalog'!$H$5:$H$914,"")</f>
        <v>2020</v>
      </c>
    </row>
    <row r="137" spans="1:6" ht="21.5" x14ac:dyDescent="0.35">
      <c r="A137" t="s">
        <v>3900</v>
      </c>
      <c r="B137" s="59" t="s">
        <v>3892</v>
      </c>
      <c r="C137" s="59" t="s">
        <v>3757</v>
      </c>
      <c r="D137" s="60" t="s">
        <v>1431</v>
      </c>
      <c r="E137" t="str">
        <f>_xlfn.XLOOKUP(D137,'[2]8A. Master Device Catalog'!$F$5:$F$914,'[2]8A. Master Device Catalog'!$G$5:$G$914,"")</f>
        <v>XT2043</v>
      </c>
      <c r="F137">
        <f>_xlfn.XLOOKUP(D137,'[2]8A. Master Device Catalog'!$F$5:$F$914,'[2]8A. Master Device Catalog'!$H$5:$H$914,"")</f>
        <v>2020</v>
      </c>
    </row>
    <row r="138" spans="1:6" ht="21.5" x14ac:dyDescent="0.35">
      <c r="A138" t="s">
        <v>3901</v>
      </c>
      <c r="B138" s="59" t="s">
        <v>3892</v>
      </c>
      <c r="C138" s="59" t="s">
        <v>3757</v>
      </c>
      <c r="D138" s="60" t="s">
        <v>1426</v>
      </c>
      <c r="E138" t="str">
        <f>_xlfn.XLOOKUP(D138,'[2]8A. Master Device Catalog'!$F$5:$F$914,'[2]8A. Master Device Catalog'!$G$5:$G$914,"")</f>
        <v>XT2113</v>
      </c>
      <c r="F138">
        <f>_xlfn.XLOOKUP(D138,'[2]8A. Master Device Catalog'!$F$5:$F$914,'[2]8A. Master Device Catalog'!$H$5:$H$914,"")</f>
        <v>2020</v>
      </c>
    </row>
    <row r="139" spans="1:6" ht="21.5" x14ac:dyDescent="0.35">
      <c r="A139" t="s">
        <v>3902</v>
      </c>
      <c r="B139" s="59" t="s">
        <v>3892</v>
      </c>
      <c r="C139" s="59" t="s">
        <v>3757</v>
      </c>
      <c r="D139" s="60" t="s">
        <v>1423</v>
      </c>
      <c r="E139" t="str">
        <f>_xlfn.XLOOKUP(D139,'[2]8A. Master Device Catalog'!$F$5:$F$914,'[2]8A. Master Device Catalog'!$G$5:$G$914,"")</f>
        <v>XT2117</v>
      </c>
      <c r="F139">
        <f>_xlfn.XLOOKUP(D139,'[2]8A. Master Device Catalog'!$F$5:$F$914,'[2]8A. Master Device Catalog'!$H$5:$H$914,"")</f>
        <v>2021</v>
      </c>
    </row>
    <row r="140" spans="1:6" ht="21.5" x14ac:dyDescent="0.35">
      <c r="A140" t="s">
        <v>3903</v>
      </c>
      <c r="B140" s="59" t="s">
        <v>3892</v>
      </c>
      <c r="C140" s="59" t="s">
        <v>3757</v>
      </c>
      <c r="D140" s="60" t="s">
        <v>1419</v>
      </c>
      <c r="E140" t="str">
        <f>_xlfn.XLOOKUP(D140,'[2]8A. Master Device Catalog'!$F$5:$F$914,'[2]8A. Master Device Catalog'!$G$5:$G$914,"")</f>
        <v>XT2131</v>
      </c>
      <c r="F140">
        <f>_xlfn.XLOOKUP(D140,'[2]8A. Master Device Catalog'!$F$5:$F$914,'[2]8A. Master Device Catalog'!$H$5:$H$914,"")</f>
        <v>2021</v>
      </c>
    </row>
    <row r="141" spans="1:6" ht="21.5" x14ac:dyDescent="0.35">
      <c r="A141" t="s">
        <v>3904</v>
      </c>
      <c r="B141" s="59" t="s">
        <v>3892</v>
      </c>
      <c r="C141" s="59" t="s">
        <v>3757</v>
      </c>
      <c r="D141" s="60" t="s">
        <v>1416</v>
      </c>
      <c r="E141" t="str">
        <f>_xlfn.XLOOKUP(D141,'[2]8A. Master Device Catalog'!$F$5:$F$914,'[2]8A. Master Device Catalog'!$G$5:$G$914,"")</f>
        <v>XT2095</v>
      </c>
      <c r="F141">
        <f>_xlfn.XLOOKUP(D141,'[2]8A. Master Device Catalog'!$F$5:$F$914,'[2]8A. Master Device Catalog'!$H$5:$H$914,"")</f>
        <v>2020</v>
      </c>
    </row>
    <row r="142" spans="1:6" ht="21.5" x14ac:dyDescent="0.35">
      <c r="A142" t="s">
        <v>3905</v>
      </c>
      <c r="B142" s="59" t="s">
        <v>3892</v>
      </c>
      <c r="C142" s="59" t="s">
        <v>3757</v>
      </c>
      <c r="D142" s="60" t="s">
        <v>1409</v>
      </c>
      <c r="E142" t="str">
        <f>_xlfn.XLOOKUP(D142,'[2]8A. Master Device Catalog'!$F$5:$F$914,'[2]8A. Master Device Catalog'!$G$5:$G$914,"")</f>
        <v>XT2345</v>
      </c>
      <c r="F142">
        <f>_xlfn.XLOOKUP(D142,'[2]8A. Master Device Catalog'!$F$5:$F$914,'[2]8A. Master Device Catalog'!$H$5:$H$914,"")</f>
        <v>2023</v>
      </c>
    </row>
    <row r="143" spans="1:6" ht="21.5" x14ac:dyDescent="0.35">
      <c r="A143" t="s">
        <v>3906</v>
      </c>
      <c r="B143" s="59" t="s">
        <v>3892</v>
      </c>
      <c r="C143" s="59" t="s">
        <v>3757</v>
      </c>
      <c r="D143" s="60" t="s">
        <v>1402</v>
      </c>
      <c r="E143" t="str">
        <f>_xlfn.XLOOKUP(D143,'[2]8A. Master Device Catalog'!$F$5:$F$914,'[2]8A. Master Device Catalog'!$G$5:$G$914,"")</f>
        <v>XT2075</v>
      </c>
      <c r="F143">
        <f>_xlfn.XLOOKUP(D143,'[2]8A. Master Device Catalog'!$F$5:$F$914,'[2]8A. Master Device Catalog'!$H$5:$H$914,"")</f>
        <v>2020</v>
      </c>
    </row>
    <row r="144" spans="1:6" ht="21.5" x14ac:dyDescent="0.35">
      <c r="A144" t="s">
        <v>3907</v>
      </c>
      <c r="B144" s="59" t="s">
        <v>3892</v>
      </c>
      <c r="C144" s="59" t="s">
        <v>3757</v>
      </c>
      <c r="D144" s="60" t="s">
        <v>1396</v>
      </c>
      <c r="E144" t="str">
        <f>_xlfn.XLOOKUP(D144,'[2]8A. Master Device Catalog'!$F$5:$F$914,'[2]8A. Master Device Catalog'!$G$5:$G$914,"")</f>
        <v>XT2063</v>
      </c>
      <c r="F144">
        <f>_xlfn.XLOOKUP(D144,'[2]8A. Master Device Catalog'!$F$5:$F$914,'[2]8A. Master Device Catalog'!$H$5:$H$914,"")</f>
        <v>2020</v>
      </c>
    </row>
    <row r="145" spans="1:6" ht="21.5" x14ac:dyDescent="0.35">
      <c r="A145" t="s">
        <v>3908</v>
      </c>
      <c r="B145" s="59" t="s">
        <v>3892</v>
      </c>
      <c r="C145" s="59" t="s">
        <v>3757</v>
      </c>
      <c r="D145" s="60" t="s">
        <v>1390</v>
      </c>
      <c r="E145" t="str">
        <f>_xlfn.XLOOKUP(D145,'[2]8A. Master Device Catalog'!$F$5:$F$914,'[2]8A. Master Device Catalog'!$G$5:$G$914,"")</f>
        <v>XT2061</v>
      </c>
      <c r="F145">
        <f>_xlfn.XLOOKUP(D145,'[2]8A. Master Device Catalog'!$F$5:$F$914,'[2]8A. Master Device Catalog'!$H$5:$H$914,"")</f>
        <v>2020</v>
      </c>
    </row>
    <row r="146" spans="1:6" ht="21.5" x14ac:dyDescent="0.35">
      <c r="A146" t="s">
        <v>3909</v>
      </c>
      <c r="B146" s="59" t="s">
        <v>3892</v>
      </c>
      <c r="C146" s="59" t="s">
        <v>3757</v>
      </c>
      <c r="D146" s="60" t="s">
        <v>1385</v>
      </c>
      <c r="E146" t="str">
        <f>_xlfn.XLOOKUP(D146,'[2]8A. Master Device Catalog'!$F$5:$F$914,'[2]8A. Master Device Catalog'!$G$5:$G$914,"")</f>
        <v>XT2071</v>
      </c>
      <c r="F146">
        <f>_xlfn.XLOOKUP(D146,'[2]8A. Master Device Catalog'!$F$5:$F$914,'[2]8A. Master Device Catalog'!$H$5:$H$914,"")</f>
        <v>2020</v>
      </c>
    </row>
    <row r="147" spans="1:6" ht="21.5" x14ac:dyDescent="0.35">
      <c r="A147" t="s">
        <v>3910</v>
      </c>
      <c r="B147" s="59" t="s">
        <v>3892</v>
      </c>
      <c r="C147" s="59" t="s">
        <v>3757</v>
      </c>
      <c r="D147" s="60" t="s">
        <v>1380</v>
      </c>
      <c r="E147" t="str">
        <f>_xlfn.XLOOKUP(D147,'[2]8A. Master Device Catalog'!$F$5:$F$914,'[2]8A. Master Device Catalog'!$G$5:$G$914,"")</f>
        <v>XT2323</v>
      </c>
      <c r="F147">
        <f>_xlfn.XLOOKUP(D147,'[2]8A. Master Device Catalog'!$F$5:$F$914,'[2]8A. Master Device Catalog'!$H$5:$H$914,"")</f>
        <v>2023</v>
      </c>
    </row>
    <row r="148" spans="1:6" ht="21.5" x14ac:dyDescent="0.35">
      <c r="A148" t="s">
        <v>3911</v>
      </c>
      <c r="B148" s="59" t="s">
        <v>3892</v>
      </c>
      <c r="C148" s="59" t="s">
        <v>3757</v>
      </c>
      <c r="D148" s="60" t="s">
        <v>1374</v>
      </c>
      <c r="E148" t="str">
        <f>_xlfn.XLOOKUP(D148,'[2]8A. Master Device Catalog'!$F$5:$F$914,'[2]8A. Master Device Catalog'!$G$5:$G$914,"")</f>
        <v>XT2343</v>
      </c>
      <c r="F148">
        <f>_xlfn.XLOOKUP(D148,'[2]8A. Master Device Catalog'!$F$5:$F$914,'[2]8A. Master Device Catalog'!$H$5:$H$914,"")</f>
        <v>2023</v>
      </c>
    </row>
    <row r="149" spans="1:6" ht="21.5" x14ac:dyDescent="0.35">
      <c r="A149" t="s">
        <v>3912</v>
      </c>
      <c r="B149" s="59" t="s">
        <v>3892</v>
      </c>
      <c r="C149" s="59" t="s">
        <v>3757</v>
      </c>
      <c r="D149" s="60" t="s">
        <v>1371</v>
      </c>
      <c r="E149" t="str">
        <f>_xlfn.XLOOKUP(D149,'[2]8A. Master Device Catalog'!$F$5:$F$914,'[2]8A. Master Device Catalog'!$G$5:$G$914,"")</f>
        <v>XT2347</v>
      </c>
      <c r="F149">
        <f>_xlfn.XLOOKUP(D149,'[2]8A. Master Device Catalog'!$F$5:$F$914,'[2]8A. Master Device Catalog'!$H$5:$H$914,"")</f>
        <v>2023</v>
      </c>
    </row>
    <row r="150" spans="1:6" ht="21.5" x14ac:dyDescent="0.35">
      <c r="A150" t="s">
        <v>3913</v>
      </c>
      <c r="B150" s="59" t="s">
        <v>3892</v>
      </c>
      <c r="C150" s="59" t="s">
        <v>3757</v>
      </c>
      <c r="D150" s="60" t="s">
        <v>1366</v>
      </c>
      <c r="E150" t="str">
        <f>_xlfn.XLOOKUP(D150,'[2]8A. Master Device Catalog'!$F$5:$F$914,'[2]8A. Master Device Catalog'!$G$5:$G$914,"")</f>
        <v>XT2427</v>
      </c>
      <c r="F150">
        <f>_xlfn.XLOOKUP(D150,'[2]8A. Master Device Catalog'!$F$5:$F$914,'[2]8A. Master Device Catalog'!$H$5:$H$914,"")</f>
        <v>2024</v>
      </c>
    </row>
    <row r="151" spans="1:6" ht="21.5" x14ac:dyDescent="0.35">
      <c r="A151" t="s">
        <v>3914</v>
      </c>
      <c r="B151" s="59" t="s">
        <v>3892</v>
      </c>
      <c r="C151" s="59" t="s">
        <v>3757</v>
      </c>
      <c r="D151" s="60" t="s">
        <v>1363</v>
      </c>
      <c r="E151" t="str">
        <f>_xlfn.XLOOKUP(D151,'[2]8A. Master Device Catalog'!$F$5:$F$914,'[2]8A. Master Device Catalog'!$G$5:$G$914,"")</f>
        <v>XT2303</v>
      </c>
      <c r="F151">
        <f>_xlfn.XLOOKUP(D151,'[2]8A. Master Device Catalog'!$F$5:$F$914,'[2]8A. Master Device Catalog'!$H$5:$H$914,"")</f>
        <v>2023</v>
      </c>
    </row>
    <row r="152" spans="1:6" ht="21.5" x14ac:dyDescent="0.35">
      <c r="A152" t="s">
        <v>3915</v>
      </c>
      <c r="B152" s="59" t="s">
        <v>3892</v>
      </c>
      <c r="C152" s="59" t="s">
        <v>3757</v>
      </c>
      <c r="D152" s="60" t="s">
        <v>1358</v>
      </c>
      <c r="E152" t="str">
        <f>_xlfn.XLOOKUP(D152,'[2]8A. Master Device Catalog'!$F$5:$F$914,'[2]8A. Master Device Catalog'!$G$5:$G$914,"")</f>
        <v>XT2301</v>
      </c>
      <c r="F152">
        <f>_xlfn.XLOOKUP(D152,'[2]8A. Master Device Catalog'!$F$5:$F$914,'[2]8A. Master Device Catalog'!$H$5:$H$914,"")</f>
        <v>2023</v>
      </c>
    </row>
    <row r="153" spans="1:6" ht="21.5" x14ac:dyDescent="0.35">
      <c r="A153" t="s">
        <v>3916</v>
      </c>
      <c r="B153" s="59" t="s">
        <v>3892</v>
      </c>
      <c r="C153" s="59" t="s">
        <v>3757</v>
      </c>
      <c r="D153" s="60" t="s">
        <v>1353</v>
      </c>
      <c r="E153" t="str">
        <f>_xlfn.XLOOKUP(D153,'[2]8A. Master Device Catalog'!$F$5:$F$914,'[2]8A. Master Device Catalog'!$G$5:$G$914,"")</f>
        <v>XT2403</v>
      </c>
      <c r="F153">
        <f>_xlfn.XLOOKUP(D153,'[2]8A. Master Device Catalog'!$F$5:$F$914,'[2]8A. Master Device Catalog'!$H$5:$H$914,"")</f>
        <v>2024</v>
      </c>
    </row>
    <row r="154" spans="1:6" ht="21.5" x14ac:dyDescent="0.35">
      <c r="A154" t="s">
        <v>3917</v>
      </c>
      <c r="B154" s="59" t="s">
        <v>3892</v>
      </c>
      <c r="C154" s="59" t="s">
        <v>3757</v>
      </c>
      <c r="D154" s="60" t="s">
        <v>1347</v>
      </c>
      <c r="E154" t="str">
        <f>_xlfn.XLOOKUP(D154,'[2]8A. Master Device Catalog'!$F$5:$F$914,'[2]8A. Master Device Catalog'!$G$5:$G$914,"")</f>
        <v>XT2401</v>
      </c>
      <c r="F154">
        <f>_xlfn.XLOOKUP(D154,'[2]8A. Master Device Catalog'!$F$5:$F$914,'[2]8A. Master Device Catalog'!$H$5:$H$914,"")</f>
        <v>2024</v>
      </c>
    </row>
    <row r="155" spans="1:6" ht="21.5" x14ac:dyDescent="0.35">
      <c r="A155" t="s">
        <v>3918</v>
      </c>
      <c r="B155" s="59" t="s">
        <v>3892</v>
      </c>
      <c r="C155" s="59" t="s">
        <v>3757</v>
      </c>
      <c r="D155" s="60" t="s">
        <v>1341</v>
      </c>
      <c r="E155" t="str">
        <f>_xlfn.XLOOKUP(D155,'[2]8A. Master Device Catalog'!$F$5:$F$914,'[2]8A. Master Device Catalog'!$G$5:$G$914,"")</f>
        <v>XT2451</v>
      </c>
      <c r="F155">
        <f>_xlfn.XLOOKUP(D155,'[2]8A. Master Device Catalog'!$F$5:$F$914,'[2]8A. Master Device Catalog'!$H$5:$H$914,"")</f>
        <v>2024</v>
      </c>
    </row>
    <row r="156" spans="1:6" ht="21.5" x14ac:dyDescent="0.35">
      <c r="A156" t="s">
        <v>3919</v>
      </c>
      <c r="B156" s="59" t="s">
        <v>3892</v>
      </c>
      <c r="C156" s="59" t="s">
        <v>3757</v>
      </c>
      <c r="D156" s="60" t="s">
        <v>1336</v>
      </c>
      <c r="E156" t="str">
        <f>_xlfn.XLOOKUP(D156,'[2]8A. Master Device Catalog'!$F$5:$F$914,'[2]8A. Master Device Catalog'!$G$5:$G$914,"")</f>
        <v>XT2309</v>
      </c>
      <c r="F156">
        <f>_xlfn.XLOOKUP(D156,'[2]8A. Master Device Catalog'!$F$5:$F$914,'[2]8A. Master Device Catalog'!$H$5:$H$914,"")</f>
        <v>2023</v>
      </c>
    </row>
    <row r="157" spans="1:6" ht="21.5" x14ac:dyDescent="0.35">
      <c r="A157" t="s">
        <v>3920</v>
      </c>
      <c r="B157" s="59" t="s">
        <v>3892</v>
      </c>
      <c r="C157" s="59" t="s">
        <v>3757</v>
      </c>
      <c r="D157" s="60" t="s">
        <v>1329</v>
      </c>
      <c r="E157" t="str">
        <f>_xlfn.XLOOKUP(D157,'[2]8A. Master Device Catalog'!$F$5:$F$914,'[2]8A. Master Device Catalog'!$G$5:$G$914,"")</f>
        <v>XT2445</v>
      </c>
      <c r="F157">
        <f>_xlfn.XLOOKUP(D157,'[2]8A. Master Device Catalog'!$F$5:$F$914,'[2]8A. Master Device Catalog'!$H$5:$H$914,"")</f>
        <v>2024</v>
      </c>
    </row>
    <row r="158" spans="1:6" ht="21.5" x14ac:dyDescent="0.35">
      <c r="A158" t="s">
        <v>3921</v>
      </c>
      <c r="B158" s="59" t="s">
        <v>3167</v>
      </c>
      <c r="C158" s="59" t="s">
        <v>3757</v>
      </c>
      <c r="D158" s="60" t="s">
        <v>317</v>
      </c>
      <c r="E158" t="str">
        <f>_xlfn.XLOOKUP(D158,'[2]8A. Master Device Catalog'!$F$5:$F$914,'[2]8A. Master Device Catalog'!$G$5:$G$914,"")</f>
        <v>A1V</v>
      </c>
      <c r="F158">
        <f>_xlfn.XLOOKUP(D158,'[2]8A. Master Device Catalog'!$F$5:$F$914,'[2]8A. Master Device Catalog'!$H$5:$H$914,"")</f>
        <v>2024</v>
      </c>
    </row>
    <row r="159" spans="1:6" ht="21.5" x14ac:dyDescent="0.35">
      <c r="A159" t="s">
        <v>3922</v>
      </c>
      <c r="B159" s="59" t="s">
        <v>3923</v>
      </c>
      <c r="C159" s="59" t="s">
        <v>3757</v>
      </c>
      <c r="D159" s="60" t="s">
        <v>1135</v>
      </c>
      <c r="E159" t="str">
        <f>_xlfn.XLOOKUP(D159,'[2]8A. Master Device Catalog'!$F$5:$F$914,'[2]8A. Master Device Catalog'!$G$5:$G$914,"")</f>
        <v>TA-1000</v>
      </c>
      <c r="F159">
        <f>_xlfn.XLOOKUP(D159,'[2]8A. Master Device Catalog'!$F$5:$F$914,'[2]8A. Master Device Catalog'!$H$5:$H$914,"")</f>
        <v>2017</v>
      </c>
    </row>
    <row r="160" spans="1:6" ht="21.5" x14ac:dyDescent="0.35">
      <c r="A160" t="s">
        <v>3924</v>
      </c>
      <c r="B160" s="59" t="s">
        <v>3923</v>
      </c>
      <c r="C160" s="59" t="s">
        <v>3757</v>
      </c>
      <c r="D160" s="60" t="s">
        <v>1131</v>
      </c>
      <c r="E160" t="str">
        <f>_xlfn.XLOOKUP(D160,'[2]8A. Master Device Catalog'!$F$5:$F$914,'[2]8A. Master Device Catalog'!$G$5:$G$914,"")</f>
        <v>TA-1043</v>
      </c>
      <c r="F160">
        <f>_xlfn.XLOOKUP(D160,'[2]8A. Master Device Catalog'!$F$5:$F$914,'[2]8A. Master Device Catalog'!$H$5:$H$914,"")</f>
        <v>2018</v>
      </c>
    </row>
    <row r="161" spans="1:6" ht="21.5" x14ac:dyDescent="0.35">
      <c r="A161" t="s">
        <v>3925</v>
      </c>
      <c r="B161" s="59" t="s">
        <v>3923</v>
      </c>
      <c r="C161" s="59" t="s">
        <v>3757</v>
      </c>
      <c r="D161" s="60" t="s">
        <v>1128</v>
      </c>
      <c r="E161" t="str">
        <f>_xlfn.XLOOKUP(D161,'[2]8A. Master Device Catalog'!$F$5:$F$914,'[2]8A. Master Device Catalog'!$G$5:$G$914,"")</f>
        <v>TA-1046</v>
      </c>
      <c r="F161">
        <f>_xlfn.XLOOKUP(D161,'[2]8A. Master Device Catalog'!$F$5:$F$914,'[2]8A. Master Device Catalog'!$H$5:$H$914,"")</f>
        <v>2018</v>
      </c>
    </row>
    <row r="162" spans="1:6" ht="21.5" x14ac:dyDescent="0.35">
      <c r="A162" t="s">
        <v>3926</v>
      </c>
      <c r="B162" s="59" t="s">
        <v>3923</v>
      </c>
      <c r="C162" s="59" t="s">
        <v>3757</v>
      </c>
      <c r="D162" s="60" t="s">
        <v>1123</v>
      </c>
      <c r="E162" t="str">
        <f>_xlfn.XLOOKUP(D162,'[2]8A. Master Device Catalog'!$F$5:$F$914,'[2]8A. Master Device Catalog'!$G$5:$G$914,"")</f>
        <v>TA-1196</v>
      </c>
      <c r="F162">
        <f>_xlfn.XLOOKUP(D162,'[2]8A. Master Device Catalog'!$F$5:$F$914,'[2]8A. Master Device Catalog'!$H$5:$H$914,"")</f>
        <v>2019</v>
      </c>
    </row>
    <row r="163" spans="1:6" ht="21.5" x14ac:dyDescent="0.35">
      <c r="A163" t="s">
        <v>3927</v>
      </c>
      <c r="B163" s="59" t="s">
        <v>3923</v>
      </c>
      <c r="C163" s="59" t="s">
        <v>3757</v>
      </c>
      <c r="D163" s="60" t="s">
        <v>1117</v>
      </c>
      <c r="E163" t="str">
        <f>_xlfn.XLOOKUP(D163,'[2]8A. Master Device Catalog'!$F$5:$F$914,'[2]8A. Master Device Catalog'!$G$5:$G$914,"")</f>
        <v>TA-1243</v>
      </c>
      <c r="F163">
        <f>_xlfn.XLOOKUP(D163,'[2]8A. Master Device Catalog'!$F$5:$F$914,'[2]8A. Master Device Catalog'!$H$5:$H$914,"")</f>
        <v>2020</v>
      </c>
    </row>
    <row r="164" spans="1:6" ht="21.5" x14ac:dyDescent="0.35">
      <c r="A164" t="s">
        <v>3928</v>
      </c>
      <c r="B164" s="59" t="s">
        <v>3923</v>
      </c>
      <c r="C164" s="59" t="s">
        <v>3757</v>
      </c>
      <c r="D164" s="60" t="s">
        <v>1112</v>
      </c>
      <c r="E164" t="str">
        <f>_xlfn.XLOOKUP(D164,'[2]8A. Master Device Catalog'!$F$5:$F$914,'[2]8A. Master Device Catalog'!$G$5:$G$914,"")</f>
        <v>TA-1365</v>
      </c>
      <c r="F164">
        <f>_xlfn.XLOOKUP(D164,'[2]8A. Master Device Catalog'!$F$5:$F$914,'[2]8A. Master Device Catalog'!$H$5:$H$914,"")</f>
        <v>2021</v>
      </c>
    </row>
    <row r="165" spans="1:6" ht="21.5" x14ac:dyDescent="0.35">
      <c r="A165" t="s">
        <v>3929</v>
      </c>
      <c r="B165" s="59" t="s">
        <v>3923</v>
      </c>
      <c r="C165" s="59" t="s">
        <v>3757</v>
      </c>
      <c r="D165" s="60" t="s">
        <v>1107</v>
      </c>
      <c r="E165" t="str">
        <f>_xlfn.XLOOKUP(D165,'[2]8A. Master Device Catalog'!$F$5:$F$914,'[2]8A. Master Device Catalog'!$G$5:$G$914,"")</f>
        <v>TA-1418</v>
      </c>
      <c r="F165">
        <f>_xlfn.XLOOKUP(D165,'[2]8A. Master Device Catalog'!$F$5:$F$914,'[2]8A. Master Device Catalog'!$H$5:$H$914,"")</f>
        <v>2022</v>
      </c>
    </row>
    <row r="166" spans="1:6" ht="21.5" x14ac:dyDescent="0.35">
      <c r="A166" t="s">
        <v>3930</v>
      </c>
      <c r="B166" s="59" t="s">
        <v>3923</v>
      </c>
      <c r="C166" s="59" t="s">
        <v>3757</v>
      </c>
      <c r="D166" s="60" t="s">
        <v>1102</v>
      </c>
      <c r="E166" t="str">
        <f>_xlfn.XLOOKUP(D166,'[2]8A. Master Device Catalog'!$F$5:$F$914,'[2]8A. Master Device Catalog'!$G$5:$G$914,"")</f>
        <v>TA-1591</v>
      </c>
      <c r="F166">
        <f>_xlfn.XLOOKUP(D166,'[2]8A. Master Device Catalog'!$F$5:$F$914,'[2]8A. Master Device Catalog'!$H$5:$H$914,"")</f>
        <v>2023</v>
      </c>
    </row>
    <row r="167" spans="1:6" ht="21.5" x14ac:dyDescent="0.35">
      <c r="A167" t="s">
        <v>3931</v>
      </c>
      <c r="B167" s="59" t="s">
        <v>3923</v>
      </c>
      <c r="C167" s="59" t="s">
        <v>3757</v>
      </c>
      <c r="D167" s="60" t="s">
        <v>1097</v>
      </c>
      <c r="E167" t="str">
        <f>_xlfn.XLOOKUP(D167,'[2]8A. Master Device Catalog'!$F$5:$F$914,'[2]8A. Master Device Catalog'!$G$5:$G$914,"")</f>
        <v>TA-1368</v>
      </c>
      <c r="F167">
        <f>_xlfn.XLOOKUP(D167,'[2]8A. Master Device Catalog'!$F$5:$F$914,'[2]8A. Master Device Catalog'!$H$5:$H$914,"")</f>
        <v>2021</v>
      </c>
    </row>
    <row r="168" spans="1:6" ht="21.5" x14ac:dyDescent="0.35">
      <c r="A168" t="s">
        <v>3932</v>
      </c>
      <c r="B168" s="59" t="s">
        <v>3923</v>
      </c>
      <c r="C168" s="59" t="s">
        <v>3757</v>
      </c>
      <c r="D168" s="60" t="s">
        <v>1093</v>
      </c>
      <c r="E168" t="str">
        <f>_xlfn.XLOOKUP(D168,'[2]8A. Master Device Catalog'!$F$5:$F$914,'[2]8A. Master Device Catalog'!$G$5:$G$914,"")</f>
        <v>TA-1486</v>
      </c>
      <c r="F168">
        <f>_xlfn.XLOOKUP(D168,'[2]8A. Master Device Catalog'!$F$5:$F$914,'[2]8A. Master Device Catalog'!$H$5:$H$914,"")</f>
        <v>2023</v>
      </c>
    </row>
    <row r="169" spans="1:6" ht="21.5" x14ac:dyDescent="0.35">
      <c r="A169" t="s">
        <v>3933</v>
      </c>
      <c r="B169" s="59" t="s">
        <v>3923</v>
      </c>
      <c r="C169" s="59" t="s">
        <v>3757</v>
      </c>
      <c r="D169" s="60" t="s">
        <v>1090</v>
      </c>
      <c r="E169" t="str">
        <f>_xlfn.XLOOKUP(D169,'[2]8A. Master Device Catalog'!$F$5:$F$914,'[2]8A. Master Device Catalog'!$G$5:$G$914,"")</f>
        <v>TA-1332</v>
      </c>
      <c r="F169">
        <f>_xlfn.XLOOKUP(D169,'[2]8A. Master Device Catalog'!$F$5:$F$914,'[2]8A. Master Device Catalog'!$H$5:$H$914,"")</f>
        <v>2021</v>
      </c>
    </row>
    <row r="170" spans="1:6" ht="21.5" x14ac:dyDescent="0.35">
      <c r="A170" t="s">
        <v>3934</v>
      </c>
      <c r="B170" s="59" t="s">
        <v>3923</v>
      </c>
      <c r="C170" s="59" t="s">
        <v>3757</v>
      </c>
      <c r="D170" s="60" t="s">
        <v>1086</v>
      </c>
      <c r="E170" t="str">
        <f>_xlfn.XLOOKUP(D170,'[2]8A. Master Device Catalog'!$F$5:$F$914,'[2]8A. Master Device Catalog'!$G$5:$G$914,"")</f>
        <v>TA-1341</v>
      </c>
      <c r="F170">
        <f>_xlfn.XLOOKUP(D170,'[2]8A. Master Device Catalog'!$F$5:$F$914,'[2]8A. Master Device Catalog'!$H$5:$H$914,"")</f>
        <v>2021</v>
      </c>
    </row>
    <row r="171" spans="1:6" ht="21.5" x14ac:dyDescent="0.35">
      <c r="A171" t="s">
        <v>3935</v>
      </c>
      <c r="B171" s="59" t="s">
        <v>3923</v>
      </c>
      <c r="C171" s="59" t="s">
        <v>3757</v>
      </c>
      <c r="D171" s="60" t="s">
        <v>1082</v>
      </c>
      <c r="E171" t="str">
        <f>_xlfn.XLOOKUP(D171,'[2]8A. Master Device Catalog'!$F$5:$F$914,'[2]8A. Master Device Catalog'!$G$5:$G$914,"")</f>
        <v>TA-1450</v>
      </c>
      <c r="F171">
        <f>_xlfn.XLOOKUP(D171,'[2]8A. Master Device Catalog'!$F$5:$F$914,'[2]8A. Master Device Catalog'!$H$5:$H$914,"")</f>
        <v>2022</v>
      </c>
    </row>
    <row r="172" spans="1:6" ht="21.5" x14ac:dyDescent="0.35">
      <c r="A172" t="s">
        <v>3936</v>
      </c>
      <c r="B172" s="59" t="s">
        <v>3923</v>
      </c>
      <c r="C172" s="59" t="s">
        <v>3757</v>
      </c>
      <c r="D172" s="60" t="s">
        <v>1079</v>
      </c>
      <c r="E172" t="str">
        <f>_xlfn.XLOOKUP(D172,'[2]8A. Master Device Catalog'!$F$5:$F$914,'[2]8A. Master Device Catalog'!$G$5:$G$914,"")</f>
        <v>TA-1387</v>
      </c>
      <c r="F172">
        <f>_xlfn.XLOOKUP(D172,'[2]8A. Master Device Catalog'!$F$5:$F$914,'[2]8A. Master Device Catalog'!$H$5:$H$914,"")</f>
        <v>2022</v>
      </c>
    </row>
    <row r="173" spans="1:6" ht="21.5" x14ac:dyDescent="0.35">
      <c r="A173" t="s">
        <v>3937</v>
      </c>
      <c r="B173" s="59" t="s">
        <v>3923</v>
      </c>
      <c r="C173" s="59" t="s">
        <v>3757</v>
      </c>
      <c r="D173" s="60" t="s">
        <v>1074</v>
      </c>
      <c r="E173" t="str">
        <f>_xlfn.XLOOKUP(D173,'[2]8A. Master Device Catalog'!$F$5:$F$914,'[2]8A. Master Device Catalog'!$G$5:$G$914,"")</f>
        <v>TA-1491</v>
      </c>
      <c r="F173">
        <f>_xlfn.XLOOKUP(D173,'[2]8A. Master Device Catalog'!$F$5:$F$914,'[2]8A. Master Device Catalog'!$H$5:$H$914,"")</f>
        <v>2023</v>
      </c>
    </row>
    <row r="174" spans="1:6" ht="21.5" x14ac:dyDescent="0.35">
      <c r="A174" t="s">
        <v>3938</v>
      </c>
      <c r="B174" s="59" t="s">
        <v>3923</v>
      </c>
      <c r="C174" s="59" t="s">
        <v>3757</v>
      </c>
      <c r="D174" s="60" t="s">
        <v>1071</v>
      </c>
      <c r="E174" t="str">
        <f>_xlfn.XLOOKUP(D174,'[2]8A. Master Device Catalog'!$F$5:$F$914,'[2]8A. Master Device Catalog'!$G$5:$G$914,"")</f>
        <v>TA-1481</v>
      </c>
      <c r="F174">
        <f>_xlfn.XLOOKUP(D174,'[2]8A. Master Device Catalog'!$F$5:$F$914,'[2]8A. Master Device Catalog'!$H$5:$H$914,"")</f>
        <v>2022</v>
      </c>
    </row>
    <row r="175" spans="1:6" ht="21.5" x14ac:dyDescent="0.35">
      <c r="A175" t="s">
        <v>3939</v>
      </c>
      <c r="B175" s="59" t="s">
        <v>3923</v>
      </c>
      <c r="C175" s="59" t="s">
        <v>3757</v>
      </c>
      <c r="D175" s="60" t="s">
        <v>1065</v>
      </c>
      <c r="E175" t="str">
        <f>_xlfn.XLOOKUP(D175,'[2]8A. Master Device Catalog'!$F$5:$F$914,'[2]8A. Master Device Catalog'!$G$5:$G$914,"")</f>
        <v>TA-1536</v>
      </c>
      <c r="F175">
        <f>_xlfn.XLOOKUP(D175,'[2]8A. Master Device Catalog'!$F$5:$F$914,'[2]8A. Master Device Catalog'!$H$5:$H$914,"")</f>
        <v>2023</v>
      </c>
    </row>
    <row r="176" spans="1:6" ht="21.5" x14ac:dyDescent="0.35">
      <c r="A176" t="s">
        <v>3940</v>
      </c>
      <c r="B176" s="59" t="s">
        <v>3941</v>
      </c>
      <c r="C176" s="59" t="s">
        <v>3757</v>
      </c>
      <c r="D176" s="60" t="s">
        <v>495</v>
      </c>
      <c r="E176" t="str">
        <f>_xlfn.XLOOKUP(D176,'[2]8A. Master Device Catalog'!$F$5:$F$914,'[2]8A. Master Device Catalog'!$G$5:$G$914,"")</f>
        <v>A065</v>
      </c>
      <c r="F176">
        <f>_xlfn.XLOOKUP(D176,'[2]8A. Master Device Catalog'!$F$5:$F$914,'[2]8A. Master Device Catalog'!$H$5:$H$914,"")</f>
        <v>2023</v>
      </c>
    </row>
    <row r="177" spans="1:6" ht="21.5" x14ac:dyDescent="0.35">
      <c r="A177" t="s">
        <v>3942</v>
      </c>
      <c r="B177" s="59" t="s">
        <v>3941</v>
      </c>
      <c r="C177" s="59" t="s">
        <v>3757</v>
      </c>
      <c r="D177" s="60" t="s">
        <v>492</v>
      </c>
      <c r="E177" t="str">
        <f>_xlfn.XLOOKUP(D177,'[2]8A. Master Device Catalog'!$F$5:$F$914,'[2]8A. Master Device Catalog'!$G$5:$G$914,"")</f>
        <v>A142</v>
      </c>
      <c r="F177">
        <f>_xlfn.XLOOKUP(D177,'[2]8A. Master Device Catalog'!$F$5:$F$914,'[2]8A. Master Device Catalog'!$H$5:$H$914,"")</f>
        <v>2024</v>
      </c>
    </row>
    <row r="178" spans="1:6" ht="21.5" x14ac:dyDescent="0.35">
      <c r="A178" t="s">
        <v>3943</v>
      </c>
      <c r="B178" s="59" t="s">
        <v>3941</v>
      </c>
      <c r="C178" s="59" t="s">
        <v>3757</v>
      </c>
      <c r="D178" s="60" t="s">
        <v>486</v>
      </c>
      <c r="E178" t="str">
        <f>_xlfn.XLOOKUP(D178,'[2]8A. Master Device Catalog'!$F$5:$F$914,'[2]8A. Master Device Catalog'!$G$5:$G$914,"")</f>
        <v>A110</v>
      </c>
      <c r="F178">
        <f>_xlfn.XLOOKUP(D178,'[2]8A. Master Device Catalog'!$F$5:$F$914,'[2]8A. Master Device Catalog'!$H$5:$H$914,"")</f>
        <v>2025</v>
      </c>
    </row>
    <row r="179" spans="1:6" ht="21.5" x14ac:dyDescent="0.35">
      <c r="A179" t="s">
        <v>3944</v>
      </c>
      <c r="B179" s="59" t="s">
        <v>3945</v>
      </c>
      <c r="C179" s="59" t="s">
        <v>3757</v>
      </c>
      <c r="D179" s="60" t="s">
        <v>499</v>
      </c>
      <c r="E179" t="str">
        <f>_xlfn.XLOOKUP(D179,'[2]8A. Master Device Catalog'!$F$5:$F$914,'[2]8A. Master Device Catalog'!$G$5:$G$914,"")</f>
        <v>NX721J</v>
      </c>
      <c r="F179">
        <f>_xlfn.XLOOKUP(D179,'[2]8A. Master Device Catalog'!$F$5:$F$914,'[2]8A. Master Device Catalog'!$H$5:$H$914,"")</f>
        <v>2024</v>
      </c>
    </row>
    <row r="180" spans="1:6" ht="21.5" x14ac:dyDescent="0.35">
      <c r="A180" t="s">
        <v>3946</v>
      </c>
      <c r="B180" s="59" t="s">
        <v>3947</v>
      </c>
      <c r="C180" s="59" t="s">
        <v>3757</v>
      </c>
      <c r="D180" s="60" t="s">
        <v>965</v>
      </c>
      <c r="E180" t="str">
        <f>_xlfn.XLOOKUP(D180,'[2]8A. Master Device Catalog'!$F$5:$F$914,'[2]8A. Master Device Catalog'!$G$5:$G$914,"")</f>
        <v>A0001</v>
      </c>
      <c r="F180">
        <f>_xlfn.XLOOKUP(D180,'[2]8A. Master Device Catalog'!$F$5:$F$914,'[2]8A. Master Device Catalog'!$H$5:$H$914,"")</f>
        <v>2014</v>
      </c>
    </row>
    <row r="181" spans="1:6" ht="21.5" x14ac:dyDescent="0.35">
      <c r="A181" t="s">
        <v>3948</v>
      </c>
      <c r="B181" s="59" t="s">
        <v>3947</v>
      </c>
      <c r="C181" s="59" t="s">
        <v>3757</v>
      </c>
      <c r="D181" s="60" t="s">
        <v>960</v>
      </c>
      <c r="E181" t="str">
        <f>_xlfn.XLOOKUP(D181,'[2]8A. Master Device Catalog'!$F$5:$F$914,'[2]8A. Master Device Catalog'!$G$5:$G$914,"")</f>
        <v>A2001</v>
      </c>
      <c r="F181">
        <f>_xlfn.XLOOKUP(D181,'[2]8A. Master Device Catalog'!$F$5:$F$914,'[2]8A. Master Device Catalog'!$H$5:$H$914,"")</f>
        <v>2015</v>
      </c>
    </row>
    <row r="182" spans="1:6" ht="21.5" x14ac:dyDescent="0.35">
      <c r="A182" t="s">
        <v>3949</v>
      </c>
      <c r="B182" s="59" t="s">
        <v>3947</v>
      </c>
      <c r="C182" s="59" t="s">
        <v>3757</v>
      </c>
      <c r="D182" s="60" t="s">
        <v>955</v>
      </c>
      <c r="E182" t="str">
        <f>_xlfn.XLOOKUP(D182,'[2]8A. Master Device Catalog'!$F$5:$F$914,'[2]8A. Master Device Catalog'!$G$5:$G$914,"")</f>
        <v>A3000</v>
      </c>
      <c r="F182">
        <f>_xlfn.XLOOKUP(D182,'[2]8A. Master Device Catalog'!$F$5:$F$914,'[2]8A. Master Device Catalog'!$H$5:$H$914,"")</f>
        <v>2016</v>
      </c>
    </row>
    <row r="183" spans="1:6" ht="21.5" x14ac:dyDescent="0.35">
      <c r="A183" t="s">
        <v>3950</v>
      </c>
      <c r="B183" s="59" t="s">
        <v>3947</v>
      </c>
      <c r="C183" s="59" t="s">
        <v>3757</v>
      </c>
      <c r="D183" s="60" t="s">
        <v>950</v>
      </c>
      <c r="E183" t="str">
        <f>_xlfn.XLOOKUP(D183,'[2]8A. Master Device Catalog'!$F$5:$F$914,'[2]8A. Master Device Catalog'!$G$5:$G$914,"")</f>
        <v>A3010</v>
      </c>
      <c r="F183">
        <f>_xlfn.XLOOKUP(D183,'[2]8A. Master Device Catalog'!$F$5:$F$914,'[2]8A. Master Device Catalog'!$H$5:$H$914,"")</f>
        <v>2016</v>
      </c>
    </row>
    <row r="184" spans="1:6" ht="21.5" x14ac:dyDescent="0.35">
      <c r="A184" t="s">
        <v>3951</v>
      </c>
      <c r="B184" s="59" t="s">
        <v>3947</v>
      </c>
      <c r="C184" s="59" t="s">
        <v>3757</v>
      </c>
      <c r="D184" s="60" t="s">
        <v>945</v>
      </c>
      <c r="E184" t="str">
        <f>_xlfn.XLOOKUP(D184,'[2]8A. Master Device Catalog'!$F$5:$F$914,'[2]8A. Master Device Catalog'!$G$5:$G$914,"")</f>
        <v>A5000</v>
      </c>
      <c r="F184">
        <f>_xlfn.XLOOKUP(D184,'[2]8A. Master Device Catalog'!$F$5:$F$914,'[2]8A. Master Device Catalog'!$H$5:$H$914,"")</f>
        <v>2017</v>
      </c>
    </row>
    <row r="185" spans="1:6" ht="21.5" x14ac:dyDescent="0.35">
      <c r="A185" t="s">
        <v>3952</v>
      </c>
      <c r="B185" s="59" t="s">
        <v>3947</v>
      </c>
      <c r="C185" s="59" t="s">
        <v>3757</v>
      </c>
      <c r="D185" s="60" t="s">
        <v>940</v>
      </c>
      <c r="E185" t="str">
        <f>_xlfn.XLOOKUP(D185,'[2]8A. Master Device Catalog'!$F$5:$F$914,'[2]8A. Master Device Catalog'!$G$5:$G$914,"")</f>
        <v>A5010</v>
      </c>
      <c r="F185">
        <f>_xlfn.XLOOKUP(D185,'[2]8A. Master Device Catalog'!$F$5:$F$914,'[2]8A. Master Device Catalog'!$H$5:$H$914,"")</f>
        <v>2017</v>
      </c>
    </row>
    <row r="186" spans="1:6" ht="21.5" x14ac:dyDescent="0.35">
      <c r="A186" t="s">
        <v>3953</v>
      </c>
      <c r="B186" s="59" t="s">
        <v>3947</v>
      </c>
      <c r="C186" s="59" t="s">
        <v>3757</v>
      </c>
      <c r="D186" s="60" t="s">
        <v>934</v>
      </c>
      <c r="E186" t="str">
        <f>_xlfn.XLOOKUP(D186,'[2]8A. Master Device Catalog'!$F$5:$F$914,'[2]8A. Master Device Catalog'!$G$5:$G$914,"")</f>
        <v>A6003</v>
      </c>
      <c r="F186">
        <f>_xlfn.XLOOKUP(D186,'[2]8A. Master Device Catalog'!$F$5:$F$914,'[2]8A. Master Device Catalog'!$H$5:$H$914,"")</f>
        <v>2018</v>
      </c>
    </row>
    <row r="187" spans="1:6" ht="21.5" x14ac:dyDescent="0.35">
      <c r="A187" t="s">
        <v>3954</v>
      </c>
      <c r="B187" s="59" t="s">
        <v>3947</v>
      </c>
      <c r="C187" s="59" t="s">
        <v>3757</v>
      </c>
      <c r="D187" s="60" t="s">
        <v>929</v>
      </c>
      <c r="E187" t="str">
        <f>_xlfn.XLOOKUP(D187,'[2]8A. Master Device Catalog'!$F$5:$F$914,'[2]8A. Master Device Catalog'!$G$5:$G$914,"")</f>
        <v>A6013</v>
      </c>
      <c r="F187">
        <f>_xlfn.XLOOKUP(D187,'[2]8A. Master Device Catalog'!$F$5:$F$914,'[2]8A. Master Device Catalog'!$H$5:$H$914,"")</f>
        <v>2018</v>
      </c>
    </row>
    <row r="188" spans="1:6" ht="21.5" x14ac:dyDescent="0.35">
      <c r="A188" t="s">
        <v>3955</v>
      </c>
      <c r="B188" s="59" t="s">
        <v>3947</v>
      </c>
      <c r="C188" s="59" t="s">
        <v>3757</v>
      </c>
      <c r="D188" s="60" t="s">
        <v>924</v>
      </c>
      <c r="E188" t="str">
        <f>_xlfn.XLOOKUP(D188,'[2]8A. Master Device Catalog'!$F$5:$F$914,'[2]8A. Master Device Catalog'!$G$5:$G$914,"")</f>
        <v>GM1900</v>
      </c>
      <c r="F188">
        <f>_xlfn.XLOOKUP(D188,'[2]8A. Master Device Catalog'!$F$5:$F$914,'[2]8A. Master Device Catalog'!$H$5:$H$914,"")</f>
        <v>2019</v>
      </c>
    </row>
    <row r="189" spans="1:6" ht="21.5" x14ac:dyDescent="0.35">
      <c r="A189" t="s">
        <v>3956</v>
      </c>
      <c r="B189" s="59" t="s">
        <v>3947</v>
      </c>
      <c r="C189" s="59" t="s">
        <v>3757</v>
      </c>
      <c r="D189" s="60" t="s">
        <v>921</v>
      </c>
      <c r="E189" t="str">
        <f>_xlfn.XLOOKUP(D189,'[2]8A. Master Device Catalog'!$F$5:$F$914,'[2]8A. Master Device Catalog'!$G$5:$G$914,"")</f>
        <v>GM1917</v>
      </c>
      <c r="F189">
        <f>_xlfn.XLOOKUP(D189,'[2]8A. Master Device Catalog'!$F$5:$F$914,'[2]8A. Master Device Catalog'!$H$5:$H$914,"")</f>
        <v>2019</v>
      </c>
    </row>
    <row r="190" spans="1:6" ht="21.5" x14ac:dyDescent="0.35">
      <c r="A190" t="s">
        <v>3957</v>
      </c>
      <c r="B190" s="59" t="s">
        <v>3947</v>
      </c>
      <c r="C190" s="59" t="s">
        <v>3757</v>
      </c>
      <c r="D190" s="60" t="s">
        <v>917</v>
      </c>
      <c r="E190" t="str">
        <f>_xlfn.XLOOKUP(D190,'[2]8A. Master Device Catalog'!$F$5:$F$914,'[2]8A. Master Device Catalog'!$G$5:$G$914,"")</f>
        <v>HD1905</v>
      </c>
      <c r="F190">
        <f>_xlfn.XLOOKUP(D190,'[2]8A. Master Device Catalog'!$F$5:$F$914,'[2]8A. Master Device Catalog'!$H$5:$H$914,"")</f>
        <v>2019</v>
      </c>
    </row>
    <row r="191" spans="1:6" ht="21.5" x14ac:dyDescent="0.35">
      <c r="A191" t="s">
        <v>3958</v>
      </c>
      <c r="B191" s="59" t="s">
        <v>3947</v>
      </c>
      <c r="C191" s="59" t="s">
        <v>3757</v>
      </c>
      <c r="D191" s="60" t="s">
        <v>914</v>
      </c>
      <c r="E191" t="str">
        <f>_xlfn.XLOOKUP(D191,'[2]8A. Master Device Catalog'!$F$5:$F$914,'[2]8A. Master Device Catalog'!$G$5:$G$914,"")</f>
        <v>HD1913</v>
      </c>
      <c r="F191">
        <f>_xlfn.XLOOKUP(D191,'[2]8A. Master Device Catalog'!$F$5:$F$914,'[2]8A. Master Device Catalog'!$H$5:$H$914,"")</f>
        <v>2019</v>
      </c>
    </row>
    <row r="192" spans="1:6" ht="21.5" x14ac:dyDescent="0.35">
      <c r="A192" t="s">
        <v>3959</v>
      </c>
      <c r="B192" s="59" t="s">
        <v>3947</v>
      </c>
      <c r="C192" s="59" t="s">
        <v>3757</v>
      </c>
      <c r="D192" s="60" t="s">
        <v>909</v>
      </c>
      <c r="E192" t="str">
        <f>_xlfn.XLOOKUP(D192,'[2]8A. Master Device Catalog'!$F$5:$F$914,'[2]8A. Master Device Catalog'!$G$5:$G$914,"")</f>
        <v>IN2015</v>
      </c>
      <c r="F192">
        <f>_xlfn.XLOOKUP(D192,'[2]8A. Master Device Catalog'!$F$5:$F$914,'[2]8A. Master Device Catalog'!$H$5:$H$914,"")</f>
        <v>2020</v>
      </c>
    </row>
    <row r="193" spans="1:6" ht="21.5" x14ac:dyDescent="0.35">
      <c r="A193" t="s">
        <v>3960</v>
      </c>
      <c r="B193" s="59" t="s">
        <v>3947</v>
      </c>
      <c r="C193" s="59" t="s">
        <v>3757</v>
      </c>
      <c r="D193" s="60" t="s">
        <v>904</v>
      </c>
      <c r="E193" t="str">
        <f>_xlfn.XLOOKUP(D193,'[2]8A. Master Device Catalog'!$F$5:$F$914,'[2]8A. Master Device Catalog'!$G$5:$G$914,"")</f>
        <v>IN2025</v>
      </c>
      <c r="F193">
        <f>_xlfn.XLOOKUP(D193,'[2]8A. Master Device Catalog'!$F$5:$F$914,'[2]8A. Master Device Catalog'!$H$5:$H$914,"")</f>
        <v>2020</v>
      </c>
    </row>
    <row r="194" spans="1:6" ht="21.5" x14ac:dyDescent="0.35">
      <c r="A194" t="s">
        <v>3961</v>
      </c>
      <c r="B194" s="59" t="s">
        <v>3947</v>
      </c>
      <c r="C194" s="59" t="s">
        <v>3757</v>
      </c>
      <c r="D194" s="60" t="s">
        <v>900</v>
      </c>
      <c r="E194" t="str">
        <f>_xlfn.XLOOKUP(D194,'[2]8A. Master Device Catalog'!$F$5:$F$914,'[2]8A. Master Device Catalog'!$G$5:$G$914,"")</f>
        <v>KB2005</v>
      </c>
      <c r="F194">
        <f>_xlfn.XLOOKUP(D194,'[2]8A. Master Device Catalog'!$F$5:$F$914,'[2]8A. Master Device Catalog'!$H$5:$H$914,"")</f>
        <v>2020</v>
      </c>
    </row>
    <row r="195" spans="1:6" ht="21.5" x14ac:dyDescent="0.35">
      <c r="A195" t="s">
        <v>3962</v>
      </c>
      <c r="B195" s="59" t="s">
        <v>3947</v>
      </c>
      <c r="C195" s="59" t="s">
        <v>3757</v>
      </c>
      <c r="D195" s="60" t="s">
        <v>895</v>
      </c>
      <c r="E195" t="str">
        <f>_xlfn.XLOOKUP(D195,'[2]8A. Master Device Catalog'!$F$5:$F$914,'[2]8A. Master Device Catalog'!$G$5:$G$914,"")</f>
        <v>LE2115</v>
      </c>
      <c r="F195">
        <f>_xlfn.XLOOKUP(D195,'[2]8A. Master Device Catalog'!$F$5:$F$914,'[2]8A. Master Device Catalog'!$H$5:$H$914,"")</f>
        <v>2021</v>
      </c>
    </row>
    <row r="196" spans="1:6" ht="21.5" x14ac:dyDescent="0.35">
      <c r="A196" t="s">
        <v>3963</v>
      </c>
      <c r="B196" s="59" t="s">
        <v>3947</v>
      </c>
      <c r="C196" s="59" t="s">
        <v>3757</v>
      </c>
      <c r="D196" s="60" t="s">
        <v>892</v>
      </c>
      <c r="E196" t="str">
        <f>_xlfn.XLOOKUP(D196,'[2]8A. Master Device Catalog'!$F$5:$F$914,'[2]8A. Master Device Catalog'!$G$5:$G$914,"")</f>
        <v>LE2125</v>
      </c>
      <c r="F196">
        <f>_xlfn.XLOOKUP(D196,'[2]8A. Master Device Catalog'!$F$5:$F$914,'[2]8A. Master Device Catalog'!$H$5:$H$914,"")</f>
        <v>2021</v>
      </c>
    </row>
    <row r="197" spans="1:6" ht="21.5" x14ac:dyDescent="0.35">
      <c r="A197" t="s">
        <v>3964</v>
      </c>
      <c r="B197" s="59" t="s">
        <v>3947</v>
      </c>
      <c r="C197" s="59" t="s">
        <v>3757</v>
      </c>
      <c r="D197" s="60" t="s">
        <v>888</v>
      </c>
      <c r="E197" t="str">
        <f>_xlfn.XLOOKUP(D197,'[2]8A. Master Device Catalog'!$F$5:$F$914,'[2]8A. Master Device Catalog'!$G$5:$G$914,"")</f>
        <v>LE2101</v>
      </c>
      <c r="F197">
        <f>_xlfn.XLOOKUP(D197,'[2]8A. Master Device Catalog'!$F$5:$F$914,'[2]8A. Master Device Catalog'!$H$5:$H$914,"")</f>
        <v>2021</v>
      </c>
    </row>
    <row r="198" spans="1:6" ht="21.5" x14ac:dyDescent="0.35">
      <c r="A198" t="s">
        <v>3965</v>
      </c>
      <c r="B198" s="59" t="s">
        <v>3947</v>
      </c>
      <c r="C198" s="59" t="s">
        <v>3757</v>
      </c>
      <c r="D198" s="60" t="s">
        <v>885</v>
      </c>
      <c r="E198" t="str">
        <f>_xlfn.XLOOKUP(D198,'[2]8A. Master Device Catalog'!$F$5:$F$914,'[2]8A. Master Device Catalog'!$G$5:$G$914,"")</f>
        <v>NE2215</v>
      </c>
      <c r="F198">
        <f>_xlfn.XLOOKUP(D198,'[2]8A. Master Device Catalog'!$F$5:$F$914,'[2]8A. Master Device Catalog'!$H$5:$H$914,"")</f>
        <v>2022</v>
      </c>
    </row>
    <row r="199" spans="1:6" ht="21.5" x14ac:dyDescent="0.35">
      <c r="A199" t="s">
        <v>3966</v>
      </c>
      <c r="B199" s="59" t="s">
        <v>3947</v>
      </c>
      <c r="C199" s="59" t="s">
        <v>3757</v>
      </c>
      <c r="D199" s="60" t="s">
        <v>880</v>
      </c>
      <c r="E199" t="str">
        <f>_xlfn.XLOOKUP(D199,'[2]8A. Master Device Catalog'!$F$5:$F$914,'[2]8A. Master Device Catalog'!$G$5:$G$914,"")</f>
        <v>CPH2415</v>
      </c>
      <c r="F199">
        <f>_xlfn.XLOOKUP(D199,'[2]8A. Master Device Catalog'!$F$5:$F$914,'[2]8A. Master Device Catalog'!$H$5:$H$914,"")</f>
        <v>2022</v>
      </c>
    </row>
    <row r="200" spans="1:6" ht="21.5" x14ac:dyDescent="0.35">
      <c r="A200" t="s">
        <v>3967</v>
      </c>
      <c r="B200" s="59" t="s">
        <v>3947</v>
      </c>
      <c r="C200" s="59" t="s">
        <v>3757</v>
      </c>
      <c r="D200" s="60" t="s">
        <v>876</v>
      </c>
      <c r="E200" t="str">
        <f>_xlfn.XLOOKUP(D200,'[2]8A. Master Device Catalog'!$F$5:$F$914,'[2]8A. Master Device Catalog'!$G$5:$G$914,"")</f>
        <v>CPH2449</v>
      </c>
      <c r="F200">
        <f>_xlfn.XLOOKUP(D200,'[2]8A. Master Device Catalog'!$F$5:$F$914,'[2]8A. Master Device Catalog'!$H$5:$H$914,"")</f>
        <v>2023</v>
      </c>
    </row>
    <row r="201" spans="1:6" ht="21.5" x14ac:dyDescent="0.35">
      <c r="A201" t="s">
        <v>3968</v>
      </c>
      <c r="B201" s="59" t="s">
        <v>3947</v>
      </c>
      <c r="C201" s="59" t="s">
        <v>3757</v>
      </c>
      <c r="D201" s="60" t="s">
        <v>871</v>
      </c>
      <c r="E201" t="str">
        <f>_xlfn.XLOOKUP(D201,'[2]8A. Master Device Catalog'!$F$5:$F$914,'[2]8A. Master Device Catalog'!$G$5:$G$914,"")</f>
        <v>CPH2583</v>
      </c>
      <c r="F201">
        <f>_xlfn.XLOOKUP(D201,'[2]8A. Master Device Catalog'!$F$5:$F$914,'[2]8A. Master Device Catalog'!$H$5:$H$914,"")</f>
        <v>2024</v>
      </c>
    </row>
    <row r="202" spans="1:6" ht="21.5" x14ac:dyDescent="0.35">
      <c r="A202" t="s">
        <v>3969</v>
      </c>
      <c r="B202" s="59" t="s">
        <v>3947</v>
      </c>
      <c r="C202" s="59" t="s">
        <v>3757</v>
      </c>
      <c r="D202" s="60" t="s">
        <v>866</v>
      </c>
      <c r="E202" t="str">
        <f>_xlfn.XLOOKUP(D202,'[2]8A. Master Device Catalog'!$F$5:$F$914,'[2]8A. Master Device Catalog'!$G$5:$G$914,"")</f>
        <v>CPH2611</v>
      </c>
      <c r="F202">
        <f>_xlfn.XLOOKUP(D202,'[2]8A. Master Device Catalog'!$F$5:$F$914,'[2]8A. Master Device Catalog'!$H$5:$H$914,"")</f>
        <v>2024</v>
      </c>
    </row>
    <row r="203" spans="1:6" ht="21.5" x14ac:dyDescent="0.35">
      <c r="A203" t="s">
        <v>3970</v>
      </c>
      <c r="B203" s="59" t="s">
        <v>3947</v>
      </c>
      <c r="C203" s="59" t="s">
        <v>3757</v>
      </c>
      <c r="D203" s="60" t="s">
        <v>860</v>
      </c>
      <c r="E203" t="str">
        <f>_xlfn.XLOOKUP(D203,'[2]8A. Master Device Catalog'!$F$5:$F$914,'[2]8A. Master Device Catalog'!$G$5:$G$914,"")</f>
        <v>PJZ110</v>
      </c>
      <c r="F203">
        <f>_xlfn.XLOOKUP(D203,'[2]8A. Master Device Catalog'!$F$5:$F$914,'[2]8A. Master Device Catalog'!$H$5:$H$914,"")</f>
        <v>2025</v>
      </c>
    </row>
    <row r="204" spans="1:6" ht="21.5" x14ac:dyDescent="0.35">
      <c r="A204" t="s">
        <v>3971</v>
      </c>
      <c r="B204" s="59" t="s">
        <v>3947</v>
      </c>
      <c r="C204" s="59" t="s">
        <v>3757</v>
      </c>
      <c r="D204" s="60" t="s">
        <v>855</v>
      </c>
      <c r="E204" t="str">
        <f>_xlfn.XLOOKUP(D204,'[2]8A. Master Device Catalog'!$F$5:$F$914,'[2]8A. Master Device Catalog'!$G$5:$G$914,"")</f>
        <v>AC2003</v>
      </c>
      <c r="F204">
        <f>_xlfn.XLOOKUP(D204,'[2]8A. Master Device Catalog'!$F$5:$F$914,'[2]8A. Master Device Catalog'!$H$5:$H$914,"")</f>
        <v>2020</v>
      </c>
    </row>
    <row r="205" spans="1:6" ht="21.5" x14ac:dyDescent="0.35">
      <c r="A205" t="s">
        <v>3972</v>
      </c>
      <c r="B205" s="59" t="s">
        <v>3947</v>
      </c>
      <c r="C205" s="59" t="s">
        <v>3757</v>
      </c>
      <c r="D205" s="60" t="s">
        <v>852</v>
      </c>
      <c r="E205" t="str">
        <f>_xlfn.XLOOKUP(D205,'[2]8A. Master Device Catalog'!$F$5:$F$914,'[2]8A. Master Device Catalog'!$G$5:$G$914,"")</f>
        <v>CPH2465</v>
      </c>
      <c r="F205">
        <f>_xlfn.XLOOKUP(D205,'[2]8A. Master Device Catalog'!$F$5:$F$914,'[2]8A. Master Device Catalog'!$H$5:$H$914,"")</f>
        <v>2023</v>
      </c>
    </row>
    <row r="206" spans="1:6" ht="21.5" x14ac:dyDescent="0.35">
      <c r="A206" t="s">
        <v>3973</v>
      </c>
      <c r="B206" s="59" t="s">
        <v>3947</v>
      </c>
      <c r="C206" s="59" t="s">
        <v>3757</v>
      </c>
      <c r="D206" s="60" t="s">
        <v>848</v>
      </c>
      <c r="E206" t="str">
        <f>_xlfn.XLOOKUP(D206,'[2]8A. Master Device Catalog'!$F$5:$F$914,'[2]8A. Master Device Catalog'!$G$5:$G$914,"")</f>
        <v>CPH2513</v>
      </c>
      <c r="F206">
        <f>_xlfn.XLOOKUP(D206,'[2]8A. Master Device Catalog'!$F$5:$F$914,'[2]8A. Master Device Catalog'!$H$5:$H$914,"")</f>
        <v>2023</v>
      </c>
    </row>
    <row r="207" spans="1:6" ht="21.5" x14ac:dyDescent="0.35">
      <c r="A207" t="s">
        <v>3974</v>
      </c>
      <c r="B207" s="59" t="s">
        <v>3947</v>
      </c>
      <c r="C207" s="59" t="s">
        <v>3757</v>
      </c>
      <c r="D207" s="60" t="s">
        <v>843</v>
      </c>
      <c r="E207" t="str">
        <f>_xlfn.XLOOKUP(D207,'[2]8A. Master Device Catalog'!$F$5:$F$914,'[2]8A. Master Device Catalog'!$G$5:$G$914,"")</f>
        <v>CPH2551</v>
      </c>
      <c r="F207">
        <f>_xlfn.XLOOKUP(D207,'[2]8A. Master Device Catalog'!$F$5:$F$914,'[2]8A. Master Device Catalog'!$H$5:$H$914,"")</f>
        <v>2023</v>
      </c>
    </row>
    <row r="208" spans="1:6" ht="21.5" x14ac:dyDescent="0.35">
      <c r="A208" t="s">
        <v>3975</v>
      </c>
      <c r="B208" s="59" t="s">
        <v>3976</v>
      </c>
      <c r="C208" s="59" t="s">
        <v>3757</v>
      </c>
      <c r="D208" s="60" t="s">
        <v>724</v>
      </c>
      <c r="E208" t="str">
        <f>_xlfn.XLOOKUP(D208,'[2]8A. Master Device Catalog'!$F$5:$F$914,'[2]8A. Master Device Catalog'!$G$5:$G$914,"")</f>
        <v>PKC110</v>
      </c>
      <c r="F208">
        <f>_xlfn.XLOOKUP(D208,'[2]8A. Master Device Catalog'!$F$5:$F$914,'[2]8A. Master Device Catalog'!$H$5:$H$914,"")</f>
        <v>2025</v>
      </c>
    </row>
    <row r="209" spans="1:6" ht="21.5" x14ac:dyDescent="0.35">
      <c r="A209" t="s">
        <v>3977</v>
      </c>
      <c r="B209" s="59" t="s">
        <v>3976</v>
      </c>
      <c r="C209" s="59" t="s">
        <v>3757</v>
      </c>
      <c r="D209" s="60" t="s">
        <v>719</v>
      </c>
      <c r="E209" t="str">
        <f>_xlfn.XLOOKUP(D209,'[2]8A. Master Device Catalog'!$F$5:$F$914,'[2]8A. Master Device Catalog'!$G$5:$G$914,"")</f>
        <v>PHZ110</v>
      </c>
      <c r="F209">
        <f>_xlfn.XLOOKUP(D209,'[2]8A. Master Device Catalog'!$F$5:$F$914,'[2]8A. Master Device Catalog'!$H$5:$H$914,"")</f>
        <v>2024</v>
      </c>
    </row>
    <row r="210" spans="1:6" ht="21.5" x14ac:dyDescent="0.35">
      <c r="A210" t="s">
        <v>3978</v>
      </c>
      <c r="B210" s="59" t="s">
        <v>3976</v>
      </c>
      <c r="C210" s="59" t="s">
        <v>3757</v>
      </c>
      <c r="D210" s="60" t="s">
        <v>713</v>
      </c>
      <c r="E210" t="str">
        <f>_xlfn.XLOOKUP(D210,'[2]8A. Master Device Catalog'!$F$5:$F$914,'[2]8A. Master Device Catalog'!$G$5:$G$914,"")</f>
        <v>PHY110</v>
      </c>
      <c r="F210">
        <f>_xlfn.XLOOKUP(D210,'[2]8A. Master Device Catalog'!$F$5:$F$914,'[2]8A. Master Device Catalog'!$H$5:$H$914,"")</f>
        <v>2024</v>
      </c>
    </row>
    <row r="211" spans="1:6" ht="21.5" x14ac:dyDescent="0.35">
      <c r="A211" t="s">
        <v>3979</v>
      </c>
      <c r="B211" s="59" t="s">
        <v>3976</v>
      </c>
      <c r="C211" s="59" t="s">
        <v>3757</v>
      </c>
      <c r="D211" s="60" t="s">
        <v>708</v>
      </c>
      <c r="E211" t="str">
        <f>_xlfn.XLOOKUP(D211,'[2]8A. Master Device Catalog'!$F$5:$F$914,'[2]8A. Master Device Catalog'!$G$5:$G$914,"")</f>
        <v>CPH2625</v>
      </c>
      <c r="F211">
        <f>_xlfn.XLOOKUP(D211,'[2]8A. Master Device Catalog'!$F$5:$F$914,'[2]8A. Master Device Catalog'!$H$5:$H$914,"")</f>
        <v>2024</v>
      </c>
    </row>
    <row r="212" spans="1:6" ht="21.5" x14ac:dyDescent="0.35">
      <c r="A212" t="s">
        <v>3980</v>
      </c>
      <c r="B212" s="59" t="s">
        <v>3976</v>
      </c>
      <c r="C212" s="59" t="s">
        <v>3757</v>
      </c>
      <c r="D212" s="60" t="s">
        <v>705</v>
      </c>
      <c r="E212" t="str">
        <f>_xlfn.XLOOKUP(D212,'[2]8A. Master Device Catalog'!$F$5:$F$914,'[2]8A. Master Device Catalog'!$G$5:$G$914,"")</f>
        <v>CPH2629</v>
      </c>
      <c r="F212">
        <f>_xlfn.XLOOKUP(D212,'[2]8A. Master Device Catalog'!$F$5:$F$914,'[2]8A. Master Device Catalog'!$H$5:$H$914,"")</f>
        <v>2024</v>
      </c>
    </row>
    <row r="213" spans="1:6" ht="21.5" x14ac:dyDescent="0.35">
      <c r="A213" t="s">
        <v>3981</v>
      </c>
      <c r="B213" s="59" t="s">
        <v>3976</v>
      </c>
      <c r="C213" s="59" t="s">
        <v>3757</v>
      </c>
      <c r="D213" s="60" t="s">
        <v>701</v>
      </c>
      <c r="E213" t="str">
        <f>_xlfn.XLOOKUP(D213,'[2]8A. Master Device Catalog'!$F$5:$F$914,'[2]8A. Master Device Catalog'!$G$5:$G$914,"")</f>
        <v>CPH2529</v>
      </c>
      <c r="F213">
        <f>_xlfn.XLOOKUP(D213,'[2]8A. Master Device Catalog'!$F$5:$F$914,'[2]8A. Master Device Catalog'!$H$5:$H$914,"")</f>
        <v>2023</v>
      </c>
    </row>
    <row r="214" spans="1:6" ht="21.5" x14ac:dyDescent="0.35">
      <c r="A214" t="s">
        <v>3982</v>
      </c>
      <c r="B214" s="59" t="s">
        <v>3976</v>
      </c>
      <c r="C214" s="59" t="s">
        <v>3757</v>
      </c>
      <c r="D214" s="60" t="s">
        <v>698</v>
      </c>
      <c r="E214" t="str">
        <f>_xlfn.XLOOKUP(D214,'[2]8A. Master Device Catalog'!$F$5:$F$914,'[2]8A. Master Device Catalog'!$G$5:$G$914,"")</f>
        <v>CPH2553</v>
      </c>
      <c r="F214">
        <f>_xlfn.XLOOKUP(D214,'[2]8A. Master Device Catalog'!$F$5:$F$914,'[2]8A. Master Device Catalog'!$H$5:$H$914,"")</f>
        <v>2023</v>
      </c>
    </row>
    <row r="215" spans="1:6" ht="21.5" x14ac:dyDescent="0.35">
      <c r="A215" t="s">
        <v>3983</v>
      </c>
      <c r="B215" s="59" t="s">
        <v>3976</v>
      </c>
      <c r="C215" s="59" t="s">
        <v>3757</v>
      </c>
      <c r="D215" s="60" t="s">
        <v>692</v>
      </c>
      <c r="E215" t="str">
        <f>_xlfn.XLOOKUP(D215,'[2]8A. Master Device Catalog'!$F$5:$F$914,'[2]8A. Master Device Catalog'!$G$5:$G$914,"")</f>
        <v>CPH2631</v>
      </c>
      <c r="F215">
        <f>_xlfn.XLOOKUP(D215,'[2]8A. Master Device Catalog'!$F$5:$F$914,'[2]8A. Master Device Catalog'!$H$5:$H$914,"")</f>
        <v>2024</v>
      </c>
    </row>
    <row r="216" spans="1:6" ht="21.5" x14ac:dyDescent="0.35">
      <c r="A216" t="s">
        <v>3984</v>
      </c>
      <c r="B216" s="59" t="s">
        <v>3976</v>
      </c>
      <c r="C216" s="59" t="s">
        <v>3757</v>
      </c>
      <c r="D216" s="60" t="s">
        <v>687</v>
      </c>
      <c r="E216" t="str">
        <f>_xlfn.XLOOKUP(D216,'[2]8A. Master Device Catalog'!$F$5:$F$914,'[2]8A. Master Device Catalog'!$G$5:$G$914,"")</f>
        <v>CPH2499</v>
      </c>
      <c r="F216">
        <f>_xlfn.XLOOKUP(D216,'[2]8A. Master Device Catalog'!$F$5:$F$914,'[2]8A. Master Device Catalog'!$H$5:$H$914,"")</f>
        <v>2023</v>
      </c>
    </row>
    <row r="217" spans="1:6" ht="21.5" x14ac:dyDescent="0.35">
      <c r="A217" t="s">
        <v>3985</v>
      </c>
      <c r="B217" s="59" t="s">
        <v>3976</v>
      </c>
      <c r="C217" s="59" t="s">
        <v>3757</v>
      </c>
      <c r="D217" s="60" t="s">
        <v>681</v>
      </c>
      <c r="E217" t="str">
        <f>_xlfn.XLOOKUP(D217,'[2]8A. Master Device Catalog'!$F$5:$F$914,'[2]8A. Master Device Catalog'!$G$5:$G$914,"")</f>
        <v>PHT110</v>
      </c>
      <c r="F217">
        <f>_xlfn.XLOOKUP(D217,'[2]8A. Master Device Catalog'!$F$5:$F$914,'[2]8A. Master Device Catalog'!$H$5:$H$914,"")</f>
        <v>2023</v>
      </c>
    </row>
    <row r="218" spans="1:6" ht="21.5" x14ac:dyDescent="0.35">
      <c r="A218" t="s">
        <v>3986</v>
      </c>
      <c r="B218" s="59" t="s">
        <v>3976</v>
      </c>
      <c r="C218" s="59" t="s">
        <v>3757</v>
      </c>
      <c r="D218" s="60" t="s">
        <v>669</v>
      </c>
      <c r="E218" t="str">
        <f>_xlfn.XLOOKUP(D218,'[2]8A. Master Device Catalog'!$F$5:$F$914,'[2]8A. Master Device Catalog'!$G$5:$G$914,"")</f>
        <v>CPH2599</v>
      </c>
      <c r="F218">
        <f>_xlfn.XLOOKUP(D218,'[2]8A. Master Device Catalog'!$F$5:$F$914,'[2]8A. Master Device Catalog'!$H$5:$H$914,"")</f>
        <v>2024</v>
      </c>
    </row>
    <row r="219" spans="1:6" ht="21.5" x14ac:dyDescent="0.35">
      <c r="A219" t="s">
        <v>3987</v>
      </c>
      <c r="B219" s="59" t="s">
        <v>3976</v>
      </c>
      <c r="C219" s="59" t="s">
        <v>3757</v>
      </c>
      <c r="D219" s="60" t="s">
        <v>663</v>
      </c>
      <c r="E219" t="str">
        <f>_xlfn.XLOOKUP(D219,'[2]8A. Master Device Catalog'!$F$5:$F$914,'[2]8A. Master Device Catalog'!$G$5:$G$914,"")</f>
        <v>CPH2607</v>
      </c>
      <c r="F219">
        <f>_xlfn.XLOOKUP(D219,'[2]8A. Master Device Catalog'!$F$5:$F$914,'[2]8A. Master Device Catalog'!$H$5:$H$914,"")</f>
        <v>2024</v>
      </c>
    </row>
    <row r="220" spans="1:6" ht="21.5" x14ac:dyDescent="0.35">
      <c r="A220" t="s">
        <v>3988</v>
      </c>
      <c r="B220" s="59" t="s">
        <v>3976</v>
      </c>
      <c r="C220" s="59" t="s">
        <v>3757</v>
      </c>
      <c r="D220" s="60" t="s">
        <v>660</v>
      </c>
      <c r="E220" t="str">
        <f>_xlfn.XLOOKUP(D220,'[2]8A. Master Device Catalog'!$F$5:$F$914,'[2]8A. Master Device Catalog'!$G$5:$G$914,"")</f>
        <v>CPH2577</v>
      </c>
      <c r="F220">
        <f>_xlfn.XLOOKUP(D220,'[2]8A. Master Device Catalog'!$F$5:$F$914,'[2]8A. Master Device Catalog'!$H$5:$H$914,"")</f>
        <v>2023</v>
      </c>
    </row>
    <row r="221" spans="1:6" ht="21.5" x14ac:dyDescent="0.35">
      <c r="A221" t="s">
        <v>3989</v>
      </c>
      <c r="B221" s="59" t="s">
        <v>3976</v>
      </c>
      <c r="C221" s="59" t="s">
        <v>3757</v>
      </c>
      <c r="D221" s="60" t="s">
        <v>654</v>
      </c>
      <c r="E221" t="str">
        <f>_xlfn.XLOOKUP(D221,'[2]8A. Master Device Catalog'!$F$5:$F$914,'[2]8A. Master Device Catalog'!$G$5:$G$914,"")</f>
        <v>CPH2483</v>
      </c>
      <c r="F221">
        <f>_xlfn.XLOOKUP(D221,'[2]8A. Master Device Catalog'!$F$5:$F$914,'[2]8A. Master Device Catalog'!$H$5:$H$914,"")</f>
        <v>2023</v>
      </c>
    </row>
    <row r="222" spans="1:6" ht="21.5" x14ac:dyDescent="0.35">
      <c r="A222" t="s">
        <v>3990</v>
      </c>
      <c r="B222" s="59" t="s">
        <v>3991</v>
      </c>
      <c r="C222" s="59" t="s">
        <v>3757</v>
      </c>
      <c r="D222" s="60" t="s">
        <v>597</v>
      </c>
      <c r="E222" t="str">
        <f>_xlfn.XLOOKUP(D222,'[2]8A. Master Device Catalog'!$F$5:$F$914,'[2]8A. Master Device Catalog'!$G$5:$G$914,"")</f>
        <v>RMX3851</v>
      </c>
      <c r="F222">
        <f>_xlfn.XLOOKUP(D222,'[2]8A. Master Device Catalog'!$F$5:$F$914,'[2]8A. Master Device Catalog'!$H$5:$H$914,"")</f>
        <v>2024</v>
      </c>
    </row>
    <row r="223" spans="1:6" ht="21.5" x14ac:dyDescent="0.35">
      <c r="A223" t="s">
        <v>3992</v>
      </c>
      <c r="B223" s="59" t="s">
        <v>3991</v>
      </c>
      <c r="C223" s="59" t="s">
        <v>3757</v>
      </c>
      <c r="D223" s="60" t="s">
        <v>592</v>
      </c>
      <c r="E223" t="str">
        <f>_xlfn.XLOOKUP(D223,'[2]8A. Master Device Catalog'!$F$5:$F$914,'[2]8A. Master Device Catalog'!$G$5:$G$914,"")</f>
        <v>RMX3853</v>
      </c>
      <c r="F223">
        <f>_xlfn.XLOOKUP(D223,'[2]8A. Master Device Catalog'!$F$5:$F$914,'[2]8A. Master Device Catalog'!$H$5:$H$914,"")</f>
        <v>2024</v>
      </c>
    </row>
    <row r="224" spans="1:6" ht="21.5" x14ac:dyDescent="0.35">
      <c r="A224" t="s">
        <v>3993</v>
      </c>
      <c r="B224" s="59" t="s">
        <v>3991</v>
      </c>
      <c r="C224" s="59" t="s">
        <v>3757</v>
      </c>
      <c r="D224" s="60" t="s">
        <v>589</v>
      </c>
      <c r="E224" t="str">
        <f>_xlfn.XLOOKUP(D224,'[2]8A. Master Device Catalog'!$F$5:$F$914,'[2]8A. Master Device Catalog'!$G$5:$G$914,"")</f>
        <v>RMX3840</v>
      </c>
      <c r="F224">
        <f>_xlfn.XLOOKUP(D224,'[2]8A. Master Device Catalog'!$F$5:$F$914,'[2]8A. Master Device Catalog'!$H$5:$H$914,"")</f>
        <v>2024</v>
      </c>
    </row>
    <row r="225" spans="1:6" ht="21.5" x14ac:dyDescent="0.35">
      <c r="A225" t="s">
        <v>3994</v>
      </c>
      <c r="B225" s="59" t="s">
        <v>3991</v>
      </c>
      <c r="C225" s="59" t="s">
        <v>3757</v>
      </c>
      <c r="D225" s="60" t="s">
        <v>585</v>
      </c>
      <c r="E225" t="str">
        <f>_xlfn.XLOOKUP(D225,'[2]8A. Master Device Catalog'!$F$5:$F$914,'[2]8A. Master Device Catalog'!$G$5:$G$914,"")</f>
        <v>RMX3868</v>
      </c>
      <c r="F225">
        <f>_xlfn.XLOOKUP(D225,'[2]8A. Master Device Catalog'!$F$5:$F$914,'[2]8A. Master Device Catalog'!$H$5:$H$914,"")</f>
        <v>2024</v>
      </c>
    </row>
    <row r="226" spans="1:6" ht="21.5" x14ac:dyDescent="0.35">
      <c r="A226" t="s">
        <v>3995</v>
      </c>
      <c r="B226" s="59" t="s">
        <v>3991</v>
      </c>
      <c r="C226" s="59" t="s">
        <v>3757</v>
      </c>
      <c r="D226" s="60" t="s">
        <v>580</v>
      </c>
      <c r="E226" t="str">
        <f>_xlfn.XLOOKUP(D226,'[2]8A. Master Device Catalog'!$F$5:$F$914,'[2]8A. Master Device Catalog'!$G$5:$G$914,"")</f>
        <v>RMX3852</v>
      </c>
      <c r="F226">
        <f>_xlfn.XLOOKUP(D226,'[2]8A. Master Device Catalog'!$F$5:$F$914,'[2]8A. Master Device Catalog'!$H$5:$H$914,"")</f>
        <v>2024</v>
      </c>
    </row>
    <row r="227" spans="1:6" ht="21.5" x14ac:dyDescent="0.35">
      <c r="A227" t="s">
        <v>3996</v>
      </c>
      <c r="B227" s="59" t="s">
        <v>3991</v>
      </c>
      <c r="C227" s="59" t="s">
        <v>3757</v>
      </c>
      <c r="D227" s="60" t="s">
        <v>576</v>
      </c>
      <c r="E227" t="str">
        <f>_xlfn.XLOOKUP(D227,'[2]8A. Master Device Catalog'!$F$5:$F$914,'[2]8A. Master Device Catalog'!$G$5:$G$914,"")</f>
        <v>RMX3842</v>
      </c>
      <c r="F227">
        <f>_xlfn.XLOOKUP(D227,'[2]8A. Master Device Catalog'!$F$5:$F$914,'[2]8A. Master Device Catalog'!$H$5:$H$914,"")</f>
        <v>2024</v>
      </c>
    </row>
    <row r="228" spans="1:6" ht="21.5" x14ac:dyDescent="0.35">
      <c r="A228" t="s">
        <v>3997</v>
      </c>
      <c r="B228" s="59" t="s">
        <v>3991</v>
      </c>
      <c r="C228" s="59" t="s">
        <v>3757</v>
      </c>
      <c r="D228" s="60" t="s">
        <v>571</v>
      </c>
      <c r="E228" t="str">
        <f>_xlfn.XLOOKUP(D228,'[2]8A. Master Device Catalog'!$F$5:$F$914,'[2]8A. Master Device Catalog'!$G$5:$G$914,"")</f>
        <v>RMX3890</v>
      </c>
      <c r="F228">
        <f>_xlfn.XLOOKUP(D228,'[2]8A. Master Device Catalog'!$F$5:$F$914,'[2]8A. Master Device Catalog'!$H$5:$H$914,"")</f>
        <v>2024</v>
      </c>
    </row>
    <row r="229" spans="1:6" ht="21.5" x14ac:dyDescent="0.35">
      <c r="A229" t="s">
        <v>3998</v>
      </c>
      <c r="B229" s="59" t="s">
        <v>3991</v>
      </c>
      <c r="C229" s="59" t="s">
        <v>3757</v>
      </c>
      <c r="D229" s="60" t="s">
        <v>564</v>
      </c>
      <c r="E229" t="str">
        <f>_xlfn.XLOOKUP(D229,'[2]8A. Master Device Catalog'!$F$5:$F$914,'[2]8A. Master Device Catalog'!$G$5:$G$914,"")</f>
        <v>RMX3910</v>
      </c>
      <c r="F229">
        <f>_xlfn.XLOOKUP(D229,'[2]8A. Master Device Catalog'!$F$5:$F$914,'[2]8A. Master Device Catalog'!$H$5:$H$914,"")</f>
        <v>2024</v>
      </c>
    </row>
    <row r="230" spans="1:6" ht="21.5" x14ac:dyDescent="0.35">
      <c r="A230" t="s">
        <v>3999</v>
      </c>
      <c r="B230" s="59" t="s">
        <v>4000</v>
      </c>
      <c r="C230" s="59" t="s">
        <v>3757</v>
      </c>
      <c r="D230" s="60" t="s">
        <v>2605</v>
      </c>
      <c r="E230" t="str">
        <f>_xlfn.XLOOKUP(D230,'[2]8A. Master Device Catalog'!$F$5:$F$914,'[2]8A. Master Device Catalog'!$G$5:$G$914,"")</f>
        <v>GT-I9000</v>
      </c>
      <c r="F230">
        <f>_xlfn.XLOOKUP(D230,'[2]8A. Master Device Catalog'!$F$5:$F$914,'[2]8A. Master Device Catalog'!$H$5:$H$914,"")</f>
        <v>2010</v>
      </c>
    </row>
    <row r="231" spans="1:6" ht="21.5" x14ac:dyDescent="0.35">
      <c r="A231" t="s">
        <v>4001</v>
      </c>
      <c r="B231" s="59" t="s">
        <v>4000</v>
      </c>
      <c r="C231" s="59" t="s">
        <v>3757</v>
      </c>
      <c r="D231" s="60" t="s">
        <v>2602</v>
      </c>
      <c r="E231" t="str">
        <f>_xlfn.XLOOKUP(D231,'[2]8A. Master Device Catalog'!$F$5:$F$914,'[2]8A. Master Device Catalog'!$G$5:$G$914,"")</f>
        <v>GT-I9100</v>
      </c>
      <c r="F231">
        <f>_xlfn.XLOOKUP(D231,'[2]8A. Master Device Catalog'!$F$5:$F$914,'[2]8A. Master Device Catalog'!$H$5:$H$914,"")</f>
        <v>2011</v>
      </c>
    </row>
    <row r="232" spans="1:6" ht="21.5" x14ac:dyDescent="0.35">
      <c r="A232" t="s">
        <v>4002</v>
      </c>
      <c r="B232" s="59" t="s">
        <v>4000</v>
      </c>
      <c r="C232" s="59" t="s">
        <v>3757</v>
      </c>
      <c r="D232" s="60" t="s">
        <v>2598</v>
      </c>
      <c r="E232" t="str">
        <f>_xlfn.XLOOKUP(D232,'[2]8A. Master Device Catalog'!$F$5:$F$914,'[2]8A. Master Device Catalog'!$G$5:$G$914,"")</f>
        <v>GT-I9300</v>
      </c>
      <c r="F232">
        <f>_xlfn.XLOOKUP(D232,'[2]8A. Master Device Catalog'!$F$5:$F$914,'[2]8A. Master Device Catalog'!$H$5:$H$914,"")</f>
        <v>2012</v>
      </c>
    </row>
    <row r="233" spans="1:6" ht="21.5" x14ac:dyDescent="0.35">
      <c r="A233" t="s">
        <v>4003</v>
      </c>
      <c r="B233" s="59" t="s">
        <v>4000</v>
      </c>
      <c r="C233" s="59" t="s">
        <v>3757</v>
      </c>
      <c r="D233" s="60" t="s">
        <v>2595</v>
      </c>
      <c r="E233" t="str">
        <f>_xlfn.XLOOKUP(D233,'[2]8A. Master Device Catalog'!$F$5:$F$914,'[2]8A. Master Device Catalog'!$G$5:$G$914,"")</f>
        <v>GT-I9505</v>
      </c>
      <c r="F233">
        <f>_xlfn.XLOOKUP(D233,'[2]8A. Master Device Catalog'!$F$5:$F$914,'[2]8A. Master Device Catalog'!$H$5:$H$914,"")</f>
        <v>2013</v>
      </c>
    </row>
    <row r="234" spans="1:6" ht="21.5" x14ac:dyDescent="0.35">
      <c r="A234" t="s">
        <v>4004</v>
      </c>
      <c r="B234" s="59" t="s">
        <v>4000</v>
      </c>
      <c r="C234" s="59" t="s">
        <v>3757</v>
      </c>
      <c r="D234" s="60" t="s">
        <v>2589</v>
      </c>
      <c r="E234" t="str">
        <f>_xlfn.XLOOKUP(D234,'[2]8A. Master Device Catalog'!$F$5:$F$914,'[2]8A. Master Device Catalog'!$G$5:$G$914,"")</f>
        <v>SM-G900</v>
      </c>
      <c r="F234">
        <f>_xlfn.XLOOKUP(D234,'[2]8A. Master Device Catalog'!$F$5:$F$914,'[2]8A. Master Device Catalog'!$H$5:$H$914,"")</f>
        <v>2014</v>
      </c>
    </row>
    <row r="235" spans="1:6" ht="21.5" x14ac:dyDescent="0.35">
      <c r="A235" t="s">
        <v>4005</v>
      </c>
      <c r="B235" s="59" t="s">
        <v>4000</v>
      </c>
      <c r="C235" s="59" t="s">
        <v>3757</v>
      </c>
      <c r="D235" s="60" t="s">
        <v>2583</v>
      </c>
      <c r="E235" t="str">
        <f>_xlfn.XLOOKUP(D235,'[2]8A. Master Device Catalog'!$F$5:$F$914,'[2]8A. Master Device Catalog'!$G$5:$G$914,"")</f>
        <v>SM-G920</v>
      </c>
      <c r="F235">
        <f>_xlfn.XLOOKUP(D235,'[2]8A. Master Device Catalog'!$F$5:$F$914,'[2]8A. Master Device Catalog'!$H$5:$H$914,"")</f>
        <v>2015</v>
      </c>
    </row>
    <row r="236" spans="1:6" ht="21.5" x14ac:dyDescent="0.35">
      <c r="A236" t="s">
        <v>4006</v>
      </c>
      <c r="B236" s="59" t="s">
        <v>4000</v>
      </c>
      <c r="C236" s="59" t="s">
        <v>3757</v>
      </c>
      <c r="D236" s="60" t="s">
        <v>2577</v>
      </c>
      <c r="E236" t="str">
        <f>_xlfn.XLOOKUP(D236,'[2]8A. Master Device Catalog'!$F$5:$F$914,'[2]8A. Master Device Catalog'!$G$5:$G$914,"")</f>
        <v>SM-G925</v>
      </c>
      <c r="F236">
        <f>_xlfn.XLOOKUP(D236,'[2]8A. Master Device Catalog'!$F$5:$F$914,'[2]8A. Master Device Catalog'!$H$5:$H$914,"")</f>
        <v>2015</v>
      </c>
    </row>
    <row r="237" spans="1:6" ht="21.5" x14ac:dyDescent="0.35">
      <c r="A237" t="s">
        <v>4007</v>
      </c>
      <c r="B237" s="59" t="s">
        <v>4000</v>
      </c>
      <c r="C237" s="59" t="s">
        <v>3757</v>
      </c>
      <c r="D237" s="60" t="s">
        <v>2571</v>
      </c>
      <c r="E237" t="str">
        <f>_xlfn.XLOOKUP(D237,'[2]8A. Master Device Catalog'!$F$5:$F$914,'[2]8A. Master Device Catalog'!$G$5:$G$914,"")</f>
        <v>SM-G928</v>
      </c>
      <c r="F237">
        <f>_xlfn.XLOOKUP(D237,'[2]8A. Master Device Catalog'!$F$5:$F$914,'[2]8A. Master Device Catalog'!$H$5:$H$914,"")</f>
        <v>2015</v>
      </c>
    </row>
    <row r="238" spans="1:6" ht="21.5" x14ac:dyDescent="0.35">
      <c r="A238" t="s">
        <v>4008</v>
      </c>
      <c r="B238" s="59" t="s">
        <v>4000</v>
      </c>
      <c r="C238" s="59" t="s">
        <v>3757</v>
      </c>
      <c r="D238" s="60" t="s">
        <v>2565</v>
      </c>
      <c r="E238" t="str">
        <f>_xlfn.XLOOKUP(D238,'[2]8A. Master Device Catalog'!$F$5:$F$914,'[2]8A. Master Device Catalog'!$G$5:$G$914,"")</f>
        <v>SM-G890</v>
      </c>
      <c r="F238">
        <f>_xlfn.XLOOKUP(D238,'[2]8A. Master Device Catalog'!$F$5:$F$914,'[2]8A. Master Device Catalog'!$H$5:$H$914,"")</f>
        <v>2015</v>
      </c>
    </row>
    <row r="239" spans="1:6" ht="21.5" x14ac:dyDescent="0.35">
      <c r="A239" t="s">
        <v>4009</v>
      </c>
      <c r="B239" s="59" t="s">
        <v>4000</v>
      </c>
      <c r="C239" s="59" t="s">
        <v>3757</v>
      </c>
      <c r="D239" s="60" t="s">
        <v>2559</v>
      </c>
      <c r="E239" t="str">
        <f>_xlfn.XLOOKUP(D239,'[2]8A. Master Device Catalog'!$F$5:$F$914,'[2]8A. Master Device Catalog'!$G$5:$G$914,"")</f>
        <v>SM-G930</v>
      </c>
      <c r="F239">
        <f>_xlfn.XLOOKUP(D239,'[2]8A. Master Device Catalog'!$F$5:$F$914,'[2]8A. Master Device Catalog'!$H$5:$H$914,"")</f>
        <v>2016</v>
      </c>
    </row>
    <row r="240" spans="1:6" ht="21.5" x14ac:dyDescent="0.35">
      <c r="A240" t="s">
        <v>4010</v>
      </c>
      <c r="B240" s="59" t="s">
        <v>4000</v>
      </c>
      <c r="C240" s="59" t="s">
        <v>3757</v>
      </c>
      <c r="D240" s="60" t="s">
        <v>2553</v>
      </c>
      <c r="E240" t="str">
        <f>_xlfn.XLOOKUP(D240,'[2]8A. Master Device Catalog'!$F$5:$F$914,'[2]8A. Master Device Catalog'!$G$5:$G$914,"")</f>
        <v>SM-G935</v>
      </c>
      <c r="F240">
        <f>_xlfn.XLOOKUP(D240,'[2]8A. Master Device Catalog'!$F$5:$F$914,'[2]8A. Master Device Catalog'!$H$5:$H$914,"")</f>
        <v>2016</v>
      </c>
    </row>
    <row r="241" spans="1:6" ht="21.5" x14ac:dyDescent="0.35">
      <c r="A241" t="s">
        <v>4011</v>
      </c>
      <c r="B241" s="59" t="s">
        <v>4000</v>
      </c>
      <c r="C241" s="59" t="s">
        <v>3757</v>
      </c>
      <c r="D241" s="60" t="s">
        <v>2547</v>
      </c>
      <c r="E241" t="str">
        <f>_xlfn.XLOOKUP(D241,'[2]8A. Master Device Catalog'!$F$5:$F$914,'[2]8A. Master Device Catalog'!$G$5:$G$914,"")</f>
        <v>SM-G950</v>
      </c>
      <c r="F241">
        <f>_xlfn.XLOOKUP(D241,'[2]8A. Master Device Catalog'!$F$5:$F$914,'[2]8A. Master Device Catalog'!$H$5:$H$914,"")</f>
        <v>2017</v>
      </c>
    </row>
    <row r="242" spans="1:6" ht="21.5" x14ac:dyDescent="0.35">
      <c r="A242" t="s">
        <v>4012</v>
      </c>
      <c r="B242" s="59" t="s">
        <v>4000</v>
      </c>
      <c r="C242" s="59" t="s">
        <v>3757</v>
      </c>
      <c r="D242" s="60" t="s">
        <v>2541</v>
      </c>
      <c r="E242" t="str">
        <f>_xlfn.XLOOKUP(D242,'[2]8A. Master Device Catalog'!$F$5:$F$914,'[2]8A. Master Device Catalog'!$G$5:$G$914,"")</f>
        <v>SM-G955</v>
      </c>
      <c r="F242">
        <f>_xlfn.XLOOKUP(D242,'[2]8A. Master Device Catalog'!$F$5:$F$914,'[2]8A. Master Device Catalog'!$H$5:$H$914,"")</f>
        <v>2017</v>
      </c>
    </row>
    <row r="243" spans="1:6" ht="21.5" x14ac:dyDescent="0.35">
      <c r="A243" t="s">
        <v>4013</v>
      </c>
      <c r="B243" s="59" t="s">
        <v>4000</v>
      </c>
      <c r="C243" s="59" t="s">
        <v>3757</v>
      </c>
      <c r="D243" s="60" t="s">
        <v>2535</v>
      </c>
      <c r="E243" t="str">
        <f>_xlfn.XLOOKUP(D243,'[2]8A. Master Device Catalog'!$F$5:$F$914,'[2]8A. Master Device Catalog'!$G$5:$G$914,"")</f>
        <v>SM-G960</v>
      </c>
      <c r="F243">
        <f>_xlfn.XLOOKUP(D243,'[2]8A. Master Device Catalog'!$F$5:$F$914,'[2]8A. Master Device Catalog'!$H$5:$H$914,"")</f>
        <v>2018</v>
      </c>
    </row>
    <row r="244" spans="1:6" ht="21.5" x14ac:dyDescent="0.35">
      <c r="A244" t="s">
        <v>4014</v>
      </c>
      <c r="B244" s="59" t="s">
        <v>4000</v>
      </c>
      <c r="C244" s="59" t="s">
        <v>3757</v>
      </c>
      <c r="D244" s="60" t="s">
        <v>2532</v>
      </c>
      <c r="E244" t="str">
        <f>_xlfn.XLOOKUP(D244,'[2]8A. Master Device Catalog'!$F$5:$F$914,'[2]8A. Master Device Catalog'!$G$5:$G$914,"")</f>
        <v>SM-G965</v>
      </c>
      <c r="F244">
        <f>_xlfn.XLOOKUP(D244,'[2]8A. Master Device Catalog'!$F$5:$F$914,'[2]8A. Master Device Catalog'!$H$5:$H$914,"")</f>
        <v>2018</v>
      </c>
    </row>
    <row r="245" spans="1:6" ht="21.5" x14ac:dyDescent="0.35">
      <c r="A245" t="s">
        <v>4015</v>
      </c>
      <c r="B245" s="59" t="s">
        <v>4000</v>
      </c>
      <c r="C245" s="59" t="s">
        <v>3757</v>
      </c>
      <c r="D245" s="60" t="s">
        <v>2528</v>
      </c>
      <c r="E245" t="str">
        <f>_xlfn.XLOOKUP(D245,'[2]8A. Master Device Catalog'!$F$5:$F$914,'[2]8A. Master Device Catalog'!$G$5:$G$914,"")</f>
        <v>SM-G970</v>
      </c>
      <c r="F245">
        <f>_xlfn.XLOOKUP(D245,'[2]8A. Master Device Catalog'!$F$5:$F$914,'[2]8A. Master Device Catalog'!$H$5:$H$914,"")</f>
        <v>2019</v>
      </c>
    </row>
    <row r="246" spans="1:6" ht="21.5" x14ac:dyDescent="0.35">
      <c r="A246" t="s">
        <v>4016</v>
      </c>
      <c r="B246" s="59" t="s">
        <v>4000</v>
      </c>
      <c r="C246" s="59" t="s">
        <v>3757</v>
      </c>
      <c r="D246" s="60" t="s">
        <v>2525</v>
      </c>
      <c r="E246" t="str">
        <f>_xlfn.XLOOKUP(D246,'[2]8A. Master Device Catalog'!$F$5:$F$914,'[2]8A. Master Device Catalog'!$G$5:$G$914,"")</f>
        <v>SM-G973</v>
      </c>
      <c r="F246">
        <f>_xlfn.XLOOKUP(D246,'[2]8A. Master Device Catalog'!$F$5:$F$914,'[2]8A. Master Device Catalog'!$H$5:$H$914,"")</f>
        <v>2019</v>
      </c>
    </row>
    <row r="247" spans="1:6" ht="21.5" x14ac:dyDescent="0.35">
      <c r="A247" t="s">
        <v>4017</v>
      </c>
      <c r="B247" s="59" t="s">
        <v>4000</v>
      </c>
      <c r="C247" s="59" t="s">
        <v>3757</v>
      </c>
      <c r="D247" s="60" t="s">
        <v>2520</v>
      </c>
      <c r="E247" t="str">
        <f>_xlfn.XLOOKUP(D247,'[2]8A. Master Device Catalog'!$F$5:$F$914,'[2]8A. Master Device Catalog'!$G$5:$G$914,"")</f>
        <v>SM-G975</v>
      </c>
      <c r="F247">
        <f>_xlfn.XLOOKUP(D247,'[2]8A. Master Device Catalog'!$F$5:$F$914,'[2]8A. Master Device Catalog'!$H$5:$H$914,"")</f>
        <v>2019</v>
      </c>
    </row>
    <row r="248" spans="1:6" ht="21.5" x14ac:dyDescent="0.35">
      <c r="A248" t="s">
        <v>4018</v>
      </c>
      <c r="B248" s="59" t="s">
        <v>4000</v>
      </c>
      <c r="C248" s="59" t="s">
        <v>3757</v>
      </c>
      <c r="D248" s="60" t="s">
        <v>2515</v>
      </c>
      <c r="E248" t="str">
        <f>_xlfn.XLOOKUP(D248,'[2]8A. Master Device Catalog'!$F$5:$F$914,'[2]8A. Master Device Catalog'!$G$5:$G$914,"")</f>
        <v>SM-G977</v>
      </c>
      <c r="F248">
        <f>_xlfn.XLOOKUP(D248,'[2]8A. Master Device Catalog'!$F$5:$F$914,'[2]8A. Master Device Catalog'!$H$5:$H$914,"")</f>
        <v>2019</v>
      </c>
    </row>
    <row r="249" spans="1:6" ht="21.5" x14ac:dyDescent="0.35">
      <c r="A249" t="s">
        <v>4019</v>
      </c>
      <c r="B249" s="59" t="s">
        <v>4000</v>
      </c>
      <c r="C249" s="59" t="s">
        <v>3757</v>
      </c>
      <c r="D249" s="60" t="s">
        <v>2510</v>
      </c>
      <c r="E249" t="str">
        <f>_xlfn.XLOOKUP(D249,'[2]8A. Master Device Catalog'!$F$5:$F$914,'[2]8A. Master Device Catalog'!$G$5:$G$914,"")</f>
        <v>SM-G981</v>
      </c>
      <c r="F249">
        <f>_xlfn.XLOOKUP(D249,'[2]8A. Master Device Catalog'!$F$5:$F$914,'[2]8A. Master Device Catalog'!$H$5:$H$914,"")</f>
        <v>2020</v>
      </c>
    </row>
    <row r="250" spans="1:6" ht="21.5" x14ac:dyDescent="0.35">
      <c r="A250" t="s">
        <v>4020</v>
      </c>
      <c r="B250" s="59" t="s">
        <v>4000</v>
      </c>
      <c r="C250" s="59" t="s">
        <v>3757</v>
      </c>
      <c r="D250" s="60" t="s">
        <v>2504</v>
      </c>
      <c r="E250" t="str">
        <f>_xlfn.XLOOKUP(D250,'[2]8A. Master Device Catalog'!$F$5:$F$914,'[2]8A. Master Device Catalog'!$G$5:$G$914,"")</f>
        <v>SM-G986</v>
      </c>
      <c r="F250">
        <f>_xlfn.XLOOKUP(D250,'[2]8A. Master Device Catalog'!$F$5:$F$914,'[2]8A. Master Device Catalog'!$H$5:$H$914,"")</f>
        <v>2020</v>
      </c>
    </row>
    <row r="251" spans="1:6" ht="21.5" x14ac:dyDescent="0.35">
      <c r="A251" t="s">
        <v>4021</v>
      </c>
      <c r="B251" s="59" t="s">
        <v>4000</v>
      </c>
      <c r="C251" s="59" t="s">
        <v>3757</v>
      </c>
      <c r="D251" s="60" t="s">
        <v>2499</v>
      </c>
      <c r="E251" t="str">
        <f>_xlfn.XLOOKUP(D251,'[2]8A. Master Device Catalog'!$F$5:$F$914,'[2]8A. Master Device Catalog'!$G$5:$G$914,"")</f>
        <v>SM-G988</v>
      </c>
      <c r="F251">
        <f>_xlfn.XLOOKUP(D251,'[2]8A. Master Device Catalog'!$F$5:$F$914,'[2]8A. Master Device Catalog'!$H$5:$H$914,"")</f>
        <v>2020</v>
      </c>
    </row>
    <row r="252" spans="1:6" ht="21.5" x14ac:dyDescent="0.35">
      <c r="A252" t="s">
        <v>4022</v>
      </c>
      <c r="B252" s="59" t="s">
        <v>4000</v>
      </c>
      <c r="C252" s="59" t="s">
        <v>3757</v>
      </c>
      <c r="D252" s="60" t="s">
        <v>2494</v>
      </c>
      <c r="E252" t="str">
        <f>_xlfn.XLOOKUP(D252,'[2]8A. Master Device Catalog'!$F$5:$F$914,'[2]8A. Master Device Catalog'!$G$5:$G$914,"")</f>
        <v>SM-G781</v>
      </c>
      <c r="F252">
        <f>_xlfn.XLOOKUP(D252,'[2]8A. Master Device Catalog'!$F$5:$F$914,'[2]8A. Master Device Catalog'!$H$5:$H$914,"")</f>
        <v>2020</v>
      </c>
    </row>
    <row r="253" spans="1:6" ht="21.5" x14ac:dyDescent="0.35">
      <c r="A253" t="s">
        <v>4023</v>
      </c>
      <c r="B253" s="59" t="s">
        <v>4000</v>
      </c>
      <c r="C253" s="59" t="s">
        <v>3757</v>
      </c>
      <c r="D253" s="60" t="s">
        <v>2489</v>
      </c>
      <c r="E253" t="str">
        <f>_xlfn.XLOOKUP(D253,'[2]8A. Master Device Catalog'!$F$5:$F$914,'[2]8A. Master Device Catalog'!$G$5:$G$914,"")</f>
        <v>SM-G991</v>
      </c>
      <c r="F253">
        <f>_xlfn.XLOOKUP(D253,'[2]8A. Master Device Catalog'!$F$5:$F$914,'[2]8A. Master Device Catalog'!$H$5:$H$914,"")</f>
        <v>2021</v>
      </c>
    </row>
    <row r="254" spans="1:6" ht="21.5" x14ac:dyDescent="0.35">
      <c r="A254" t="s">
        <v>4024</v>
      </c>
      <c r="B254" s="59" t="s">
        <v>4000</v>
      </c>
      <c r="C254" s="59" t="s">
        <v>3757</v>
      </c>
      <c r="D254" s="60" t="s">
        <v>2483</v>
      </c>
      <c r="E254" t="str">
        <f>_xlfn.XLOOKUP(D254,'[2]8A. Master Device Catalog'!$F$5:$F$914,'[2]8A. Master Device Catalog'!$G$5:$G$914,"")</f>
        <v>SM-G996</v>
      </c>
      <c r="F254">
        <f>_xlfn.XLOOKUP(D254,'[2]8A. Master Device Catalog'!$F$5:$F$914,'[2]8A. Master Device Catalog'!$H$5:$H$914,"")</f>
        <v>2021</v>
      </c>
    </row>
    <row r="255" spans="1:6" ht="21.5" x14ac:dyDescent="0.35">
      <c r="A255" t="s">
        <v>4025</v>
      </c>
      <c r="B255" s="59" t="s">
        <v>4000</v>
      </c>
      <c r="C255" s="59" t="s">
        <v>3757</v>
      </c>
      <c r="D255" s="60" t="s">
        <v>2477</v>
      </c>
      <c r="E255" t="str">
        <f>_xlfn.XLOOKUP(D255,'[2]8A. Master Device Catalog'!$F$5:$F$914,'[2]8A. Master Device Catalog'!$G$5:$G$914,"")</f>
        <v>SM-G998</v>
      </c>
      <c r="F255">
        <f>_xlfn.XLOOKUP(D255,'[2]8A. Master Device Catalog'!$F$5:$F$914,'[2]8A. Master Device Catalog'!$H$5:$H$914,"")</f>
        <v>2021</v>
      </c>
    </row>
    <row r="256" spans="1:6" ht="21.5" x14ac:dyDescent="0.35">
      <c r="A256" t="s">
        <v>4026</v>
      </c>
      <c r="B256" s="59" t="s">
        <v>4000</v>
      </c>
      <c r="C256" s="59" t="s">
        <v>3757</v>
      </c>
      <c r="D256" s="60" t="s">
        <v>2472</v>
      </c>
      <c r="E256" t="str">
        <f>_xlfn.XLOOKUP(D256,'[2]8A. Master Device Catalog'!$F$5:$F$914,'[2]8A. Master Device Catalog'!$G$5:$G$914,"")</f>
        <v>SM-G990</v>
      </c>
      <c r="F256">
        <f>_xlfn.XLOOKUP(D256,'[2]8A. Master Device Catalog'!$F$5:$F$914,'[2]8A. Master Device Catalog'!$H$5:$H$914,"")</f>
        <v>2022</v>
      </c>
    </row>
    <row r="257" spans="1:6" ht="21.5" x14ac:dyDescent="0.35">
      <c r="A257" t="s">
        <v>4027</v>
      </c>
      <c r="B257" s="59" t="s">
        <v>4000</v>
      </c>
      <c r="C257" s="59" t="s">
        <v>3757</v>
      </c>
      <c r="D257" s="60" t="s">
        <v>2469</v>
      </c>
      <c r="E257" t="str">
        <f>_xlfn.XLOOKUP(D257,'[2]8A. Master Device Catalog'!$F$5:$F$914,'[2]8A. Master Device Catalog'!$G$5:$G$914,"")</f>
        <v>SM-S901</v>
      </c>
      <c r="F257">
        <f>_xlfn.XLOOKUP(D257,'[2]8A. Master Device Catalog'!$F$5:$F$914,'[2]8A. Master Device Catalog'!$H$5:$H$914,"")</f>
        <v>2022</v>
      </c>
    </row>
    <row r="258" spans="1:6" ht="21.5" x14ac:dyDescent="0.35">
      <c r="A258" t="s">
        <v>4028</v>
      </c>
      <c r="B258" s="59" t="s">
        <v>4000</v>
      </c>
      <c r="C258" s="59" t="s">
        <v>3757</v>
      </c>
      <c r="D258" s="60" t="s">
        <v>2465</v>
      </c>
      <c r="E258" t="str">
        <f>_xlfn.XLOOKUP(D258,'[2]8A. Master Device Catalog'!$F$5:$F$914,'[2]8A. Master Device Catalog'!$G$5:$G$914,"")</f>
        <v>SM-S906</v>
      </c>
      <c r="F258">
        <f>_xlfn.XLOOKUP(D258,'[2]8A. Master Device Catalog'!$F$5:$F$914,'[2]8A. Master Device Catalog'!$H$5:$H$914,"")</f>
        <v>2022</v>
      </c>
    </row>
    <row r="259" spans="1:6" ht="21.5" x14ac:dyDescent="0.35">
      <c r="A259" t="s">
        <v>4029</v>
      </c>
      <c r="B259" s="59" t="s">
        <v>4000</v>
      </c>
      <c r="C259" s="59" t="s">
        <v>3757</v>
      </c>
      <c r="D259" s="60" t="s">
        <v>2462</v>
      </c>
      <c r="E259" t="str">
        <f>_xlfn.XLOOKUP(D259,'[2]8A. Master Device Catalog'!$F$5:$F$914,'[2]8A. Master Device Catalog'!$G$5:$G$914,"")</f>
        <v>SM-S908</v>
      </c>
      <c r="F259">
        <f>_xlfn.XLOOKUP(D259,'[2]8A. Master Device Catalog'!$F$5:$F$914,'[2]8A. Master Device Catalog'!$H$5:$H$914,"")</f>
        <v>2022</v>
      </c>
    </row>
    <row r="260" spans="1:6" ht="21.5" x14ac:dyDescent="0.35">
      <c r="A260" t="s">
        <v>4030</v>
      </c>
      <c r="B260" s="59" t="s">
        <v>4000</v>
      </c>
      <c r="C260" s="59" t="s">
        <v>3757</v>
      </c>
      <c r="D260" s="60" t="s">
        <v>2457</v>
      </c>
      <c r="E260" t="str">
        <f>_xlfn.XLOOKUP(D260,'[2]8A. Master Device Catalog'!$F$5:$F$914,'[2]8A. Master Device Catalog'!$G$5:$G$914,"")</f>
        <v>SM-S911</v>
      </c>
      <c r="F260">
        <f>_xlfn.XLOOKUP(D260,'[2]8A. Master Device Catalog'!$F$5:$F$914,'[2]8A. Master Device Catalog'!$H$5:$H$914,"")</f>
        <v>2023</v>
      </c>
    </row>
    <row r="261" spans="1:6" ht="21.5" x14ac:dyDescent="0.35">
      <c r="A261" t="s">
        <v>4031</v>
      </c>
      <c r="B261" s="59" t="s">
        <v>4000</v>
      </c>
      <c r="C261" s="59" t="s">
        <v>3757</v>
      </c>
      <c r="D261" s="60" t="s">
        <v>2452</v>
      </c>
      <c r="E261" t="str">
        <f>_xlfn.XLOOKUP(D261,'[2]8A. Master Device Catalog'!$F$5:$F$914,'[2]8A. Master Device Catalog'!$G$5:$G$914,"")</f>
        <v>SM-S916</v>
      </c>
      <c r="F261">
        <f>_xlfn.XLOOKUP(D261,'[2]8A. Master Device Catalog'!$F$5:$F$914,'[2]8A. Master Device Catalog'!$H$5:$H$914,"")</f>
        <v>2023</v>
      </c>
    </row>
    <row r="262" spans="1:6" ht="21.5" x14ac:dyDescent="0.35">
      <c r="A262" t="s">
        <v>4032</v>
      </c>
      <c r="B262" s="59" t="s">
        <v>4000</v>
      </c>
      <c r="C262" s="59" t="s">
        <v>3757</v>
      </c>
      <c r="D262" s="60" t="s">
        <v>2447</v>
      </c>
      <c r="E262" t="str">
        <f>_xlfn.XLOOKUP(D262,'[2]8A. Master Device Catalog'!$F$5:$F$914,'[2]8A. Master Device Catalog'!$G$5:$G$914,"")</f>
        <v>SM-S918</v>
      </c>
      <c r="F262">
        <f>_xlfn.XLOOKUP(D262,'[2]8A. Master Device Catalog'!$F$5:$F$914,'[2]8A. Master Device Catalog'!$H$5:$H$914,"")</f>
        <v>2023</v>
      </c>
    </row>
    <row r="263" spans="1:6" ht="21.5" x14ac:dyDescent="0.35">
      <c r="A263" t="s">
        <v>4033</v>
      </c>
      <c r="B263" s="59" t="s">
        <v>4000</v>
      </c>
      <c r="C263" s="59" t="s">
        <v>3757</v>
      </c>
      <c r="D263" s="60" t="s">
        <v>2442</v>
      </c>
      <c r="E263" t="str">
        <f>_xlfn.XLOOKUP(D263,'[2]8A. Master Device Catalog'!$F$5:$F$914,'[2]8A. Master Device Catalog'!$G$5:$G$914,"")</f>
        <v>SM-S711</v>
      </c>
      <c r="F263">
        <f>_xlfn.XLOOKUP(D263,'[2]8A. Master Device Catalog'!$F$5:$F$914,'[2]8A. Master Device Catalog'!$H$5:$H$914,"")</f>
        <v>2023</v>
      </c>
    </row>
    <row r="264" spans="1:6" ht="21.5" x14ac:dyDescent="0.35">
      <c r="A264" t="s">
        <v>4034</v>
      </c>
      <c r="B264" s="59" t="s">
        <v>4000</v>
      </c>
      <c r="C264" s="59" t="s">
        <v>3757</v>
      </c>
      <c r="D264" s="60" t="s">
        <v>2437</v>
      </c>
      <c r="E264" t="str">
        <f>_xlfn.XLOOKUP(D264,'[2]8A. Master Device Catalog'!$F$5:$F$914,'[2]8A. Master Device Catalog'!$G$5:$G$914,"")</f>
        <v>SM-S921</v>
      </c>
      <c r="F264">
        <f>_xlfn.XLOOKUP(D264,'[2]8A. Master Device Catalog'!$F$5:$F$914,'[2]8A. Master Device Catalog'!$H$5:$H$914,"")</f>
        <v>2024</v>
      </c>
    </row>
    <row r="265" spans="1:6" ht="21.5" x14ac:dyDescent="0.35">
      <c r="A265" t="s">
        <v>4035</v>
      </c>
      <c r="B265" s="59" t="s">
        <v>4000</v>
      </c>
      <c r="C265" s="59" t="s">
        <v>3757</v>
      </c>
      <c r="D265" s="60" t="s">
        <v>2432</v>
      </c>
      <c r="E265" t="str">
        <f>_xlfn.XLOOKUP(D265,'[2]8A. Master Device Catalog'!$F$5:$F$914,'[2]8A. Master Device Catalog'!$G$5:$G$914,"")</f>
        <v>SM-S926</v>
      </c>
      <c r="F265">
        <f>_xlfn.XLOOKUP(D265,'[2]8A. Master Device Catalog'!$F$5:$F$914,'[2]8A. Master Device Catalog'!$H$5:$H$914,"")</f>
        <v>2024</v>
      </c>
    </row>
    <row r="266" spans="1:6" ht="21.5" x14ac:dyDescent="0.35">
      <c r="A266" t="s">
        <v>4036</v>
      </c>
      <c r="B266" s="59" t="s">
        <v>4000</v>
      </c>
      <c r="C266" s="59" t="s">
        <v>3757</v>
      </c>
      <c r="D266" s="60" t="s">
        <v>2429</v>
      </c>
      <c r="E266" t="str">
        <f>_xlfn.XLOOKUP(D266,'[2]8A. Master Device Catalog'!$F$5:$F$914,'[2]8A. Master Device Catalog'!$G$5:$G$914,"")</f>
        <v>SM-S928</v>
      </c>
      <c r="F266">
        <f>_xlfn.XLOOKUP(D266,'[2]8A. Master Device Catalog'!$F$5:$F$914,'[2]8A. Master Device Catalog'!$H$5:$H$914,"")</f>
        <v>2024</v>
      </c>
    </row>
    <row r="267" spans="1:6" ht="21.5" x14ac:dyDescent="0.35">
      <c r="A267" t="s">
        <v>4037</v>
      </c>
      <c r="B267" s="59" t="s">
        <v>4000</v>
      </c>
      <c r="C267" s="59" t="s">
        <v>3757</v>
      </c>
      <c r="D267" s="60" t="s">
        <v>2425</v>
      </c>
      <c r="E267" t="str">
        <f>_xlfn.XLOOKUP(D267,'[2]8A. Master Device Catalog'!$F$5:$F$914,'[2]8A. Master Device Catalog'!$G$5:$G$914,"")</f>
        <v>SM-S721</v>
      </c>
      <c r="F267">
        <f>_xlfn.XLOOKUP(D267,'[2]8A. Master Device Catalog'!$F$5:$F$914,'[2]8A. Master Device Catalog'!$H$5:$H$914,"")</f>
        <v>2024</v>
      </c>
    </row>
    <row r="268" spans="1:6" ht="21.5" x14ac:dyDescent="0.35">
      <c r="A268" t="s">
        <v>4038</v>
      </c>
      <c r="B268" s="59" t="s">
        <v>4000</v>
      </c>
      <c r="C268" s="59" t="s">
        <v>3757</v>
      </c>
      <c r="D268" s="60" t="s">
        <v>2422</v>
      </c>
      <c r="E268" t="str">
        <f>_xlfn.XLOOKUP(D268,'[2]8A. Master Device Catalog'!$F$5:$F$914,'[2]8A. Master Device Catalog'!$G$5:$G$914,"")</f>
        <v>SM-S931</v>
      </c>
      <c r="F268">
        <f>_xlfn.XLOOKUP(D268,'[2]8A. Master Device Catalog'!$F$5:$F$914,'[2]8A. Master Device Catalog'!$H$5:$H$914,"")</f>
        <v>2025</v>
      </c>
    </row>
    <row r="269" spans="1:6" ht="21.5" x14ac:dyDescent="0.35">
      <c r="A269" t="s">
        <v>4039</v>
      </c>
      <c r="B269" s="59" t="s">
        <v>4000</v>
      </c>
      <c r="C269" s="59" t="s">
        <v>3757</v>
      </c>
      <c r="D269" s="60" t="s">
        <v>2416</v>
      </c>
      <c r="E269" t="str">
        <f>_xlfn.XLOOKUP(D269,'[2]8A. Master Device Catalog'!$F$5:$F$914,'[2]8A. Master Device Catalog'!$G$5:$G$914,"")</f>
        <v>SM-S936</v>
      </c>
      <c r="F269">
        <f>_xlfn.XLOOKUP(D269,'[2]8A. Master Device Catalog'!$F$5:$F$914,'[2]8A. Master Device Catalog'!$H$5:$H$914,"")</f>
        <v>2025</v>
      </c>
    </row>
    <row r="270" spans="1:6" ht="21.5" x14ac:dyDescent="0.35">
      <c r="A270" t="s">
        <v>4040</v>
      </c>
      <c r="B270" s="59" t="s">
        <v>4000</v>
      </c>
      <c r="C270" s="59" t="s">
        <v>3757</v>
      </c>
      <c r="D270" s="60" t="s">
        <v>2410</v>
      </c>
      <c r="E270" t="str">
        <f>_xlfn.XLOOKUP(D270,'[2]8A. Master Device Catalog'!$F$5:$F$914,'[2]8A. Master Device Catalog'!$G$5:$G$914,"")</f>
        <v>SM-S938</v>
      </c>
      <c r="F270">
        <f>_xlfn.XLOOKUP(D270,'[2]8A. Master Device Catalog'!$F$5:$F$914,'[2]8A. Master Device Catalog'!$H$5:$H$914,"")</f>
        <v>2025</v>
      </c>
    </row>
    <row r="271" spans="1:6" ht="21.5" x14ac:dyDescent="0.35">
      <c r="A271" t="s">
        <v>4041</v>
      </c>
      <c r="B271" s="59" t="s">
        <v>4000</v>
      </c>
      <c r="C271" s="59" t="s">
        <v>3757</v>
      </c>
      <c r="D271" s="60" t="s">
        <v>2403</v>
      </c>
      <c r="E271" t="str">
        <f>_xlfn.XLOOKUP(D271,'[2]8A. Master Device Catalog'!$F$5:$F$914,'[2]8A. Master Device Catalog'!$G$5:$G$914,"")</f>
        <v>SM-S937</v>
      </c>
      <c r="F271">
        <f>_xlfn.XLOOKUP(D271,'[2]8A. Master Device Catalog'!$F$5:$F$914,'[2]8A. Master Device Catalog'!$H$5:$H$914,"")</f>
        <v>2025</v>
      </c>
    </row>
    <row r="272" spans="1:6" ht="21.5" x14ac:dyDescent="0.35">
      <c r="A272" t="s">
        <v>4042</v>
      </c>
      <c r="B272" s="59" t="s">
        <v>4000</v>
      </c>
      <c r="C272" s="59" t="s">
        <v>3757</v>
      </c>
      <c r="D272" s="60" t="s">
        <v>2397</v>
      </c>
      <c r="E272" t="str">
        <f>_xlfn.XLOOKUP(D272,'[2]8A. Master Device Catalog'!$F$5:$F$914,'[2]8A. Master Device Catalog'!$G$5:$G$914,"")</f>
        <v>GT-N7000</v>
      </c>
      <c r="F272">
        <f>_xlfn.XLOOKUP(D272,'[2]8A. Master Device Catalog'!$F$5:$F$914,'[2]8A. Master Device Catalog'!$H$5:$H$914,"")</f>
        <v>2011</v>
      </c>
    </row>
    <row r="273" spans="1:6" ht="21.5" x14ac:dyDescent="0.35">
      <c r="A273" t="s">
        <v>4043</v>
      </c>
      <c r="B273" s="59" t="s">
        <v>4000</v>
      </c>
      <c r="C273" s="59" t="s">
        <v>3757</v>
      </c>
      <c r="D273" s="60" t="s">
        <v>2391</v>
      </c>
      <c r="E273" t="str">
        <f>_xlfn.XLOOKUP(D273,'[2]8A. Master Device Catalog'!$F$5:$F$914,'[2]8A. Master Device Catalog'!$G$5:$G$914,"")</f>
        <v>GT-N7100</v>
      </c>
      <c r="F273">
        <f>_xlfn.XLOOKUP(D273,'[2]8A. Master Device Catalog'!$F$5:$F$914,'[2]8A. Master Device Catalog'!$H$5:$H$914,"")</f>
        <v>2012</v>
      </c>
    </row>
    <row r="274" spans="1:6" ht="21.5" x14ac:dyDescent="0.35">
      <c r="A274" t="s">
        <v>4044</v>
      </c>
      <c r="B274" s="59" t="s">
        <v>4000</v>
      </c>
      <c r="C274" s="59" t="s">
        <v>3757</v>
      </c>
      <c r="D274" s="60" t="s">
        <v>2385</v>
      </c>
      <c r="E274" t="str">
        <f>_xlfn.XLOOKUP(D274,'[2]8A. Master Device Catalog'!$F$5:$F$914,'[2]8A. Master Device Catalog'!$G$5:$G$914,"")</f>
        <v>SM-N900</v>
      </c>
      <c r="F274">
        <f>_xlfn.XLOOKUP(D274,'[2]8A. Master Device Catalog'!$F$5:$F$914,'[2]8A. Master Device Catalog'!$H$5:$H$914,"")</f>
        <v>2013</v>
      </c>
    </row>
    <row r="275" spans="1:6" ht="21.5" x14ac:dyDescent="0.35">
      <c r="A275" t="s">
        <v>4045</v>
      </c>
      <c r="B275" s="59" t="s">
        <v>4000</v>
      </c>
      <c r="C275" s="59" t="s">
        <v>3757</v>
      </c>
      <c r="D275" s="60" t="s">
        <v>2379</v>
      </c>
      <c r="E275" t="str">
        <f>_xlfn.XLOOKUP(D275,'[2]8A. Master Device Catalog'!$F$5:$F$914,'[2]8A. Master Device Catalog'!$G$5:$G$914,"")</f>
        <v>SM-N910</v>
      </c>
      <c r="F275">
        <f>_xlfn.XLOOKUP(D275,'[2]8A. Master Device Catalog'!$F$5:$F$914,'[2]8A. Master Device Catalog'!$H$5:$H$914,"")</f>
        <v>2014</v>
      </c>
    </row>
    <row r="276" spans="1:6" ht="21.5" x14ac:dyDescent="0.35">
      <c r="A276" t="s">
        <v>4046</v>
      </c>
      <c r="B276" s="59" t="s">
        <v>4000</v>
      </c>
      <c r="C276" s="59" t="s">
        <v>3757</v>
      </c>
      <c r="D276" s="60" t="s">
        <v>2373</v>
      </c>
      <c r="E276" t="str">
        <f>_xlfn.XLOOKUP(D276,'[2]8A. Master Device Catalog'!$F$5:$F$914,'[2]8A. Master Device Catalog'!$G$5:$G$914,"")</f>
        <v>SM-N915</v>
      </c>
      <c r="F276">
        <f>_xlfn.XLOOKUP(D276,'[2]8A. Master Device Catalog'!$F$5:$F$914,'[2]8A. Master Device Catalog'!$H$5:$H$914,"")</f>
        <v>2014</v>
      </c>
    </row>
    <row r="277" spans="1:6" ht="21.5" x14ac:dyDescent="0.35">
      <c r="A277" t="s">
        <v>4047</v>
      </c>
      <c r="B277" s="59" t="s">
        <v>4000</v>
      </c>
      <c r="C277" s="59" t="s">
        <v>3757</v>
      </c>
      <c r="D277" s="60" t="s">
        <v>2367</v>
      </c>
      <c r="E277" t="str">
        <f>_xlfn.XLOOKUP(D277,'[2]8A. Master Device Catalog'!$F$5:$F$914,'[2]8A. Master Device Catalog'!$G$5:$G$914,"")</f>
        <v>SM-N920</v>
      </c>
      <c r="F277">
        <f>_xlfn.XLOOKUP(D277,'[2]8A. Master Device Catalog'!$F$5:$F$914,'[2]8A. Master Device Catalog'!$H$5:$H$914,"")</f>
        <v>2015</v>
      </c>
    </row>
    <row r="278" spans="1:6" ht="21.5" x14ac:dyDescent="0.35">
      <c r="A278" t="s">
        <v>4048</v>
      </c>
      <c r="B278" s="59" t="s">
        <v>4000</v>
      </c>
      <c r="C278" s="59" t="s">
        <v>3757</v>
      </c>
      <c r="D278" s="60" t="s">
        <v>2361</v>
      </c>
      <c r="E278" t="str">
        <f>_xlfn.XLOOKUP(D278,'[2]8A. Master Device Catalog'!$F$5:$F$914,'[2]8A. Master Device Catalog'!$G$5:$G$914,"")</f>
        <v>SM-N935</v>
      </c>
      <c r="F278">
        <f>_xlfn.XLOOKUP(D278,'[2]8A. Master Device Catalog'!$F$5:$F$914,'[2]8A. Master Device Catalog'!$H$5:$H$914,"")</f>
        <v>2017</v>
      </c>
    </row>
    <row r="279" spans="1:6" ht="21.5" x14ac:dyDescent="0.35">
      <c r="A279" t="s">
        <v>4049</v>
      </c>
      <c r="B279" s="59" t="s">
        <v>4000</v>
      </c>
      <c r="C279" s="59" t="s">
        <v>3757</v>
      </c>
      <c r="D279" s="60" t="s">
        <v>2358</v>
      </c>
      <c r="E279" t="str">
        <f>_xlfn.XLOOKUP(D279,'[2]8A. Master Device Catalog'!$F$5:$F$914,'[2]8A. Master Device Catalog'!$G$5:$G$914,"")</f>
        <v>SM-N950</v>
      </c>
      <c r="F279">
        <f>_xlfn.XLOOKUP(D279,'[2]8A. Master Device Catalog'!$F$5:$F$914,'[2]8A. Master Device Catalog'!$H$5:$H$914,"")</f>
        <v>2017</v>
      </c>
    </row>
    <row r="280" spans="1:6" ht="21.5" x14ac:dyDescent="0.35">
      <c r="A280" t="s">
        <v>4050</v>
      </c>
      <c r="B280" s="59" t="s">
        <v>4000</v>
      </c>
      <c r="C280" s="59" t="s">
        <v>3757</v>
      </c>
      <c r="D280" s="60" t="s">
        <v>2354</v>
      </c>
      <c r="E280" t="str">
        <f>_xlfn.XLOOKUP(D280,'[2]8A. Master Device Catalog'!$F$5:$F$914,'[2]8A. Master Device Catalog'!$G$5:$G$914,"")</f>
        <v>SM-N960</v>
      </c>
      <c r="F280">
        <f>_xlfn.XLOOKUP(D280,'[2]8A. Master Device Catalog'!$F$5:$F$914,'[2]8A. Master Device Catalog'!$H$5:$H$914,"")</f>
        <v>2018</v>
      </c>
    </row>
    <row r="281" spans="1:6" ht="21.5" x14ac:dyDescent="0.35">
      <c r="A281" t="s">
        <v>4051</v>
      </c>
      <c r="B281" s="59" t="s">
        <v>4000</v>
      </c>
      <c r="C281" s="59" t="s">
        <v>3757</v>
      </c>
      <c r="D281" s="60" t="s">
        <v>2351</v>
      </c>
      <c r="E281" t="str">
        <f>_xlfn.XLOOKUP(D281,'[2]8A. Master Device Catalog'!$F$5:$F$914,'[2]8A. Master Device Catalog'!$G$5:$G$914,"")</f>
        <v>SM-N970</v>
      </c>
      <c r="F281">
        <f>_xlfn.XLOOKUP(D281,'[2]8A. Master Device Catalog'!$F$5:$F$914,'[2]8A. Master Device Catalog'!$H$5:$H$914,"")</f>
        <v>2019</v>
      </c>
    </row>
    <row r="282" spans="1:6" ht="21.5" x14ac:dyDescent="0.35">
      <c r="A282" t="s">
        <v>4052</v>
      </c>
      <c r="B282" s="59" t="s">
        <v>4000</v>
      </c>
      <c r="C282" s="59" t="s">
        <v>3757</v>
      </c>
      <c r="D282" s="60" t="s">
        <v>2346</v>
      </c>
      <c r="E282" t="str">
        <f>_xlfn.XLOOKUP(D282,'[2]8A. Master Device Catalog'!$F$5:$F$914,'[2]8A. Master Device Catalog'!$G$5:$G$914,"")</f>
        <v>SM-N975</v>
      </c>
      <c r="F282">
        <f>_xlfn.XLOOKUP(D282,'[2]8A. Master Device Catalog'!$F$5:$F$914,'[2]8A. Master Device Catalog'!$H$5:$H$914,"")</f>
        <v>2019</v>
      </c>
    </row>
    <row r="283" spans="1:6" ht="21.5" x14ac:dyDescent="0.35">
      <c r="A283" t="s">
        <v>4053</v>
      </c>
      <c r="B283" s="59" t="s">
        <v>4000</v>
      </c>
      <c r="C283" s="59" t="s">
        <v>3757</v>
      </c>
      <c r="D283" s="60" t="s">
        <v>2340</v>
      </c>
      <c r="E283" t="str">
        <f>_xlfn.XLOOKUP(D283,'[2]8A. Master Device Catalog'!$F$5:$F$914,'[2]8A. Master Device Catalog'!$G$5:$G$914,"")</f>
        <v>SM-N976</v>
      </c>
      <c r="F283">
        <f>_xlfn.XLOOKUP(D283,'[2]8A. Master Device Catalog'!$F$5:$F$914,'[2]8A. Master Device Catalog'!$H$5:$H$914,"")</f>
        <v>2019</v>
      </c>
    </row>
    <row r="284" spans="1:6" ht="21.5" x14ac:dyDescent="0.35">
      <c r="A284" t="s">
        <v>4054</v>
      </c>
      <c r="B284" s="59" t="s">
        <v>4000</v>
      </c>
      <c r="C284" s="59" t="s">
        <v>3757</v>
      </c>
      <c r="D284" s="60" t="s">
        <v>2334</v>
      </c>
      <c r="E284" t="str">
        <f>_xlfn.XLOOKUP(D284,'[2]8A. Master Device Catalog'!$F$5:$F$914,'[2]8A. Master Device Catalog'!$G$5:$G$914,"")</f>
        <v>SM-N981</v>
      </c>
      <c r="F284">
        <f>_xlfn.XLOOKUP(D284,'[2]8A. Master Device Catalog'!$F$5:$F$914,'[2]8A. Master Device Catalog'!$H$5:$H$914,"")</f>
        <v>2020</v>
      </c>
    </row>
    <row r="285" spans="1:6" ht="21.5" x14ac:dyDescent="0.35">
      <c r="A285" t="s">
        <v>4055</v>
      </c>
      <c r="B285" s="59" t="s">
        <v>4000</v>
      </c>
      <c r="C285" s="59" t="s">
        <v>3757</v>
      </c>
      <c r="D285" s="60" t="s">
        <v>2328</v>
      </c>
      <c r="E285" t="str">
        <f>_xlfn.XLOOKUP(D285,'[2]8A. Master Device Catalog'!$F$5:$F$914,'[2]8A. Master Device Catalog'!$G$5:$G$914,"")</f>
        <v>SM-N986</v>
      </c>
      <c r="F285">
        <f>_xlfn.XLOOKUP(D285,'[2]8A. Master Device Catalog'!$F$5:$F$914,'[2]8A. Master Device Catalog'!$H$5:$H$914,"")</f>
        <v>2020</v>
      </c>
    </row>
    <row r="286" spans="1:6" ht="21.5" x14ac:dyDescent="0.35">
      <c r="A286" t="s">
        <v>4056</v>
      </c>
      <c r="B286" s="59" t="s">
        <v>4000</v>
      </c>
      <c r="C286" s="59" t="s">
        <v>3757</v>
      </c>
      <c r="D286" s="60" t="s">
        <v>2322</v>
      </c>
      <c r="E286" t="str">
        <f>_xlfn.XLOOKUP(D286,'[2]8A. Master Device Catalog'!$F$5:$F$914,'[2]8A. Master Device Catalog'!$G$5:$G$914,"")</f>
        <v>SM-F900</v>
      </c>
      <c r="F286">
        <f>_xlfn.XLOOKUP(D286,'[2]8A. Master Device Catalog'!$F$5:$F$914,'[2]8A. Master Device Catalog'!$H$5:$H$914,"")</f>
        <v>2019</v>
      </c>
    </row>
    <row r="287" spans="1:6" ht="21.5" x14ac:dyDescent="0.35">
      <c r="A287" t="s">
        <v>4057</v>
      </c>
      <c r="B287" s="59" t="s">
        <v>4000</v>
      </c>
      <c r="C287" s="59" t="s">
        <v>3757</v>
      </c>
      <c r="D287" s="60" t="s">
        <v>2319</v>
      </c>
      <c r="E287" t="str">
        <f>_xlfn.XLOOKUP(D287,'[2]8A. Master Device Catalog'!$F$5:$F$914,'[2]8A. Master Device Catalog'!$G$5:$G$914,"")</f>
        <v>SM-F916</v>
      </c>
      <c r="F287">
        <f>_xlfn.XLOOKUP(D287,'[2]8A. Master Device Catalog'!$F$5:$F$914,'[2]8A. Master Device Catalog'!$H$5:$H$914,"")</f>
        <v>2020</v>
      </c>
    </row>
    <row r="288" spans="1:6" ht="21.5" x14ac:dyDescent="0.35">
      <c r="A288" t="s">
        <v>4058</v>
      </c>
      <c r="B288" s="59" t="s">
        <v>4000</v>
      </c>
      <c r="C288" s="59" t="s">
        <v>3757</v>
      </c>
      <c r="D288" s="60" t="s">
        <v>2315</v>
      </c>
      <c r="E288" t="str">
        <f>_xlfn.XLOOKUP(D288,'[2]8A. Master Device Catalog'!$F$5:$F$914,'[2]8A. Master Device Catalog'!$G$5:$G$914,"")</f>
        <v>SM-F926</v>
      </c>
      <c r="F288">
        <f>_xlfn.XLOOKUP(D288,'[2]8A. Master Device Catalog'!$F$5:$F$914,'[2]8A. Master Device Catalog'!$H$5:$H$914,"")</f>
        <v>2021</v>
      </c>
    </row>
    <row r="289" spans="1:6" ht="21.5" x14ac:dyDescent="0.35">
      <c r="A289" t="s">
        <v>4059</v>
      </c>
      <c r="B289" s="59" t="s">
        <v>4000</v>
      </c>
      <c r="C289" s="59" t="s">
        <v>3757</v>
      </c>
      <c r="D289" s="60" t="s">
        <v>2312</v>
      </c>
      <c r="E289" t="str">
        <f>_xlfn.XLOOKUP(D289,'[2]8A. Master Device Catalog'!$F$5:$F$914,'[2]8A. Master Device Catalog'!$G$5:$G$914,"")</f>
        <v>SM-F936</v>
      </c>
      <c r="F289">
        <f>_xlfn.XLOOKUP(D289,'[2]8A. Master Device Catalog'!$F$5:$F$914,'[2]8A. Master Device Catalog'!$H$5:$H$914,"")</f>
        <v>2022</v>
      </c>
    </row>
    <row r="290" spans="1:6" ht="21.5" x14ac:dyDescent="0.35">
      <c r="A290" t="s">
        <v>4060</v>
      </c>
      <c r="B290" s="59" t="s">
        <v>4000</v>
      </c>
      <c r="C290" s="59" t="s">
        <v>3757</v>
      </c>
      <c r="D290" s="60" t="s">
        <v>2306</v>
      </c>
      <c r="E290" t="str">
        <f>_xlfn.XLOOKUP(D290,'[2]8A. Master Device Catalog'!$F$5:$F$914,'[2]8A. Master Device Catalog'!$G$5:$G$914,"")</f>
        <v>SM-F946</v>
      </c>
      <c r="F290">
        <f>_xlfn.XLOOKUP(D290,'[2]8A. Master Device Catalog'!$F$5:$F$914,'[2]8A. Master Device Catalog'!$H$5:$H$914,"")</f>
        <v>2023</v>
      </c>
    </row>
    <row r="291" spans="1:6" ht="21.5" x14ac:dyDescent="0.35">
      <c r="A291" t="s">
        <v>4061</v>
      </c>
      <c r="B291" s="59" t="s">
        <v>4000</v>
      </c>
      <c r="C291" s="59" t="s">
        <v>3757</v>
      </c>
      <c r="D291" s="60" t="s">
        <v>2302</v>
      </c>
      <c r="E291" t="str">
        <f>_xlfn.XLOOKUP(D291,'[2]8A. Master Device Catalog'!$F$5:$F$914,'[2]8A. Master Device Catalog'!$G$5:$G$914,"")</f>
        <v>SM-F956</v>
      </c>
      <c r="F291">
        <f>_xlfn.XLOOKUP(D291,'[2]8A. Master Device Catalog'!$F$5:$F$914,'[2]8A. Master Device Catalog'!$H$5:$H$914,"")</f>
        <v>2024</v>
      </c>
    </row>
    <row r="292" spans="1:6" ht="21.5" x14ac:dyDescent="0.35">
      <c r="A292" t="s">
        <v>4062</v>
      </c>
      <c r="B292" s="59" t="s">
        <v>4000</v>
      </c>
      <c r="C292" s="59" t="s">
        <v>3757</v>
      </c>
      <c r="D292" s="60" t="s">
        <v>2297</v>
      </c>
      <c r="E292" t="str">
        <f>_xlfn.XLOOKUP(D292,'[2]8A. Master Device Catalog'!$F$5:$F$914,'[2]8A. Master Device Catalog'!$G$5:$G$914,"")</f>
        <v>SM-F966</v>
      </c>
      <c r="F292">
        <f>_xlfn.XLOOKUP(D292,'[2]8A. Master Device Catalog'!$F$5:$F$914,'[2]8A. Master Device Catalog'!$H$5:$H$914,"")</f>
        <v>2025</v>
      </c>
    </row>
    <row r="293" spans="1:6" ht="21.5" x14ac:dyDescent="0.35">
      <c r="A293" t="s">
        <v>4063</v>
      </c>
      <c r="B293" s="59" t="s">
        <v>4000</v>
      </c>
      <c r="C293" s="59" t="s">
        <v>3757</v>
      </c>
      <c r="D293" s="60" t="s">
        <v>2291</v>
      </c>
      <c r="E293" t="str">
        <f>_xlfn.XLOOKUP(D293,'[2]8A. Master Device Catalog'!$F$5:$F$914,'[2]8A. Master Device Catalog'!$G$5:$G$914,"")</f>
        <v>SM-A015</v>
      </c>
      <c r="F293">
        <f>_xlfn.XLOOKUP(D293,'[2]8A. Master Device Catalog'!$F$5:$F$914,'[2]8A. Master Device Catalog'!$H$5:$H$914,"")</f>
        <v>2019</v>
      </c>
    </row>
    <row r="294" spans="1:6" ht="21.5" x14ac:dyDescent="0.35">
      <c r="A294" t="s">
        <v>4064</v>
      </c>
      <c r="B294" s="59" t="s">
        <v>4000</v>
      </c>
      <c r="C294" s="59" t="s">
        <v>3757</v>
      </c>
      <c r="D294" s="60" t="s">
        <v>2286</v>
      </c>
      <c r="E294" t="str">
        <f>_xlfn.XLOOKUP(D294,'[2]8A. Master Device Catalog'!$F$5:$F$914,'[2]8A. Master Device Catalog'!$G$5:$G$914,"")</f>
        <v>SM-A013</v>
      </c>
      <c r="F294">
        <f>_xlfn.XLOOKUP(D294,'[2]8A. Master Device Catalog'!$F$5:$F$914,'[2]8A. Master Device Catalog'!$H$5:$H$914,"")</f>
        <v>2020</v>
      </c>
    </row>
    <row r="295" spans="1:6" ht="21.5" x14ac:dyDescent="0.35">
      <c r="A295" t="s">
        <v>4065</v>
      </c>
      <c r="B295" s="59" t="s">
        <v>4000</v>
      </c>
      <c r="C295" s="59" t="s">
        <v>3757</v>
      </c>
      <c r="D295" s="60" t="s">
        <v>2282</v>
      </c>
      <c r="E295" t="str">
        <f>_xlfn.XLOOKUP(D295,'[2]8A. Master Device Catalog'!$F$5:$F$914,'[2]8A. Master Device Catalog'!$G$5:$G$914,"")</f>
        <v>SM-A022</v>
      </c>
      <c r="F295">
        <f>_xlfn.XLOOKUP(D295,'[2]8A. Master Device Catalog'!$F$5:$F$914,'[2]8A. Master Device Catalog'!$H$5:$H$914,"")</f>
        <v>2021</v>
      </c>
    </row>
    <row r="296" spans="1:6" ht="21.5" x14ac:dyDescent="0.35">
      <c r="A296" t="s">
        <v>4066</v>
      </c>
      <c r="B296" s="59" t="s">
        <v>4000</v>
      </c>
      <c r="C296" s="59" t="s">
        <v>3757</v>
      </c>
      <c r="D296" s="60" t="s">
        <v>2278</v>
      </c>
      <c r="E296" t="str">
        <f>_xlfn.XLOOKUP(D296,'[2]8A. Master Device Catalog'!$F$5:$F$914,'[2]8A. Master Device Catalog'!$G$5:$G$914,"")</f>
        <v>SM-A025</v>
      </c>
      <c r="F296">
        <f>_xlfn.XLOOKUP(D296,'[2]8A. Master Device Catalog'!$F$5:$F$914,'[2]8A. Master Device Catalog'!$H$5:$H$914,"")</f>
        <v>2021</v>
      </c>
    </row>
    <row r="297" spans="1:6" ht="21.5" x14ac:dyDescent="0.35">
      <c r="A297" t="s">
        <v>4067</v>
      </c>
      <c r="B297" s="59" t="s">
        <v>4000</v>
      </c>
      <c r="C297" s="59" t="s">
        <v>3757</v>
      </c>
      <c r="D297" s="60" t="s">
        <v>2274</v>
      </c>
      <c r="E297" t="str">
        <f>_xlfn.XLOOKUP(D297,'[2]8A. Master Device Catalog'!$F$5:$F$914,'[2]8A. Master Device Catalog'!$G$5:$G$914,"")</f>
        <v>SM-A035</v>
      </c>
      <c r="F297">
        <f>_xlfn.XLOOKUP(D297,'[2]8A. Master Device Catalog'!$F$5:$F$914,'[2]8A. Master Device Catalog'!$H$5:$H$914,"")</f>
        <v>2021</v>
      </c>
    </row>
    <row r="298" spans="1:6" ht="21.5" x14ac:dyDescent="0.35">
      <c r="A298" t="s">
        <v>4068</v>
      </c>
      <c r="B298" s="59" t="s">
        <v>4000</v>
      </c>
      <c r="C298" s="59" t="s">
        <v>3757</v>
      </c>
      <c r="D298" s="60" t="s">
        <v>2270</v>
      </c>
      <c r="E298" t="str">
        <f>_xlfn.XLOOKUP(D298,'[2]8A. Master Device Catalog'!$F$5:$F$914,'[2]8A. Master Device Catalog'!$G$5:$G$914,"")</f>
        <v>SM-A032</v>
      </c>
      <c r="F298">
        <f>_xlfn.XLOOKUP(D298,'[2]8A. Master Device Catalog'!$F$5:$F$914,'[2]8A. Master Device Catalog'!$H$5:$H$914,"")</f>
        <v>2021</v>
      </c>
    </row>
    <row r="299" spans="1:6" ht="21.5" x14ac:dyDescent="0.35">
      <c r="A299" t="s">
        <v>4069</v>
      </c>
      <c r="B299" s="59" t="s">
        <v>4000</v>
      </c>
      <c r="C299" s="59" t="s">
        <v>3757</v>
      </c>
      <c r="D299" s="60" t="s">
        <v>2264</v>
      </c>
      <c r="E299" t="str">
        <f>_xlfn.XLOOKUP(D299,'[2]8A. Master Device Catalog'!$F$5:$F$914,'[2]8A. Master Device Catalog'!$G$5:$G$914,"")</f>
        <v>SM-A037</v>
      </c>
      <c r="F299">
        <f>_xlfn.XLOOKUP(D299,'[2]8A. Master Device Catalog'!$F$5:$F$914,'[2]8A. Master Device Catalog'!$H$5:$H$914,"")</f>
        <v>2021</v>
      </c>
    </row>
    <row r="300" spans="1:6" ht="21.5" x14ac:dyDescent="0.35">
      <c r="A300" t="s">
        <v>4070</v>
      </c>
      <c r="B300" s="59" t="s">
        <v>4000</v>
      </c>
      <c r="C300" s="59" t="s">
        <v>3757</v>
      </c>
      <c r="D300" s="60" t="s">
        <v>2258</v>
      </c>
      <c r="E300" t="str">
        <f>_xlfn.XLOOKUP(D300,'[2]8A. Master Device Catalog'!$F$5:$F$914,'[2]8A. Master Device Catalog'!$G$5:$G$914,"")</f>
        <v>SM-A045</v>
      </c>
      <c r="F300">
        <f>_xlfn.XLOOKUP(D300,'[2]8A. Master Device Catalog'!$F$5:$F$914,'[2]8A. Master Device Catalog'!$H$5:$H$914,"")</f>
        <v>2022</v>
      </c>
    </row>
    <row r="301" spans="1:6" ht="21.5" x14ac:dyDescent="0.35">
      <c r="A301" t="s">
        <v>4071</v>
      </c>
      <c r="B301" s="59" t="s">
        <v>4000</v>
      </c>
      <c r="C301" s="59" t="s">
        <v>3757</v>
      </c>
      <c r="D301" s="60" t="s">
        <v>2255</v>
      </c>
      <c r="E301" t="str">
        <f>_xlfn.XLOOKUP(D301,'[2]8A. Master Device Catalog'!$F$5:$F$914,'[2]8A. Master Device Catalog'!$G$5:$G$914,"")</f>
        <v>SM-A042</v>
      </c>
      <c r="F301">
        <f>_xlfn.XLOOKUP(D301,'[2]8A. Master Device Catalog'!$F$5:$F$914,'[2]8A. Master Device Catalog'!$H$5:$H$914,"")</f>
        <v>2022</v>
      </c>
    </row>
    <row r="302" spans="1:6" ht="21.5" x14ac:dyDescent="0.35">
      <c r="A302" t="s">
        <v>4072</v>
      </c>
      <c r="B302" s="59" t="s">
        <v>4000</v>
      </c>
      <c r="C302" s="59" t="s">
        <v>3757</v>
      </c>
      <c r="D302" s="60" t="s">
        <v>2251</v>
      </c>
      <c r="E302" t="str">
        <f>_xlfn.XLOOKUP(D302,'[2]8A. Master Device Catalog'!$F$5:$F$914,'[2]8A. Master Device Catalog'!$G$5:$G$914,"")</f>
        <v>SM-A047</v>
      </c>
      <c r="F302">
        <f>_xlfn.XLOOKUP(D302,'[2]8A. Master Device Catalog'!$F$5:$F$914,'[2]8A. Master Device Catalog'!$H$5:$H$914,"")</f>
        <v>2022</v>
      </c>
    </row>
    <row r="303" spans="1:6" ht="21.5" x14ac:dyDescent="0.35">
      <c r="A303" t="s">
        <v>4073</v>
      </c>
      <c r="B303" s="59" t="s">
        <v>4000</v>
      </c>
      <c r="C303" s="59" t="s">
        <v>3757</v>
      </c>
      <c r="D303" s="60" t="s">
        <v>2248</v>
      </c>
      <c r="E303" t="str">
        <f>_xlfn.XLOOKUP(D303,'[2]8A. Master Device Catalog'!$F$5:$F$914,'[2]8A. Master Device Catalog'!$G$5:$G$914,"")</f>
        <v>SM-A055</v>
      </c>
      <c r="F303">
        <f>_xlfn.XLOOKUP(D303,'[2]8A. Master Device Catalog'!$F$5:$F$914,'[2]8A. Master Device Catalog'!$H$5:$H$914,"")</f>
        <v>2023</v>
      </c>
    </row>
    <row r="304" spans="1:6" ht="21.5" x14ac:dyDescent="0.35">
      <c r="A304" t="s">
        <v>4074</v>
      </c>
      <c r="B304" s="59" t="s">
        <v>4000</v>
      </c>
      <c r="C304" s="59" t="s">
        <v>3757</v>
      </c>
      <c r="D304" s="60" t="s">
        <v>2243</v>
      </c>
      <c r="E304" t="str">
        <f>_xlfn.XLOOKUP(D304,'[2]8A. Master Device Catalog'!$F$5:$F$914,'[2]8A. Master Device Catalog'!$G$5:$G$914,"")</f>
        <v>SM-A057</v>
      </c>
      <c r="F304">
        <f>_xlfn.XLOOKUP(D304,'[2]8A. Master Device Catalog'!$F$5:$F$914,'[2]8A. Master Device Catalog'!$H$5:$H$914,"")</f>
        <v>2023</v>
      </c>
    </row>
    <row r="305" spans="1:6" ht="21.5" x14ac:dyDescent="0.35">
      <c r="A305" t="s">
        <v>4075</v>
      </c>
      <c r="B305" s="59" t="s">
        <v>4000</v>
      </c>
      <c r="C305" s="59" t="s">
        <v>3757</v>
      </c>
      <c r="D305" s="60" t="s">
        <v>2238</v>
      </c>
      <c r="E305" t="str">
        <f>_xlfn.XLOOKUP(D305,'[2]8A. Master Device Catalog'!$F$5:$F$914,'[2]8A. Master Device Catalog'!$G$5:$G$914,"")</f>
        <v>SM-A065</v>
      </c>
      <c r="F305">
        <f>_xlfn.XLOOKUP(D305,'[2]8A. Master Device Catalog'!$F$5:$F$914,'[2]8A. Master Device Catalog'!$H$5:$H$914,"")</f>
        <v>2024</v>
      </c>
    </row>
    <row r="306" spans="1:6" ht="21.5" x14ac:dyDescent="0.35">
      <c r="A306" t="s">
        <v>4076</v>
      </c>
      <c r="B306" s="59" t="s">
        <v>4000</v>
      </c>
      <c r="C306" s="59" t="s">
        <v>3757</v>
      </c>
      <c r="D306" s="60" t="s">
        <v>2233</v>
      </c>
      <c r="E306" t="str">
        <f>_xlfn.XLOOKUP(D306,'[2]8A. Master Device Catalog'!$F$5:$F$914,'[2]8A. Master Device Catalog'!$G$5:$G$914,"")</f>
        <v>SM-A066</v>
      </c>
      <c r="F306">
        <f>_xlfn.XLOOKUP(D306,'[2]8A. Master Device Catalog'!$F$5:$F$914,'[2]8A. Master Device Catalog'!$H$5:$H$914,"")</f>
        <v>2025</v>
      </c>
    </row>
    <row r="307" spans="1:6" ht="21.5" x14ac:dyDescent="0.35">
      <c r="A307" t="s">
        <v>4077</v>
      </c>
      <c r="B307" s="59" t="s">
        <v>4000</v>
      </c>
      <c r="C307" s="59" t="s">
        <v>3757</v>
      </c>
      <c r="D307" s="60" t="s">
        <v>2228</v>
      </c>
      <c r="E307" t="str">
        <f>_xlfn.XLOOKUP(D307,'[2]8A. Master Device Catalog'!$F$5:$F$914,'[2]8A. Master Device Catalog'!$G$5:$G$914,"")</f>
        <v>SM-A105</v>
      </c>
      <c r="F307">
        <f>_xlfn.XLOOKUP(D307,'[2]8A. Master Device Catalog'!$F$5:$F$914,'[2]8A. Master Device Catalog'!$H$5:$H$914,"")</f>
        <v>2019</v>
      </c>
    </row>
    <row r="308" spans="1:6" ht="21.5" x14ac:dyDescent="0.35">
      <c r="A308" t="s">
        <v>4078</v>
      </c>
      <c r="B308" s="59" t="s">
        <v>4000</v>
      </c>
      <c r="C308" s="59" t="s">
        <v>3757</v>
      </c>
      <c r="D308" s="60" t="s">
        <v>2223</v>
      </c>
      <c r="E308" t="str">
        <f>_xlfn.XLOOKUP(D308,'[2]8A. Master Device Catalog'!$F$5:$F$914,'[2]8A. Master Device Catalog'!$G$5:$G$914,"")</f>
        <v>SM-A102</v>
      </c>
      <c r="F308">
        <f>_xlfn.XLOOKUP(D308,'[2]8A. Master Device Catalog'!$F$5:$F$914,'[2]8A. Master Device Catalog'!$H$5:$H$914,"")</f>
        <v>2019</v>
      </c>
    </row>
    <row r="309" spans="1:6" ht="21.5" x14ac:dyDescent="0.35">
      <c r="A309" t="s">
        <v>4079</v>
      </c>
      <c r="B309" s="59" t="s">
        <v>4000</v>
      </c>
      <c r="C309" s="59" t="s">
        <v>3757</v>
      </c>
      <c r="D309" s="60" t="s">
        <v>2218</v>
      </c>
      <c r="E309" t="str">
        <f>_xlfn.XLOOKUP(D309,'[2]8A. Master Device Catalog'!$F$5:$F$914,'[2]8A. Master Device Catalog'!$G$5:$G$914,"")</f>
        <v>SM-A115</v>
      </c>
      <c r="F309">
        <f>_xlfn.XLOOKUP(D309,'[2]8A. Master Device Catalog'!$F$5:$F$914,'[2]8A. Master Device Catalog'!$H$5:$H$914,"")</f>
        <v>2020</v>
      </c>
    </row>
    <row r="310" spans="1:6" ht="21.5" x14ac:dyDescent="0.35">
      <c r="A310" t="s">
        <v>4080</v>
      </c>
      <c r="B310" s="59" t="s">
        <v>4000</v>
      </c>
      <c r="C310" s="59" t="s">
        <v>3757</v>
      </c>
      <c r="D310" s="60" t="s">
        <v>2213</v>
      </c>
      <c r="E310" t="str">
        <f>_xlfn.XLOOKUP(D310,'[2]8A. Master Device Catalog'!$F$5:$F$914,'[2]8A. Master Device Catalog'!$G$5:$G$914,"")</f>
        <v>SM-A125</v>
      </c>
      <c r="F310">
        <f>_xlfn.XLOOKUP(D310,'[2]8A. Master Device Catalog'!$F$5:$F$914,'[2]8A. Master Device Catalog'!$H$5:$H$914,"")</f>
        <v>2020</v>
      </c>
    </row>
    <row r="311" spans="1:6" ht="21.5" x14ac:dyDescent="0.35">
      <c r="A311" t="s">
        <v>4081</v>
      </c>
      <c r="B311" s="59" t="s">
        <v>4000</v>
      </c>
      <c r="C311" s="59" t="s">
        <v>3757</v>
      </c>
      <c r="D311" s="60" t="s">
        <v>2210</v>
      </c>
      <c r="E311" t="str">
        <f>_xlfn.XLOOKUP(D311,'[2]8A. Master Device Catalog'!$F$5:$F$914,'[2]8A. Master Device Catalog'!$G$5:$G$914,"")</f>
        <v>SM-A135</v>
      </c>
      <c r="F311">
        <f>_xlfn.XLOOKUP(D311,'[2]8A. Master Device Catalog'!$F$5:$F$914,'[2]8A. Master Device Catalog'!$H$5:$H$914,"")</f>
        <v>2022</v>
      </c>
    </row>
    <row r="312" spans="1:6" ht="21.5" x14ac:dyDescent="0.35">
      <c r="A312" t="s">
        <v>4082</v>
      </c>
      <c r="B312" s="59" t="s">
        <v>4000</v>
      </c>
      <c r="C312" s="59" t="s">
        <v>3757</v>
      </c>
      <c r="D312" s="60" t="s">
        <v>2206</v>
      </c>
      <c r="E312" t="str">
        <f>_xlfn.XLOOKUP(D312,'[2]8A. Master Device Catalog'!$F$5:$F$914,'[2]8A. Master Device Catalog'!$G$5:$G$914,"")</f>
        <v>SM-A145</v>
      </c>
      <c r="F312">
        <f>_xlfn.XLOOKUP(D312,'[2]8A. Master Device Catalog'!$F$5:$F$914,'[2]8A. Master Device Catalog'!$H$5:$H$914,"")</f>
        <v>2023</v>
      </c>
    </row>
    <row r="313" spans="1:6" ht="21.5" x14ac:dyDescent="0.35">
      <c r="A313" t="s">
        <v>4083</v>
      </c>
      <c r="B313" s="59" t="s">
        <v>4000</v>
      </c>
      <c r="C313" s="59" t="s">
        <v>3757</v>
      </c>
      <c r="D313" s="60" t="s">
        <v>2203</v>
      </c>
      <c r="E313" t="str">
        <f>_xlfn.XLOOKUP(D313,'[2]8A. Master Device Catalog'!$F$5:$F$914,'[2]8A. Master Device Catalog'!$G$5:$G$914,"")</f>
        <v>SM-A146</v>
      </c>
      <c r="F313">
        <f>_xlfn.XLOOKUP(D313,'[2]8A. Master Device Catalog'!$F$5:$F$914,'[2]8A. Master Device Catalog'!$H$5:$H$914,"")</f>
        <v>2023</v>
      </c>
    </row>
    <row r="314" spans="1:6" ht="21.5" x14ac:dyDescent="0.35">
      <c r="A314" t="s">
        <v>4084</v>
      </c>
      <c r="B314" s="59" t="s">
        <v>4000</v>
      </c>
      <c r="C314" s="59" t="s">
        <v>3757</v>
      </c>
      <c r="D314" s="60" t="s">
        <v>2198</v>
      </c>
      <c r="E314" t="str">
        <f>_xlfn.XLOOKUP(D314,'[2]8A. Master Device Catalog'!$F$5:$F$914,'[2]8A. Master Device Catalog'!$G$5:$G$914,"")</f>
        <v>SM-A155</v>
      </c>
      <c r="F314">
        <f>_xlfn.XLOOKUP(D314,'[2]8A. Master Device Catalog'!$F$5:$F$914,'[2]8A. Master Device Catalog'!$H$5:$H$914,"")</f>
        <v>2024</v>
      </c>
    </row>
    <row r="315" spans="1:6" ht="21.5" x14ac:dyDescent="0.35">
      <c r="A315" t="s">
        <v>4085</v>
      </c>
      <c r="B315" s="59" t="s">
        <v>4000</v>
      </c>
      <c r="C315" s="59" t="s">
        <v>3757</v>
      </c>
      <c r="D315" s="60" t="s">
        <v>2193</v>
      </c>
      <c r="E315" t="str">
        <f>_xlfn.XLOOKUP(D315,'[2]8A. Master Device Catalog'!$F$5:$F$914,'[2]8A. Master Device Catalog'!$G$5:$G$914,"")</f>
        <v>SM-A156</v>
      </c>
      <c r="F315">
        <f>_xlfn.XLOOKUP(D315,'[2]8A. Master Device Catalog'!$F$5:$F$914,'[2]8A. Master Device Catalog'!$H$5:$H$914,"")</f>
        <v>2024</v>
      </c>
    </row>
    <row r="316" spans="1:6" ht="21.5" x14ac:dyDescent="0.35">
      <c r="A316" t="s">
        <v>4086</v>
      </c>
      <c r="B316" s="59" t="s">
        <v>4000</v>
      </c>
      <c r="C316" s="59" t="s">
        <v>3757</v>
      </c>
      <c r="D316" s="60" t="s">
        <v>2188</v>
      </c>
      <c r="E316" t="str">
        <f>_xlfn.XLOOKUP(D316,'[2]8A. Master Device Catalog'!$F$5:$F$914,'[2]8A. Master Device Catalog'!$G$5:$G$914,"")</f>
        <v>SM-A165</v>
      </c>
      <c r="F316">
        <f>_xlfn.XLOOKUP(D316,'[2]8A. Master Device Catalog'!$F$5:$F$914,'[2]8A. Master Device Catalog'!$H$5:$H$914,"")</f>
        <v>2025</v>
      </c>
    </row>
    <row r="317" spans="1:6" ht="21.5" x14ac:dyDescent="0.35">
      <c r="A317" t="s">
        <v>4087</v>
      </c>
      <c r="B317" s="59" t="s">
        <v>4000</v>
      </c>
      <c r="C317" s="59" t="s">
        <v>3757</v>
      </c>
      <c r="D317" s="60" t="s">
        <v>2183</v>
      </c>
      <c r="E317" t="str">
        <f>_xlfn.XLOOKUP(D317,'[2]8A. Master Device Catalog'!$F$5:$F$914,'[2]8A. Master Device Catalog'!$G$5:$G$914,"")</f>
        <v>SM-A205</v>
      </c>
      <c r="F317">
        <f>_xlfn.XLOOKUP(D317,'[2]8A. Master Device Catalog'!$F$5:$F$914,'[2]8A. Master Device Catalog'!$H$5:$H$914,"")</f>
        <v>2019</v>
      </c>
    </row>
    <row r="318" spans="1:6" ht="21.5" x14ac:dyDescent="0.35">
      <c r="A318" t="s">
        <v>4088</v>
      </c>
      <c r="B318" s="59" t="s">
        <v>4000</v>
      </c>
      <c r="C318" s="59" t="s">
        <v>3757</v>
      </c>
      <c r="D318" s="60" t="s">
        <v>2178</v>
      </c>
      <c r="E318" t="str">
        <f>_xlfn.XLOOKUP(D318,'[2]8A. Master Device Catalog'!$F$5:$F$914,'[2]8A. Master Device Catalog'!$G$5:$G$914,"")</f>
        <v>SM-A202</v>
      </c>
      <c r="F318">
        <f>_xlfn.XLOOKUP(D318,'[2]8A. Master Device Catalog'!$F$5:$F$914,'[2]8A. Master Device Catalog'!$H$5:$H$914,"")</f>
        <v>2019</v>
      </c>
    </row>
    <row r="319" spans="1:6" ht="21.5" x14ac:dyDescent="0.35">
      <c r="A319" t="s">
        <v>4089</v>
      </c>
      <c r="B319" s="59" t="s">
        <v>4000</v>
      </c>
      <c r="C319" s="59" t="s">
        <v>3757</v>
      </c>
      <c r="D319" s="60" t="s">
        <v>2173</v>
      </c>
      <c r="E319" t="str">
        <f>_xlfn.XLOOKUP(D319,'[2]8A. Master Device Catalog'!$F$5:$F$914,'[2]8A. Master Device Catalog'!$G$5:$G$914,"")</f>
        <v>SM-A215</v>
      </c>
      <c r="F319">
        <f>_xlfn.XLOOKUP(D319,'[2]8A. Master Device Catalog'!$F$5:$F$914,'[2]8A. Master Device Catalog'!$H$5:$H$914,"")</f>
        <v>2020</v>
      </c>
    </row>
    <row r="320" spans="1:6" ht="21.5" x14ac:dyDescent="0.35">
      <c r="A320" t="s">
        <v>4090</v>
      </c>
      <c r="B320" s="59" t="s">
        <v>4000</v>
      </c>
      <c r="C320" s="59" t="s">
        <v>3757</v>
      </c>
      <c r="D320" s="60" t="s">
        <v>2170</v>
      </c>
      <c r="E320" t="str">
        <f>_xlfn.XLOOKUP(D320,'[2]8A. Master Device Catalog'!$F$5:$F$914,'[2]8A. Master Device Catalog'!$G$5:$G$914,"")</f>
        <v>SM-A217</v>
      </c>
      <c r="F320">
        <f>_xlfn.XLOOKUP(D320,'[2]8A. Master Device Catalog'!$F$5:$F$914,'[2]8A. Master Device Catalog'!$H$5:$H$914,"")</f>
        <v>2020</v>
      </c>
    </row>
    <row r="321" spans="1:6" ht="21.5" x14ac:dyDescent="0.35">
      <c r="A321" t="s">
        <v>4091</v>
      </c>
      <c r="B321" s="59" t="s">
        <v>4000</v>
      </c>
      <c r="C321" s="59" t="s">
        <v>3757</v>
      </c>
      <c r="D321" s="60" t="s">
        <v>2167</v>
      </c>
      <c r="E321" t="str">
        <f>_xlfn.XLOOKUP(D321,'[2]8A. Master Device Catalog'!$F$5:$F$914,'[2]8A. Master Device Catalog'!$G$5:$G$914,"")</f>
        <v>SM-A225</v>
      </c>
      <c r="F321">
        <f>_xlfn.XLOOKUP(D321,'[2]8A. Master Device Catalog'!$F$5:$F$914,'[2]8A. Master Device Catalog'!$H$5:$H$914,"")</f>
        <v>2021</v>
      </c>
    </row>
    <row r="322" spans="1:6" ht="21.5" x14ac:dyDescent="0.35">
      <c r="A322" t="s">
        <v>4092</v>
      </c>
      <c r="B322" s="59" t="s">
        <v>4000</v>
      </c>
      <c r="C322" s="59" t="s">
        <v>3757</v>
      </c>
      <c r="D322" s="60" t="s">
        <v>2163</v>
      </c>
      <c r="E322" t="str">
        <f>_xlfn.XLOOKUP(D322,'[2]8A. Master Device Catalog'!$F$5:$F$914,'[2]8A. Master Device Catalog'!$G$5:$G$914,"")</f>
        <v>SM-A226</v>
      </c>
      <c r="F322">
        <f>_xlfn.XLOOKUP(D322,'[2]8A. Master Device Catalog'!$F$5:$F$914,'[2]8A. Master Device Catalog'!$H$5:$H$914,"")</f>
        <v>2021</v>
      </c>
    </row>
    <row r="323" spans="1:6" ht="21.5" x14ac:dyDescent="0.35">
      <c r="A323" t="s">
        <v>4093</v>
      </c>
      <c r="B323" s="59" t="s">
        <v>4000</v>
      </c>
      <c r="C323" s="59" t="s">
        <v>3757</v>
      </c>
      <c r="D323" s="60" t="s">
        <v>2160</v>
      </c>
      <c r="E323" t="str">
        <f>_xlfn.XLOOKUP(D323,'[2]8A. Master Device Catalog'!$F$5:$F$914,'[2]8A. Master Device Catalog'!$G$5:$G$914,"")</f>
        <v>SM-A235</v>
      </c>
      <c r="F323">
        <f>_xlfn.XLOOKUP(D323,'[2]8A. Master Device Catalog'!$F$5:$F$914,'[2]8A. Master Device Catalog'!$H$5:$H$914,"")</f>
        <v>2022</v>
      </c>
    </row>
    <row r="324" spans="1:6" ht="21.5" x14ac:dyDescent="0.35">
      <c r="A324" t="s">
        <v>4094</v>
      </c>
      <c r="B324" s="59" t="s">
        <v>4000</v>
      </c>
      <c r="C324" s="59" t="s">
        <v>3757</v>
      </c>
      <c r="D324" s="60" t="s">
        <v>2157</v>
      </c>
      <c r="E324" t="str">
        <f>_xlfn.XLOOKUP(D324,'[2]8A. Master Device Catalog'!$F$5:$F$914,'[2]8A. Master Device Catalog'!$G$5:$G$914,"")</f>
        <v>SM-A236</v>
      </c>
      <c r="F324">
        <f>_xlfn.XLOOKUP(D324,'[2]8A. Master Device Catalog'!$F$5:$F$914,'[2]8A. Master Device Catalog'!$H$5:$H$914,"")</f>
        <v>2022</v>
      </c>
    </row>
    <row r="325" spans="1:6" ht="21.5" x14ac:dyDescent="0.35">
      <c r="A325" t="s">
        <v>4095</v>
      </c>
      <c r="B325" s="59" t="s">
        <v>4000</v>
      </c>
      <c r="C325" s="59" t="s">
        <v>3757</v>
      </c>
      <c r="D325" s="60" t="s">
        <v>2153</v>
      </c>
      <c r="E325" t="str">
        <f>_xlfn.XLOOKUP(D325,'[2]8A. Master Device Catalog'!$F$5:$F$914,'[2]8A. Master Device Catalog'!$G$5:$G$914,"")</f>
        <v>SM-A245</v>
      </c>
      <c r="F325">
        <f>_xlfn.XLOOKUP(D325,'[2]8A. Master Device Catalog'!$F$5:$F$914,'[2]8A. Master Device Catalog'!$H$5:$H$914,"")</f>
        <v>2023</v>
      </c>
    </row>
    <row r="326" spans="1:6" ht="21.5" x14ac:dyDescent="0.35">
      <c r="A326" t="s">
        <v>4096</v>
      </c>
      <c r="B326" s="59" t="s">
        <v>4000</v>
      </c>
      <c r="C326" s="59" t="s">
        <v>3757</v>
      </c>
      <c r="D326" s="60" t="s">
        <v>2150</v>
      </c>
      <c r="E326" t="str">
        <f>_xlfn.XLOOKUP(D326,'[2]8A. Master Device Catalog'!$F$5:$F$914,'[2]8A. Master Device Catalog'!$G$5:$G$914,"")</f>
        <v>SM-A256</v>
      </c>
      <c r="F326">
        <f>_xlfn.XLOOKUP(D326,'[2]8A. Master Device Catalog'!$F$5:$F$914,'[2]8A. Master Device Catalog'!$H$5:$H$914,"")</f>
        <v>2024</v>
      </c>
    </row>
    <row r="327" spans="1:6" ht="21.5" x14ac:dyDescent="0.35">
      <c r="A327" t="s">
        <v>4097</v>
      </c>
      <c r="B327" s="59" t="s">
        <v>4000</v>
      </c>
      <c r="C327" s="59" t="s">
        <v>3757</v>
      </c>
      <c r="D327" s="60" t="s">
        <v>2145</v>
      </c>
      <c r="E327" t="str">
        <f>_xlfn.XLOOKUP(D327,'[2]8A. Master Device Catalog'!$F$5:$F$914,'[2]8A. Master Device Catalog'!$G$5:$G$914,"")</f>
        <v>SM-A266</v>
      </c>
      <c r="F327">
        <f>_xlfn.XLOOKUP(D327,'[2]8A. Master Device Catalog'!$F$5:$F$914,'[2]8A. Master Device Catalog'!$H$5:$H$914,"")</f>
        <v>2025</v>
      </c>
    </row>
    <row r="328" spans="1:6" ht="21.5" x14ac:dyDescent="0.35">
      <c r="A328" t="s">
        <v>4098</v>
      </c>
      <c r="B328" s="59" t="s">
        <v>4000</v>
      </c>
      <c r="C328" s="59" t="s">
        <v>3757</v>
      </c>
      <c r="D328" s="60" t="s">
        <v>2140</v>
      </c>
      <c r="E328" t="str">
        <f>_xlfn.XLOOKUP(D328,'[2]8A. Master Device Catalog'!$F$5:$F$914,'[2]8A. Master Device Catalog'!$G$5:$G$914,"")</f>
        <v>SM-A305</v>
      </c>
      <c r="F328">
        <f>_xlfn.XLOOKUP(D328,'[2]8A. Master Device Catalog'!$F$5:$F$914,'[2]8A. Master Device Catalog'!$H$5:$H$914,"")</f>
        <v>2019</v>
      </c>
    </row>
    <row r="329" spans="1:6" ht="21.5" x14ac:dyDescent="0.35">
      <c r="A329" t="s">
        <v>4099</v>
      </c>
      <c r="B329" s="59" t="s">
        <v>4000</v>
      </c>
      <c r="C329" s="59" t="s">
        <v>3757</v>
      </c>
      <c r="D329" s="60" t="s">
        <v>2135</v>
      </c>
      <c r="E329" t="str">
        <f>_xlfn.XLOOKUP(D329,'[2]8A. Master Device Catalog'!$F$5:$F$914,'[2]8A. Master Device Catalog'!$G$5:$G$914,"")</f>
        <v>SM-A307</v>
      </c>
      <c r="F329">
        <f>_xlfn.XLOOKUP(D329,'[2]8A. Master Device Catalog'!$F$5:$F$914,'[2]8A. Master Device Catalog'!$H$5:$H$914,"")</f>
        <v>2019</v>
      </c>
    </row>
    <row r="330" spans="1:6" ht="21.5" x14ac:dyDescent="0.35">
      <c r="A330" t="s">
        <v>4100</v>
      </c>
      <c r="B330" s="59" t="s">
        <v>4000</v>
      </c>
      <c r="C330" s="59" t="s">
        <v>3757</v>
      </c>
      <c r="D330" s="60" t="s">
        <v>2130</v>
      </c>
      <c r="E330" t="str">
        <f>_xlfn.XLOOKUP(D330,'[2]8A. Master Device Catalog'!$F$5:$F$914,'[2]8A. Master Device Catalog'!$G$5:$G$914,"")</f>
        <v>SM-A315</v>
      </c>
      <c r="F330">
        <f>_xlfn.XLOOKUP(D330,'[2]8A. Master Device Catalog'!$F$5:$F$914,'[2]8A. Master Device Catalog'!$H$5:$H$914,"")</f>
        <v>2020</v>
      </c>
    </row>
    <row r="331" spans="1:6" ht="21.5" x14ac:dyDescent="0.35">
      <c r="A331" t="s">
        <v>4101</v>
      </c>
      <c r="B331" s="59" t="s">
        <v>4000</v>
      </c>
      <c r="C331" s="59" t="s">
        <v>3757</v>
      </c>
      <c r="D331" s="60" t="s">
        <v>2125</v>
      </c>
      <c r="E331" t="str">
        <f>_xlfn.XLOOKUP(D331,'[2]8A. Master Device Catalog'!$F$5:$F$914,'[2]8A. Master Device Catalog'!$G$5:$G$914,"")</f>
        <v>SM-A325</v>
      </c>
      <c r="F331">
        <f>_xlfn.XLOOKUP(D331,'[2]8A. Master Device Catalog'!$F$5:$F$914,'[2]8A. Master Device Catalog'!$H$5:$H$914,"")</f>
        <v>2021</v>
      </c>
    </row>
    <row r="332" spans="1:6" ht="21.5" x14ac:dyDescent="0.35">
      <c r="A332" t="s">
        <v>4102</v>
      </c>
      <c r="B332" s="59" t="s">
        <v>4000</v>
      </c>
      <c r="C332" s="59" t="s">
        <v>3757</v>
      </c>
      <c r="D332" s="60" t="s">
        <v>2120</v>
      </c>
      <c r="E332" t="str">
        <f>_xlfn.XLOOKUP(D332,'[2]8A. Master Device Catalog'!$F$5:$F$914,'[2]8A. Master Device Catalog'!$G$5:$G$914,"")</f>
        <v>SM-A326</v>
      </c>
      <c r="F332">
        <f>_xlfn.XLOOKUP(D332,'[2]8A. Master Device Catalog'!$F$5:$F$914,'[2]8A. Master Device Catalog'!$H$5:$H$914,"")</f>
        <v>2021</v>
      </c>
    </row>
    <row r="333" spans="1:6" ht="21.5" x14ac:dyDescent="0.35">
      <c r="A333" t="s">
        <v>4103</v>
      </c>
      <c r="B333" s="59" t="s">
        <v>4000</v>
      </c>
      <c r="C333" s="59" t="s">
        <v>3757</v>
      </c>
      <c r="D333" s="60" t="s">
        <v>2115</v>
      </c>
      <c r="E333" t="str">
        <f>_xlfn.XLOOKUP(D333,'[2]8A. Master Device Catalog'!$F$5:$F$914,'[2]8A. Master Device Catalog'!$G$5:$G$914,"")</f>
        <v>SM-A336</v>
      </c>
      <c r="F333">
        <f>_xlfn.XLOOKUP(D333,'[2]8A. Master Device Catalog'!$F$5:$F$914,'[2]8A. Master Device Catalog'!$H$5:$H$914,"")</f>
        <v>2022</v>
      </c>
    </row>
    <row r="334" spans="1:6" ht="21.5" x14ac:dyDescent="0.35">
      <c r="A334" t="s">
        <v>4104</v>
      </c>
      <c r="B334" s="59" t="s">
        <v>4000</v>
      </c>
      <c r="C334" s="59" t="s">
        <v>3757</v>
      </c>
      <c r="D334" s="60" t="s">
        <v>2110</v>
      </c>
      <c r="E334" t="str">
        <f>_xlfn.XLOOKUP(D334,'[2]8A. Master Device Catalog'!$F$5:$F$914,'[2]8A. Master Device Catalog'!$G$5:$G$914,"")</f>
        <v>SM-A346</v>
      </c>
      <c r="F334">
        <f>_xlfn.XLOOKUP(D334,'[2]8A. Master Device Catalog'!$F$5:$F$914,'[2]8A. Master Device Catalog'!$H$5:$H$914,"")</f>
        <v>2023</v>
      </c>
    </row>
    <row r="335" spans="1:6" ht="21.5" x14ac:dyDescent="0.35">
      <c r="A335" t="s">
        <v>4105</v>
      </c>
      <c r="B335" s="59" t="s">
        <v>4000</v>
      </c>
      <c r="C335" s="59" t="s">
        <v>3757</v>
      </c>
      <c r="D335" s="60" t="s">
        <v>2105</v>
      </c>
      <c r="E335" t="str">
        <f>_xlfn.XLOOKUP(D335,'[2]8A. Master Device Catalog'!$F$5:$F$914,'[2]8A. Master Device Catalog'!$G$5:$G$914,"")</f>
        <v>SM-A356</v>
      </c>
      <c r="F335">
        <f>_xlfn.XLOOKUP(D335,'[2]8A. Master Device Catalog'!$F$5:$F$914,'[2]8A. Master Device Catalog'!$H$5:$H$914,"")</f>
        <v>2024</v>
      </c>
    </row>
    <row r="336" spans="1:6" ht="21.5" x14ac:dyDescent="0.35">
      <c r="A336" t="s">
        <v>4106</v>
      </c>
      <c r="B336" s="59" t="s">
        <v>4000</v>
      </c>
      <c r="C336" s="59" t="s">
        <v>3757</v>
      </c>
      <c r="D336" s="60" t="s">
        <v>2100</v>
      </c>
      <c r="E336" t="str">
        <f>_xlfn.XLOOKUP(D336,'[2]8A. Master Device Catalog'!$F$5:$F$914,'[2]8A. Master Device Catalog'!$G$5:$G$914,"")</f>
        <v>SM-A366</v>
      </c>
      <c r="F336">
        <f>_xlfn.XLOOKUP(D336,'[2]8A. Master Device Catalog'!$F$5:$F$914,'[2]8A. Master Device Catalog'!$H$5:$H$914,"")</f>
        <v>2025</v>
      </c>
    </row>
    <row r="337" spans="1:6" ht="21.5" x14ac:dyDescent="0.35">
      <c r="A337" t="s">
        <v>4107</v>
      </c>
      <c r="B337" s="59" t="s">
        <v>4000</v>
      </c>
      <c r="C337" s="59" t="s">
        <v>3757</v>
      </c>
      <c r="D337" s="60" t="s">
        <v>2095</v>
      </c>
      <c r="E337" t="str">
        <f>_xlfn.XLOOKUP(D337,'[2]8A. Master Device Catalog'!$F$5:$F$914,'[2]8A. Master Device Catalog'!$G$5:$G$914,"")</f>
        <v>SM-A505</v>
      </c>
      <c r="F337">
        <f>_xlfn.XLOOKUP(D337,'[2]8A. Master Device Catalog'!$F$5:$F$914,'[2]8A. Master Device Catalog'!$H$5:$H$914,"")</f>
        <v>2019</v>
      </c>
    </row>
    <row r="338" spans="1:6" ht="21.5" x14ac:dyDescent="0.35">
      <c r="A338" t="s">
        <v>4108</v>
      </c>
      <c r="B338" s="59" t="s">
        <v>4000</v>
      </c>
      <c r="C338" s="59" t="s">
        <v>3757</v>
      </c>
      <c r="D338" s="60" t="s">
        <v>2090</v>
      </c>
      <c r="E338" t="str">
        <f>_xlfn.XLOOKUP(D338,'[2]8A. Master Device Catalog'!$F$5:$F$914,'[2]8A. Master Device Catalog'!$G$5:$G$914,"")</f>
        <v>SM-A507</v>
      </c>
      <c r="F338">
        <f>_xlfn.XLOOKUP(D338,'[2]8A. Master Device Catalog'!$F$5:$F$914,'[2]8A. Master Device Catalog'!$H$5:$H$914,"")</f>
        <v>2019</v>
      </c>
    </row>
    <row r="339" spans="1:6" ht="21.5" x14ac:dyDescent="0.35">
      <c r="A339" t="s">
        <v>4109</v>
      </c>
      <c r="B339" s="59" t="s">
        <v>4000</v>
      </c>
      <c r="C339" s="59" t="s">
        <v>3757</v>
      </c>
      <c r="D339" s="60" t="s">
        <v>2085</v>
      </c>
      <c r="E339" t="str">
        <f>_xlfn.XLOOKUP(D339,'[2]8A. Master Device Catalog'!$F$5:$F$914,'[2]8A. Master Device Catalog'!$G$5:$G$914,"")</f>
        <v>SM-A515</v>
      </c>
      <c r="F339">
        <f>_xlfn.XLOOKUP(D339,'[2]8A. Master Device Catalog'!$F$5:$F$914,'[2]8A. Master Device Catalog'!$H$5:$H$914,"")</f>
        <v>2020</v>
      </c>
    </row>
    <row r="340" spans="1:6" ht="21.5" x14ac:dyDescent="0.35">
      <c r="A340" t="s">
        <v>4110</v>
      </c>
      <c r="B340" s="59" t="s">
        <v>4000</v>
      </c>
      <c r="C340" s="59" t="s">
        <v>3757</v>
      </c>
      <c r="D340" s="60" t="s">
        <v>2080</v>
      </c>
      <c r="E340" t="str">
        <f>_xlfn.XLOOKUP(D340,'[2]8A. Master Device Catalog'!$F$5:$F$914,'[2]8A. Master Device Catalog'!$G$5:$G$914,"")</f>
        <v>SM-A516</v>
      </c>
      <c r="F340">
        <f>_xlfn.XLOOKUP(D340,'[2]8A. Master Device Catalog'!$F$5:$F$914,'[2]8A. Master Device Catalog'!$H$5:$H$914,"")</f>
        <v>2020</v>
      </c>
    </row>
    <row r="341" spans="1:6" ht="21.5" x14ac:dyDescent="0.35">
      <c r="A341" t="s">
        <v>4111</v>
      </c>
      <c r="B341" s="59" t="s">
        <v>4000</v>
      </c>
      <c r="C341" s="59" t="s">
        <v>3757</v>
      </c>
      <c r="D341" s="60" t="s">
        <v>2075</v>
      </c>
      <c r="E341" t="str">
        <f>_xlfn.XLOOKUP(D341,'[2]8A. Master Device Catalog'!$F$5:$F$914,'[2]8A. Master Device Catalog'!$G$5:$G$914,"")</f>
        <v>SM-A525</v>
      </c>
      <c r="F341">
        <f>_xlfn.XLOOKUP(D341,'[2]8A. Master Device Catalog'!$F$5:$F$914,'[2]8A. Master Device Catalog'!$H$5:$H$914,"")</f>
        <v>2021</v>
      </c>
    </row>
    <row r="342" spans="1:6" ht="21.5" x14ac:dyDescent="0.35">
      <c r="A342" t="s">
        <v>4112</v>
      </c>
      <c r="B342" s="59" t="s">
        <v>4000</v>
      </c>
      <c r="C342" s="59" t="s">
        <v>3757</v>
      </c>
      <c r="D342" s="60" t="s">
        <v>2070</v>
      </c>
      <c r="E342" t="str">
        <f>_xlfn.XLOOKUP(D342,'[2]8A. Master Device Catalog'!$F$5:$F$914,'[2]8A. Master Device Catalog'!$G$5:$G$914,"")</f>
        <v>SM-A526</v>
      </c>
      <c r="F342">
        <f>_xlfn.XLOOKUP(D342,'[2]8A. Master Device Catalog'!$F$5:$F$914,'[2]8A. Master Device Catalog'!$H$5:$H$914,"")</f>
        <v>2021</v>
      </c>
    </row>
    <row r="343" spans="1:6" ht="21.5" x14ac:dyDescent="0.35">
      <c r="A343" t="s">
        <v>4113</v>
      </c>
      <c r="B343" s="59" t="s">
        <v>4000</v>
      </c>
      <c r="C343" s="59" t="s">
        <v>3757</v>
      </c>
      <c r="D343" s="60" t="s">
        <v>2065</v>
      </c>
      <c r="E343" t="str">
        <f>_xlfn.XLOOKUP(D343,'[2]8A. Master Device Catalog'!$F$5:$F$914,'[2]8A. Master Device Catalog'!$G$5:$G$914,"")</f>
        <v>SM-A528</v>
      </c>
      <c r="F343">
        <f>_xlfn.XLOOKUP(D343,'[2]8A. Master Device Catalog'!$F$5:$F$914,'[2]8A. Master Device Catalog'!$H$5:$H$914,"")</f>
        <v>2021</v>
      </c>
    </row>
    <row r="344" spans="1:6" ht="21.5" x14ac:dyDescent="0.35">
      <c r="A344" t="s">
        <v>4114</v>
      </c>
      <c r="B344" s="59" t="s">
        <v>4000</v>
      </c>
      <c r="C344" s="59" t="s">
        <v>3757</v>
      </c>
      <c r="D344" s="60" t="s">
        <v>2060</v>
      </c>
      <c r="E344" t="str">
        <f>_xlfn.XLOOKUP(D344,'[2]8A. Master Device Catalog'!$F$5:$F$914,'[2]8A. Master Device Catalog'!$G$5:$G$914,"")</f>
        <v>SM-A536</v>
      </c>
      <c r="F344">
        <f>_xlfn.XLOOKUP(D344,'[2]8A. Master Device Catalog'!$F$5:$F$914,'[2]8A. Master Device Catalog'!$H$5:$H$914,"")</f>
        <v>2022</v>
      </c>
    </row>
    <row r="345" spans="1:6" ht="21.5" x14ac:dyDescent="0.35">
      <c r="A345" t="s">
        <v>4115</v>
      </c>
      <c r="B345" s="59" t="s">
        <v>4000</v>
      </c>
      <c r="C345" s="59" t="s">
        <v>3757</v>
      </c>
      <c r="D345" s="60" t="s">
        <v>2055</v>
      </c>
      <c r="E345" t="str">
        <f>_xlfn.XLOOKUP(D345,'[2]8A. Master Device Catalog'!$F$5:$F$914,'[2]8A. Master Device Catalog'!$G$5:$G$914,"")</f>
        <v>SM-A546</v>
      </c>
      <c r="F345">
        <f>_xlfn.XLOOKUP(D345,'[2]8A. Master Device Catalog'!$F$5:$F$914,'[2]8A. Master Device Catalog'!$H$5:$H$914,"")</f>
        <v>2023</v>
      </c>
    </row>
    <row r="346" spans="1:6" ht="21.5" x14ac:dyDescent="0.35">
      <c r="A346" t="s">
        <v>4116</v>
      </c>
      <c r="B346" s="59" t="s">
        <v>4000</v>
      </c>
      <c r="C346" s="59" t="s">
        <v>3757</v>
      </c>
      <c r="D346" s="60" t="s">
        <v>2050</v>
      </c>
      <c r="E346" t="str">
        <f>_xlfn.XLOOKUP(D346,'[2]8A. Master Device Catalog'!$F$5:$F$914,'[2]8A. Master Device Catalog'!$G$5:$G$914,"")</f>
        <v>SM-A556</v>
      </c>
      <c r="F346">
        <f>_xlfn.XLOOKUP(D346,'[2]8A. Master Device Catalog'!$F$5:$F$914,'[2]8A. Master Device Catalog'!$H$5:$H$914,"")</f>
        <v>2024</v>
      </c>
    </row>
    <row r="347" spans="1:6" ht="21.5" x14ac:dyDescent="0.35">
      <c r="A347" t="s">
        <v>4117</v>
      </c>
      <c r="B347" s="59" t="s">
        <v>4000</v>
      </c>
      <c r="C347" s="59" t="s">
        <v>3757</v>
      </c>
      <c r="D347" s="60" t="s">
        <v>2045</v>
      </c>
      <c r="E347" t="str">
        <f>_xlfn.XLOOKUP(D347,'[2]8A. Master Device Catalog'!$F$5:$F$914,'[2]8A. Master Device Catalog'!$G$5:$G$914,"")</f>
        <v>SM-A566</v>
      </c>
      <c r="F347">
        <f>_xlfn.XLOOKUP(D347,'[2]8A. Master Device Catalog'!$F$5:$F$914,'[2]8A. Master Device Catalog'!$H$5:$H$914,"")</f>
        <v>2025</v>
      </c>
    </row>
    <row r="348" spans="1:6" ht="21.5" x14ac:dyDescent="0.35">
      <c r="A348" t="s">
        <v>4118</v>
      </c>
      <c r="B348" s="59" t="s">
        <v>4000</v>
      </c>
      <c r="C348" s="59" t="s">
        <v>3757</v>
      </c>
      <c r="D348" s="60" t="s">
        <v>2040</v>
      </c>
      <c r="E348" t="str">
        <f>_xlfn.XLOOKUP(D348,'[2]8A. Master Device Catalog'!$F$5:$F$914,'[2]8A. Master Device Catalog'!$G$5:$G$914,"")</f>
        <v>SM-A705</v>
      </c>
      <c r="F348">
        <f>_xlfn.XLOOKUP(D348,'[2]8A. Master Device Catalog'!$F$5:$F$914,'[2]8A. Master Device Catalog'!$H$5:$H$914,"")</f>
        <v>2019</v>
      </c>
    </row>
    <row r="349" spans="1:6" ht="21.5" x14ac:dyDescent="0.35">
      <c r="A349" t="s">
        <v>4119</v>
      </c>
      <c r="B349" s="59" t="s">
        <v>4000</v>
      </c>
      <c r="C349" s="59" t="s">
        <v>3757</v>
      </c>
      <c r="D349" s="60" t="s">
        <v>2035</v>
      </c>
      <c r="E349" t="str">
        <f>_xlfn.XLOOKUP(D349,'[2]8A. Master Device Catalog'!$F$5:$F$914,'[2]8A. Master Device Catalog'!$G$5:$G$914,"")</f>
        <v>SM-A707</v>
      </c>
      <c r="F349">
        <f>_xlfn.XLOOKUP(D349,'[2]8A. Master Device Catalog'!$F$5:$F$914,'[2]8A. Master Device Catalog'!$H$5:$H$914,"")</f>
        <v>2019</v>
      </c>
    </row>
    <row r="350" spans="1:6" ht="21.5" x14ac:dyDescent="0.35">
      <c r="A350" t="s">
        <v>4120</v>
      </c>
      <c r="B350" s="59" t="s">
        <v>4000</v>
      </c>
      <c r="C350" s="59" t="s">
        <v>3757</v>
      </c>
      <c r="D350" s="60" t="s">
        <v>2030</v>
      </c>
      <c r="E350" t="str">
        <f>_xlfn.XLOOKUP(D350,'[2]8A. Master Device Catalog'!$F$5:$F$914,'[2]8A. Master Device Catalog'!$G$5:$G$914,"")</f>
        <v>SM-A715</v>
      </c>
      <c r="F350">
        <f>_xlfn.XLOOKUP(D350,'[2]8A. Master Device Catalog'!$F$5:$F$914,'[2]8A. Master Device Catalog'!$H$5:$H$914,"")</f>
        <v>2020</v>
      </c>
    </row>
    <row r="351" spans="1:6" ht="21.5" x14ac:dyDescent="0.35">
      <c r="A351" t="s">
        <v>4121</v>
      </c>
      <c r="B351" s="59" t="s">
        <v>4000</v>
      </c>
      <c r="C351" s="59" t="s">
        <v>3757</v>
      </c>
      <c r="D351" s="60" t="s">
        <v>2025</v>
      </c>
      <c r="E351" t="str">
        <f>_xlfn.XLOOKUP(D351,'[2]8A. Master Device Catalog'!$F$5:$F$914,'[2]8A. Master Device Catalog'!$G$5:$G$914,"")</f>
        <v>SM-A716</v>
      </c>
      <c r="F351">
        <f>_xlfn.XLOOKUP(D351,'[2]8A. Master Device Catalog'!$F$5:$F$914,'[2]8A. Master Device Catalog'!$H$5:$H$914,"")</f>
        <v>2020</v>
      </c>
    </row>
    <row r="352" spans="1:6" ht="21.5" x14ac:dyDescent="0.35">
      <c r="A352" t="s">
        <v>4122</v>
      </c>
      <c r="B352" s="59" t="s">
        <v>4000</v>
      </c>
      <c r="C352" s="59" t="s">
        <v>3757</v>
      </c>
      <c r="D352" s="60" t="s">
        <v>2020</v>
      </c>
      <c r="E352" t="str">
        <f>_xlfn.XLOOKUP(D352,'[2]8A. Master Device Catalog'!$F$5:$F$914,'[2]8A. Master Device Catalog'!$G$5:$G$914,"")</f>
        <v>SM-A725</v>
      </c>
      <c r="F352">
        <f>_xlfn.XLOOKUP(D352,'[2]8A. Master Device Catalog'!$F$5:$F$914,'[2]8A. Master Device Catalog'!$H$5:$H$914,"")</f>
        <v>2021</v>
      </c>
    </row>
    <row r="353" spans="1:6" ht="21.5" x14ac:dyDescent="0.35">
      <c r="A353" t="s">
        <v>4123</v>
      </c>
      <c r="B353" s="59" t="s">
        <v>4000</v>
      </c>
      <c r="C353" s="59" t="s">
        <v>3757</v>
      </c>
      <c r="D353" s="60" t="s">
        <v>2014</v>
      </c>
      <c r="E353" t="str">
        <f>_xlfn.XLOOKUP(D353,'[2]8A. Master Device Catalog'!$F$5:$F$914,'[2]8A. Master Device Catalog'!$G$5:$G$914,"")</f>
        <v>SM-A736</v>
      </c>
      <c r="F353">
        <f>_xlfn.XLOOKUP(D353,'[2]8A. Master Device Catalog'!$F$5:$F$914,'[2]8A. Master Device Catalog'!$H$5:$H$914,"")</f>
        <v>2022</v>
      </c>
    </row>
    <row r="354" spans="1:6" ht="21.5" x14ac:dyDescent="0.35">
      <c r="A354" t="s">
        <v>4124</v>
      </c>
      <c r="B354" s="59" t="s">
        <v>4000</v>
      </c>
      <c r="C354" s="59" t="s">
        <v>3757</v>
      </c>
      <c r="D354" s="60" t="s">
        <v>2009</v>
      </c>
      <c r="E354" t="str">
        <f>_xlfn.XLOOKUP(D354,'[2]8A. Master Device Catalog'!$F$5:$F$914,'[2]8A. Master Device Catalog'!$G$5:$G$914,"")</f>
        <v>SM-M105</v>
      </c>
      <c r="F354">
        <f>_xlfn.XLOOKUP(D354,'[2]8A. Master Device Catalog'!$F$5:$F$914,'[2]8A. Master Device Catalog'!$H$5:$H$914,"")</f>
        <v>2019</v>
      </c>
    </row>
    <row r="355" spans="1:6" ht="21.5" x14ac:dyDescent="0.35">
      <c r="A355" t="s">
        <v>4125</v>
      </c>
      <c r="B355" s="59" t="s">
        <v>4000</v>
      </c>
      <c r="C355" s="59" t="s">
        <v>3757</v>
      </c>
      <c r="D355" s="60" t="s">
        <v>2004</v>
      </c>
      <c r="E355" t="str">
        <f>_xlfn.XLOOKUP(D355,'[2]8A. Master Device Catalog'!$F$5:$F$914,'[2]8A. Master Device Catalog'!$G$5:$G$914,"")</f>
        <v>SM-M115</v>
      </c>
      <c r="F355">
        <f>_xlfn.XLOOKUP(D355,'[2]8A. Master Device Catalog'!$F$5:$F$914,'[2]8A. Master Device Catalog'!$H$5:$H$914,"")</f>
        <v>2020</v>
      </c>
    </row>
    <row r="356" spans="1:6" ht="21.5" x14ac:dyDescent="0.35">
      <c r="A356" t="s">
        <v>4126</v>
      </c>
      <c r="B356" s="59" t="s">
        <v>4000</v>
      </c>
      <c r="C356" s="59" t="s">
        <v>3757</v>
      </c>
      <c r="D356" s="60" t="s">
        <v>1999</v>
      </c>
      <c r="E356" t="str">
        <f>_xlfn.XLOOKUP(D356,'[2]8A. Master Device Catalog'!$F$5:$F$914,'[2]8A. Master Device Catalog'!$G$5:$G$914,"")</f>
        <v>SM-M127</v>
      </c>
      <c r="F356">
        <f>_xlfn.XLOOKUP(D356,'[2]8A. Master Device Catalog'!$F$5:$F$914,'[2]8A. Master Device Catalog'!$H$5:$H$914,"")</f>
        <v>2021</v>
      </c>
    </row>
    <row r="357" spans="1:6" ht="21.5" x14ac:dyDescent="0.35">
      <c r="A357" t="s">
        <v>4127</v>
      </c>
      <c r="B357" s="59" t="s">
        <v>4000</v>
      </c>
      <c r="C357" s="59" t="s">
        <v>3757</v>
      </c>
      <c r="D357" s="60" t="s">
        <v>1994</v>
      </c>
      <c r="E357" t="str">
        <f>_xlfn.XLOOKUP(D357,'[2]8A. Master Device Catalog'!$F$5:$F$914,'[2]8A. Master Device Catalog'!$G$5:$G$914,"")</f>
        <v>SM-M135</v>
      </c>
      <c r="F357">
        <f>_xlfn.XLOOKUP(D357,'[2]8A. Master Device Catalog'!$F$5:$F$914,'[2]8A. Master Device Catalog'!$H$5:$H$914,"")</f>
        <v>2022</v>
      </c>
    </row>
    <row r="358" spans="1:6" ht="21.5" x14ac:dyDescent="0.35">
      <c r="A358" t="s">
        <v>4128</v>
      </c>
      <c r="B358" s="59" t="s">
        <v>4000</v>
      </c>
      <c r="C358" s="59" t="s">
        <v>3757</v>
      </c>
      <c r="D358" s="60" t="s">
        <v>1989</v>
      </c>
      <c r="E358" t="str">
        <f>_xlfn.XLOOKUP(D358,'[2]8A. Master Device Catalog'!$F$5:$F$914,'[2]8A. Master Device Catalog'!$G$5:$G$914,"")</f>
        <v>SM-M146</v>
      </c>
      <c r="F358">
        <f>_xlfn.XLOOKUP(D358,'[2]8A. Master Device Catalog'!$F$5:$F$914,'[2]8A. Master Device Catalog'!$H$5:$H$914,"")</f>
        <v>2023</v>
      </c>
    </row>
    <row r="359" spans="1:6" ht="21.5" x14ac:dyDescent="0.35">
      <c r="A359" t="s">
        <v>4129</v>
      </c>
      <c r="B359" s="59" t="s">
        <v>4000</v>
      </c>
      <c r="C359" s="59" t="s">
        <v>3757</v>
      </c>
      <c r="D359" s="60" t="s">
        <v>1984</v>
      </c>
      <c r="E359" t="str">
        <f>_xlfn.XLOOKUP(D359,'[2]8A. Master Device Catalog'!$F$5:$F$914,'[2]8A. Master Device Catalog'!$G$5:$G$914,"")</f>
        <v>SM-M156</v>
      </c>
      <c r="F359">
        <f>_xlfn.XLOOKUP(D359,'[2]8A. Master Device Catalog'!$F$5:$F$914,'[2]8A. Master Device Catalog'!$H$5:$H$914,"")</f>
        <v>2024</v>
      </c>
    </row>
    <row r="360" spans="1:6" ht="21.5" x14ac:dyDescent="0.35">
      <c r="A360" t="s">
        <v>4130</v>
      </c>
      <c r="B360" s="59" t="s">
        <v>4000</v>
      </c>
      <c r="C360" s="59" t="s">
        <v>3757</v>
      </c>
      <c r="D360" s="60" t="s">
        <v>1979</v>
      </c>
      <c r="E360" t="str">
        <f>_xlfn.XLOOKUP(D360,'[2]8A. Master Device Catalog'!$F$5:$F$914,'[2]8A. Master Device Catalog'!$G$5:$G$914,"")</f>
        <v>SM-M166</v>
      </c>
      <c r="F360">
        <f>_xlfn.XLOOKUP(D360,'[2]8A. Master Device Catalog'!$F$5:$F$914,'[2]8A. Master Device Catalog'!$H$5:$H$914,"")</f>
        <v>2025</v>
      </c>
    </row>
    <row r="361" spans="1:6" ht="21.5" x14ac:dyDescent="0.35">
      <c r="A361" t="s">
        <v>4131</v>
      </c>
      <c r="B361" s="59" t="s">
        <v>4000</v>
      </c>
      <c r="C361" s="59" t="s">
        <v>3757</v>
      </c>
      <c r="D361" s="60" t="s">
        <v>1974</v>
      </c>
      <c r="E361" t="str">
        <f>_xlfn.XLOOKUP(D361,'[2]8A. Master Device Catalog'!$F$5:$F$914,'[2]8A. Master Device Catalog'!$G$5:$G$914,"")</f>
        <v>SM-M205</v>
      </c>
      <c r="F361">
        <f>_xlfn.XLOOKUP(D361,'[2]8A. Master Device Catalog'!$F$5:$F$914,'[2]8A. Master Device Catalog'!$H$5:$H$914,"")</f>
        <v>2019</v>
      </c>
    </row>
    <row r="362" spans="1:6" ht="21.5" x14ac:dyDescent="0.35">
      <c r="A362" t="s">
        <v>4132</v>
      </c>
      <c r="B362" s="59" t="s">
        <v>4000</v>
      </c>
      <c r="C362" s="59" t="s">
        <v>3757</v>
      </c>
      <c r="D362" s="60" t="s">
        <v>1969</v>
      </c>
      <c r="E362" t="str">
        <f>_xlfn.XLOOKUP(D362,'[2]8A. Master Device Catalog'!$F$5:$F$914,'[2]8A. Master Device Catalog'!$G$5:$G$914,"")</f>
        <v>SM-M215</v>
      </c>
      <c r="F362">
        <f>_xlfn.XLOOKUP(D362,'[2]8A. Master Device Catalog'!$F$5:$F$914,'[2]8A. Master Device Catalog'!$H$5:$H$914,"")</f>
        <v>2020</v>
      </c>
    </row>
    <row r="363" spans="1:6" ht="21.5" x14ac:dyDescent="0.35">
      <c r="A363" t="s">
        <v>4133</v>
      </c>
      <c r="B363" s="59" t="s">
        <v>4000</v>
      </c>
      <c r="C363" s="59" t="s">
        <v>3757</v>
      </c>
      <c r="D363" s="60" t="s">
        <v>1964</v>
      </c>
      <c r="E363" t="str">
        <f>_xlfn.XLOOKUP(D363,'[2]8A. Master Device Catalog'!$F$5:$F$914,'[2]8A. Master Device Catalog'!$G$5:$G$914,"")</f>
        <v>SM-M225</v>
      </c>
      <c r="F363">
        <f>_xlfn.XLOOKUP(D363,'[2]8A. Master Device Catalog'!$F$5:$F$914,'[2]8A. Master Device Catalog'!$H$5:$H$914,"")</f>
        <v>2021</v>
      </c>
    </row>
    <row r="364" spans="1:6" ht="21.5" x14ac:dyDescent="0.35">
      <c r="A364" t="s">
        <v>4134</v>
      </c>
      <c r="B364" s="59" t="s">
        <v>4000</v>
      </c>
      <c r="C364" s="59" t="s">
        <v>3757</v>
      </c>
      <c r="D364" s="60" t="s">
        <v>1959</v>
      </c>
      <c r="E364" t="str">
        <f>_xlfn.XLOOKUP(D364,'[2]8A. Master Device Catalog'!$F$5:$F$914,'[2]8A. Master Device Catalog'!$G$5:$G$914,"")</f>
        <v>SM-M236</v>
      </c>
      <c r="F364">
        <f>_xlfn.XLOOKUP(D364,'[2]8A. Master Device Catalog'!$F$5:$F$914,'[2]8A. Master Device Catalog'!$H$5:$H$914,"")</f>
        <v>2022</v>
      </c>
    </row>
    <row r="365" spans="1:6" ht="21.5" x14ac:dyDescent="0.35">
      <c r="A365" t="s">
        <v>4135</v>
      </c>
      <c r="B365" s="59" t="s">
        <v>4000</v>
      </c>
      <c r="C365" s="59" t="s">
        <v>3757</v>
      </c>
      <c r="D365" s="60" t="s">
        <v>1955</v>
      </c>
      <c r="E365" t="str">
        <f>_xlfn.XLOOKUP(D365,'[2]8A. Master Device Catalog'!$F$5:$F$914,'[2]8A. Master Device Catalog'!$G$5:$G$914,"")</f>
        <v>SM-M245</v>
      </c>
      <c r="F365">
        <f>_xlfn.XLOOKUP(D365,'[2]8A. Master Device Catalog'!$F$5:$F$914,'[2]8A. Master Device Catalog'!$H$5:$H$914,"")</f>
        <v>2023</v>
      </c>
    </row>
    <row r="366" spans="1:6" ht="21.5" x14ac:dyDescent="0.35">
      <c r="A366" t="s">
        <v>4136</v>
      </c>
      <c r="B366" s="59" t="s">
        <v>4000</v>
      </c>
      <c r="C366" s="59" t="s">
        <v>3757</v>
      </c>
      <c r="D366" s="60" t="s">
        <v>1950</v>
      </c>
      <c r="E366" t="str">
        <f>_xlfn.XLOOKUP(D366,'[2]8A. Master Device Catalog'!$F$5:$F$914,'[2]8A. Master Device Catalog'!$G$5:$G$914,"")</f>
        <v>SM-M256</v>
      </c>
      <c r="F366">
        <f>_xlfn.XLOOKUP(D366,'[2]8A. Master Device Catalog'!$F$5:$F$914,'[2]8A. Master Device Catalog'!$H$5:$H$914,"")</f>
        <v>2024</v>
      </c>
    </row>
    <row r="367" spans="1:6" ht="21.5" x14ac:dyDescent="0.35">
      <c r="A367" t="s">
        <v>4137</v>
      </c>
      <c r="B367" s="59" t="s">
        <v>4000</v>
      </c>
      <c r="C367" s="59" t="s">
        <v>3757</v>
      </c>
      <c r="D367" s="60" t="s">
        <v>1946</v>
      </c>
      <c r="E367" t="str">
        <f>_xlfn.XLOOKUP(D367,'[2]8A. Master Device Catalog'!$F$5:$F$914,'[2]8A. Master Device Catalog'!$G$5:$G$914,"")</f>
        <v>SM-J100</v>
      </c>
      <c r="F367">
        <f>_xlfn.XLOOKUP(D367,'[2]8A. Master Device Catalog'!$F$5:$F$914,'[2]8A. Master Device Catalog'!$H$5:$H$914,"")</f>
        <v>2015</v>
      </c>
    </row>
    <row r="368" spans="1:6" ht="21.5" x14ac:dyDescent="0.35">
      <c r="A368" t="s">
        <v>4138</v>
      </c>
      <c r="B368" s="59" t="s">
        <v>4000</v>
      </c>
      <c r="C368" s="59" t="s">
        <v>3757</v>
      </c>
      <c r="D368" s="60" t="s">
        <v>1941</v>
      </c>
      <c r="E368" t="str">
        <f>_xlfn.XLOOKUP(D368,'[2]8A. Master Device Catalog'!$F$5:$F$914,'[2]8A. Master Device Catalog'!$G$5:$G$914,"")</f>
        <v>SM-J110</v>
      </c>
      <c r="F368">
        <f>_xlfn.XLOOKUP(D368,'[2]8A. Master Device Catalog'!$F$5:$F$914,'[2]8A. Master Device Catalog'!$H$5:$H$914,"")</f>
        <v>2015</v>
      </c>
    </row>
    <row r="369" spans="1:6" ht="21.5" x14ac:dyDescent="0.35">
      <c r="A369" t="s">
        <v>4139</v>
      </c>
      <c r="B369" s="59" t="s">
        <v>4000</v>
      </c>
      <c r="C369" s="59" t="s">
        <v>3757</v>
      </c>
      <c r="D369" s="60" t="s">
        <v>1936</v>
      </c>
      <c r="E369" t="str">
        <f>_xlfn.XLOOKUP(D369,'[2]8A. Master Device Catalog'!$F$5:$F$914,'[2]8A. Master Device Catalog'!$G$5:$G$914,"")</f>
        <v>SM-J200</v>
      </c>
      <c r="F369">
        <f>_xlfn.XLOOKUP(D369,'[2]8A. Master Device Catalog'!$F$5:$F$914,'[2]8A. Master Device Catalog'!$H$5:$H$914,"")</f>
        <v>2015</v>
      </c>
    </row>
    <row r="370" spans="1:6" ht="21.5" x14ac:dyDescent="0.35">
      <c r="A370" t="s">
        <v>4140</v>
      </c>
      <c r="B370" s="59" t="s">
        <v>4000</v>
      </c>
      <c r="C370" s="59" t="s">
        <v>3757</v>
      </c>
      <c r="D370" s="60" t="s">
        <v>1931</v>
      </c>
      <c r="E370" t="str">
        <f>_xlfn.XLOOKUP(D370,'[2]8A. Master Device Catalog'!$F$5:$F$914,'[2]8A. Master Device Catalog'!$G$5:$G$914,"")</f>
        <v>SM-G532</v>
      </c>
      <c r="F370">
        <f>_xlfn.XLOOKUP(D370,'[2]8A. Master Device Catalog'!$F$5:$F$914,'[2]8A. Master Device Catalog'!$H$5:$H$914,"")</f>
        <v>2016</v>
      </c>
    </row>
    <row r="371" spans="1:6" ht="21.5" x14ac:dyDescent="0.35">
      <c r="A371" t="s">
        <v>4141</v>
      </c>
      <c r="B371" s="59" t="s">
        <v>4000</v>
      </c>
      <c r="C371" s="59" t="s">
        <v>3757</v>
      </c>
      <c r="D371" s="60" t="s">
        <v>1926</v>
      </c>
      <c r="E371" t="str">
        <f>_xlfn.XLOOKUP(D371,'[2]8A. Master Device Catalog'!$F$5:$F$914,'[2]8A. Master Device Catalog'!$G$5:$G$914,"")</f>
        <v>SM-J320</v>
      </c>
      <c r="F371">
        <f>_xlfn.XLOOKUP(D371,'[2]8A. Master Device Catalog'!$F$5:$F$914,'[2]8A. Master Device Catalog'!$H$5:$H$914,"")</f>
        <v>2016</v>
      </c>
    </row>
    <row r="372" spans="1:6" ht="21.5" x14ac:dyDescent="0.35">
      <c r="A372" t="s">
        <v>4142</v>
      </c>
      <c r="B372" s="59" t="s">
        <v>4000</v>
      </c>
      <c r="C372" s="59" t="s">
        <v>3757</v>
      </c>
      <c r="D372" s="60" t="s">
        <v>1921</v>
      </c>
      <c r="E372" t="str">
        <f>_xlfn.XLOOKUP(D372,'[2]8A. Master Device Catalog'!$F$5:$F$914,'[2]8A. Master Device Catalog'!$G$5:$G$914,"")</f>
        <v>SM-J400</v>
      </c>
      <c r="F372">
        <f>_xlfn.XLOOKUP(D372,'[2]8A. Master Device Catalog'!$F$5:$F$914,'[2]8A. Master Device Catalog'!$H$5:$H$914,"")</f>
        <v>2018</v>
      </c>
    </row>
    <row r="373" spans="1:6" ht="21.5" x14ac:dyDescent="0.35">
      <c r="A373" t="s">
        <v>4143</v>
      </c>
      <c r="B373" s="59" t="s">
        <v>4000</v>
      </c>
      <c r="C373" s="59" t="s">
        <v>3757</v>
      </c>
      <c r="D373" s="60" t="s">
        <v>1916</v>
      </c>
      <c r="E373" t="str">
        <f>_xlfn.XLOOKUP(D373,'[2]8A. Master Device Catalog'!$F$5:$F$914,'[2]8A. Master Device Catalog'!$G$5:$G$914,"")</f>
        <v>SM-J415</v>
      </c>
      <c r="F373">
        <f>_xlfn.XLOOKUP(D373,'[2]8A. Master Device Catalog'!$F$5:$F$914,'[2]8A. Master Device Catalog'!$H$5:$H$914,"")</f>
        <v>2018</v>
      </c>
    </row>
    <row r="374" spans="1:6" ht="21.5" x14ac:dyDescent="0.35">
      <c r="A374" t="s">
        <v>4144</v>
      </c>
      <c r="B374" s="59" t="s">
        <v>4000</v>
      </c>
      <c r="C374" s="59" t="s">
        <v>3757</v>
      </c>
      <c r="D374" s="60" t="s">
        <v>1911</v>
      </c>
      <c r="E374" t="str">
        <f>_xlfn.XLOOKUP(D374,'[2]8A. Master Device Catalog'!$F$5:$F$914,'[2]8A. Master Device Catalog'!$G$5:$G$914,"")</f>
        <v>SM-J500</v>
      </c>
      <c r="F374">
        <f>_xlfn.XLOOKUP(D374,'[2]8A. Master Device Catalog'!$F$5:$F$914,'[2]8A. Master Device Catalog'!$H$5:$H$914,"")</f>
        <v>2015</v>
      </c>
    </row>
    <row r="375" spans="1:6" ht="21.5" x14ac:dyDescent="0.35">
      <c r="A375" t="s">
        <v>4145</v>
      </c>
      <c r="B375" s="59" t="s">
        <v>4000</v>
      </c>
      <c r="C375" s="59" t="s">
        <v>3757</v>
      </c>
      <c r="D375" s="60" t="s">
        <v>1907</v>
      </c>
      <c r="E375" t="str">
        <f>_xlfn.XLOOKUP(D375,'[2]8A. Master Device Catalog'!$F$5:$F$914,'[2]8A. Master Device Catalog'!$G$5:$G$914,"")</f>
        <v>SM-J600</v>
      </c>
      <c r="F375">
        <f>_xlfn.XLOOKUP(D375,'[2]8A. Master Device Catalog'!$F$5:$F$914,'[2]8A. Master Device Catalog'!$H$5:$H$914,"")</f>
        <v>2018</v>
      </c>
    </row>
    <row r="376" spans="1:6" ht="21.5" x14ac:dyDescent="0.35">
      <c r="A376" t="s">
        <v>4146</v>
      </c>
      <c r="B376" s="59" t="s">
        <v>4000</v>
      </c>
      <c r="C376" s="59" t="s">
        <v>3757</v>
      </c>
      <c r="D376" s="60" t="s">
        <v>1902</v>
      </c>
      <c r="E376" t="str">
        <f>_xlfn.XLOOKUP(D376,'[2]8A. Master Device Catalog'!$F$5:$F$914,'[2]8A. Master Device Catalog'!$G$5:$G$914,"")</f>
        <v>SM-J700</v>
      </c>
      <c r="F376">
        <f>_xlfn.XLOOKUP(D376,'[2]8A. Master Device Catalog'!$F$5:$F$914,'[2]8A. Master Device Catalog'!$H$5:$H$914,"")</f>
        <v>2015</v>
      </c>
    </row>
    <row r="377" spans="1:6" ht="21.5" x14ac:dyDescent="0.35">
      <c r="A377" t="s">
        <v>4147</v>
      </c>
      <c r="B377" s="59" t="s">
        <v>4000</v>
      </c>
      <c r="C377" s="59" t="s">
        <v>3757</v>
      </c>
      <c r="D377" s="60" t="s">
        <v>1899</v>
      </c>
      <c r="E377" t="str">
        <f>_xlfn.XLOOKUP(D377,'[2]8A. Master Device Catalog'!$F$5:$F$914,'[2]8A. Master Device Catalog'!$G$5:$G$914,"")</f>
        <v>SM-G610</v>
      </c>
      <c r="F377">
        <f>_xlfn.XLOOKUP(D377,'[2]8A. Master Device Catalog'!$F$5:$F$914,'[2]8A. Master Device Catalog'!$H$5:$H$914,"")</f>
        <v>2016</v>
      </c>
    </row>
    <row r="378" spans="1:6" ht="21.5" x14ac:dyDescent="0.35">
      <c r="A378" t="s">
        <v>4148</v>
      </c>
      <c r="B378" s="59" t="s">
        <v>4000</v>
      </c>
      <c r="C378" s="59" t="s">
        <v>3757</v>
      </c>
      <c r="D378" s="60" t="s">
        <v>1894</v>
      </c>
      <c r="E378" t="str">
        <f>_xlfn.XLOOKUP(D378,'[2]8A. Master Device Catalog'!$F$5:$F$914,'[2]8A. Master Device Catalog'!$G$5:$G$914,"")</f>
        <v>SM-J810</v>
      </c>
      <c r="F378">
        <f>_xlfn.XLOOKUP(D378,'[2]8A. Master Device Catalog'!$F$5:$F$914,'[2]8A. Master Device Catalog'!$H$5:$H$914,"")</f>
        <v>2018</v>
      </c>
    </row>
    <row r="379" spans="1:6" ht="21.5" x14ac:dyDescent="0.35">
      <c r="A379" t="s">
        <v>4149</v>
      </c>
      <c r="B379" s="59" t="s">
        <v>4000</v>
      </c>
      <c r="C379" s="59" t="s">
        <v>3757</v>
      </c>
      <c r="D379" s="60" t="s">
        <v>1891</v>
      </c>
      <c r="E379" t="str">
        <f>_xlfn.XLOOKUP(D379,'[2]8A. Master Device Catalog'!$F$5:$F$914,'[2]8A. Master Device Catalog'!$G$5:$G$914,"")</f>
        <v>GT-S5690</v>
      </c>
      <c r="F379">
        <f>_xlfn.XLOOKUP(D379,'[2]8A. Master Device Catalog'!$F$5:$F$914,'[2]8A. Master Device Catalog'!$H$5:$H$914,"")</f>
        <v>2011</v>
      </c>
    </row>
    <row r="380" spans="1:6" ht="21.5" x14ac:dyDescent="0.35">
      <c r="A380" t="s">
        <v>4150</v>
      </c>
      <c r="B380" s="59" t="s">
        <v>4000</v>
      </c>
      <c r="C380" s="59" t="s">
        <v>3757</v>
      </c>
      <c r="D380" s="60" t="s">
        <v>1886</v>
      </c>
      <c r="E380" t="str">
        <f>_xlfn.XLOOKUP(D380,'[2]8A. Master Device Catalog'!$F$5:$F$914,'[2]8A. Master Device Catalog'!$G$5:$G$914,"")</f>
        <v>GT-S7710</v>
      </c>
      <c r="F380">
        <f>_xlfn.XLOOKUP(D380,'[2]8A. Master Device Catalog'!$F$5:$F$914,'[2]8A. Master Device Catalog'!$H$5:$H$914,"")</f>
        <v>2013</v>
      </c>
    </row>
    <row r="381" spans="1:6" ht="21.5" x14ac:dyDescent="0.35">
      <c r="A381" t="s">
        <v>4151</v>
      </c>
      <c r="B381" s="59" t="s">
        <v>4000</v>
      </c>
      <c r="C381" s="59" t="s">
        <v>3757</v>
      </c>
      <c r="D381" s="60" t="s">
        <v>1881</v>
      </c>
      <c r="E381" t="str">
        <f>_xlfn.XLOOKUP(D381,'[2]8A. Master Device Catalog'!$F$5:$F$914,'[2]8A. Master Device Catalog'!$G$5:$G$914,"")</f>
        <v>SM-G388</v>
      </c>
      <c r="F381">
        <f>_xlfn.XLOOKUP(D381,'[2]8A. Master Device Catalog'!$F$5:$F$914,'[2]8A. Master Device Catalog'!$H$5:$H$914,"")</f>
        <v>2015</v>
      </c>
    </row>
    <row r="382" spans="1:6" ht="21.5" x14ac:dyDescent="0.35">
      <c r="A382" t="s">
        <v>4152</v>
      </c>
      <c r="B382" s="59" t="s">
        <v>4000</v>
      </c>
      <c r="C382" s="59" t="s">
        <v>3757</v>
      </c>
      <c r="D382" s="60" t="s">
        <v>1876</v>
      </c>
      <c r="E382" t="str">
        <f>_xlfn.XLOOKUP(D382,'[2]8A. Master Device Catalog'!$F$5:$F$914,'[2]8A. Master Device Catalog'!$G$5:$G$914,"")</f>
        <v>SM-G390</v>
      </c>
      <c r="F382">
        <f>_xlfn.XLOOKUP(D382,'[2]8A. Master Device Catalog'!$F$5:$F$914,'[2]8A. Master Device Catalog'!$H$5:$H$914,"")</f>
        <v>2017</v>
      </c>
    </row>
    <row r="383" spans="1:6" ht="21.5" x14ac:dyDescent="0.35">
      <c r="A383" t="s">
        <v>4153</v>
      </c>
      <c r="B383" s="59" t="s">
        <v>4000</v>
      </c>
      <c r="C383" s="59" t="s">
        <v>3757</v>
      </c>
      <c r="D383" s="60" t="s">
        <v>1871</v>
      </c>
      <c r="E383" t="str">
        <f>_xlfn.XLOOKUP(D383,'[2]8A. Master Device Catalog'!$F$5:$F$914,'[2]8A. Master Device Catalog'!$G$5:$G$914,"")</f>
        <v>SM-G398</v>
      </c>
      <c r="F383">
        <f>_xlfn.XLOOKUP(D383,'[2]8A. Master Device Catalog'!$F$5:$F$914,'[2]8A. Master Device Catalog'!$H$5:$H$914,"")</f>
        <v>2019</v>
      </c>
    </row>
    <row r="384" spans="1:6" ht="21.5" x14ac:dyDescent="0.35">
      <c r="A384" t="s">
        <v>4154</v>
      </c>
      <c r="B384" s="59" t="s">
        <v>4000</v>
      </c>
      <c r="C384" s="59" t="s">
        <v>3757</v>
      </c>
      <c r="D384" s="60" t="s">
        <v>1866</v>
      </c>
      <c r="E384" t="str">
        <f>_xlfn.XLOOKUP(D384,'[2]8A. Master Device Catalog'!$F$5:$F$914,'[2]8A. Master Device Catalog'!$G$5:$G$914,"")</f>
        <v>SM-G889</v>
      </c>
      <c r="F384">
        <f>_xlfn.XLOOKUP(D384,'[2]8A. Master Device Catalog'!$F$5:$F$914,'[2]8A. Master Device Catalog'!$H$5:$H$914,"")</f>
        <v>2020</v>
      </c>
    </row>
    <row r="385" spans="1:6" ht="21.5" x14ac:dyDescent="0.35">
      <c r="A385" t="s">
        <v>4155</v>
      </c>
      <c r="B385" s="59" t="s">
        <v>4000</v>
      </c>
      <c r="C385" s="59" t="s">
        <v>3757</v>
      </c>
      <c r="D385" s="60" t="s">
        <v>1861</v>
      </c>
      <c r="E385" t="str">
        <f>_xlfn.XLOOKUP(D385,'[2]8A. Master Device Catalog'!$F$5:$F$914,'[2]8A. Master Device Catalog'!$G$5:$G$914,"")</f>
        <v>SM-G715</v>
      </c>
      <c r="F385">
        <f>_xlfn.XLOOKUP(D385,'[2]8A. Master Device Catalog'!$F$5:$F$914,'[2]8A. Master Device Catalog'!$H$5:$H$914,"")</f>
        <v>2020</v>
      </c>
    </row>
    <row r="386" spans="1:6" ht="21.5" x14ac:dyDescent="0.35">
      <c r="A386" t="s">
        <v>4156</v>
      </c>
      <c r="B386" s="59" t="s">
        <v>4000</v>
      </c>
      <c r="C386" s="59" t="s">
        <v>3757</v>
      </c>
      <c r="D386" s="60" t="s">
        <v>1856</v>
      </c>
      <c r="E386" t="str">
        <f>_xlfn.XLOOKUP(D386,'[2]8A. Master Device Catalog'!$F$5:$F$914,'[2]8A. Master Device Catalog'!$G$5:$G$914,"")</f>
        <v>SM-G525</v>
      </c>
      <c r="F386">
        <f>_xlfn.XLOOKUP(D386,'[2]8A. Master Device Catalog'!$F$5:$F$914,'[2]8A. Master Device Catalog'!$H$5:$H$914,"")</f>
        <v>2021</v>
      </c>
    </row>
    <row r="387" spans="1:6" ht="21.5" x14ac:dyDescent="0.35">
      <c r="A387" t="s">
        <v>4157</v>
      </c>
      <c r="B387" s="59" t="s">
        <v>4000</v>
      </c>
      <c r="C387" s="59" t="s">
        <v>3757</v>
      </c>
      <c r="D387" s="60" t="s">
        <v>1851</v>
      </c>
      <c r="E387" t="str">
        <f>_xlfn.XLOOKUP(D387,'[2]8A. Master Device Catalog'!$F$5:$F$914,'[2]8A. Master Device Catalog'!$G$5:$G$914,"")</f>
        <v>SM-G736</v>
      </c>
      <c r="F387">
        <f>_xlfn.XLOOKUP(D387,'[2]8A. Master Device Catalog'!$F$5:$F$914,'[2]8A. Master Device Catalog'!$H$5:$H$914,"")</f>
        <v>2022</v>
      </c>
    </row>
    <row r="388" spans="1:6" ht="21.5" x14ac:dyDescent="0.35">
      <c r="A388" t="s">
        <v>4158</v>
      </c>
      <c r="B388" s="59" t="s">
        <v>4000</v>
      </c>
      <c r="C388" s="59" t="s">
        <v>3757</v>
      </c>
      <c r="D388" s="60" t="s">
        <v>1845</v>
      </c>
      <c r="E388" t="str">
        <f>_xlfn.XLOOKUP(D388,'[2]8A. Master Device Catalog'!$F$5:$F$914,'[2]8A. Master Device Catalog'!$G$5:$G$914,"")</f>
        <v>SM-G556</v>
      </c>
      <c r="F388">
        <f>_xlfn.XLOOKUP(D388,'[2]8A. Master Device Catalog'!$F$5:$F$914,'[2]8A. Master Device Catalog'!$H$5:$H$914,"")</f>
        <v>2024</v>
      </c>
    </row>
    <row r="389" spans="1:6" ht="21.5" x14ac:dyDescent="0.35">
      <c r="A389" t="s">
        <v>4159</v>
      </c>
      <c r="B389" s="59" t="s">
        <v>4160</v>
      </c>
      <c r="C389" s="59" t="s">
        <v>3757</v>
      </c>
      <c r="D389" s="60" t="s">
        <v>1224</v>
      </c>
      <c r="E389" t="str">
        <f>_xlfn.XLOOKUP(D389,'[2]8A. Master Device Catalog'!$F$5:$F$914,'[2]8A. Master Device Catalog'!$G$5:$G$914,"")</f>
        <v>D6603</v>
      </c>
      <c r="F389">
        <f>_xlfn.XLOOKUP(D389,'[2]8A. Master Device Catalog'!$F$5:$F$914,'[2]8A. Master Device Catalog'!$H$5:$H$914,"")</f>
        <v>2014</v>
      </c>
    </row>
    <row r="390" spans="1:6" ht="21.5" x14ac:dyDescent="0.35">
      <c r="A390" t="s">
        <v>4161</v>
      </c>
      <c r="B390" s="59" t="s">
        <v>4160</v>
      </c>
      <c r="C390" s="59" t="s">
        <v>3757</v>
      </c>
      <c r="D390" s="60" t="s">
        <v>1219</v>
      </c>
      <c r="E390" t="str">
        <f>_xlfn.XLOOKUP(D390,'[2]8A. Master Device Catalog'!$F$5:$F$914,'[2]8A. Master Device Catalog'!$G$5:$G$914,"")</f>
        <v>E6653</v>
      </c>
      <c r="F390">
        <f>_xlfn.XLOOKUP(D390,'[2]8A. Master Device Catalog'!$F$5:$F$914,'[2]8A. Master Device Catalog'!$H$5:$H$914,"")</f>
        <v>2015</v>
      </c>
    </row>
    <row r="391" spans="1:6" ht="21.5" x14ac:dyDescent="0.35">
      <c r="A391" t="s">
        <v>4162</v>
      </c>
      <c r="B391" s="59" t="s">
        <v>4160</v>
      </c>
      <c r="C391" s="59" t="s">
        <v>3757</v>
      </c>
      <c r="D391" s="60" t="s">
        <v>1214</v>
      </c>
      <c r="E391" t="str">
        <f>_xlfn.XLOOKUP(D391,'[2]8A. Master Device Catalog'!$F$5:$F$914,'[2]8A. Master Device Catalog'!$G$5:$G$914,"")</f>
        <v>F8331</v>
      </c>
      <c r="F391">
        <f>_xlfn.XLOOKUP(D391,'[2]8A. Master Device Catalog'!$F$5:$F$914,'[2]8A. Master Device Catalog'!$H$5:$H$914,"")</f>
        <v>2016</v>
      </c>
    </row>
    <row r="392" spans="1:6" ht="21.5" x14ac:dyDescent="0.35">
      <c r="A392" t="s">
        <v>4163</v>
      </c>
      <c r="B392" s="59" t="s">
        <v>4160</v>
      </c>
      <c r="C392" s="59" t="s">
        <v>3757</v>
      </c>
      <c r="D392" s="60" t="s">
        <v>1209</v>
      </c>
      <c r="E392" t="str">
        <f>_xlfn.XLOOKUP(D392,'[2]8A. Master Device Catalog'!$F$5:$F$914,'[2]8A. Master Device Catalog'!$G$5:$G$914,"")</f>
        <v>G8341</v>
      </c>
      <c r="F392">
        <f>_xlfn.XLOOKUP(D392,'[2]8A. Master Device Catalog'!$F$5:$F$914,'[2]8A. Master Device Catalog'!$H$5:$H$914,"")</f>
        <v>2017</v>
      </c>
    </row>
    <row r="393" spans="1:6" ht="21.5" x14ac:dyDescent="0.35">
      <c r="A393" t="s">
        <v>4164</v>
      </c>
      <c r="B393" s="59" t="s">
        <v>4160</v>
      </c>
      <c r="C393" s="59" t="s">
        <v>3757</v>
      </c>
      <c r="D393" s="60" t="s">
        <v>1203</v>
      </c>
      <c r="E393" t="str">
        <f>_xlfn.XLOOKUP(D393,'[2]8A. Master Device Catalog'!$F$5:$F$914,'[2]8A. Master Device Catalog'!$G$5:$G$914,"")</f>
        <v>H8266</v>
      </c>
      <c r="F393">
        <f>_xlfn.XLOOKUP(D393,'[2]8A. Master Device Catalog'!$F$5:$F$914,'[2]8A. Master Device Catalog'!$H$5:$H$914,"")</f>
        <v>2018</v>
      </c>
    </row>
    <row r="394" spans="1:6" ht="21.5" x14ac:dyDescent="0.35">
      <c r="A394" t="s">
        <v>4165</v>
      </c>
      <c r="B394" s="59" t="s">
        <v>4160</v>
      </c>
      <c r="C394" s="59" t="s">
        <v>3757</v>
      </c>
      <c r="D394" s="60" t="s">
        <v>1198</v>
      </c>
      <c r="E394" t="str">
        <f>_xlfn.XLOOKUP(D394,'[2]8A. Master Device Catalog'!$F$5:$F$914,'[2]8A. Master Device Catalog'!$G$5:$G$914,"")</f>
        <v>J8110</v>
      </c>
      <c r="F394">
        <f>_xlfn.XLOOKUP(D394,'[2]8A. Master Device Catalog'!$F$5:$F$914,'[2]8A. Master Device Catalog'!$H$5:$H$914,"")</f>
        <v>2019</v>
      </c>
    </row>
    <row r="395" spans="1:6" ht="21.5" x14ac:dyDescent="0.35">
      <c r="A395" t="s">
        <v>4166</v>
      </c>
      <c r="B395" s="59" t="s">
        <v>4160</v>
      </c>
      <c r="C395" s="59" t="s">
        <v>3757</v>
      </c>
      <c r="D395" s="60" t="s">
        <v>1193</v>
      </c>
      <c r="E395" t="str">
        <f>_xlfn.XLOOKUP(D395,'[2]8A. Master Device Catalog'!$F$5:$F$914,'[2]8A. Master Device Catalog'!$G$5:$G$914,"")</f>
        <v>XQ-AT51</v>
      </c>
      <c r="F395">
        <f>_xlfn.XLOOKUP(D395,'[2]8A. Master Device Catalog'!$F$5:$F$914,'[2]8A. Master Device Catalog'!$H$5:$H$914,"")</f>
        <v>2020</v>
      </c>
    </row>
    <row r="396" spans="1:6" ht="21.5" x14ac:dyDescent="0.35">
      <c r="A396" t="s">
        <v>4167</v>
      </c>
      <c r="B396" s="59" t="s">
        <v>4160</v>
      </c>
      <c r="C396" s="59" t="s">
        <v>3757</v>
      </c>
      <c r="D396" s="60" t="s">
        <v>1190</v>
      </c>
      <c r="E396" t="str">
        <f>_xlfn.XLOOKUP(D396,'[2]8A. Master Device Catalog'!$F$5:$F$914,'[2]8A. Master Device Catalog'!$G$5:$G$914,"")</f>
        <v>XQ-BC52</v>
      </c>
      <c r="F396">
        <f>_xlfn.XLOOKUP(D396,'[2]8A. Master Device Catalog'!$F$5:$F$914,'[2]8A. Master Device Catalog'!$H$5:$H$914,"")</f>
        <v>2021</v>
      </c>
    </row>
    <row r="397" spans="1:6" ht="21.5" x14ac:dyDescent="0.35">
      <c r="A397" t="s">
        <v>4168</v>
      </c>
      <c r="B397" s="59" t="s">
        <v>4160</v>
      </c>
      <c r="C397" s="59" t="s">
        <v>3757</v>
      </c>
      <c r="D397" s="60" t="s">
        <v>1185</v>
      </c>
      <c r="E397" t="str">
        <f>_xlfn.XLOOKUP(D397,'[2]8A. Master Device Catalog'!$F$5:$F$914,'[2]8A. Master Device Catalog'!$G$5:$G$914,"")</f>
        <v>XQ-DQ72</v>
      </c>
      <c r="F397">
        <f>_xlfn.XLOOKUP(D397,'[2]8A. Master Device Catalog'!$F$5:$F$914,'[2]8A. Master Device Catalog'!$H$5:$H$914,"")</f>
        <v>2023</v>
      </c>
    </row>
    <row r="398" spans="1:6" ht="21.5" x14ac:dyDescent="0.35">
      <c r="A398" t="s">
        <v>4169</v>
      </c>
      <c r="B398" s="59" t="s">
        <v>4160</v>
      </c>
      <c r="C398" s="59" t="s">
        <v>3757</v>
      </c>
      <c r="D398" s="60" t="s">
        <v>1182</v>
      </c>
      <c r="E398" t="str">
        <f>_xlfn.XLOOKUP(D398,'[2]8A. Master Device Catalog'!$F$5:$F$914,'[2]8A. Master Device Catalog'!$G$5:$G$914,"")</f>
        <v>XQ-DE72</v>
      </c>
      <c r="F398">
        <f>_xlfn.XLOOKUP(D398,'[2]8A. Master Device Catalog'!$F$5:$F$914,'[2]8A. Master Device Catalog'!$H$5:$H$914,"")</f>
        <v>2023</v>
      </c>
    </row>
    <row r="399" spans="1:6" ht="21.5" x14ac:dyDescent="0.35">
      <c r="A399" t="s">
        <v>4170</v>
      </c>
      <c r="B399" s="59" t="s">
        <v>4160</v>
      </c>
      <c r="C399" s="59" t="s">
        <v>3757</v>
      </c>
      <c r="D399" s="60" t="s">
        <v>1178</v>
      </c>
      <c r="E399" t="str">
        <f>_xlfn.XLOOKUP(D399,'[2]8A. Master Device Catalog'!$F$5:$F$914,'[2]8A. Master Device Catalog'!$G$5:$G$914,"")</f>
        <v>J9210</v>
      </c>
      <c r="F399">
        <f>_xlfn.XLOOKUP(D399,'[2]8A. Master Device Catalog'!$F$5:$F$914,'[2]8A. Master Device Catalog'!$H$5:$H$914,"")</f>
        <v>2019</v>
      </c>
    </row>
    <row r="400" spans="1:6" ht="21.5" x14ac:dyDescent="0.35">
      <c r="A400" t="s">
        <v>4171</v>
      </c>
      <c r="B400" s="59" t="s">
        <v>4160</v>
      </c>
      <c r="C400" s="59" t="s">
        <v>3757</v>
      </c>
      <c r="D400" s="60" t="s">
        <v>1174</v>
      </c>
      <c r="E400" t="str">
        <f>_xlfn.XLOOKUP(D400,'[2]8A. Master Device Catalog'!$F$5:$F$914,'[2]8A. Master Device Catalog'!$G$5:$G$914,"")</f>
        <v>XQ-AS52</v>
      </c>
      <c r="F400">
        <f>_xlfn.XLOOKUP(D400,'[2]8A. Master Device Catalog'!$F$5:$F$914,'[2]8A. Master Device Catalog'!$H$5:$H$914,"")</f>
        <v>2020</v>
      </c>
    </row>
    <row r="401" spans="1:6" ht="21.5" x14ac:dyDescent="0.35">
      <c r="A401" t="s">
        <v>4172</v>
      </c>
      <c r="B401" s="59" t="s">
        <v>4160</v>
      </c>
      <c r="C401" s="59" t="s">
        <v>3757</v>
      </c>
      <c r="D401" s="60" t="s">
        <v>1170</v>
      </c>
      <c r="E401" t="str">
        <f>_xlfn.XLOOKUP(D401,'[2]8A. Master Device Catalog'!$F$5:$F$914,'[2]8A. Master Device Catalog'!$G$5:$G$914,"")</f>
        <v>XQ-BQ72</v>
      </c>
      <c r="F401">
        <f>_xlfn.XLOOKUP(D401,'[2]8A. Master Device Catalog'!$F$5:$F$914,'[2]8A. Master Device Catalog'!$H$5:$H$914,"")</f>
        <v>2021</v>
      </c>
    </row>
    <row r="402" spans="1:6" ht="21.5" x14ac:dyDescent="0.35">
      <c r="A402" t="s">
        <v>4173</v>
      </c>
      <c r="B402" s="59" t="s">
        <v>4160</v>
      </c>
      <c r="C402" s="59" t="s">
        <v>3757</v>
      </c>
      <c r="D402" s="60" t="s">
        <v>1166</v>
      </c>
      <c r="E402" t="str">
        <f>_xlfn.XLOOKUP(D402,'[2]8A. Master Device Catalog'!$F$5:$F$914,'[2]8A. Master Device Catalog'!$G$5:$G$914,"")</f>
        <v>XQ-BT52</v>
      </c>
      <c r="F402">
        <f>_xlfn.XLOOKUP(D402,'[2]8A. Master Device Catalog'!$F$5:$F$914,'[2]8A. Master Device Catalog'!$H$5:$H$914,"")</f>
        <v>2021</v>
      </c>
    </row>
    <row r="403" spans="1:6" ht="21.5" x14ac:dyDescent="0.35">
      <c r="A403" t="s">
        <v>4174</v>
      </c>
      <c r="B403" s="59" t="s">
        <v>4160</v>
      </c>
      <c r="C403" s="59" t="s">
        <v>3757</v>
      </c>
      <c r="D403" s="60" t="s">
        <v>1161</v>
      </c>
      <c r="E403" t="str">
        <f>_xlfn.XLOOKUP(D403,'[2]8A. Master Device Catalog'!$F$5:$F$914,'[2]8A. Master Device Catalog'!$G$5:$G$914,"")</f>
        <v>XQ-DC72</v>
      </c>
      <c r="F403">
        <f>_xlfn.XLOOKUP(D403,'[2]8A. Master Device Catalog'!$F$5:$F$914,'[2]8A. Master Device Catalog'!$H$5:$H$914,"")</f>
        <v>2023</v>
      </c>
    </row>
    <row r="404" spans="1:6" ht="21.5" x14ac:dyDescent="0.35">
      <c r="A404" t="s">
        <v>4175</v>
      </c>
      <c r="B404" s="59" t="s">
        <v>4160</v>
      </c>
      <c r="C404" s="59" t="s">
        <v>3757</v>
      </c>
      <c r="D404" s="60" t="s">
        <v>1157</v>
      </c>
      <c r="E404" t="str">
        <f>_xlfn.XLOOKUP(D404,'[2]8A. Master Device Catalog'!$F$5:$F$914,'[2]8A. Master Device Catalog'!$G$5:$G$914,"")</f>
        <v>XQ-AQ62</v>
      </c>
      <c r="F404">
        <f>_xlfn.XLOOKUP(D404,'[2]8A. Master Device Catalog'!$F$5:$F$914,'[2]8A. Master Device Catalog'!$H$5:$H$914,"")</f>
        <v>2021</v>
      </c>
    </row>
    <row r="405" spans="1:6" ht="21.5" x14ac:dyDescent="0.35">
      <c r="A405" t="s">
        <v>4176</v>
      </c>
      <c r="B405" s="59" t="s">
        <v>4160</v>
      </c>
      <c r="C405" s="59" t="s">
        <v>3757</v>
      </c>
      <c r="D405" s="60" t="s">
        <v>1152</v>
      </c>
      <c r="E405" t="str">
        <f>_xlfn.XLOOKUP(D405,'[2]8A. Master Device Catalog'!$F$5:$F$914,'[2]8A. Master Device Catalog'!$G$5:$G$914,"")</f>
        <v>XQ-BE62</v>
      </c>
      <c r="F405">
        <f>_xlfn.XLOOKUP(D405,'[2]8A. Master Device Catalog'!$F$5:$F$914,'[2]8A. Master Device Catalog'!$H$5:$H$914,"")</f>
        <v>2021</v>
      </c>
    </row>
    <row r="406" spans="1:6" ht="21.5" x14ac:dyDescent="0.35">
      <c r="A406" t="s">
        <v>4177</v>
      </c>
      <c r="B406" s="59" t="s">
        <v>4160</v>
      </c>
      <c r="C406" s="59" t="s">
        <v>3757</v>
      </c>
      <c r="D406" s="60" t="s">
        <v>1148</v>
      </c>
      <c r="E406" t="str">
        <f>_xlfn.XLOOKUP(D406,'[2]8A. Master Device Catalog'!$F$5:$F$914,'[2]8A. Master Device Catalog'!$G$5:$G$914,"")</f>
        <v>SO-02L</v>
      </c>
      <c r="F406">
        <f>_xlfn.XLOOKUP(D406,'[2]8A. Master Device Catalog'!$F$5:$F$914,'[2]8A. Master Device Catalog'!$H$5:$H$914,"")</f>
        <v>2019</v>
      </c>
    </row>
    <row r="407" spans="1:6" ht="21.5" x14ac:dyDescent="0.35">
      <c r="A407" t="s">
        <v>4178</v>
      </c>
      <c r="B407" s="59" t="s">
        <v>4160</v>
      </c>
      <c r="C407" s="59" t="s">
        <v>3757</v>
      </c>
      <c r="D407" s="60" t="s">
        <v>1144</v>
      </c>
      <c r="E407" t="str">
        <f>_xlfn.XLOOKUP(D407,'[2]8A. Master Device Catalog'!$F$5:$F$914,'[2]8A. Master Device Catalog'!$G$5:$G$914,"")</f>
        <v>SO-41B</v>
      </c>
      <c r="F407">
        <f>_xlfn.XLOOKUP(D407,'[2]8A. Master Device Catalog'!$F$5:$F$914,'[2]8A. Master Device Catalog'!$H$5:$H$914,"")</f>
        <v>2021</v>
      </c>
    </row>
    <row r="408" spans="1:6" ht="21.5" x14ac:dyDescent="0.35">
      <c r="A408" t="s">
        <v>4179</v>
      </c>
      <c r="B408" s="59" t="s">
        <v>4160</v>
      </c>
      <c r="C408" s="59" t="s">
        <v>3757</v>
      </c>
      <c r="D408" s="60" t="s">
        <v>1138</v>
      </c>
      <c r="E408" t="str">
        <f>_xlfn.XLOOKUP(D408,'[2]8A. Master Device Catalog'!$F$5:$F$914,'[2]8A. Master Device Catalog'!$G$5:$G$914,"")</f>
        <v>SO-53C</v>
      </c>
      <c r="F408">
        <f>_xlfn.XLOOKUP(D408,'[2]8A. Master Device Catalog'!$F$5:$F$914,'[2]8A. Master Device Catalog'!$H$5:$H$914,"")</f>
        <v>2022</v>
      </c>
    </row>
    <row r="409" spans="1:6" ht="21.5" x14ac:dyDescent="0.35">
      <c r="A409" t="s">
        <v>4180</v>
      </c>
      <c r="B409" s="59" t="s">
        <v>4181</v>
      </c>
      <c r="C409" s="59" t="s">
        <v>3757</v>
      </c>
      <c r="D409" s="60" t="s">
        <v>831</v>
      </c>
      <c r="E409" t="str">
        <f>_xlfn.XLOOKUP(D409,'[2]8A. Master Device Catalog'!$F$5:$F$914,'[2]8A. Master Device Catalog'!$G$5:$G$914,"")</f>
        <v>M1803E1A</v>
      </c>
      <c r="F409">
        <f>_xlfn.XLOOKUP(D409,'[2]8A. Master Device Catalog'!$F$5:$F$914,'[2]8A. Master Device Catalog'!$H$5:$H$914,"")</f>
        <v>2018</v>
      </c>
    </row>
    <row r="410" spans="1:6" ht="21.5" x14ac:dyDescent="0.35">
      <c r="A410" t="s">
        <v>4182</v>
      </c>
      <c r="B410" s="59" t="s">
        <v>4181</v>
      </c>
      <c r="C410" s="59" t="s">
        <v>3757</v>
      </c>
      <c r="D410" s="60" t="s">
        <v>828</v>
      </c>
      <c r="E410" t="str">
        <f>_xlfn.XLOOKUP(D410,'[2]8A. Master Device Catalog'!$F$5:$F$914,'[2]8A. Master Device Catalog'!$G$5:$G$914,"")</f>
        <v>M1902F1G</v>
      </c>
      <c r="F410">
        <f>_xlfn.XLOOKUP(D410,'[2]8A. Master Device Catalog'!$F$5:$F$914,'[2]8A. Master Device Catalog'!$H$5:$H$914,"")</f>
        <v>2019</v>
      </c>
    </row>
    <row r="411" spans="1:6" ht="21.5" x14ac:dyDescent="0.35">
      <c r="A411" t="s">
        <v>4183</v>
      </c>
      <c r="B411" s="59" t="s">
        <v>4181</v>
      </c>
      <c r="C411" s="59" t="s">
        <v>3757</v>
      </c>
      <c r="D411" s="60" t="s">
        <v>823</v>
      </c>
      <c r="E411" t="str">
        <f>_xlfn.XLOOKUP(D411,'[2]8A. Master Device Catalog'!$F$5:$F$914,'[2]8A. Master Device Catalog'!$G$5:$G$914,"")</f>
        <v>M2001J2G</v>
      </c>
      <c r="F411">
        <f>_xlfn.XLOOKUP(D411,'[2]8A. Master Device Catalog'!$F$5:$F$914,'[2]8A. Master Device Catalog'!$H$5:$H$914,"")</f>
        <v>2020</v>
      </c>
    </row>
    <row r="412" spans="1:6" ht="21.5" x14ac:dyDescent="0.35">
      <c r="A412" t="s">
        <v>4184</v>
      </c>
      <c r="B412" s="59" t="s">
        <v>4181</v>
      </c>
      <c r="C412" s="59" t="s">
        <v>3757</v>
      </c>
      <c r="D412" s="60" t="s">
        <v>817</v>
      </c>
      <c r="E412" t="str">
        <f>_xlfn.XLOOKUP(D412,'[2]8A. Master Device Catalog'!$F$5:$F$914,'[2]8A. Master Device Catalog'!$G$5:$G$914,"")</f>
        <v>M2011K2G</v>
      </c>
      <c r="F412">
        <f>_xlfn.XLOOKUP(D412,'[2]8A. Master Device Catalog'!$F$5:$F$914,'[2]8A. Master Device Catalog'!$H$5:$H$914,"")</f>
        <v>2021</v>
      </c>
    </row>
    <row r="413" spans="1:6" ht="21.5" x14ac:dyDescent="0.35">
      <c r="A413" t="s">
        <v>4185</v>
      </c>
      <c r="B413" s="59" t="s">
        <v>4181</v>
      </c>
      <c r="C413" s="59" t="s">
        <v>3757</v>
      </c>
      <c r="D413" s="60" t="s">
        <v>811</v>
      </c>
      <c r="E413" t="str">
        <f>_xlfn.XLOOKUP(D413,'[2]8A. Master Device Catalog'!$F$5:$F$914,'[2]8A. Master Device Catalog'!$G$5:$G$914,"")</f>
        <v>2201123G</v>
      </c>
      <c r="F413">
        <f>_xlfn.XLOOKUP(D413,'[2]8A. Master Device Catalog'!$F$5:$F$914,'[2]8A. Master Device Catalog'!$H$5:$H$914,"")</f>
        <v>2022</v>
      </c>
    </row>
    <row r="414" spans="1:6" ht="21.5" x14ac:dyDescent="0.35">
      <c r="A414" t="s">
        <v>4186</v>
      </c>
      <c r="B414" s="59" t="s">
        <v>4181</v>
      </c>
      <c r="C414" s="59" t="s">
        <v>3757</v>
      </c>
      <c r="D414" s="60" t="s">
        <v>805</v>
      </c>
      <c r="E414" t="str">
        <f>_xlfn.XLOOKUP(D414,'[2]8A. Master Device Catalog'!$F$5:$F$914,'[2]8A. Master Device Catalog'!$G$5:$G$914,"")</f>
        <v>2211133G</v>
      </c>
      <c r="F414">
        <f>_xlfn.XLOOKUP(D414,'[2]8A. Master Device Catalog'!$F$5:$F$914,'[2]8A. Master Device Catalog'!$H$5:$H$914,"")</f>
        <v>2023</v>
      </c>
    </row>
    <row r="415" spans="1:6" ht="21.5" x14ac:dyDescent="0.35">
      <c r="A415" t="s">
        <v>4187</v>
      </c>
      <c r="B415" s="59" t="s">
        <v>4181</v>
      </c>
      <c r="C415" s="59" t="s">
        <v>3757</v>
      </c>
      <c r="D415" s="60" t="s">
        <v>799</v>
      </c>
      <c r="E415" t="str">
        <f>_xlfn.XLOOKUP(D415,'[2]8A. Master Device Catalog'!$F$5:$F$914,'[2]8A. Master Device Catalog'!$G$5:$G$914,"")</f>
        <v>23127PN0CG</v>
      </c>
      <c r="F415">
        <f>_xlfn.XLOOKUP(D415,'[2]8A. Master Device Catalog'!$F$5:$F$914,'[2]8A. Master Device Catalog'!$H$5:$H$914,"")</f>
        <v>2024</v>
      </c>
    </row>
    <row r="416" spans="1:6" ht="21.5" x14ac:dyDescent="0.35">
      <c r="A416" t="s">
        <v>4188</v>
      </c>
      <c r="B416" s="59" t="s">
        <v>4181</v>
      </c>
      <c r="C416" s="59" t="s">
        <v>3757</v>
      </c>
      <c r="D416" s="60" t="s">
        <v>793</v>
      </c>
      <c r="E416" t="str">
        <f>_xlfn.XLOOKUP(D416,'[2]8A. Master Device Catalog'!$F$5:$F$914,'[2]8A. Master Device Catalog'!$G$5:$G$914,"")</f>
        <v>M2101K7AG</v>
      </c>
      <c r="F416">
        <f>_xlfn.XLOOKUP(D416,'[2]8A. Master Device Catalog'!$F$5:$F$914,'[2]8A. Master Device Catalog'!$H$5:$H$914,"")</f>
        <v>2021</v>
      </c>
    </row>
    <row r="417" spans="1:6" ht="21.5" x14ac:dyDescent="0.35">
      <c r="A417" t="s">
        <v>4189</v>
      </c>
      <c r="B417" s="59" t="s">
        <v>4181</v>
      </c>
      <c r="C417" s="59" t="s">
        <v>3757</v>
      </c>
      <c r="D417" s="60" t="s">
        <v>788</v>
      </c>
      <c r="E417" t="str">
        <f>_xlfn.XLOOKUP(D417,'[2]8A. Master Device Catalog'!$F$5:$F$914,'[2]8A. Master Device Catalog'!$G$5:$G$914,"")</f>
        <v>2201117TG</v>
      </c>
      <c r="F417">
        <f>_xlfn.XLOOKUP(D417,'[2]8A. Master Device Catalog'!$F$5:$F$914,'[2]8A. Master Device Catalog'!$H$5:$H$914,"")</f>
        <v>2022</v>
      </c>
    </row>
    <row r="418" spans="1:6" ht="21.5" x14ac:dyDescent="0.35">
      <c r="A418" t="s">
        <v>4190</v>
      </c>
      <c r="B418" s="59" t="s">
        <v>4181</v>
      </c>
      <c r="C418" s="59" t="s">
        <v>3757</v>
      </c>
      <c r="D418" s="60" t="s">
        <v>782</v>
      </c>
      <c r="E418" t="str">
        <f>_xlfn.XLOOKUP(D418,'[2]8A. Master Device Catalog'!$F$5:$F$914,'[2]8A. Master Device Catalog'!$G$5:$G$914,"")</f>
        <v>22101316G</v>
      </c>
      <c r="F418">
        <f>_xlfn.XLOOKUP(D418,'[2]8A. Master Device Catalog'!$F$5:$F$914,'[2]8A. Master Device Catalog'!$H$5:$H$914,"")</f>
        <v>2023</v>
      </c>
    </row>
    <row r="419" spans="1:6" ht="21.5" x14ac:dyDescent="0.35">
      <c r="A419" t="s">
        <v>4191</v>
      </c>
      <c r="B419" s="59" t="s">
        <v>4181</v>
      </c>
      <c r="C419" s="59" t="s">
        <v>3757</v>
      </c>
      <c r="D419" s="60" t="s">
        <v>779</v>
      </c>
      <c r="E419" t="str">
        <f>_xlfn.XLOOKUP(D419,'[2]8A. Master Device Catalog'!$F$5:$F$914,'[2]8A. Master Device Catalog'!$G$5:$G$914,"")</f>
        <v>24030PN60G</v>
      </c>
      <c r="F419">
        <f>_xlfn.XLOOKUP(D419,'[2]8A. Master Device Catalog'!$F$5:$F$914,'[2]8A. Master Device Catalog'!$H$5:$H$914,"")</f>
        <v>2024</v>
      </c>
    </row>
    <row r="420" spans="1:6" ht="21.5" x14ac:dyDescent="0.35">
      <c r="A420" t="s">
        <v>4192</v>
      </c>
      <c r="B420" s="59" t="s">
        <v>4181</v>
      </c>
      <c r="C420" s="59" t="s">
        <v>3757</v>
      </c>
      <c r="D420" s="60" t="s">
        <v>775</v>
      </c>
      <c r="E420" t="str">
        <f>_xlfn.XLOOKUP(D420,'[2]8A. Master Device Catalog'!$F$5:$F$914,'[2]8A. Master Device Catalog'!$G$5:$G$914,"")</f>
        <v>24129PN74G</v>
      </c>
      <c r="F420">
        <f>_xlfn.XLOOKUP(D420,'[2]8A. Master Device Catalog'!$F$5:$F$914,'[2]8A. Master Device Catalog'!$H$5:$H$914,"")</f>
        <v>2025</v>
      </c>
    </row>
    <row r="421" spans="1:6" ht="21.5" x14ac:dyDescent="0.35">
      <c r="A421" t="s">
        <v>4193</v>
      </c>
      <c r="B421" s="59" t="s">
        <v>4181</v>
      </c>
      <c r="C421" s="59" t="s">
        <v>3757</v>
      </c>
      <c r="D421" s="60" t="s">
        <v>771</v>
      </c>
      <c r="E421" t="str">
        <f>_xlfn.XLOOKUP(D421,'[2]8A. Master Device Catalog'!$F$5:$F$914,'[2]8A. Master Device Catalog'!$G$5:$G$914,"")</f>
        <v>24129PN74C</v>
      </c>
      <c r="F421">
        <f>_xlfn.XLOOKUP(D421,'[2]8A. Master Device Catalog'!$F$5:$F$914,'[2]8A. Master Device Catalog'!$H$5:$H$914,"")</f>
        <v>2025</v>
      </c>
    </row>
    <row r="422" spans="1:6" ht="21.5" x14ac:dyDescent="0.35">
      <c r="A422" t="s">
        <v>4194</v>
      </c>
      <c r="B422" s="59" t="s">
        <v>4181</v>
      </c>
      <c r="C422" s="59" t="s">
        <v>3757</v>
      </c>
      <c r="D422" s="60" t="s">
        <v>766</v>
      </c>
      <c r="E422" t="str">
        <f>_xlfn.XLOOKUP(D422,'[2]8A. Master Device Catalog'!$F$5:$F$914,'[2]8A. Master Device Catalog'!$G$5:$G$914,"")</f>
        <v>2312DRA50G</v>
      </c>
      <c r="F422">
        <f>_xlfn.XLOOKUP(D422,'[2]8A. Master Device Catalog'!$F$5:$F$914,'[2]8A. Master Device Catalog'!$H$5:$H$914,"")</f>
        <v>2024</v>
      </c>
    </row>
    <row r="423" spans="1:6" ht="21.5" x14ac:dyDescent="0.35">
      <c r="A423" t="s">
        <v>4195</v>
      </c>
      <c r="B423" s="59" t="s">
        <v>4181</v>
      </c>
      <c r="C423" s="59" t="s">
        <v>3757</v>
      </c>
      <c r="D423" s="60" t="s">
        <v>760</v>
      </c>
      <c r="E423" t="str">
        <f>_xlfn.XLOOKUP(D423,'[2]8A. Master Device Catalog'!$F$5:$F$914,'[2]8A. Master Device Catalog'!$G$5:$G$914,"")</f>
        <v>24090RA29G</v>
      </c>
      <c r="F423">
        <f>_xlfn.XLOOKUP(D423,'[2]8A. Master Device Catalog'!$F$5:$F$914,'[2]8A. Master Device Catalog'!$H$5:$H$914,"")</f>
        <v>2025</v>
      </c>
    </row>
    <row r="424" spans="1:6" ht="21.5" x14ac:dyDescent="0.35">
      <c r="A424" t="s">
        <v>4196</v>
      </c>
      <c r="B424" s="59" t="s">
        <v>4181</v>
      </c>
      <c r="C424" s="59" t="s">
        <v>3757</v>
      </c>
      <c r="D424" s="60" t="s">
        <v>754</v>
      </c>
      <c r="E424" t="str">
        <f>_xlfn.XLOOKUP(D424,'[2]8A. Master Device Catalog'!$F$5:$F$914,'[2]8A. Master Device Catalog'!$G$5:$G$914,"")</f>
        <v>23117RK66C</v>
      </c>
      <c r="F424">
        <f>_xlfn.XLOOKUP(D424,'[2]8A. Master Device Catalog'!$F$5:$F$914,'[2]8A. Master Device Catalog'!$H$5:$H$914,"")</f>
        <v>2023</v>
      </c>
    </row>
    <row r="425" spans="1:6" ht="21.5" x14ac:dyDescent="0.35">
      <c r="A425" t="s">
        <v>4197</v>
      </c>
      <c r="B425" s="59" t="s">
        <v>4181</v>
      </c>
      <c r="C425" s="59" t="s">
        <v>3757</v>
      </c>
      <c r="D425" s="60" t="s">
        <v>748</v>
      </c>
      <c r="E425" t="str">
        <f>_xlfn.XLOOKUP(D425,'[2]8A. Master Device Catalog'!$F$5:$F$914,'[2]8A. Master Device Catalog'!$G$5:$G$914,"")</f>
        <v>23113RKC6G</v>
      </c>
      <c r="F425">
        <f>_xlfn.XLOOKUP(D425,'[2]8A. Master Device Catalog'!$F$5:$F$914,'[2]8A. Master Device Catalog'!$H$5:$H$914,"")</f>
        <v>2024</v>
      </c>
    </row>
    <row r="426" spans="1:6" ht="21.5" x14ac:dyDescent="0.35">
      <c r="A426" t="s">
        <v>4198</v>
      </c>
      <c r="B426" s="59" t="s">
        <v>4181</v>
      </c>
      <c r="C426" s="59" t="s">
        <v>3757</v>
      </c>
      <c r="D426" s="60" t="s">
        <v>742</v>
      </c>
      <c r="E426" t="str">
        <f>_xlfn.XLOOKUP(D426,'[2]8A. Master Device Catalog'!$F$5:$F$914,'[2]8A. Master Device Catalog'!$G$5:$G$914,"")</f>
        <v>2311DRK48G</v>
      </c>
      <c r="F426">
        <f>_xlfn.XLOOKUP(D426,'[2]8A. Master Device Catalog'!$F$5:$F$914,'[2]8A. Master Device Catalog'!$H$5:$H$914,"")</f>
        <v>2024</v>
      </c>
    </row>
    <row r="427" spans="1:6" ht="21.5" x14ac:dyDescent="0.35">
      <c r="A427" t="s">
        <v>4199</v>
      </c>
      <c r="B427" s="59" t="s">
        <v>4181</v>
      </c>
      <c r="C427" s="59" t="s">
        <v>3757</v>
      </c>
      <c r="D427" s="60" t="s">
        <v>736</v>
      </c>
      <c r="E427" t="str">
        <f>_xlfn.XLOOKUP(D427,'[2]8A. Master Device Catalog'!$F$5:$F$914,'[2]8A. Master Device Catalog'!$G$5:$G$914,"")</f>
        <v>2312FPCA6G</v>
      </c>
      <c r="F427">
        <f>_xlfn.XLOOKUP(D427,'[2]8A. Master Device Catalog'!$F$5:$F$914,'[2]8A. Master Device Catalog'!$H$5:$H$914,"")</f>
        <v>2024</v>
      </c>
    </row>
    <row r="428" spans="1:6" ht="21.5" x14ac:dyDescent="0.35">
      <c r="A428" t="s">
        <v>4200</v>
      </c>
      <c r="B428" s="59" t="s">
        <v>4201</v>
      </c>
      <c r="C428" s="59" t="s">
        <v>3757</v>
      </c>
      <c r="D428" s="60" t="s">
        <v>651</v>
      </c>
      <c r="E428" t="str">
        <f>_xlfn.XLOOKUP(D428,'[2]8A. Master Device Catalog'!$F$5:$F$914,'[2]8A. Master Device Catalog'!$G$5:$G$914,"")</f>
        <v>V2309</v>
      </c>
      <c r="F428">
        <f>_xlfn.XLOOKUP(D428,'[2]8A. Master Device Catalog'!$F$5:$F$914,'[2]8A. Master Device Catalog'!$H$5:$H$914,"")</f>
        <v>2024</v>
      </c>
    </row>
    <row r="429" spans="1:6" ht="21.5" x14ac:dyDescent="0.35">
      <c r="A429" t="s">
        <v>4202</v>
      </c>
      <c r="B429" s="59" t="s">
        <v>4201</v>
      </c>
      <c r="C429" s="59" t="s">
        <v>3757</v>
      </c>
      <c r="D429" s="60" t="s">
        <v>646</v>
      </c>
      <c r="E429" t="str">
        <f>_xlfn.XLOOKUP(D429,'[2]8A. Master Device Catalog'!$F$5:$F$914,'[2]8A. Master Device Catalog'!$G$5:$G$914,"")</f>
        <v>V2309A</v>
      </c>
      <c r="F429">
        <f>_xlfn.XLOOKUP(D429,'[2]8A. Master Device Catalog'!$F$5:$F$914,'[2]8A. Master Device Catalog'!$H$5:$H$914,"")</f>
        <v>2024</v>
      </c>
    </row>
    <row r="430" spans="1:6" ht="21.5" x14ac:dyDescent="0.35">
      <c r="A430" t="s">
        <v>4203</v>
      </c>
      <c r="B430" s="59" t="s">
        <v>4201</v>
      </c>
      <c r="C430" s="59" t="s">
        <v>3757</v>
      </c>
      <c r="D430" s="60" t="s">
        <v>641</v>
      </c>
      <c r="E430" t="str">
        <f>_xlfn.XLOOKUP(D430,'[2]8A. Master Device Catalog'!$F$5:$F$914,'[2]8A. Master Device Catalog'!$G$5:$G$914,"")</f>
        <v>V2318</v>
      </c>
      <c r="F430">
        <f>_xlfn.XLOOKUP(D430,'[2]8A. Master Device Catalog'!$F$5:$F$914,'[2]8A. Master Device Catalog'!$H$5:$H$914,"")</f>
        <v>2024</v>
      </c>
    </row>
    <row r="431" spans="1:6" ht="21.5" x14ac:dyDescent="0.35">
      <c r="A431" t="s">
        <v>4204</v>
      </c>
      <c r="B431" s="59" t="s">
        <v>4201</v>
      </c>
      <c r="C431" s="59" t="s">
        <v>3757</v>
      </c>
      <c r="D431" s="60" t="s">
        <v>636</v>
      </c>
      <c r="E431" t="str">
        <f>_xlfn.XLOOKUP(D431,'[2]8A. Master Device Catalog'!$F$5:$F$914,'[2]8A. Master Device Catalog'!$G$5:$G$914,"")</f>
        <v>I2302</v>
      </c>
      <c r="F431">
        <f>_xlfn.XLOOKUP(D431,'[2]8A. Master Device Catalog'!$F$5:$F$914,'[2]8A. Master Device Catalog'!$H$5:$H$914,"")</f>
        <v>2024</v>
      </c>
    </row>
    <row r="432" spans="1:6" ht="21.5" x14ac:dyDescent="0.35">
      <c r="A432" t="s">
        <v>4205</v>
      </c>
      <c r="B432" s="59" t="s">
        <v>4201</v>
      </c>
      <c r="C432" s="59" t="s">
        <v>3757</v>
      </c>
      <c r="D432" s="60" t="s">
        <v>631</v>
      </c>
      <c r="E432" t="str">
        <f>_xlfn.XLOOKUP(D432,'[2]8A. Master Device Catalog'!$F$5:$F$914,'[2]8A. Master Device Catalog'!$G$5:$G$914,"")</f>
        <v>V2366</v>
      </c>
      <c r="F432">
        <f>_xlfn.XLOOKUP(D432,'[2]8A. Master Device Catalog'!$F$5:$F$914,'[2]8A. Master Device Catalog'!$H$5:$H$914,"")</f>
        <v>2024</v>
      </c>
    </row>
    <row r="433" spans="1:6" ht="21.5" x14ac:dyDescent="0.35">
      <c r="A433" t="s">
        <v>4206</v>
      </c>
      <c r="B433" s="59" t="s">
        <v>4201</v>
      </c>
      <c r="C433" s="59" t="s">
        <v>3757</v>
      </c>
      <c r="D433" s="60" t="s">
        <v>626</v>
      </c>
      <c r="E433" t="str">
        <f>_xlfn.XLOOKUP(D433,'[2]8A. Master Device Catalog'!$F$5:$F$914,'[2]8A. Master Device Catalog'!$G$5:$G$914,"")</f>
        <v>V2405</v>
      </c>
      <c r="F433">
        <f>_xlfn.XLOOKUP(D433,'[2]8A. Master Device Catalog'!$F$5:$F$914,'[2]8A. Master Device Catalog'!$H$5:$H$914,"")</f>
        <v>2025</v>
      </c>
    </row>
    <row r="434" spans="1:6" ht="21.5" x14ac:dyDescent="0.35">
      <c r="A434" t="s">
        <v>4207</v>
      </c>
      <c r="B434" s="59" t="s">
        <v>4201</v>
      </c>
      <c r="C434" s="59" t="s">
        <v>3757</v>
      </c>
      <c r="D434" s="60" t="s">
        <v>620</v>
      </c>
      <c r="E434" t="str">
        <f>_xlfn.XLOOKUP(D434,'[2]8A. Master Device Catalog'!$F$5:$F$914,'[2]8A. Master Device Catalog'!$G$5:$G$914,"")</f>
        <v>V2406</v>
      </c>
      <c r="F434">
        <f>_xlfn.XLOOKUP(D434,'[2]8A. Master Device Catalog'!$F$5:$F$914,'[2]8A. Master Device Catalog'!$H$5:$H$914,"")</f>
        <v>2025</v>
      </c>
    </row>
    <row r="435" spans="1:6" ht="21.5" x14ac:dyDescent="0.35">
      <c r="A435" t="s">
        <v>4208</v>
      </c>
      <c r="B435" s="59" t="s">
        <v>4201</v>
      </c>
      <c r="C435" s="59" t="s">
        <v>3757</v>
      </c>
      <c r="D435" s="60" t="s">
        <v>615</v>
      </c>
      <c r="E435" t="str">
        <f>_xlfn.XLOOKUP(D435,'[2]8A. Master Device Catalog'!$F$5:$F$914,'[2]8A. Master Device Catalog'!$G$5:$G$914,"")</f>
        <v>V2348</v>
      </c>
      <c r="F435">
        <f>_xlfn.XLOOKUP(D435,'[2]8A. Master Device Catalog'!$F$5:$F$914,'[2]8A. Master Device Catalog'!$H$5:$H$914,"")</f>
        <v>2024</v>
      </c>
    </row>
    <row r="436" spans="1:6" ht="21.5" x14ac:dyDescent="0.35">
      <c r="A436" t="s">
        <v>4209</v>
      </c>
      <c r="B436" s="59" t="s">
        <v>4201</v>
      </c>
      <c r="C436" s="59" t="s">
        <v>3757</v>
      </c>
      <c r="D436" s="60" t="s">
        <v>609</v>
      </c>
      <c r="E436" t="str">
        <f>_xlfn.XLOOKUP(D436,'[2]8A. Master Device Catalog'!$F$5:$F$914,'[2]8A. Master Device Catalog'!$G$5:$G$914,"")</f>
        <v>V2336</v>
      </c>
      <c r="F436">
        <f>_xlfn.XLOOKUP(D436,'[2]8A. Master Device Catalog'!$F$5:$F$914,'[2]8A. Master Device Catalog'!$H$5:$H$914,"")</f>
        <v>2024</v>
      </c>
    </row>
    <row r="437" spans="1:6" ht="21.5" x14ac:dyDescent="0.35">
      <c r="A437" t="s">
        <v>4210</v>
      </c>
      <c r="B437" s="59" t="s">
        <v>4211</v>
      </c>
      <c r="C437" s="59" t="s">
        <v>3757</v>
      </c>
      <c r="D437" s="60" t="s">
        <v>504</v>
      </c>
      <c r="E437" t="str">
        <f>_xlfn.XLOOKUP(D437,'[2]8A. Master Device Catalog'!$F$5:$F$914,'[2]8A. Master Device Catalog'!$G$5:$G$914,"")</f>
        <v>A2024</v>
      </c>
      <c r="F437">
        <f>_xlfn.XLOOKUP(D437,'[2]8A. Master Device Catalog'!$F$5:$F$914,'[2]8A. Master Device Catalog'!$H$5:$H$914,"")</f>
        <v>2023</v>
      </c>
    </row>
    <row r="438" spans="1:6" ht="21.5" x14ac:dyDescent="0.9">
      <c r="A438" t="s">
        <v>4212</v>
      </c>
      <c r="B438" s="59" t="s">
        <v>4213</v>
      </c>
      <c r="C438" s="59" t="s">
        <v>4214</v>
      </c>
      <c r="D438" s="61" t="s">
        <v>4215</v>
      </c>
      <c r="E438" t="str">
        <f>_xlfn.XLOOKUP(D438,'[2]8A. Master Device Catalog'!$F$5:$F$914,'[2]8A. Master Device Catalog'!$G$5:$G$914,"")</f>
        <v/>
      </c>
      <c r="F438" t="str">
        <f>_xlfn.XLOOKUP(D438,'[2]8A. Master Device Catalog'!$F$5:$F$914,'[2]8A. Master Device Catalog'!$H$5:$H$914,"")</f>
        <v/>
      </c>
    </row>
    <row r="439" spans="1:6" ht="21.5" x14ac:dyDescent="0.9">
      <c r="A439" t="s">
        <v>4216</v>
      </c>
      <c r="B439" s="59" t="s">
        <v>4213</v>
      </c>
      <c r="C439" s="59" t="s">
        <v>4214</v>
      </c>
      <c r="D439" s="61" t="s">
        <v>4217</v>
      </c>
      <c r="E439" t="str">
        <f>_xlfn.XLOOKUP(D439,'[2]8A. Master Device Catalog'!$F$5:$F$914,'[2]8A. Master Device Catalog'!$G$5:$G$914,"")</f>
        <v/>
      </c>
      <c r="F439" t="str">
        <f>_xlfn.XLOOKUP(D439,'[2]8A. Master Device Catalog'!$F$5:$F$914,'[2]8A. Master Device Catalog'!$H$5:$H$914,"")</f>
        <v/>
      </c>
    </row>
    <row r="440" spans="1:6" ht="21.5" x14ac:dyDescent="0.9">
      <c r="A440" t="s">
        <v>4218</v>
      </c>
      <c r="B440" s="59" t="s">
        <v>4213</v>
      </c>
      <c r="C440" s="59" t="s">
        <v>4214</v>
      </c>
      <c r="D440" s="61" t="s">
        <v>4219</v>
      </c>
      <c r="E440" t="str">
        <f>_xlfn.XLOOKUP(D440,'[2]8A. Master Device Catalog'!$F$5:$F$914,'[2]8A. Master Device Catalog'!$G$5:$G$914,"")</f>
        <v/>
      </c>
      <c r="F440" t="str">
        <f>_xlfn.XLOOKUP(D440,'[2]8A. Master Device Catalog'!$F$5:$F$914,'[2]8A. Master Device Catalog'!$H$5:$H$914,"")</f>
        <v/>
      </c>
    </row>
    <row r="441" spans="1:6" ht="21.5" x14ac:dyDescent="0.9">
      <c r="A441" t="s">
        <v>4220</v>
      </c>
      <c r="B441" s="59" t="s">
        <v>4213</v>
      </c>
      <c r="C441" s="59" t="s">
        <v>4214</v>
      </c>
      <c r="D441" s="61" t="s">
        <v>4221</v>
      </c>
      <c r="E441" t="str">
        <f>_xlfn.XLOOKUP(D441,'[2]8A. Master Device Catalog'!$F$5:$F$914,'[2]8A. Master Device Catalog'!$G$5:$G$914,"")</f>
        <v/>
      </c>
      <c r="F441" t="str">
        <f>_xlfn.XLOOKUP(D441,'[2]8A. Master Device Catalog'!$F$5:$F$914,'[2]8A. Master Device Catalog'!$H$5:$H$914,"")</f>
        <v/>
      </c>
    </row>
    <row r="442" spans="1:6" ht="21.5" x14ac:dyDescent="0.9">
      <c r="A442" t="s">
        <v>4222</v>
      </c>
      <c r="B442" s="59" t="s">
        <v>4213</v>
      </c>
      <c r="C442" s="59" t="s">
        <v>4214</v>
      </c>
      <c r="D442" s="61" t="s">
        <v>4223</v>
      </c>
      <c r="E442" t="str">
        <f>_xlfn.XLOOKUP(D442,'[2]8A. Master Device Catalog'!$F$5:$F$914,'[2]8A. Master Device Catalog'!$G$5:$G$914,"")</f>
        <v/>
      </c>
      <c r="F442" t="str">
        <f>_xlfn.XLOOKUP(D442,'[2]8A. Master Device Catalog'!$F$5:$F$914,'[2]8A. Master Device Catalog'!$H$5:$H$914,"")</f>
        <v/>
      </c>
    </row>
    <row r="443" spans="1:6" ht="21.5" x14ac:dyDescent="0.9">
      <c r="A443" t="s">
        <v>4224</v>
      </c>
      <c r="B443" s="59" t="s">
        <v>4213</v>
      </c>
      <c r="C443" s="59" t="s">
        <v>4214</v>
      </c>
      <c r="D443" s="61" t="s">
        <v>4225</v>
      </c>
      <c r="E443" t="str">
        <f>_xlfn.XLOOKUP(D443,'[2]8A. Master Device Catalog'!$F$5:$F$914,'[2]8A. Master Device Catalog'!$G$5:$G$914,"")</f>
        <v/>
      </c>
      <c r="F443" t="str">
        <f>_xlfn.XLOOKUP(D443,'[2]8A. Master Device Catalog'!$F$5:$F$914,'[2]8A. Master Device Catalog'!$H$5:$H$914,"")</f>
        <v/>
      </c>
    </row>
    <row r="444" spans="1:6" ht="21.5" x14ac:dyDescent="0.9">
      <c r="A444" t="s">
        <v>4226</v>
      </c>
      <c r="B444" s="59" t="s">
        <v>4213</v>
      </c>
      <c r="C444" s="59" t="s">
        <v>4214</v>
      </c>
      <c r="D444" s="61" t="s">
        <v>4227</v>
      </c>
      <c r="E444" t="str">
        <f>_xlfn.XLOOKUP(D444,'[2]8A. Master Device Catalog'!$F$5:$F$914,'[2]8A. Master Device Catalog'!$G$5:$G$914,"")</f>
        <v/>
      </c>
      <c r="F444" t="str">
        <f>_xlfn.XLOOKUP(D444,'[2]8A. Master Device Catalog'!$F$5:$F$914,'[2]8A. Master Device Catalog'!$H$5:$H$914,"")</f>
        <v/>
      </c>
    </row>
    <row r="445" spans="1:6" ht="21.5" x14ac:dyDescent="0.9">
      <c r="A445" t="s">
        <v>4228</v>
      </c>
      <c r="B445" s="59" t="s">
        <v>4213</v>
      </c>
      <c r="C445" s="59" t="s">
        <v>4214</v>
      </c>
      <c r="D445" s="61" t="s">
        <v>4229</v>
      </c>
      <c r="E445" t="str">
        <f>_xlfn.XLOOKUP(D445,'[2]8A. Master Device Catalog'!$F$5:$F$914,'[2]8A. Master Device Catalog'!$G$5:$G$914,"")</f>
        <v/>
      </c>
      <c r="F445" t="str">
        <f>_xlfn.XLOOKUP(D445,'[2]8A. Master Device Catalog'!$F$5:$F$914,'[2]8A. Master Device Catalog'!$H$5:$H$914,"")</f>
        <v/>
      </c>
    </row>
    <row r="446" spans="1:6" ht="21.5" x14ac:dyDescent="0.9">
      <c r="A446" t="s">
        <v>4230</v>
      </c>
      <c r="B446" s="59" t="s">
        <v>4213</v>
      </c>
      <c r="C446" s="59" t="s">
        <v>4214</v>
      </c>
      <c r="D446" s="61" t="s">
        <v>4231</v>
      </c>
      <c r="E446" t="str">
        <f>_xlfn.XLOOKUP(D446,'[2]8A. Master Device Catalog'!$F$5:$F$914,'[2]8A. Master Device Catalog'!$G$5:$G$914,"")</f>
        <v/>
      </c>
      <c r="F446" t="str">
        <f>_xlfn.XLOOKUP(D446,'[2]8A. Master Device Catalog'!$F$5:$F$914,'[2]8A. Master Device Catalog'!$H$5:$H$914,"")</f>
        <v/>
      </c>
    </row>
    <row r="447" spans="1:6" ht="21.5" x14ac:dyDescent="0.9">
      <c r="A447" t="s">
        <v>4232</v>
      </c>
      <c r="B447" s="59" t="s">
        <v>4213</v>
      </c>
      <c r="C447" s="59" t="s">
        <v>4214</v>
      </c>
      <c r="D447" s="61" t="s">
        <v>4233</v>
      </c>
      <c r="E447" t="str">
        <f>_xlfn.XLOOKUP(D447,'[2]8A. Master Device Catalog'!$F$5:$F$914,'[2]8A. Master Device Catalog'!$G$5:$G$914,"")</f>
        <v/>
      </c>
      <c r="F447" t="str">
        <f>_xlfn.XLOOKUP(D447,'[2]8A. Master Device Catalog'!$F$5:$F$914,'[2]8A. Master Device Catalog'!$H$5:$H$914,"")</f>
        <v/>
      </c>
    </row>
    <row r="448" spans="1:6" ht="21.5" x14ac:dyDescent="0.9">
      <c r="A448" t="s">
        <v>4234</v>
      </c>
      <c r="B448" s="59" t="s">
        <v>4213</v>
      </c>
      <c r="C448" s="59" t="s">
        <v>4214</v>
      </c>
      <c r="D448" s="61" t="s">
        <v>4235</v>
      </c>
      <c r="E448" t="str">
        <f>_xlfn.XLOOKUP(D448,'[2]8A. Master Device Catalog'!$F$5:$F$914,'[2]8A. Master Device Catalog'!$G$5:$G$914,"")</f>
        <v/>
      </c>
      <c r="F448" t="str">
        <f>_xlfn.XLOOKUP(D448,'[2]8A. Master Device Catalog'!$F$5:$F$914,'[2]8A. Master Device Catalog'!$H$5:$H$914,"")</f>
        <v/>
      </c>
    </row>
    <row r="449" spans="1:8" ht="21.5" x14ac:dyDescent="0.9">
      <c r="A449" t="s">
        <v>4236</v>
      </c>
      <c r="B449" s="59" t="s">
        <v>4213</v>
      </c>
      <c r="C449" s="59" t="s">
        <v>4214</v>
      </c>
      <c r="D449" s="61" t="s">
        <v>4237</v>
      </c>
      <c r="E449" t="str">
        <f>_xlfn.XLOOKUP(D449,'[2]8A. Master Device Catalog'!$F$5:$F$914,'[2]8A. Master Device Catalog'!$G$5:$G$914,"")</f>
        <v/>
      </c>
      <c r="F449" t="str">
        <f>_xlfn.XLOOKUP(D449,'[2]8A. Master Device Catalog'!$F$5:$F$914,'[2]8A. Master Device Catalog'!$H$5:$H$914,"")</f>
        <v/>
      </c>
    </row>
    <row r="450" spans="1:8" ht="21.5" x14ac:dyDescent="0.9">
      <c r="A450" t="s">
        <v>4238</v>
      </c>
      <c r="B450" s="59" t="s">
        <v>4213</v>
      </c>
      <c r="C450" s="59" t="s">
        <v>4214</v>
      </c>
      <c r="D450" s="61" t="s">
        <v>4239</v>
      </c>
      <c r="E450" t="str">
        <f>_xlfn.XLOOKUP(D450,'[2]8A. Master Device Catalog'!$F$5:$F$914,'[2]8A. Master Device Catalog'!$G$5:$G$914,"")</f>
        <v/>
      </c>
      <c r="F450" t="str">
        <f>_xlfn.XLOOKUP(D450,'[2]8A. Master Device Catalog'!$F$5:$F$914,'[2]8A. Master Device Catalog'!$H$5:$H$914,"")</f>
        <v/>
      </c>
    </row>
    <row r="451" spans="1:8" ht="21.5" x14ac:dyDescent="0.9">
      <c r="A451" t="s">
        <v>4240</v>
      </c>
      <c r="B451" s="59" t="s">
        <v>4213</v>
      </c>
      <c r="C451" s="59" t="s">
        <v>4214</v>
      </c>
      <c r="D451" s="61" t="s">
        <v>4241</v>
      </c>
      <c r="E451" t="str">
        <f>_xlfn.XLOOKUP(D451,'[2]8A. Master Device Catalog'!$F$5:$F$914,'[2]8A. Master Device Catalog'!$G$5:$G$914,"")</f>
        <v/>
      </c>
      <c r="F451" t="str">
        <f>_xlfn.XLOOKUP(D451,'[2]8A. Master Device Catalog'!$F$5:$F$914,'[2]8A. Master Device Catalog'!$H$5:$H$914,"")</f>
        <v/>
      </c>
    </row>
    <row r="452" spans="1:8" ht="21.5" x14ac:dyDescent="0.9">
      <c r="A452" t="s">
        <v>4242</v>
      </c>
      <c r="B452" s="59" t="s">
        <v>4213</v>
      </c>
      <c r="C452" s="59" t="s">
        <v>4214</v>
      </c>
      <c r="D452" s="61" t="s">
        <v>4243</v>
      </c>
      <c r="E452" t="str">
        <f>_xlfn.XLOOKUP(D452,'[2]8A. Master Device Catalog'!$F$5:$F$914,'[2]8A. Master Device Catalog'!$G$5:$G$914,"")</f>
        <v/>
      </c>
      <c r="F452" t="str">
        <f>_xlfn.XLOOKUP(D452,'[2]8A. Master Device Catalog'!$F$5:$F$914,'[2]8A. Master Device Catalog'!$H$5:$H$914,"")</f>
        <v/>
      </c>
    </row>
    <row r="453" spans="1:8" ht="21.5" x14ac:dyDescent="0.9">
      <c r="A453" t="s">
        <v>4244</v>
      </c>
      <c r="B453" s="59" t="s">
        <v>4213</v>
      </c>
      <c r="C453" s="59" t="s">
        <v>4214</v>
      </c>
      <c r="D453" s="61" t="s">
        <v>4245</v>
      </c>
      <c r="E453" t="str">
        <f>_xlfn.XLOOKUP(D453,'[2]8A. Master Device Catalog'!$F$5:$F$914,'[2]8A. Master Device Catalog'!$G$5:$G$914,"")</f>
        <v/>
      </c>
      <c r="F453" t="str">
        <f>_xlfn.XLOOKUP(D453,'[2]8A. Master Device Catalog'!$F$5:$F$914,'[2]8A. Master Device Catalog'!$H$5:$H$914,"")</f>
        <v/>
      </c>
    </row>
    <row r="454" spans="1:8" ht="21.5" x14ac:dyDescent="0.9">
      <c r="A454" t="s">
        <v>4246</v>
      </c>
      <c r="B454" s="59" t="s">
        <v>4213</v>
      </c>
      <c r="C454" s="59" t="s">
        <v>4214</v>
      </c>
      <c r="D454" s="61" t="s">
        <v>4247</v>
      </c>
      <c r="E454" t="str">
        <f>_xlfn.XLOOKUP(D454,'[2]8A. Master Device Catalog'!$F$5:$F$914,'[2]8A. Master Device Catalog'!$G$5:$G$914,"")</f>
        <v/>
      </c>
      <c r="F454" t="str">
        <f>_xlfn.XLOOKUP(D454,'[2]8A. Master Device Catalog'!$F$5:$F$914,'[2]8A. Master Device Catalog'!$H$5:$H$914,"")</f>
        <v/>
      </c>
    </row>
    <row r="455" spans="1:8" ht="21.5" x14ac:dyDescent="0.9">
      <c r="A455" t="s">
        <v>4248</v>
      </c>
      <c r="B455" s="59" t="s">
        <v>4213</v>
      </c>
      <c r="C455" s="59" t="s">
        <v>4214</v>
      </c>
      <c r="D455" s="61" t="s">
        <v>4249</v>
      </c>
      <c r="E455" t="str">
        <f>_xlfn.XLOOKUP(D455,'[2]8A. Master Device Catalog'!$F$5:$F$914,'[2]8A. Master Device Catalog'!$G$5:$G$914,"")</f>
        <v/>
      </c>
      <c r="F455" t="str">
        <f>_xlfn.XLOOKUP(D455,'[2]8A. Master Device Catalog'!$F$5:$F$914,'[2]8A. Master Device Catalog'!$H$5:$H$914,"")</f>
        <v/>
      </c>
    </row>
    <row r="456" spans="1:8" ht="21.5" x14ac:dyDescent="0.9">
      <c r="A456" t="s">
        <v>4250</v>
      </c>
      <c r="B456" s="59" t="s">
        <v>4213</v>
      </c>
      <c r="C456" s="59" t="s">
        <v>4214</v>
      </c>
      <c r="D456" s="61" t="s">
        <v>4251</v>
      </c>
      <c r="E456" t="str">
        <f>_xlfn.XLOOKUP(D456,'[2]8A. Master Device Catalog'!$F$5:$F$914,'[2]8A. Master Device Catalog'!$G$5:$G$914,"")</f>
        <v/>
      </c>
      <c r="F456" t="str">
        <f>_xlfn.XLOOKUP(D456,'[2]8A. Master Device Catalog'!$F$5:$F$914,'[2]8A. Master Device Catalog'!$H$5:$H$914,"")</f>
        <v/>
      </c>
    </row>
    <row r="457" spans="1:8" ht="21.5" x14ac:dyDescent="0.9">
      <c r="A457" t="s">
        <v>4252</v>
      </c>
      <c r="B457" s="59" t="s">
        <v>4213</v>
      </c>
      <c r="C457" s="59" t="s">
        <v>4214</v>
      </c>
      <c r="D457" s="61" t="s">
        <v>4253</v>
      </c>
      <c r="E457" t="str">
        <f>_xlfn.XLOOKUP(D457,'[2]8A. Master Device Catalog'!$F$5:$F$914,'[2]8A. Master Device Catalog'!$G$5:$G$914,"")</f>
        <v/>
      </c>
      <c r="F457" t="str">
        <f>_xlfn.XLOOKUP(D457,'[2]8A. Master Device Catalog'!$F$5:$F$914,'[2]8A. Master Device Catalog'!$H$5:$H$914,"")</f>
        <v/>
      </c>
    </row>
    <row r="458" spans="1:8" ht="21.5" x14ac:dyDescent="0.9">
      <c r="A458" t="s">
        <v>4254</v>
      </c>
      <c r="B458" s="59" t="s">
        <v>4255</v>
      </c>
      <c r="C458" s="59" t="s">
        <v>4214</v>
      </c>
      <c r="D458" s="61" t="s">
        <v>4256</v>
      </c>
      <c r="E458" t="str">
        <f>_xlfn.XLOOKUP(D458,'[2]8A. Master Device Catalog'!$F$5:$F$914,'[2]8A. Master Device Catalog'!$G$5:$G$914,"")</f>
        <v/>
      </c>
      <c r="F458" t="str">
        <f>_xlfn.XLOOKUP(D458,'[2]8A. Master Device Catalog'!$F$5:$F$914,'[2]8A. Master Device Catalog'!$H$5:$H$914,"")</f>
        <v/>
      </c>
    </row>
    <row r="459" spans="1:8" ht="21.5" x14ac:dyDescent="0.9">
      <c r="A459" t="s">
        <v>4257</v>
      </c>
      <c r="B459" s="59" t="s">
        <v>4255</v>
      </c>
      <c r="C459" s="59" t="s">
        <v>4214</v>
      </c>
      <c r="D459" s="61" t="s">
        <v>4258</v>
      </c>
      <c r="E459" t="str">
        <f>_xlfn.XLOOKUP(D459,'[2]8A. Master Device Catalog'!$F$5:$F$914,'[2]8A. Master Device Catalog'!$G$5:$G$914,"")</f>
        <v/>
      </c>
      <c r="F459" t="str">
        <f>_xlfn.XLOOKUP(D459,'[2]8A. Master Device Catalog'!$F$5:$F$914,'[2]8A. Master Device Catalog'!$H$5:$H$914,"")</f>
        <v/>
      </c>
      <c r="H459" t="e">
        <f>_xlfn.XLOOKUP("Test",A453:A462,B453:B462)</f>
        <v>#N/A</v>
      </c>
    </row>
    <row r="460" spans="1:8" ht="21.5" x14ac:dyDescent="0.9">
      <c r="A460" t="s">
        <v>4259</v>
      </c>
      <c r="B460" s="59" t="s">
        <v>4255</v>
      </c>
      <c r="C460" s="59" t="s">
        <v>4214</v>
      </c>
      <c r="D460" s="61" t="s">
        <v>4260</v>
      </c>
      <c r="E460" t="str">
        <f>_xlfn.XLOOKUP(D460,'[2]8A. Master Device Catalog'!$F$5:$F$914,'[2]8A. Master Device Catalog'!$G$5:$G$914,"")</f>
        <v/>
      </c>
      <c r="F460" t="str">
        <f>_xlfn.XLOOKUP(D460,'[2]8A. Master Device Catalog'!$F$5:$F$914,'[2]8A. Master Device Catalog'!$H$5:$H$914,"")</f>
        <v/>
      </c>
    </row>
    <row r="461" spans="1:8" ht="21.5" x14ac:dyDescent="0.9">
      <c r="A461" t="s">
        <v>4261</v>
      </c>
      <c r="B461" s="59" t="s">
        <v>4255</v>
      </c>
      <c r="C461" s="59" t="s">
        <v>4214</v>
      </c>
      <c r="D461" s="61" t="s">
        <v>4262</v>
      </c>
      <c r="E461" t="str">
        <f>_xlfn.XLOOKUP(D461,'[2]8A. Master Device Catalog'!$F$5:$F$914,'[2]8A. Master Device Catalog'!$G$5:$G$914,"")</f>
        <v/>
      </c>
      <c r="F461" t="str">
        <f>_xlfn.XLOOKUP(D461,'[2]8A. Master Device Catalog'!$F$5:$F$914,'[2]8A. Master Device Catalog'!$H$5:$H$914,"")</f>
        <v/>
      </c>
    </row>
    <row r="462" spans="1:8" ht="21.5" x14ac:dyDescent="0.9">
      <c r="A462" t="s">
        <v>4263</v>
      </c>
      <c r="B462" s="59" t="s">
        <v>4255</v>
      </c>
      <c r="C462" s="59" t="s">
        <v>4214</v>
      </c>
      <c r="D462" s="61" t="s">
        <v>4264</v>
      </c>
      <c r="E462" t="str">
        <f>_xlfn.XLOOKUP(D462,'[2]8A. Master Device Catalog'!$F$5:$F$914,'[2]8A. Master Device Catalog'!$G$5:$G$914,"")</f>
        <v/>
      </c>
      <c r="F462" t="str">
        <f>_xlfn.XLOOKUP(D462,'[2]8A. Master Device Catalog'!$F$5:$F$914,'[2]8A. Master Device Catalog'!$H$5:$H$914,"")</f>
        <v/>
      </c>
    </row>
    <row r="463" spans="1:8" ht="21.5" x14ac:dyDescent="0.9">
      <c r="A463" t="s">
        <v>4265</v>
      </c>
      <c r="B463" s="59" t="s">
        <v>4255</v>
      </c>
      <c r="C463" s="59" t="s">
        <v>4214</v>
      </c>
      <c r="D463" s="61" t="s">
        <v>4266</v>
      </c>
      <c r="E463" t="str">
        <f>_xlfn.XLOOKUP(D463,'[2]8A. Master Device Catalog'!$F$5:$F$914,'[2]8A. Master Device Catalog'!$G$5:$G$914,"")</f>
        <v/>
      </c>
      <c r="F463" t="str">
        <f>_xlfn.XLOOKUP(D463,'[2]8A. Master Device Catalog'!$F$5:$F$914,'[2]8A. Master Device Catalog'!$H$5:$H$914,"")</f>
        <v/>
      </c>
    </row>
    <row r="464" spans="1:8" ht="21.5" x14ac:dyDescent="0.9">
      <c r="A464" t="s">
        <v>4267</v>
      </c>
      <c r="B464" s="59" t="s">
        <v>3756</v>
      </c>
      <c r="C464" s="59" t="s">
        <v>4214</v>
      </c>
      <c r="D464" s="61" t="s">
        <v>4268</v>
      </c>
      <c r="E464" t="str">
        <f>_xlfn.XLOOKUP(D464,'[2]8A. Master Device Catalog'!$F$5:$F$914,'[2]8A. Master Device Catalog'!$G$5:$G$914,"")</f>
        <v/>
      </c>
      <c r="F464" t="str">
        <f>_xlfn.XLOOKUP(D464,'[2]8A. Master Device Catalog'!$F$5:$F$914,'[2]8A. Master Device Catalog'!$H$5:$H$914,"")</f>
        <v/>
      </c>
    </row>
    <row r="465" spans="1:6" ht="21.5" x14ac:dyDescent="0.9">
      <c r="A465" t="s">
        <v>4269</v>
      </c>
      <c r="B465" s="59" t="s">
        <v>3756</v>
      </c>
      <c r="C465" s="59" t="s">
        <v>4214</v>
      </c>
      <c r="D465" s="61" t="s">
        <v>4270</v>
      </c>
      <c r="E465" t="str">
        <f>_xlfn.XLOOKUP(D465,'[2]8A. Master Device Catalog'!$F$5:$F$914,'[2]8A. Master Device Catalog'!$G$5:$G$914,"")</f>
        <v/>
      </c>
      <c r="F465" t="str">
        <f>_xlfn.XLOOKUP(D465,'[2]8A. Master Device Catalog'!$F$5:$F$914,'[2]8A. Master Device Catalog'!$H$5:$H$914,"")</f>
        <v/>
      </c>
    </row>
    <row r="466" spans="1:6" ht="21.5" x14ac:dyDescent="0.9">
      <c r="A466" t="s">
        <v>4271</v>
      </c>
      <c r="B466" s="59" t="s">
        <v>3756</v>
      </c>
      <c r="C466" s="59" t="s">
        <v>4214</v>
      </c>
      <c r="D466" s="61" t="s">
        <v>2849</v>
      </c>
      <c r="E466" t="str">
        <f>_xlfn.XLOOKUP(D466,'[2]8A. Master Device Catalog'!$F$5:$F$914,'[2]8A. Master Device Catalog'!$G$5:$G$914,"")</f>
        <v>A3114</v>
      </c>
      <c r="F466">
        <f>_xlfn.XLOOKUP(D466,'[2]8A. Master Device Catalog'!$F$5:$F$914,'[2]8A. Master Device Catalog'!$H$5:$H$914,"")</f>
        <v>2024</v>
      </c>
    </row>
    <row r="467" spans="1:6" ht="21.5" x14ac:dyDescent="0.9">
      <c r="A467" t="s">
        <v>4272</v>
      </c>
      <c r="B467" s="59" t="s">
        <v>3756</v>
      </c>
      <c r="C467" s="59" t="s">
        <v>4214</v>
      </c>
      <c r="D467" s="61" t="s">
        <v>4273</v>
      </c>
      <c r="E467" t="str">
        <f>_xlfn.XLOOKUP(D467,'[2]8A. Master Device Catalog'!$F$5:$F$914,'[2]8A. Master Device Catalog'!$G$5:$G$914,"")</f>
        <v/>
      </c>
      <c r="F467" t="str">
        <f>_xlfn.XLOOKUP(D467,'[2]8A. Master Device Catalog'!$F$5:$F$914,'[2]8A. Master Device Catalog'!$H$5:$H$914,"")</f>
        <v/>
      </c>
    </row>
    <row r="468" spans="1:6" ht="21.5" x14ac:dyDescent="0.9">
      <c r="A468" t="s">
        <v>4274</v>
      </c>
      <c r="B468" s="59" t="s">
        <v>3756</v>
      </c>
      <c r="C468" s="59" t="s">
        <v>4214</v>
      </c>
      <c r="D468" s="61" t="s">
        <v>4275</v>
      </c>
      <c r="E468" t="str">
        <f>_xlfn.XLOOKUP(D468,'[2]8A. Master Device Catalog'!$F$5:$F$914,'[2]8A. Master Device Catalog'!$G$5:$G$914,"")</f>
        <v/>
      </c>
      <c r="F468" t="str">
        <f>_xlfn.XLOOKUP(D468,'[2]8A. Master Device Catalog'!$F$5:$F$914,'[2]8A. Master Device Catalog'!$H$5:$H$914,"")</f>
        <v/>
      </c>
    </row>
    <row r="469" spans="1:6" ht="21.5" x14ac:dyDescent="0.9">
      <c r="A469" t="s">
        <v>4276</v>
      </c>
      <c r="B469" s="59" t="s">
        <v>3756</v>
      </c>
      <c r="C469" s="59" t="s">
        <v>4214</v>
      </c>
      <c r="D469" s="61" t="s">
        <v>2860</v>
      </c>
      <c r="E469" t="str">
        <f>_xlfn.XLOOKUP(D469,'[2]8A. Master Device Catalog'!$F$5:$F$914,'[2]8A. Master Device Catalog'!$G$5:$G$914,"")</f>
        <v>A2941</v>
      </c>
      <c r="F469">
        <f>_xlfn.XLOOKUP(D469,'[2]8A. Master Device Catalog'!$F$5:$F$914,'[2]8A. Master Device Catalog'!$H$5:$H$914,"")</f>
        <v>2023</v>
      </c>
    </row>
    <row r="470" spans="1:6" ht="21.5" x14ac:dyDescent="0.9">
      <c r="A470" t="s">
        <v>4277</v>
      </c>
      <c r="B470" s="59" t="s">
        <v>3756</v>
      </c>
      <c r="C470" s="59" t="s">
        <v>4214</v>
      </c>
      <c r="D470" s="61" t="s">
        <v>4278</v>
      </c>
      <c r="E470" t="str">
        <f>_xlfn.XLOOKUP(D470,'[2]8A. Master Device Catalog'!$F$5:$F$914,'[2]8A. Master Device Catalog'!$G$5:$G$914,"")</f>
        <v/>
      </c>
      <c r="F470" t="str">
        <f>_xlfn.XLOOKUP(D470,'[2]8A. Master Device Catalog'!$F$5:$F$914,'[2]8A. Master Device Catalog'!$H$5:$H$914,"")</f>
        <v/>
      </c>
    </row>
    <row r="471" spans="1:6" ht="21.5" x14ac:dyDescent="0.9">
      <c r="A471" t="s">
        <v>4279</v>
      </c>
      <c r="B471" s="59" t="s">
        <v>3756</v>
      </c>
      <c r="C471" s="59" t="s">
        <v>4214</v>
      </c>
      <c r="D471" s="61" t="s">
        <v>4280</v>
      </c>
      <c r="E471" t="str">
        <f>_xlfn.XLOOKUP(D471,'[2]8A. Master Device Catalog'!$F$5:$F$914,'[2]8A. Master Device Catalog'!$G$5:$G$914,"")</f>
        <v/>
      </c>
      <c r="F471" t="str">
        <f>_xlfn.XLOOKUP(D471,'[2]8A. Master Device Catalog'!$F$5:$F$914,'[2]8A. Master Device Catalog'!$H$5:$H$914,"")</f>
        <v/>
      </c>
    </row>
    <row r="472" spans="1:6" ht="21.5" x14ac:dyDescent="0.9">
      <c r="A472" t="s">
        <v>4281</v>
      </c>
      <c r="B472" s="59" t="s">
        <v>3756</v>
      </c>
      <c r="C472" s="59" t="s">
        <v>4214</v>
      </c>
      <c r="D472" s="61" t="s">
        <v>4282</v>
      </c>
      <c r="E472" t="str">
        <f>_xlfn.XLOOKUP(D472,'[2]8A. Master Device Catalog'!$F$5:$F$914,'[2]8A. Master Device Catalog'!$G$5:$G$914,"")</f>
        <v/>
      </c>
      <c r="F472" t="str">
        <f>_xlfn.XLOOKUP(D472,'[2]8A. Master Device Catalog'!$F$5:$F$914,'[2]8A. Master Device Catalog'!$H$5:$H$914,"")</f>
        <v/>
      </c>
    </row>
    <row r="473" spans="1:6" ht="21.5" x14ac:dyDescent="0.9">
      <c r="A473" t="s">
        <v>4283</v>
      </c>
      <c r="B473" s="59" t="s">
        <v>3756</v>
      </c>
      <c r="C473" s="59" t="s">
        <v>4214</v>
      </c>
      <c r="D473" s="61" t="s">
        <v>4284</v>
      </c>
      <c r="E473" t="str">
        <f>_xlfn.XLOOKUP(D473,'[2]8A. Master Device Catalog'!$F$5:$F$914,'[2]8A. Master Device Catalog'!$G$5:$G$914,"")</f>
        <v/>
      </c>
      <c r="F473" t="str">
        <f>_xlfn.XLOOKUP(D473,'[2]8A. Master Device Catalog'!$F$5:$F$914,'[2]8A. Master Device Catalog'!$H$5:$H$914,"")</f>
        <v/>
      </c>
    </row>
    <row r="474" spans="1:6" ht="21.5" x14ac:dyDescent="0.9">
      <c r="A474" t="s">
        <v>4285</v>
      </c>
      <c r="B474" s="59" t="s">
        <v>3756</v>
      </c>
      <c r="C474" s="59" t="s">
        <v>4214</v>
      </c>
      <c r="D474" s="61" t="s">
        <v>2882</v>
      </c>
      <c r="E474" t="str">
        <f>_xlfn.XLOOKUP(D474,'[2]8A. Master Device Catalog'!$F$5:$F$914,'[2]8A. Master Device Catalog'!$G$5:$G$914,"")</f>
        <v>A1370</v>
      </c>
      <c r="F474">
        <f>_xlfn.XLOOKUP(D474,'[2]8A. Master Device Catalog'!$F$5:$F$914,'[2]8A. Master Device Catalog'!$H$5:$H$914,"")</f>
        <v>2010</v>
      </c>
    </row>
    <row r="475" spans="1:6" ht="21.5" x14ac:dyDescent="0.9">
      <c r="A475" t="s">
        <v>4286</v>
      </c>
      <c r="B475" s="59" t="s">
        <v>3756</v>
      </c>
      <c r="C475" s="59" t="s">
        <v>4214</v>
      </c>
      <c r="D475" s="61" t="s">
        <v>2877</v>
      </c>
      <c r="E475" t="str">
        <f>_xlfn.XLOOKUP(D475,'[2]8A. Master Device Catalog'!$F$5:$F$914,'[2]8A. Master Device Catalog'!$G$5:$G$914,"")</f>
        <v>A1369</v>
      </c>
      <c r="F475">
        <f>_xlfn.XLOOKUP(D475,'[2]8A. Master Device Catalog'!$F$5:$F$914,'[2]8A. Master Device Catalog'!$H$5:$H$914,"")</f>
        <v>2010</v>
      </c>
    </row>
    <row r="476" spans="1:6" ht="21.5" x14ac:dyDescent="0.9">
      <c r="A476" t="s">
        <v>4287</v>
      </c>
      <c r="B476" s="59" t="s">
        <v>3756</v>
      </c>
      <c r="C476" s="59" t="s">
        <v>4214</v>
      </c>
      <c r="D476" s="61" t="s">
        <v>4288</v>
      </c>
      <c r="E476" t="str">
        <f>_xlfn.XLOOKUP(D476,'[2]8A. Master Device Catalog'!$F$5:$F$914,'[2]8A. Master Device Catalog'!$G$5:$G$914,"")</f>
        <v/>
      </c>
      <c r="F476" t="str">
        <f>_xlfn.XLOOKUP(D476,'[2]8A. Master Device Catalog'!$F$5:$F$914,'[2]8A. Master Device Catalog'!$H$5:$H$914,"")</f>
        <v/>
      </c>
    </row>
    <row r="477" spans="1:6" ht="21.5" x14ac:dyDescent="0.9">
      <c r="A477" t="s">
        <v>4289</v>
      </c>
      <c r="B477" s="59" t="s">
        <v>3756</v>
      </c>
      <c r="C477" s="59" t="s">
        <v>4214</v>
      </c>
      <c r="D477" s="61" t="s">
        <v>4290</v>
      </c>
      <c r="E477" t="str">
        <f>_xlfn.XLOOKUP(D477,'[2]8A. Master Device Catalog'!$F$5:$F$914,'[2]8A. Master Device Catalog'!$G$5:$G$914,"")</f>
        <v/>
      </c>
      <c r="F477" t="str">
        <f>_xlfn.XLOOKUP(D477,'[2]8A. Master Device Catalog'!$F$5:$F$914,'[2]8A. Master Device Catalog'!$H$5:$H$914,"")</f>
        <v/>
      </c>
    </row>
    <row r="478" spans="1:6" ht="21.5" x14ac:dyDescent="0.9">
      <c r="A478" t="s">
        <v>4291</v>
      </c>
      <c r="B478" s="59" t="s">
        <v>3756</v>
      </c>
      <c r="C478" s="59" t="s">
        <v>4214</v>
      </c>
      <c r="D478" s="61" t="s">
        <v>4292</v>
      </c>
      <c r="E478" t="str">
        <f>_xlfn.XLOOKUP(D478,'[2]8A. Master Device Catalog'!$F$5:$F$914,'[2]8A. Master Device Catalog'!$G$5:$G$914,"")</f>
        <v/>
      </c>
      <c r="F478" t="str">
        <f>_xlfn.XLOOKUP(D478,'[2]8A. Master Device Catalog'!$F$5:$F$914,'[2]8A. Master Device Catalog'!$H$5:$H$914,"")</f>
        <v/>
      </c>
    </row>
    <row r="479" spans="1:6" ht="21.5" x14ac:dyDescent="0.9">
      <c r="A479" t="s">
        <v>4293</v>
      </c>
      <c r="B479" s="59" t="s">
        <v>3756</v>
      </c>
      <c r="C479" s="59" t="s">
        <v>4214</v>
      </c>
      <c r="D479" s="61" t="s">
        <v>4294</v>
      </c>
      <c r="E479" t="str">
        <f>_xlfn.XLOOKUP(D479,'[2]8A. Master Device Catalog'!$F$5:$F$914,'[2]8A. Master Device Catalog'!$G$5:$G$914,"")</f>
        <v/>
      </c>
      <c r="F479" t="str">
        <f>_xlfn.XLOOKUP(D479,'[2]8A. Master Device Catalog'!$F$5:$F$914,'[2]8A. Master Device Catalog'!$H$5:$H$914,"")</f>
        <v/>
      </c>
    </row>
    <row r="480" spans="1:6" ht="21.5" x14ac:dyDescent="0.9">
      <c r="A480" t="s">
        <v>4295</v>
      </c>
      <c r="B480" s="59" t="s">
        <v>3756</v>
      </c>
      <c r="C480" s="59" t="s">
        <v>4214</v>
      </c>
      <c r="D480" s="61" t="s">
        <v>2796</v>
      </c>
      <c r="E480" t="str">
        <f>_xlfn.XLOOKUP(D480,'[2]8A. Master Device Catalog'!$F$5:$F$914,'[2]8A. Master Device Catalog'!$G$5:$G$914,"")</f>
        <v>A1311</v>
      </c>
      <c r="F480">
        <f>_xlfn.XLOOKUP(D480,'[2]8A. Master Device Catalog'!$F$5:$F$914,'[2]8A. Master Device Catalog'!$H$5:$H$914,"")</f>
        <v>2009</v>
      </c>
    </row>
    <row r="481" spans="1:6" ht="21.5" x14ac:dyDescent="0.9">
      <c r="A481" t="s">
        <v>4296</v>
      </c>
      <c r="B481" s="59" t="s">
        <v>3756</v>
      </c>
      <c r="C481" s="59" t="s">
        <v>4214</v>
      </c>
      <c r="D481" s="61" t="s">
        <v>2793</v>
      </c>
      <c r="E481" t="str">
        <f>_xlfn.XLOOKUP(D481,'[2]8A. Master Device Catalog'!$F$5:$F$914,'[2]8A. Master Device Catalog'!$G$5:$G$914,"")</f>
        <v>A1312</v>
      </c>
      <c r="F481">
        <f>_xlfn.XLOOKUP(D481,'[2]8A. Master Device Catalog'!$F$5:$F$914,'[2]8A. Master Device Catalog'!$H$5:$H$914,"")</f>
        <v>2009</v>
      </c>
    </row>
    <row r="482" spans="1:6" ht="21.5" x14ac:dyDescent="0.9">
      <c r="A482" t="s">
        <v>4297</v>
      </c>
      <c r="B482" s="59" t="s">
        <v>3756</v>
      </c>
      <c r="C482" s="59" t="s">
        <v>4214</v>
      </c>
      <c r="D482" s="61" t="s">
        <v>2761</v>
      </c>
      <c r="E482" t="str">
        <f>_xlfn.XLOOKUP(D482,'[2]8A. Master Device Catalog'!$F$5:$F$914,'[2]8A. Master Device Catalog'!$G$5:$G$914,"")</f>
        <v>A1176</v>
      </c>
      <c r="F482">
        <f>_xlfn.XLOOKUP(D482,'[2]8A. Master Device Catalog'!$F$5:$F$914,'[2]8A. Master Device Catalog'!$H$5:$H$914,"")</f>
        <v>2006</v>
      </c>
    </row>
    <row r="483" spans="1:6" ht="21.5" x14ac:dyDescent="0.9">
      <c r="A483" t="s">
        <v>4298</v>
      </c>
      <c r="B483" s="59" t="s">
        <v>3756</v>
      </c>
      <c r="C483" s="59" t="s">
        <v>4214</v>
      </c>
      <c r="D483" s="61" t="s">
        <v>2739</v>
      </c>
      <c r="E483" t="str">
        <f>_xlfn.XLOOKUP(D483,'[2]8A. Master Device Catalog'!$F$5:$F$914,'[2]8A. Master Device Catalog'!$G$5:$G$914,"")</f>
        <v>A2901</v>
      </c>
      <c r="F483">
        <f>_xlfn.XLOOKUP(D483,'[2]8A. Master Device Catalog'!$F$5:$F$914,'[2]8A. Master Device Catalog'!$H$5:$H$914,"")</f>
        <v>2023</v>
      </c>
    </row>
    <row r="484" spans="1:6" ht="21.5" x14ac:dyDescent="0.9">
      <c r="A484" t="s">
        <v>4299</v>
      </c>
      <c r="B484" s="59" t="s">
        <v>3756</v>
      </c>
      <c r="C484" s="59" t="s">
        <v>4214</v>
      </c>
      <c r="D484" s="61" t="s">
        <v>2736</v>
      </c>
      <c r="E484" t="str">
        <f>_xlfn.XLOOKUP(D484,'[2]8A. Master Device Catalog'!$F$5:$F$914,'[2]8A. Master Device Catalog'!$G$5:$G$914,"")</f>
        <v>A2901</v>
      </c>
      <c r="F484">
        <f>_xlfn.XLOOKUP(D484,'[2]8A. Master Device Catalog'!$F$5:$F$914,'[2]8A. Master Device Catalog'!$H$5:$H$914,"")</f>
        <v>2023</v>
      </c>
    </row>
    <row r="485" spans="1:6" ht="21.5" x14ac:dyDescent="0.9">
      <c r="A485" t="s">
        <v>4300</v>
      </c>
      <c r="B485" s="59" t="s">
        <v>3805</v>
      </c>
      <c r="C485" s="59" t="s">
        <v>4214</v>
      </c>
      <c r="D485" s="61" t="s">
        <v>4301</v>
      </c>
      <c r="E485" t="str">
        <f>_xlfn.XLOOKUP(D485,'[2]8A. Master Device Catalog'!$F$5:$F$914,'[2]8A. Master Device Catalog'!$G$5:$G$914,"")</f>
        <v/>
      </c>
      <c r="F485" t="str">
        <f>_xlfn.XLOOKUP(D485,'[2]8A. Master Device Catalog'!$F$5:$F$914,'[2]8A. Master Device Catalog'!$H$5:$H$914,"")</f>
        <v/>
      </c>
    </row>
    <row r="486" spans="1:6" ht="21.5" x14ac:dyDescent="0.9">
      <c r="A486" t="s">
        <v>4302</v>
      </c>
      <c r="B486" s="59" t="s">
        <v>3805</v>
      </c>
      <c r="C486" s="59" t="s">
        <v>4214</v>
      </c>
      <c r="D486" s="61" t="s">
        <v>4303</v>
      </c>
      <c r="E486" t="str">
        <f>_xlfn.XLOOKUP(D486,'[2]8A. Master Device Catalog'!$F$5:$F$914,'[2]8A. Master Device Catalog'!$G$5:$G$914,"")</f>
        <v/>
      </c>
      <c r="F486" t="str">
        <f>_xlfn.XLOOKUP(D486,'[2]8A. Master Device Catalog'!$F$5:$F$914,'[2]8A. Master Device Catalog'!$H$5:$H$914,"")</f>
        <v/>
      </c>
    </row>
    <row r="487" spans="1:6" ht="21.5" x14ac:dyDescent="0.9">
      <c r="A487" t="s">
        <v>4304</v>
      </c>
      <c r="B487" s="59" t="s">
        <v>3805</v>
      </c>
      <c r="C487" s="59" t="s">
        <v>4214</v>
      </c>
      <c r="D487" s="61" t="s">
        <v>4305</v>
      </c>
      <c r="E487" t="str">
        <f>_xlfn.XLOOKUP(D487,'[2]8A. Master Device Catalog'!$F$5:$F$914,'[2]8A. Master Device Catalog'!$G$5:$G$914,"")</f>
        <v/>
      </c>
      <c r="F487" t="str">
        <f>_xlfn.XLOOKUP(D487,'[2]8A. Master Device Catalog'!$F$5:$F$914,'[2]8A. Master Device Catalog'!$H$5:$H$914,"")</f>
        <v/>
      </c>
    </row>
    <row r="488" spans="1:6" ht="21.5" x14ac:dyDescent="0.9">
      <c r="A488" t="s">
        <v>4306</v>
      </c>
      <c r="B488" s="59" t="s">
        <v>3805</v>
      </c>
      <c r="C488" s="59" t="s">
        <v>4214</v>
      </c>
      <c r="D488" s="61" t="s">
        <v>4307</v>
      </c>
      <c r="E488" t="str">
        <f>_xlfn.XLOOKUP(D488,'[2]8A. Master Device Catalog'!$F$5:$F$914,'[2]8A. Master Device Catalog'!$G$5:$G$914,"")</f>
        <v/>
      </c>
      <c r="F488" t="str">
        <f>_xlfn.XLOOKUP(D488,'[2]8A. Master Device Catalog'!$F$5:$F$914,'[2]8A. Master Device Catalog'!$H$5:$H$914,"")</f>
        <v/>
      </c>
    </row>
    <row r="489" spans="1:6" ht="21.5" x14ac:dyDescent="0.9">
      <c r="A489" t="s">
        <v>4308</v>
      </c>
      <c r="B489" s="59" t="s">
        <v>3805</v>
      </c>
      <c r="C489" s="59" t="s">
        <v>4214</v>
      </c>
      <c r="D489" s="61" t="s">
        <v>4309</v>
      </c>
      <c r="E489" t="str">
        <f>_xlfn.XLOOKUP(D489,'[2]8A. Master Device Catalog'!$F$5:$F$914,'[2]8A. Master Device Catalog'!$G$5:$G$914,"")</f>
        <v/>
      </c>
      <c r="F489" t="str">
        <f>_xlfn.XLOOKUP(D489,'[2]8A. Master Device Catalog'!$F$5:$F$914,'[2]8A. Master Device Catalog'!$H$5:$H$914,"")</f>
        <v/>
      </c>
    </row>
    <row r="490" spans="1:6" ht="21.5" x14ac:dyDescent="0.9">
      <c r="A490" t="s">
        <v>4310</v>
      </c>
      <c r="B490" s="59" t="s">
        <v>3805</v>
      </c>
      <c r="C490" s="59" t="s">
        <v>4214</v>
      </c>
      <c r="D490" s="61" t="s">
        <v>4311</v>
      </c>
      <c r="E490" t="str">
        <f>_xlfn.XLOOKUP(D490,'[2]8A. Master Device Catalog'!$F$5:$F$914,'[2]8A. Master Device Catalog'!$G$5:$G$914,"")</f>
        <v/>
      </c>
      <c r="F490" t="str">
        <f>_xlfn.XLOOKUP(D490,'[2]8A. Master Device Catalog'!$F$5:$F$914,'[2]8A. Master Device Catalog'!$H$5:$H$914,"")</f>
        <v/>
      </c>
    </row>
    <row r="491" spans="1:6" ht="21.5" x14ac:dyDescent="0.9">
      <c r="A491" t="s">
        <v>4312</v>
      </c>
      <c r="B491" s="59" t="s">
        <v>3805</v>
      </c>
      <c r="C491" s="59" t="s">
        <v>4214</v>
      </c>
      <c r="D491" s="61" t="s">
        <v>4313</v>
      </c>
      <c r="E491" t="str">
        <f>_xlfn.XLOOKUP(D491,'[2]8A. Master Device Catalog'!$F$5:$F$914,'[2]8A. Master Device Catalog'!$G$5:$G$914,"")</f>
        <v/>
      </c>
      <c r="F491" t="str">
        <f>_xlfn.XLOOKUP(D491,'[2]8A. Master Device Catalog'!$F$5:$F$914,'[2]8A. Master Device Catalog'!$H$5:$H$914,"")</f>
        <v/>
      </c>
    </row>
    <row r="492" spans="1:6" ht="21.5" x14ac:dyDescent="0.9">
      <c r="A492" t="s">
        <v>4314</v>
      </c>
      <c r="B492" s="59" t="s">
        <v>3805</v>
      </c>
      <c r="C492" s="59" t="s">
        <v>4214</v>
      </c>
      <c r="D492" s="61" t="s">
        <v>4315</v>
      </c>
      <c r="E492" t="str">
        <f>_xlfn.XLOOKUP(D492,'[2]8A. Master Device Catalog'!$F$5:$F$914,'[2]8A. Master Device Catalog'!$G$5:$G$914,"")</f>
        <v/>
      </c>
      <c r="F492" t="str">
        <f>_xlfn.XLOOKUP(D492,'[2]8A. Master Device Catalog'!$F$5:$F$914,'[2]8A. Master Device Catalog'!$H$5:$H$914,"")</f>
        <v/>
      </c>
    </row>
    <row r="493" spans="1:6" ht="21.5" x14ac:dyDescent="0.9">
      <c r="A493" t="s">
        <v>4316</v>
      </c>
      <c r="B493" s="59" t="s">
        <v>3805</v>
      </c>
      <c r="C493" s="59" t="s">
        <v>4214</v>
      </c>
      <c r="D493" s="61" t="s">
        <v>4317</v>
      </c>
      <c r="E493" t="str">
        <f>_xlfn.XLOOKUP(D493,'[2]8A. Master Device Catalog'!$F$5:$F$914,'[2]8A. Master Device Catalog'!$G$5:$G$914,"")</f>
        <v/>
      </c>
      <c r="F493" t="str">
        <f>_xlfn.XLOOKUP(D493,'[2]8A. Master Device Catalog'!$F$5:$F$914,'[2]8A. Master Device Catalog'!$H$5:$H$914,"")</f>
        <v/>
      </c>
    </row>
    <row r="494" spans="1:6" ht="21.5" x14ac:dyDescent="0.9">
      <c r="A494" t="s">
        <v>4318</v>
      </c>
      <c r="B494" s="59" t="s">
        <v>3805</v>
      </c>
      <c r="C494" s="59" t="s">
        <v>4214</v>
      </c>
      <c r="D494" s="61" t="s">
        <v>968</v>
      </c>
      <c r="E494" t="str">
        <f>_xlfn.XLOOKUP(D494,'[2]8A. Master Device Catalog'!$F$5:$F$914,'[2]8A. Master Device Catalog'!$G$5:$G$914,"")</f>
        <v>GZ301</v>
      </c>
      <c r="F494">
        <f>_xlfn.XLOOKUP(D494,'[2]8A. Master Device Catalog'!$F$5:$F$914,'[2]8A. Master Device Catalog'!$H$5:$H$914,"")</f>
        <v>2023</v>
      </c>
    </row>
    <row r="495" spans="1:6" ht="21.5" x14ac:dyDescent="0.9">
      <c r="A495" t="s">
        <v>4319</v>
      </c>
      <c r="B495" s="59" t="s">
        <v>3805</v>
      </c>
      <c r="C495" s="59" t="s">
        <v>4214</v>
      </c>
      <c r="D495" s="61" t="s">
        <v>4320</v>
      </c>
      <c r="E495" t="str">
        <f>_xlfn.XLOOKUP(D495,'[2]8A. Master Device Catalog'!$F$5:$F$914,'[2]8A. Master Device Catalog'!$G$5:$G$914,"")</f>
        <v/>
      </c>
      <c r="F495" t="str">
        <f>_xlfn.XLOOKUP(D495,'[2]8A. Master Device Catalog'!$F$5:$F$914,'[2]8A. Master Device Catalog'!$H$5:$H$914,"")</f>
        <v/>
      </c>
    </row>
    <row r="496" spans="1:6" ht="21.5" x14ac:dyDescent="0.9">
      <c r="A496" t="s">
        <v>4321</v>
      </c>
      <c r="B496" s="59" t="s">
        <v>3805</v>
      </c>
      <c r="C496" s="59" t="s">
        <v>4214</v>
      </c>
      <c r="D496" s="61" t="s">
        <v>4322</v>
      </c>
      <c r="E496" t="str">
        <f>_xlfn.XLOOKUP(D496,'[2]8A. Master Device Catalog'!$F$5:$F$914,'[2]8A. Master Device Catalog'!$G$5:$G$914,"")</f>
        <v/>
      </c>
      <c r="F496" t="str">
        <f>_xlfn.XLOOKUP(D496,'[2]8A. Master Device Catalog'!$F$5:$F$914,'[2]8A. Master Device Catalog'!$H$5:$H$914,"")</f>
        <v/>
      </c>
    </row>
    <row r="497" spans="1:6" ht="21.5" x14ac:dyDescent="0.9">
      <c r="A497" t="s">
        <v>4323</v>
      </c>
      <c r="B497" s="59" t="s">
        <v>3805</v>
      </c>
      <c r="C497" s="59" t="s">
        <v>4214</v>
      </c>
      <c r="D497" s="61" t="s">
        <v>4324</v>
      </c>
      <c r="E497" t="str">
        <f>_xlfn.XLOOKUP(D497,'[2]8A. Master Device Catalog'!$F$5:$F$914,'[2]8A. Master Device Catalog'!$G$5:$G$914,"")</f>
        <v/>
      </c>
      <c r="F497" t="str">
        <f>_xlfn.XLOOKUP(D497,'[2]8A. Master Device Catalog'!$F$5:$F$914,'[2]8A. Master Device Catalog'!$H$5:$H$914,"")</f>
        <v/>
      </c>
    </row>
    <row r="498" spans="1:6" ht="21.5" x14ac:dyDescent="0.9">
      <c r="A498" t="s">
        <v>4325</v>
      </c>
      <c r="B498" s="59" t="s">
        <v>3805</v>
      </c>
      <c r="C498" s="59" t="s">
        <v>4214</v>
      </c>
      <c r="D498" s="61" t="s">
        <v>4326</v>
      </c>
      <c r="E498" t="str">
        <f>_xlfn.XLOOKUP(D498,'[2]8A. Master Device Catalog'!$F$5:$F$914,'[2]8A. Master Device Catalog'!$G$5:$G$914,"")</f>
        <v/>
      </c>
      <c r="F498" t="str">
        <f>_xlfn.XLOOKUP(D498,'[2]8A. Master Device Catalog'!$F$5:$F$914,'[2]8A. Master Device Catalog'!$H$5:$H$914,"")</f>
        <v/>
      </c>
    </row>
    <row r="499" spans="1:6" ht="21.5" x14ac:dyDescent="0.9">
      <c r="A499" t="s">
        <v>4327</v>
      </c>
      <c r="B499" s="59" t="s">
        <v>3805</v>
      </c>
      <c r="C499" s="59" t="s">
        <v>4214</v>
      </c>
      <c r="D499" s="61" t="s">
        <v>4328</v>
      </c>
      <c r="E499" t="str">
        <f>_xlfn.XLOOKUP(D499,'[2]8A. Master Device Catalog'!$F$5:$F$914,'[2]8A. Master Device Catalog'!$G$5:$G$914,"")</f>
        <v/>
      </c>
      <c r="F499" t="str">
        <f>_xlfn.XLOOKUP(D499,'[2]8A. Master Device Catalog'!$F$5:$F$914,'[2]8A. Master Device Catalog'!$H$5:$H$914,"")</f>
        <v/>
      </c>
    </row>
    <row r="500" spans="1:6" ht="21.5" x14ac:dyDescent="0.9">
      <c r="A500" t="s">
        <v>4329</v>
      </c>
      <c r="B500" s="59" t="s">
        <v>3805</v>
      </c>
      <c r="C500" s="59" t="s">
        <v>4214</v>
      </c>
      <c r="D500" s="61" t="s">
        <v>4330</v>
      </c>
      <c r="E500" t="str">
        <f>_xlfn.XLOOKUP(D500,'[2]8A. Master Device Catalog'!$F$5:$F$914,'[2]8A. Master Device Catalog'!$G$5:$G$914,"")</f>
        <v/>
      </c>
      <c r="F500" t="str">
        <f>_xlfn.XLOOKUP(D500,'[2]8A. Master Device Catalog'!$F$5:$F$914,'[2]8A. Master Device Catalog'!$H$5:$H$914,"")</f>
        <v/>
      </c>
    </row>
    <row r="501" spans="1:6" ht="21.5" x14ac:dyDescent="0.9">
      <c r="A501" t="s">
        <v>4331</v>
      </c>
      <c r="B501" s="59" t="s">
        <v>3805</v>
      </c>
      <c r="C501" s="59" t="s">
        <v>4214</v>
      </c>
      <c r="D501" s="61" t="s">
        <v>4332</v>
      </c>
      <c r="E501" t="str">
        <f>_xlfn.XLOOKUP(D501,'[2]8A. Master Device Catalog'!$F$5:$F$914,'[2]8A. Master Device Catalog'!$G$5:$G$914,"")</f>
        <v/>
      </c>
      <c r="F501" t="str">
        <f>_xlfn.XLOOKUP(D501,'[2]8A. Master Device Catalog'!$F$5:$F$914,'[2]8A. Master Device Catalog'!$H$5:$H$914,"")</f>
        <v/>
      </c>
    </row>
    <row r="502" spans="1:6" ht="21.5" x14ac:dyDescent="0.9">
      <c r="A502" t="s">
        <v>4333</v>
      </c>
      <c r="B502" s="59" t="s">
        <v>3805</v>
      </c>
      <c r="C502" s="59" t="s">
        <v>4214</v>
      </c>
      <c r="D502" s="61" t="s">
        <v>4334</v>
      </c>
      <c r="E502" t="str">
        <f>_xlfn.XLOOKUP(D502,'[2]8A. Master Device Catalog'!$F$5:$F$914,'[2]8A. Master Device Catalog'!$G$5:$G$914,"")</f>
        <v/>
      </c>
      <c r="F502" t="str">
        <f>_xlfn.XLOOKUP(D502,'[2]8A. Master Device Catalog'!$F$5:$F$914,'[2]8A. Master Device Catalog'!$H$5:$H$914,"")</f>
        <v/>
      </c>
    </row>
    <row r="503" spans="1:6" ht="21.5" x14ac:dyDescent="0.9">
      <c r="A503" t="s">
        <v>4335</v>
      </c>
      <c r="B503" s="59" t="s">
        <v>4336</v>
      </c>
      <c r="C503" s="59" t="s">
        <v>4214</v>
      </c>
      <c r="D503" s="61" t="s">
        <v>4337</v>
      </c>
      <c r="E503" t="str">
        <f>_xlfn.XLOOKUP(D503,'[2]8A. Master Device Catalog'!$F$5:$F$914,'[2]8A. Master Device Catalog'!$G$5:$G$914,"")</f>
        <v/>
      </c>
      <c r="F503" t="str">
        <f>_xlfn.XLOOKUP(D503,'[2]8A. Master Device Catalog'!$F$5:$F$914,'[2]8A. Master Device Catalog'!$H$5:$H$914,"")</f>
        <v/>
      </c>
    </row>
    <row r="504" spans="1:6" ht="21.5" x14ac:dyDescent="0.9">
      <c r="A504" t="s">
        <v>4338</v>
      </c>
      <c r="B504" s="59" t="s">
        <v>4336</v>
      </c>
      <c r="C504" s="59" t="s">
        <v>4214</v>
      </c>
      <c r="D504" s="61" t="s">
        <v>4339</v>
      </c>
      <c r="E504" t="str">
        <f>_xlfn.XLOOKUP(D504,'[2]8A. Master Device Catalog'!$F$5:$F$914,'[2]8A. Master Device Catalog'!$G$5:$G$914,"")</f>
        <v/>
      </c>
      <c r="F504" t="str">
        <f>_xlfn.XLOOKUP(D504,'[2]8A. Master Device Catalog'!$F$5:$F$914,'[2]8A. Master Device Catalog'!$H$5:$H$914,"")</f>
        <v/>
      </c>
    </row>
    <row r="505" spans="1:6" ht="21.5" x14ac:dyDescent="0.9">
      <c r="A505" t="s">
        <v>4340</v>
      </c>
      <c r="B505" s="59" t="s">
        <v>4336</v>
      </c>
      <c r="C505" s="59" t="s">
        <v>4214</v>
      </c>
      <c r="D505" s="61" t="s">
        <v>4341</v>
      </c>
      <c r="E505" t="str">
        <f>_xlfn.XLOOKUP(D505,'[2]8A. Master Device Catalog'!$F$5:$F$914,'[2]8A. Master Device Catalog'!$G$5:$G$914,"")</f>
        <v/>
      </c>
      <c r="F505" t="str">
        <f>_xlfn.XLOOKUP(D505,'[2]8A. Master Device Catalog'!$F$5:$F$914,'[2]8A. Master Device Catalog'!$H$5:$H$914,"")</f>
        <v/>
      </c>
    </row>
    <row r="506" spans="1:6" ht="21.5" x14ac:dyDescent="0.9">
      <c r="A506" t="s">
        <v>4342</v>
      </c>
      <c r="B506" s="59" t="s">
        <v>4336</v>
      </c>
      <c r="C506" s="59" t="s">
        <v>4214</v>
      </c>
      <c r="D506" s="61" t="s">
        <v>4343</v>
      </c>
      <c r="E506" t="str">
        <f>_xlfn.XLOOKUP(D506,'[2]8A. Master Device Catalog'!$F$5:$F$914,'[2]8A. Master Device Catalog'!$G$5:$G$914,"")</f>
        <v/>
      </c>
      <c r="F506" t="str">
        <f>_xlfn.XLOOKUP(D506,'[2]8A. Master Device Catalog'!$F$5:$F$914,'[2]8A. Master Device Catalog'!$H$5:$H$914,"")</f>
        <v/>
      </c>
    </row>
    <row r="507" spans="1:6" ht="21.5" x14ac:dyDescent="0.9">
      <c r="A507" t="s">
        <v>4344</v>
      </c>
      <c r="B507" s="59" t="s">
        <v>4336</v>
      </c>
      <c r="C507" s="59" t="s">
        <v>4214</v>
      </c>
      <c r="D507" s="61" t="s">
        <v>4345</v>
      </c>
      <c r="E507" t="str">
        <f>_xlfn.XLOOKUP(D507,'[2]8A. Master Device Catalog'!$F$5:$F$914,'[2]8A. Master Device Catalog'!$G$5:$G$914,"")</f>
        <v/>
      </c>
      <c r="F507" t="str">
        <f>_xlfn.XLOOKUP(D507,'[2]8A. Master Device Catalog'!$F$5:$F$914,'[2]8A. Master Device Catalog'!$H$5:$H$914,"")</f>
        <v/>
      </c>
    </row>
    <row r="508" spans="1:6" ht="21.5" x14ac:dyDescent="0.9">
      <c r="A508" t="s">
        <v>4346</v>
      </c>
      <c r="B508" s="59" t="s">
        <v>4336</v>
      </c>
      <c r="C508" s="59" t="s">
        <v>4214</v>
      </c>
      <c r="D508" s="61" t="s">
        <v>4347</v>
      </c>
      <c r="E508" t="str">
        <f>_xlfn.XLOOKUP(D508,'[2]8A. Master Device Catalog'!$F$5:$F$914,'[2]8A. Master Device Catalog'!$G$5:$G$914,"")</f>
        <v/>
      </c>
      <c r="F508" t="str">
        <f>_xlfn.XLOOKUP(D508,'[2]8A. Master Device Catalog'!$F$5:$F$914,'[2]8A. Master Device Catalog'!$H$5:$H$914,"")</f>
        <v/>
      </c>
    </row>
    <row r="509" spans="1:6" ht="21.5" x14ac:dyDescent="0.9">
      <c r="A509" t="s">
        <v>4348</v>
      </c>
      <c r="B509" s="59" t="s">
        <v>4336</v>
      </c>
      <c r="C509" s="59" t="s">
        <v>4214</v>
      </c>
      <c r="D509" s="61" t="s">
        <v>4349</v>
      </c>
      <c r="E509" t="str">
        <f>_xlfn.XLOOKUP(D509,'[2]8A. Master Device Catalog'!$F$5:$F$914,'[2]8A. Master Device Catalog'!$G$5:$G$914,"")</f>
        <v/>
      </c>
      <c r="F509" t="str">
        <f>_xlfn.XLOOKUP(D509,'[2]8A. Master Device Catalog'!$F$5:$F$914,'[2]8A. Master Device Catalog'!$H$5:$H$914,"")</f>
        <v/>
      </c>
    </row>
    <row r="510" spans="1:6" ht="21.5" x14ac:dyDescent="0.9">
      <c r="A510" t="s">
        <v>4350</v>
      </c>
      <c r="B510" s="59" t="s">
        <v>4336</v>
      </c>
      <c r="C510" s="59" t="s">
        <v>4214</v>
      </c>
      <c r="D510" s="61" t="s">
        <v>4351</v>
      </c>
      <c r="E510" t="str">
        <f>_xlfn.XLOOKUP(D510,'[2]8A. Master Device Catalog'!$F$5:$F$914,'[2]8A. Master Device Catalog'!$G$5:$G$914,"")</f>
        <v/>
      </c>
      <c r="F510" t="str">
        <f>_xlfn.XLOOKUP(D510,'[2]8A. Master Device Catalog'!$F$5:$F$914,'[2]8A. Master Device Catalog'!$H$5:$H$914,"")</f>
        <v/>
      </c>
    </row>
    <row r="511" spans="1:6" ht="21.5" x14ac:dyDescent="0.9">
      <c r="A511" t="s">
        <v>4352</v>
      </c>
      <c r="B511" s="59" t="s">
        <v>4336</v>
      </c>
      <c r="C511" s="59" t="s">
        <v>4214</v>
      </c>
      <c r="D511" s="61" t="s">
        <v>4353</v>
      </c>
      <c r="E511" t="str">
        <f>_xlfn.XLOOKUP(D511,'[2]8A. Master Device Catalog'!$F$5:$F$914,'[2]8A. Master Device Catalog'!$G$5:$G$914,"")</f>
        <v/>
      </c>
      <c r="F511" t="str">
        <f>_xlfn.XLOOKUP(D511,'[2]8A. Master Device Catalog'!$F$5:$F$914,'[2]8A. Master Device Catalog'!$H$5:$H$914,"")</f>
        <v/>
      </c>
    </row>
    <row r="512" spans="1:6" ht="21.5" x14ac:dyDescent="0.9">
      <c r="A512" t="s">
        <v>4354</v>
      </c>
      <c r="B512" s="59" t="s">
        <v>4336</v>
      </c>
      <c r="C512" s="59" t="s">
        <v>4214</v>
      </c>
      <c r="D512" s="61" t="s">
        <v>4355</v>
      </c>
      <c r="E512" t="str">
        <f>_xlfn.XLOOKUP(D512,'[2]8A. Master Device Catalog'!$F$5:$F$914,'[2]8A. Master Device Catalog'!$G$5:$G$914,"")</f>
        <v/>
      </c>
      <c r="F512" t="str">
        <f>_xlfn.XLOOKUP(D512,'[2]8A. Master Device Catalog'!$F$5:$F$914,'[2]8A. Master Device Catalog'!$H$5:$H$914,"")</f>
        <v/>
      </c>
    </row>
    <row r="513" spans="1:6" ht="21.5" x14ac:dyDescent="0.9">
      <c r="A513" t="s">
        <v>4356</v>
      </c>
      <c r="B513" s="59" t="s">
        <v>4336</v>
      </c>
      <c r="C513" s="59" t="s">
        <v>4214</v>
      </c>
      <c r="D513" s="61" t="s">
        <v>4357</v>
      </c>
      <c r="E513" t="str">
        <f>_xlfn.XLOOKUP(D513,'[2]8A. Master Device Catalog'!$F$5:$F$914,'[2]8A. Master Device Catalog'!$G$5:$G$914,"")</f>
        <v/>
      </c>
      <c r="F513" t="str">
        <f>_xlfn.XLOOKUP(D513,'[2]8A. Master Device Catalog'!$F$5:$F$914,'[2]8A. Master Device Catalog'!$H$5:$H$914,"")</f>
        <v/>
      </c>
    </row>
    <row r="514" spans="1:6" ht="21.5" x14ac:dyDescent="0.9">
      <c r="A514" t="s">
        <v>4358</v>
      </c>
      <c r="B514" s="59" t="s">
        <v>4336</v>
      </c>
      <c r="C514" s="59" t="s">
        <v>4214</v>
      </c>
      <c r="D514" s="61" t="s">
        <v>4359</v>
      </c>
      <c r="E514" t="str">
        <f>_xlfn.XLOOKUP(D514,'[2]8A. Master Device Catalog'!$F$5:$F$914,'[2]8A. Master Device Catalog'!$G$5:$G$914,"")</f>
        <v/>
      </c>
      <c r="F514" t="str">
        <f>_xlfn.XLOOKUP(D514,'[2]8A. Master Device Catalog'!$F$5:$F$914,'[2]8A. Master Device Catalog'!$H$5:$H$914,"")</f>
        <v/>
      </c>
    </row>
    <row r="515" spans="1:6" ht="21.5" x14ac:dyDescent="0.9">
      <c r="A515" t="s">
        <v>4360</v>
      </c>
      <c r="B515" s="59" t="s">
        <v>4336</v>
      </c>
      <c r="C515" s="59" t="s">
        <v>4214</v>
      </c>
      <c r="D515" s="61" t="s">
        <v>4361</v>
      </c>
      <c r="E515" t="str">
        <f>_xlfn.XLOOKUP(D515,'[2]8A. Master Device Catalog'!$F$5:$F$914,'[2]8A. Master Device Catalog'!$G$5:$G$914,"")</f>
        <v/>
      </c>
      <c r="F515" t="str">
        <f>_xlfn.XLOOKUP(D515,'[2]8A. Master Device Catalog'!$F$5:$F$914,'[2]8A. Master Device Catalog'!$H$5:$H$914,"")</f>
        <v/>
      </c>
    </row>
    <row r="516" spans="1:6" ht="21.5" x14ac:dyDescent="0.9">
      <c r="A516" t="s">
        <v>4362</v>
      </c>
      <c r="B516" s="59" t="s">
        <v>4336</v>
      </c>
      <c r="C516" s="59" t="s">
        <v>4214</v>
      </c>
      <c r="D516" s="61" t="s">
        <v>4363</v>
      </c>
      <c r="E516" t="str">
        <f>_xlfn.XLOOKUP(D516,'[2]8A. Master Device Catalog'!$F$5:$F$914,'[2]8A. Master Device Catalog'!$G$5:$G$914,"")</f>
        <v/>
      </c>
      <c r="F516" t="str">
        <f>_xlfn.XLOOKUP(D516,'[2]8A. Master Device Catalog'!$F$5:$F$914,'[2]8A. Master Device Catalog'!$H$5:$H$914,"")</f>
        <v/>
      </c>
    </row>
    <row r="517" spans="1:6" ht="21.5" x14ac:dyDescent="0.9">
      <c r="A517" t="s">
        <v>4364</v>
      </c>
      <c r="B517" s="59" t="s">
        <v>4336</v>
      </c>
      <c r="C517" s="59" t="s">
        <v>4214</v>
      </c>
      <c r="D517" s="61" t="s">
        <v>4365</v>
      </c>
      <c r="E517" t="str">
        <f>_xlfn.XLOOKUP(D517,'[2]8A. Master Device Catalog'!$F$5:$F$914,'[2]8A. Master Device Catalog'!$G$5:$G$914,"")</f>
        <v/>
      </c>
      <c r="F517" t="str">
        <f>_xlfn.XLOOKUP(D517,'[2]8A. Master Device Catalog'!$F$5:$F$914,'[2]8A. Master Device Catalog'!$H$5:$H$914,"")</f>
        <v/>
      </c>
    </row>
    <row r="518" spans="1:6" ht="21.5" x14ac:dyDescent="0.9">
      <c r="A518" t="s">
        <v>4366</v>
      </c>
      <c r="B518" s="59" t="s">
        <v>4336</v>
      </c>
      <c r="C518" s="59" t="s">
        <v>4214</v>
      </c>
      <c r="D518" s="61" t="s">
        <v>4367</v>
      </c>
      <c r="E518" t="str">
        <f>_xlfn.XLOOKUP(D518,'[2]8A. Master Device Catalog'!$F$5:$F$914,'[2]8A. Master Device Catalog'!$G$5:$G$914,"")</f>
        <v/>
      </c>
      <c r="F518" t="str">
        <f>_xlfn.XLOOKUP(D518,'[2]8A. Master Device Catalog'!$F$5:$F$914,'[2]8A. Master Device Catalog'!$H$5:$H$914,"")</f>
        <v/>
      </c>
    </row>
    <row r="519" spans="1:6" ht="21.5" x14ac:dyDescent="0.9">
      <c r="A519" t="s">
        <v>4368</v>
      </c>
      <c r="B519" s="59" t="s">
        <v>4336</v>
      </c>
      <c r="C519" s="59" t="s">
        <v>4214</v>
      </c>
      <c r="D519" s="61" t="s">
        <v>4369</v>
      </c>
      <c r="E519" t="str">
        <f>_xlfn.XLOOKUP(D519,'[2]8A. Master Device Catalog'!$F$5:$F$914,'[2]8A. Master Device Catalog'!$G$5:$G$914,"")</f>
        <v/>
      </c>
      <c r="F519" t="str">
        <f>_xlfn.XLOOKUP(D519,'[2]8A. Master Device Catalog'!$F$5:$F$914,'[2]8A. Master Device Catalog'!$H$5:$H$914,"")</f>
        <v/>
      </c>
    </row>
    <row r="520" spans="1:6" ht="21.5" x14ac:dyDescent="0.9">
      <c r="A520" t="s">
        <v>4370</v>
      </c>
      <c r="B520" s="59" t="s">
        <v>4336</v>
      </c>
      <c r="C520" s="59" t="s">
        <v>4214</v>
      </c>
      <c r="D520" s="61" t="s">
        <v>4371</v>
      </c>
      <c r="E520" t="str">
        <f>_xlfn.XLOOKUP(D520,'[2]8A. Master Device Catalog'!$F$5:$F$914,'[2]8A. Master Device Catalog'!$G$5:$G$914,"")</f>
        <v/>
      </c>
      <c r="F520" t="str">
        <f>_xlfn.XLOOKUP(D520,'[2]8A. Master Device Catalog'!$F$5:$F$914,'[2]8A. Master Device Catalog'!$H$5:$H$914,"")</f>
        <v/>
      </c>
    </row>
    <row r="521" spans="1:6" ht="21.5" x14ac:dyDescent="0.9">
      <c r="A521" t="s">
        <v>4372</v>
      </c>
      <c r="B521" s="59" t="s">
        <v>4336</v>
      </c>
      <c r="C521" s="59" t="s">
        <v>4214</v>
      </c>
      <c r="D521" s="61" t="s">
        <v>4373</v>
      </c>
      <c r="E521" t="str">
        <f>_xlfn.XLOOKUP(D521,'[2]8A. Master Device Catalog'!$F$5:$F$914,'[2]8A. Master Device Catalog'!$G$5:$G$914,"")</f>
        <v/>
      </c>
      <c r="F521" t="str">
        <f>_xlfn.XLOOKUP(D521,'[2]8A. Master Device Catalog'!$F$5:$F$914,'[2]8A. Master Device Catalog'!$H$5:$H$914,"")</f>
        <v/>
      </c>
    </row>
    <row r="522" spans="1:6" ht="21.5" x14ac:dyDescent="0.9">
      <c r="A522" t="s">
        <v>4374</v>
      </c>
      <c r="B522" s="59" t="s">
        <v>4336</v>
      </c>
      <c r="C522" s="59" t="s">
        <v>4214</v>
      </c>
      <c r="D522" s="61" t="s">
        <v>4375</v>
      </c>
      <c r="E522" t="str">
        <f>_xlfn.XLOOKUP(D522,'[2]8A. Master Device Catalog'!$F$5:$F$914,'[2]8A. Master Device Catalog'!$G$5:$G$914,"")</f>
        <v/>
      </c>
      <c r="F522" t="str">
        <f>_xlfn.XLOOKUP(D522,'[2]8A. Master Device Catalog'!$F$5:$F$914,'[2]8A. Master Device Catalog'!$H$5:$H$914,"")</f>
        <v/>
      </c>
    </row>
    <row r="523" spans="1:6" ht="21.5" x14ac:dyDescent="0.9">
      <c r="A523" t="s">
        <v>4376</v>
      </c>
      <c r="B523" s="59" t="s">
        <v>4336</v>
      </c>
      <c r="C523" s="59" t="s">
        <v>4214</v>
      </c>
      <c r="D523" s="61" t="s">
        <v>4377</v>
      </c>
      <c r="E523" t="str">
        <f>_xlfn.XLOOKUP(D523,'[2]8A. Master Device Catalog'!$F$5:$F$914,'[2]8A. Master Device Catalog'!$G$5:$G$914,"")</f>
        <v/>
      </c>
      <c r="F523" t="str">
        <f>_xlfn.XLOOKUP(D523,'[2]8A. Master Device Catalog'!$F$5:$F$914,'[2]8A. Master Device Catalog'!$H$5:$H$914,"")</f>
        <v/>
      </c>
    </row>
    <row r="524" spans="1:6" ht="21.5" x14ac:dyDescent="0.9">
      <c r="A524" t="s">
        <v>4378</v>
      </c>
      <c r="B524" s="59" t="s">
        <v>4336</v>
      </c>
      <c r="C524" s="59" t="s">
        <v>4214</v>
      </c>
      <c r="D524" s="61" t="s">
        <v>4379</v>
      </c>
      <c r="E524" t="str">
        <f>_xlfn.XLOOKUP(D524,'[2]8A. Master Device Catalog'!$F$5:$F$914,'[2]8A. Master Device Catalog'!$G$5:$G$914,"")</f>
        <v/>
      </c>
      <c r="F524" t="str">
        <f>_xlfn.XLOOKUP(D524,'[2]8A. Master Device Catalog'!$F$5:$F$914,'[2]8A. Master Device Catalog'!$H$5:$H$914,"")</f>
        <v/>
      </c>
    </row>
    <row r="525" spans="1:6" ht="21.5" x14ac:dyDescent="0.35">
      <c r="A525" t="s">
        <v>4380</v>
      </c>
      <c r="B525" s="59" t="s">
        <v>4381</v>
      </c>
      <c r="C525" s="59" t="s">
        <v>4214</v>
      </c>
      <c r="D525" s="60" t="s">
        <v>4382</v>
      </c>
      <c r="E525" t="str">
        <f>_xlfn.XLOOKUP(D525,'[2]8A. Master Device Catalog'!$F$5:$F$914,'[2]8A. Master Device Catalog'!$G$5:$G$914,"")</f>
        <v/>
      </c>
      <c r="F525" t="str">
        <f>_xlfn.XLOOKUP(D525,'[2]8A. Master Device Catalog'!$F$5:$F$914,'[2]8A. Master Device Catalog'!$H$5:$H$914,"")</f>
        <v/>
      </c>
    </row>
    <row r="526" spans="1:6" ht="21.5" x14ac:dyDescent="0.9">
      <c r="A526" t="s">
        <v>4383</v>
      </c>
      <c r="B526" s="59" t="s">
        <v>4381</v>
      </c>
      <c r="C526" s="59" t="s">
        <v>4214</v>
      </c>
      <c r="D526" s="61" t="s">
        <v>293</v>
      </c>
      <c r="E526" t="str">
        <f>_xlfn.XLOOKUP(D526,'[2]8A. Master Device Catalog'!$F$5:$F$914,'[2]8A. Master Device Catalog'!$G$5:$G$914,"")</f>
        <v>FW13</v>
      </c>
      <c r="F526">
        <f>_xlfn.XLOOKUP(D526,'[2]8A. Master Device Catalog'!$F$5:$F$914,'[2]8A. Master Device Catalog'!$H$5:$H$914,"")</f>
        <v>2024</v>
      </c>
    </row>
    <row r="527" spans="1:6" ht="21.5" x14ac:dyDescent="0.9">
      <c r="A527" t="s">
        <v>4384</v>
      </c>
      <c r="B527" s="59" t="s">
        <v>4381</v>
      </c>
      <c r="C527" s="59" t="s">
        <v>4214</v>
      </c>
      <c r="D527" s="61" t="s">
        <v>4385</v>
      </c>
      <c r="E527" t="str">
        <f>_xlfn.XLOOKUP(D527,'[2]8A. Master Device Catalog'!$F$5:$F$914,'[2]8A. Master Device Catalog'!$G$5:$G$914,"")</f>
        <v/>
      </c>
      <c r="F527" t="str">
        <f>_xlfn.XLOOKUP(D527,'[2]8A. Master Device Catalog'!$F$5:$F$914,'[2]8A. Master Device Catalog'!$H$5:$H$914,"")</f>
        <v/>
      </c>
    </row>
    <row r="528" spans="1:6" ht="21.5" x14ac:dyDescent="0.9">
      <c r="A528" t="s">
        <v>4386</v>
      </c>
      <c r="B528" s="59" t="s">
        <v>4387</v>
      </c>
      <c r="C528" s="59" t="s">
        <v>4214</v>
      </c>
      <c r="D528" s="61" t="s">
        <v>4388</v>
      </c>
      <c r="E528" t="str">
        <f>_xlfn.XLOOKUP(D528,'[2]8A. Master Device Catalog'!$F$5:$F$914,'[2]8A. Master Device Catalog'!$G$5:$G$914,"")</f>
        <v/>
      </c>
      <c r="F528" t="str">
        <f>_xlfn.XLOOKUP(D528,'[2]8A. Master Device Catalog'!$F$5:$F$914,'[2]8A. Master Device Catalog'!$H$5:$H$914,"")</f>
        <v/>
      </c>
    </row>
    <row r="529" spans="1:6" ht="21.5" x14ac:dyDescent="0.9">
      <c r="A529" t="s">
        <v>4389</v>
      </c>
      <c r="B529" s="59" t="s">
        <v>4387</v>
      </c>
      <c r="C529" s="59" t="s">
        <v>4214</v>
      </c>
      <c r="D529" s="61" t="s">
        <v>4390</v>
      </c>
      <c r="E529" t="str">
        <f>_xlfn.XLOOKUP(D529,'[2]8A. Master Device Catalog'!$F$5:$F$914,'[2]8A. Master Device Catalog'!$G$5:$G$914,"")</f>
        <v/>
      </c>
      <c r="F529" t="str">
        <f>_xlfn.XLOOKUP(D529,'[2]8A. Master Device Catalog'!$F$5:$F$914,'[2]8A. Master Device Catalog'!$H$5:$H$914,"")</f>
        <v/>
      </c>
    </row>
    <row r="530" spans="1:6" ht="21.5" x14ac:dyDescent="0.9">
      <c r="A530" t="s">
        <v>4391</v>
      </c>
      <c r="B530" s="59" t="s">
        <v>4387</v>
      </c>
      <c r="C530" s="59" t="s">
        <v>4214</v>
      </c>
      <c r="D530" s="61" t="s">
        <v>4392</v>
      </c>
      <c r="E530" t="str">
        <f>_xlfn.XLOOKUP(D530,'[2]8A. Master Device Catalog'!$F$5:$F$914,'[2]8A. Master Device Catalog'!$G$5:$G$914,"")</f>
        <v/>
      </c>
      <c r="F530" t="str">
        <f>_xlfn.XLOOKUP(D530,'[2]8A. Master Device Catalog'!$F$5:$F$914,'[2]8A. Master Device Catalog'!$H$5:$H$914,"")</f>
        <v/>
      </c>
    </row>
    <row r="531" spans="1:6" ht="21.5" x14ac:dyDescent="0.9">
      <c r="A531" t="s">
        <v>4393</v>
      </c>
      <c r="B531" s="59" t="s">
        <v>4387</v>
      </c>
      <c r="C531" s="59" t="s">
        <v>4214</v>
      </c>
      <c r="D531" s="61" t="s">
        <v>4394</v>
      </c>
      <c r="E531" t="str">
        <f>_xlfn.XLOOKUP(D531,'[2]8A. Master Device Catalog'!$F$5:$F$914,'[2]8A. Master Device Catalog'!$G$5:$G$914,"")</f>
        <v/>
      </c>
      <c r="F531" t="str">
        <f>_xlfn.XLOOKUP(D531,'[2]8A. Master Device Catalog'!$F$5:$F$914,'[2]8A. Master Device Catalog'!$H$5:$H$914,"")</f>
        <v/>
      </c>
    </row>
    <row r="532" spans="1:6" ht="21.5" x14ac:dyDescent="0.9">
      <c r="A532" t="s">
        <v>4395</v>
      </c>
      <c r="B532" s="59" t="s">
        <v>4387</v>
      </c>
      <c r="C532" s="59" t="s">
        <v>4214</v>
      </c>
      <c r="D532" s="61" t="s">
        <v>4396</v>
      </c>
      <c r="E532" t="str">
        <f>_xlfn.XLOOKUP(D532,'[2]8A. Master Device Catalog'!$F$5:$F$914,'[2]8A. Master Device Catalog'!$G$5:$G$914,"")</f>
        <v/>
      </c>
      <c r="F532" t="str">
        <f>_xlfn.XLOOKUP(D532,'[2]8A. Master Device Catalog'!$F$5:$F$914,'[2]8A. Master Device Catalog'!$H$5:$H$914,"")</f>
        <v/>
      </c>
    </row>
    <row r="533" spans="1:6" ht="21.5" x14ac:dyDescent="0.9">
      <c r="A533" t="s">
        <v>4397</v>
      </c>
      <c r="B533" s="59" t="s">
        <v>4387</v>
      </c>
      <c r="C533" s="59" t="s">
        <v>4214</v>
      </c>
      <c r="D533" s="61" t="s">
        <v>4398</v>
      </c>
      <c r="E533" t="str">
        <f>_xlfn.XLOOKUP(D533,'[2]8A. Master Device Catalog'!$F$5:$F$914,'[2]8A. Master Device Catalog'!$G$5:$G$914,"")</f>
        <v/>
      </c>
      <c r="F533" t="str">
        <f>_xlfn.XLOOKUP(D533,'[2]8A. Master Device Catalog'!$F$5:$F$914,'[2]8A. Master Device Catalog'!$H$5:$H$914,"")</f>
        <v/>
      </c>
    </row>
    <row r="534" spans="1:6" ht="21.5" x14ac:dyDescent="0.9">
      <c r="A534" t="s">
        <v>4399</v>
      </c>
      <c r="B534" s="59" t="s">
        <v>4387</v>
      </c>
      <c r="C534" s="59" t="s">
        <v>4214</v>
      </c>
      <c r="D534" s="61" t="s">
        <v>4400</v>
      </c>
      <c r="E534" t="str">
        <f>_xlfn.XLOOKUP(D534,'[2]8A. Master Device Catalog'!$F$5:$F$914,'[2]8A. Master Device Catalog'!$G$5:$G$914,"")</f>
        <v/>
      </c>
      <c r="F534" t="str">
        <f>_xlfn.XLOOKUP(D534,'[2]8A. Master Device Catalog'!$F$5:$F$914,'[2]8A. Master Device Catalog'!$H$5:$H$914,"")</f>
        <v/>
      </c>
    </row>
    <row r="535" spans="1:6" ht="21.5" x14ac:dyDescent="0.9">
      <c r="A535" t="s">
        <v>4401</v>
      </c>
      <c r="B535" s="59" t="s">
        <v>4387</v>
      </c>
      <c r="C535" s="59" t="s">
        <v>4214</v>
      </c>
      <c r="D535" s="61" t="s">
        <v>4402</v>
      </c>
      <c r="E535" t="str">
        <f>_xlfn.XLOOKUP(D535,'[2]8A. Master Device Catalog'!$F$5:$F$914,'[2]8A. Master Device Catalog'!$G$5:$G$914,"")</f>
        <v/>
      </c>
      <c r="F535" t="str">
        <f>_xlfn.XLOOKUP(D535,'[2]8A. Master Device Catalog'!$F$5:$F$914,'[2]8A. Master Device Catalog'!$H$5:$H$914,"")</f>
        <v/>
      </c>
    </row>
    <row r="536" spans="1:6" ht="21.5" x14ac:dyDescent="0.9">
      <c r="A536" t="s">
        <v>4403</v>
      </c>
      <c r="B536" s="59" t="s">
        <v>4387</v>
      </c>
      <c r="C536" s="59" t="s">
        <v>4214</v>
      </c>
      <c r="D536" s="61" t="s">
        <v>4404</v>
      </c>
      <c r="E536" t="str">
        <f>_xlfn.XLOOKUP(D536,'[2]8A. Master Device Catalog'!$F$5:$F$914,'[2]8A. Master Device Catalog'!$G$5:$G$914,"")</f>
        <v/>
      </c>
      <c r="F536" t="str">
        <f>_xlfn.XLOOKUP(D536,'[2]8A. Master Device Catalog'!$F$5:$F$914,'[2]8A. Master Device Catalog'!$H$5:$H$914,"")</f>
        <v/>
      </c>
    </row>
    <row r="537" spans="1:6" ht="21.5" x14ac:dyDescent="0.9">
      <c r="A537" t="s">
        <v>4405</v>
      </c>
      <c r="B537" s="59" t="s">
        <v>4387</v>
      </c>
      <c r="C537" s="59" t="s">
        <v>4214</v>
      </c>
      <c r="D537" s="61" t="s">
        <v>4406</v>
      </c>
      <c r="E537" t="str">
        <f>_xlfn.XLOOKUP(D537,'[2]8A. Master Device Catalog'!$F$5:$F$914,'[2]8A. Master Device Catalog'!$G$5:$G$914,"")</f>
        <v/>
      </c>
      <c r="F537" t="str">
        <f>_xlfn.XLOOKUP(D537,'[2]8A. Master Device Catalog'!$F$5:$F$914,'[2]8A. Master Device Catalog'!$H$5:$H$914,"")</f>
        <v/>
      </c>
    </row>
    <row r="538" spans="1:6" ht="21.5" x14ac:dyDescent="0.9">
      <c r="A538" t="s">
        <v>4407</v>
      </c>
      <c r="B538" s="59" t="s">
        <v>4387</v>
      </c>
      <c r="C538" s="59" t="s">
        <v>4214</v>
      </c>
      <c r="D538" s="61" t="s">
        <v>4408</v>
      </c>
      <c r="E538" t="str">
        <f>_xlfn.XLOOKUP(D538,'[2]8A. Master Device Catalog'!$F$5:$F$914,'[2]8A. Master Device Catalog'!$G$5:$G$914,"")</f>
        <v/>
      </c>
      <c r="F538" t="str">
        <f>_xlfn.XLOOKUP(D538,'[2]8A. Master Device Catalog'!$F$5:$F$914,'[2]8A. Master Device Catalog'!$H$5:$H$914,"")</f>
        <v/>
      </c>
    </row>
    <row r="539" spans="1:6" ht="21.5" x14ac:dyDescent="0.9">
      <c r="A539" t="s">
        <v>4409</v>
      </c>
      <c r="B539" s="59" t="s">
        <v>4387</v>
      </c>
      <c r="C539" s="59" t="s">
        <v>4214</v>
      </c>
      <c r="D539" s="61" t="s">
        <v>4410</v>
      </c>
      <c r="E539" t="str">
        <f>_xlfn.XLOOKUP(D539,'[2]8A. Master Device Catalog'!$F$5:$F$914,'[2]8A. Master Device Catalog'!$G$5:$G$914,"")</f>
        <v/>
      </c>
      <c r="F539" t="str">
        <f>_xlfn.XLOOKUP(D539,'[2]8A. Master Device Catalog'!$F$5:$F$914,'[2]8A. Master Device Catalog'!$H$5:$H$914,"")</f>
        <v/>
      </c>
    </row>
    <row r="540" spans="1:6" ht="21.5" x14ac:dyDescent="0.9">
      <c r="A540" t="s">
        <v>4411</v>
      </c>
      <c r="B540" s="59" t="s">
        <v>4387</v>
      </c>
      <c r="C540" s="59" t="s">
        <v>4214</v>
      </c>
      <c r="D540" s="61" t="s">
        <v>4412</v>
      </c>
      <c r="E540" t="str">
        <f>_xlfn.XLOOKUP(D540,'[2]8A. Master Device Catalog'!$F$5:$F$914,'[2]8A. Master Device Catalog'!$G$5:$G$914,"")</f>
        <v/>
      </c>
      <c r="F540" t="str">
        <f>_xlfn.XLOOKUP(D540,'[2]8A. Master Device Catalog'!$F$5:$F$914,'[2]8A. Master Device Catalog'!$H$5:$H$914,"")</f>
        <v/>
      </c>
    </row>
    <row r="541" spans="1:6" ht="21.5" x14ac:dyDescent="0.9">
      <c r="A541" t="s">
        <v>4413</v>
      </c>
      <c r="B541" s="59" t="s">
        <v>4414</v>
      </c>
      <c r="C541" s="59" t="s">
        <v>4214</v>
      </c>
      <c r="D541" s="61" t="s">
        <v>4415</v>
      </c>
      <c r="E541" t="str">
        <f>_xlfn.XLOOKUP(D541,'[2]8A. Master Device Catalog'!$F$5:$F$914,'[2]8A. Master Device Catalog'!$G$5:$G$914,"")</f>
        <v/>
      </c>
      <c r="F541" t="str">
        <f>_xlfn.XLOOKUP(D541,'[2]8A. Master Device Catalog'!$F$5:$F$914,'[2]8A. Master Device Catalog'!$H$5:$H$914,"")</f>
        <v/>
      </c>
    </row>
    <row r="542" spans="1:6" ht="21.5" x14ac:dyDescent="0.9">
      <c r="A542" t="s">
        <v>4416</v>
      </c>
      <c r="B542" s="59" t="s">
        <v>4414</v>
      </c>
      <c r="C542" s="59" t="s">
        <v>4214</v>
      </c>
      <c r="D542" s="61" t="s">
        <v>4417</v>
      </c>
      <c r="E542" t="str">
        <f>_xlfn.XLOOKUP(D542,'[2]8A. Master Device Catalog'!$F$5:$F$914,'[2]8A. Master Device Catalog'!$G$5:$G$914,"")</f>
        <v/>
      </c>
      <c r="F542" t="str">
        <f>_xlfn.XLOOKUP(D542,'[2]8A. Master Device Catalog'!$F$5:$F$914,'[2]8A. Master Device Catalog'!$H$5:$H$914,"")</f>
        <v/>
      </c>
    </row>
    <row r="543" spans="1:6" ht="21.5" x14ac:dyDescent="0.9">
      <c r="A543" t="s">
        <v>4418</v>
      </c>
      <c r="B543" s="59" t="s">
        <v>4414</v>
      </c>
      <c r="C543" s="59" t="s">
        <v>4214</v>
      </c>
      <c r="D543" s="61" t="s">
        <v>4419</v>
      </c>
      <c r="E543" t="str">
        <f>_xlfn.XLOOKUP(D543,'[2]8A. Master Device Catalog'!$F$5:$F$914,'[2]8A. Master Device Catalog'!$G$5:$G$914,"")</f>
        <v/>
      </c>
      <c r="F543" t="str">
        <f>_xlfn.XLOOKUP(D543,'[2]8A. Master Device Catalog'!$F$5:$F$914,'[2]8A. Master Device Catalog'!$H$5:$H$914,"")</f>
        <v/>
      </c>
    </row>
    <row r="544" spans="1:6" ht="21.5" x14ac:dyDescent="0.9">
      <c r="A544" t="s">
        <v>4420</v>
      </c>
      <c r="B544" s="59" t="s">
        <v>4414</v>
      </c>
      <c r="C544" s="59" t="s">
        <v>4214</v>
      </c>
      <c r="D544" s="61" t="s">
        <v>4421</v>
      </c>
      <c r="E544" t="str">
        <f>_xlfn.XLOOKUP(D544,'[2]8A. Master Device Catalog'!$F$5:$F$914,'[2]8A. Master Device Catalog'!$G$5:$G$914,"")</f>
        <v/>
      </c>
      <c r="F544" t="str">
        <f>_xlfn.XLOOKUP(D544,'[2]8A. Master Device Catalog'!$F$5:$F$914,'[2]8A. Master Device Catalog'!$H$5:$H$914,"")</f>
        <v/>
      </c>
    </row>
    <row r="545" spans="1:6" ht="21.5" x14ac:dyDescent="0.9">
      <c r="A545" t="s">
        <v>4422</v>
      </c>
      <c r="B545" s="59" t="s">
        <v>4414</v>
      </c>
      <c r="C545" s="59" t="s">
        <v>4214</v>
      </c>
      <c r="D545" s="61" t="s">
        <v>4423</v>
      </c>
      <c r="E545" t="str">
        <f>_xlfn.XLOOKUP(D545,'[2]8A. Master Device Catalog'!$F$5:$F$914,'[2]8A. Master Device Catalog'!$G$5:$G$914,"")</f>
        <v/>
      </c>
      <c r="F545" t="str">
        <f>_xlfn.XLOOKUP(D545,'[2]8A. Master Device Catalog'!$F$5:$F$914,'[2]8A. Master Device Catalog'!$H$5:$H$914,"")</f>
        <v/>
      </c>
    </row>
    <row r="546" spans="1:6" ht="21.5" x14ac:dyDescent="0.9">
      <c r="A546" t="s">
        <v>4424</v>
      </c>
      <c r="B546" s="59" t="s">
        <v>4414</v>
      </c>
      <c r="C546" s="59" t="s">
        <v>4214</v>
      </c>
      <c r="D546" s="61" t="s">
        <v>4425</v>
      </c>
      <c r="E546" t="str">
        <f>_xlfn.XLOOKUP(D546,'[2]8A. Master Device Catalog'!$F$5:$F$914,'[2]8A. Master Device Catalog'!$G$5:$G$914,"")</f>
        <v/>
      </c>
      <c r="F546" t="str">
        <f>_xlfn.XLOOKUP(D546,'[2]8A. Master Device Catalog'!$F$5:$F$914,'[2]8A. Master Device Catalog'!$H$5:$H$914,"")</f>
        <v/>
      </c>
    </row>
    <row r="547" spans="1:6" ht="21.5" x14ac:dyDescent="0.9">
      <c r="A547" t="s">
        <v>4426</v>
      </c>
      <c r="B547" s="59" t="s">
        <v>4414</v>
      </c>
      <c r="C547" s="59" t="s">
        <v>4214</v>
      </c>
      <c r="D547" s="61" t="s">
        <v>4427</v>
      </c>
      <c r="E547" t="str">
        <f>_xlfn.XLOOKUP(D547,'[2]8A. Master Device Catalog'!$F$5:$F$914,'[2]8A. Master Device Catalog'!$G$5:$G$914,"")</f>
        <v/>
      </c>
      <c r="F547" t="str">
        <f>_xlfn.XLOOKUP(D547,'[2]8A. Master Device Catalog'!$F$5:$F$914,'[2]8A. Master Device Catalog'!$H$5:$H$914,"")</f>
        <v/>
      </c>
    </row>
    <row r="548" spans="1:6" ht="21.5" x14ac:dyDescent="0.9">
      <c r="A548" t="s">
        <v>4428</v>
      </c>
      <c r="B548" s="59" t="s">
        <v>4414</v>
      </c>
      <c r="C548" s="59" t="s">
        <v>4214</v>
      </c>
      <c r="D548" s="61" t="s">
        <v>4429</v>
      </c>
      <c r="E548" t="str">
        <f>_xlfn.XLOOKUP(D548,'[2]8A. Master Device Catalog'!$F$5:$F$914,'[2]8A. Master Device Catalog'!$G$5:$G$914,"")</f>
        <v/>
      </c>
      <c r="F548" t="str">
        <f>_xlfn.XLOOKUP(D548,'[2]8A. Master Device Catalog'!$F$5:$F$914,'[2]8A. Master Device Catalog'!$H$5:$H$914,"")</f>
        <v/>
      </c>
    </row>
    <row r="549" spans="1:6" ht="21.5" x14ac:dyDescent="0.9">
      <c r="A549" t="s">
        <v>4430</v>
      </c>
      <c r="B549" s="59" t="s">
        <v>4414</v>
      </c>
      <c r="C549" s="59" t="s">
        <v>4214</v>
      </c>
      <c r="D549" s="61" t="s">
        <v>4431</v>
      </c>
      <c r="E549" t="str">
        <f>_xlfn.XLOOKUP(D549,'[2]8A. Master Device Catalog'!$F$5:$F$914,'[2]8A. Master Device Catalog'!$G$5:$G$914,"")</f>
        <v/>
      </c>
      <c r="F549" t="str">
        <f>_xlfn.XLOOKUP(D549,'[2]8A. Master Device Catalog'!$F$5:$F$914,'[2]8A. Master Device Catalog'!$H$5:$H$914,"")</f>
        <v/>
      </c>
    </row>
    <row r="550" spans="1:6" ht="21.5" x14ac:dyDescent="0.9">
      <c r="A550" t="s">
        <v>4432</v>
      </c>
      <c r="B550" s="59" t="s">
        <v>4414</v>
      </c>
      <c r="C550" s="59" t="s">
        <v>4214</v>
      </c>
      <c r="D550" s="61" t="s">
        <v>4433</v>
      </c>
      <c r="E550" t="str">
        <f>_xlfn.XLOOKUP(D550,'[2]8A. Master Device Catalog'!$F$5:$F$914,'[2]8A. Master Device Catalog'!$G$5:$G$914,"")</f>
        <v/>
      </c>
      <c r="F550" t="str">
        <f>_xlfn.XLOOKUP(D550,'[2]8A. Master Device Catalog'!$F$5:$F$914,'[2]8A. Master Device Catalog'!$H$5:$H$914,"")</f>
        <v/>
      </c>
    </row>
    <row r="551" spans="1:6" ht="21.5" x14ac:dyDescent="0.9">
      <c r="A551" t="s">
        <v>4434</v>
      </c>
      <c r="B551" s="59" t="s">
        <v>3871</v>
      </c>
      <c r="C551" s="59" t="s">
        <v>4214</v>
      </c>
      <c r="D551" s="61" t="s">
        <v>4435</v>
      </c>
      <c r="E551" t="str">
        <f>_xlfn.XLOOKUP(D551,'[2]8A. Master Device Catalog'!$F$5:$F$914,'[2]8A. Master Device Catalog'!$G$5:$G$914,"")</f>
        <v/>
      </c>
      <c r="F551" t="str">
        <f>_xlfn.XLOOKUP(D551,'[2]8A. Master Device Catalog'!$F$5:$F$914,'[2]8A. Master Device Catalog'!$H$5:$H$914,"")</f>
        <v/>
      </c>
    </row>
    <row r="552" spans="1:6" ht="21.5" x14ac:dyDescent="0.9">
      <c r="A552" t="s">
        <v>4436</v>
      </c>
      <c r="B552" s="59" t="s">
        <v>3871</v>
      </c>
      <c r="C552" s="59" t="s">
        <v>4214</v>
      </c>
      <c r="D552" s="61" t="s">
        <v>4437</v>
      </c>
      <c r="E552" t="str">
        <f>_xlfn.XLOOKUP(D552,'[2]8A. Master Device Catalog'!$F$5:$F$914,'[2]8A. Master Device Catalog'!$G$5:$G$914,"")</f>
        <v/>
      </c>
      <c r="F552" t="str">
        <f>_xlfn.XLOOKUP(D552,'[2]8A. Master Device Catalog'!$F$5:$F$914,'[2]8A. Master Device Catalog'!$H$5:$H$914,"")</f>
        <v/>
      </c>
    </row>
    <row r="553" spans="1:6" ht="21.5" x14ac:dyDescent="0.9">
      <c r="A553" t="s">
        <v>4438</v>
      </c>
      <c r="B553" s="59" t="s">
        <v>3871</v>
      </c>
      <c r="C553" s="59" t="s">
        <v>4214</v>
      </c>
      <c r="D553" s="61" t="s">
        <v>4439</v>
      </c>
      <c r="E553" t="str">
        <f>_xlfn.XLOOKUP(D553,'[2]8A. Master Device Catalog'!$F$5:$F$914,'[2]8A. Master Device Catalog'!$G$5:$G$914,"")</f>
        <v/>
      </c>
      <c r="F553" t="str">
        <f>_xlfn.XLOOKUP(D553,'[2]8A. Master Device Catalog'!$F$5:$F$914,'[2]8A. Master Device Catalog'!$H$5:$H$914,"")</f>
        <v/>
      </c>
    </row>
    <row r="554" spans="1:6" ht="21.5" x14ac:dyDescent="0.9">
      <c r="A554" t="s">
        <v>4440</v>
      </c>
      <c r="B554" s="59" t="s">
        <v>3871</v>
      </c>
      <c r="C554" s="59" t="s">
        <v>4214</v>
      </c>
      <c r="D554" s="61" t="s">
        <v>4441</v>
      </c>
      <c r="E554" t="str">
        <f>_xlfn.XLOOKUP(D554,'[2]8A. Master Device Catalog'!$F$5:$F$914,'[2]8A. Master Device Catalog'!$G$5:$G$914,"")</f>
        <v/>
      </c>
      <c r="F554" t="str">
        <f>_xlfn.XLOOKUP(D554,'[2]8A. Master Device Catalog'!$F$5:$F$914,'[2]8A. Master Device Catalog'!$H$5:$H$914,"")</f>
        <v/>
      </c>
    </row>
    <row r="555" spans="1:6" ht="21.5" x14ac:dyDescent="0.9">
      <c r="A555" t="s">
        <v>4442</v>
      </c>
      <c r="B555" s="59" t="s">
        <v>3871</v>
      </c>
      <c r="C555" s="59" t="s">
        <v>4214</v>
      </c>
      <c r="D555" s="61" t="s">
        <v>4443</v>
      </c>
      <c r="E555" t="str">
        <f>_xlfn.XLOOKUP(D555,'[2]8A. Master Device Catalog'!$F$5:$F$914,'[2]8A. Master Device Catalog'!$G$5:$G$914,"")</f>
        <v/>
      </c>
      <c r="F555" t="str">
        <f>_xlfn.XLOOKUP(D555,'[2]8A. Master Device Catalog'!$F$5:$F$914,'[2]8A. Master Device Catalog'!$H$5:$H$914,"")</f>
        <v/>
      </c>
    </row>
    <row r="556" spans="1:6" ht="21.5" x14ac:dyDescent="0.9">
      <c r="A556" t="s">
        <v>4444</v>
      </c>
      <c r="B556" s="59" t="s">
        <v>3871</v>
      </c>
      <c r="C556" s="59" t="s">
        <v>4214</v>
      </c>
      <c r="D556" s="61" t="s">
        <v>4445</v>
      </c>
      <c r="E556" t="str">
        <f>_xlfn.XLOOKUP(D556,'[2]8A. Master Device Catalog'!$F$5:$F$914,'[2]8A. Master Device Catalog'!$G$5:$G$914,"")</f>
        <v/>
      </c>
      <c r="F556" t="str">
        <f>_xlfn.XLOOKUP(D556,'[2]8A. Master Device Catalog'!$F$5:$F$914,'[2]8A. Master Device Catalog'!$H$5:$H$914,"")</f>
        <v/>
      </c>
    </row>
    <row r="557" spans="1:6" ht="21.5" x14ac:dyDescent="0.9">
      <c r="A557" t="s">
        <v>4446</v>
      </c>
      <c r="B557" s="59" t="s">
        <v>3871</v>
      </c>
      <c r="C557" s="59" t="s">
        <v>4214</v>
      </c>
      <c r="D557" s="61" t="s">
        <v>4447</v>
      </c>
      <c r="E557" t="str">
        <f>_xlfn.XLOOKUP(D557,'[2]8A. Master Device Catalog'!$F$5:$F$914,'[2]8A. Master Device Catalog'!$G$5:$G$914,"")</f>
        <v/>
      </c>
      <c r="F557" t="str">
        <f>_xlfn.XLOOKUP(D557,'[2]8A. Master Device Catalog'!$F$5:$F$914,'[2]8A. Master Device Catalog'!$H$5:$H$914,"")</f>
        <v/>
      </c>
    </row>
    <row r="558" spans="1:6" ht="21.5" x14ac:dyDescent="0.9">
      <c r="A558" t="s">
        <v>4448</v>
      </c>
      <c r="B558" s="59" t="s">
        <v>4449</v>
      </c>
      <c r="C558" s="59" t="s">
        <v>4214</v>
      </c>
      <c r="D558" s="61" t="s">
        <v>4450</v>
      </c>
      <c r="E558" t="str">
        <f>_xlfn.XLOOKUP(D558,'[2]8A. Master Device Catalog'!$F$5:$F$914,'[2]8A. Master Device Catalog'!$G$5:$G$914,"")</f>
        <v/>
      </c>
      <c r="F558" t="str">
        <f>_xlfn.XLOOKUP(D558,'[2]8A. Master Device Catalog'!$F$5:$F$914,'[2]8A. Master Device Catalog'!$H$5:$H$914,"")</f>
        <v/>
      </c>
    </row>
    <row r="559" spans="1:6" ht="21.5" x14ac:dyDescent="0.9">
      <c r="A559" t="s">
        <v>4451</v>
      </c>
      <c r="B559" s="59" t="s">
        <v>4449</v>
      </c>
      <c r="C559" s="59" t="s">
        <v>4214</v>
      </c>
      <c r="D559" s="61" t="s">
        <v>4452</v>
      </c>
      <c r="E559" t="str">
        <f>_xlfn.XLOOKUP(D559,'[2]8A. Master Device Catalog'!$F$5:$F$914,'[2]8A. Master Device Catalog'!$G$5:$G$914,"")</f>
        <v/>
      </c>
      <c r="F559" t="str">
        <f>_xlfn.XLOOKUP(D559,'[2]8A. Master Device Catalog'!$F$5:$F$914,'[2]8A. Master Device Catalog'!$H$5:$H$914,"")</f>
        <v/>
      </c>
    </row>
    <row r="560" spans="1:6" ht="21.5" x14ac:dyDescent="0.9">
      <c r="A560" t="s">
        <v>4453</v>
      </c>
      <c r="B560" s="59" t="s">
        <v>4449</v>
      </c>
      <c r="C560" s="59" t="s">
        <v>4214</v>
      </c>
      <c r="D560" s="61" t="s">
        <v>4454</v>
      </c>
      <c r="E560" t="str">
        <f>_xlfn.XLOOKUP(D560,'[2]8A. Master Device Catalog'!$F$5:$F$914,'[2]8A. Master Device Catalog'!$G$5:$G$914,"")</f>
        <v/>
      </c>
      <c r="F560" t="str">
        <f>_xlfn.XLOOKUP(D560,'[2]8A. Master Device Catalog'!$F$5:$F$914,'[2]8A. Master Device Catalog'!$H$5:$H$914,"")</f>
        <v/>
      </c>
    </row>
    <row r="561" spans="1:6" ht="21.5" x14ac:dyDescent="0.9">
      <c r="A561" t="s">
        <v>4455</v>
      </c>
      <c r="B561" s="59" t="s">
        <v>4449</v>
      </c>
      <c r="C561" s="59" t="s">
        <v>4214</v>
      </c>
      <c r="D561" s="61" t="s">
        <v>4456</v>
      </c>
      <c r="E561" t="str">
        <f>_xlfn.XLOOKUP(D561,'[2]8A. Master Device Catalog'!$F$5:$F$914,'[2]8A. Master Device Catalog'!$G$5:$G$914,"")</f>
        <v/>
      </c>
      <c r="F561" t="str">
        <f>_xlfn.XLOOKUP(D561,'[2]8A. Master Device Catalog'!$F$5:$F$914,'[2]8A. Master Device Catalog'!$H$5:$H$914,"")</f>
        <v/>
      </c>
    </row>
    <row r="562" spans="1:6" ht="21.5" x14ac:dyDescent="0.9">
      <c r="A562" t="s">
        <v>4457</v>
      </c>
      <c r="B562" s="59" t="s">
        <v>4449</v>
      </c>
      <c r="C562" s="59" t="s">
        <v>4214</v>
      </c>
      <c r="D562" s="61" t="s">
        <v>4458</v>
      </c>
      <c r="E562" t="str">
        <f>_xlfn.XLOOKUP(D562,'[2]8A. Master Device Catalog'!$F$5:$F$914,'[2]8A. Master Device Catalog'!$G$5:$G$914,"")</f>
        <v/>
      </c>
      <c r="F562" t="str">
        <f>_xlfn.XLOOKUP(D562,'[2]8A. Master Device Catalog'!$F$5:$F$914,'[2]8A. Master Device Catalog'!$H$5:$H$914,"")</f>
        <v/>
      </c>
    </row>
    <row r="563" spans="1:6" ht="21.5" x14ac:dyDescent="0.9">
      <c r="A563" t="s">
        <v>4459</v>
      </c>
      <c r="B563" s="59" t="s">
        <v>4449</v>
      </c>
      <c r="C563" s="59" t="s">
        <v>4214</v>
      </c>
      <c r="D563" s="61" t="s">
        <v>4460</v>
      </c>
      <c r="E563" t="str">
        <f>_xlfn.XLOOKUP(D563,'[2]8A. Master Device Catalog'!$F$5:$F$914,'[2]8A. Master Device Catalog'!$G$5:$G$914,"")</f>
        <v/>
      </c>
      <c r="F563" t="str">
        <f>_xlfn.XLOOKUP(D563,'[2]8A. Master Device Catalog'!$F$5:$F$914,'[2]8A. Master Device Catalog'!$H$5:$H$914,"")</f>
        <v/>
      </c>
    </row>
    <row r="564" spans="1:6" ht="21.5" x14ac:dyDescent="0.9">
      <c r="A564" t="s">
        <v>4461</v>
      </c>
      <c r="B564" s="59" t="s">
        <v>4449</v>
      </c>
      <c r="C564" s="59" t="s">
        <v>4214</v>
      </c>
      <c r="D564" s="61" t="s">
        <v>4462</v>
      </c>
      <c r="E564" t="str">
        <f>_xlfn.XLOOKUP(D564,'[2]8A. Master Device Catalog'!$F$5:$F$914,'[2]8A. Master Device Catalog'!$G$5:$G$914,"")</f>
        <v/>
      </c>
      <c r="F564" t="str">
        <f>_xlfn.XLOOKUP(D564,'[2]8A. Master Device Catalog'!$F$5:$F$914,'[2]8A. Master Device Catalog'!$H$5:$H$914,"")</f>
        <v/>
      </c>
    </row>
    <row r="565" spans="1:6" ht="21.5" x14ac:dyDescent="0.9">
      <c r="A565" t="s">
        <v>4463</v>
      </c>
      <c r="B565" s="59" t="s">
        <v>4449</v>
      </c>
      <c r="C565" s="59" t="s">
        <v>4214</v>
      </c>
      <c r="D565" s="61" t="s">
        <v>4464</v>
      </c>
      <c r="E565" t="str">
        <f>_xlfn.XLOOKUP(D565,'[2]8A. Master Device Catalog'!$F$5:$F$914,'[2]8A. Master Device Catalog'!$G$5:$G$914,"")</f>
        <v/>
      </c>
      <c r="F565" t="str">
        <f>_xlfn.XLOOKUP(D565,'[2]8A. Master Device Catalog'!$F$5:$F$914,'[2]8A. Master Device Catalog'!$H$5:$H$914,"")</f>
        <v/>
      </c>
    </row>
    <row r="566" spans="1:6" ht="21.5" x14ac:dyDescent="0.9">
      <c r="A566" t="s">
        <v>4465</v>
      </c>
      <c r="B566" s="59" t="s">
        <v>4449</v>
      </c>
      <c r="C566" s="59" t="s">
        <v>4214</v>
      </c>
      <c r="D566" s="61" t="s">
        <v>4466</v>
      </c>
      <c r="E566" t="str">
        <f>_xlfn.XLOOKUP(D566,'[2]8A. Master Device Catalog'!$F$5:$F$914,'[2]8A. Master Device Catalog'!$G$5:$G$914,"")</f>
        <v/>
      </c>
      <c r="F566" t="str">
        <f>_xlfn.XLOOKUP(D566,'[2]8A. Master Device Catalog'!$F$5:$F$914,'[2]8A. Master Device Catalog'!$H$5:$H$914,"")</f>
        <v/>
      </c>
    </row>
    <row r="567" spans="1:6" ht="21.5" x14ac:dyDescent="0.9">
      <c r="A567" t="s">
        <v>4467</v>
      </c>
      <c r="B567" s="59" t="s">
        <v>4449</v>
      </c>
      <c r="C567" s="59" t="s">
        <v>4214</v>
      </c>
      <c r="D567" s="61" t="s">
        <v>4468</v>
      </c>
      <c r="E567" t="str">
        <f>_xlfn.XLOOKUP(D567,'[2]8A. Master Device Catalog'!$F$5:$F$914,'[2]8A. Master Device Catalog'!$G$5:$G$914,"")</f>
        <v/>
      </c>
      <c r="F567" t="str">
        <f>_xlfn.XLOOKUP(D567,'[2]8A. Master Device Catalog'!$F$5:$F$914,'[2]8A. Master Device Catalog'!$H$5:$H$914,"")</f>
        <v/>
      </c>
    </row>
    <row r="568" spans="1:6" ht="21.5" x14ac:dyDescent="0.9">
      <c r="A568" t="s">
        <v>4469</v>
      </c>
      <c r="B568" s="59" t="s">
        <v>4449</v>
      </c>
      <c r="C568" s="59" t="s">
        <v>4214</v>
      </c>
      <c r="D568" s="61" t="s">
        <v>4470</v>
      </c>
      <c r="E568" t="str">
        <f>_xlfn.XLOOKUP(D568,'[2]8A. Master Device Catalog'!$F$5:$F$914,'[2]8A. Master Device Catalog'!$G$5:$G$914,"")</f>
        <v/>
      </c>
      <c r="F568" t="str">
        <f>_xlfn.XLOOKUP(D568,'[2]8A. Master Device Catalog'!$F$5:$F$914,'[2]8A. Master Device Catalog'!$H$5:$H$914,"")</f>
        <v/>
      </c>
    </row>
    <row r="569" spans="1:6" ht="21.5" x14ac:dyDescent="0.9">
      <c r="A569" t="s">
        <v>4471</v>
      </c>
      <c r="B569" s="59" t="s">
        <v>4449</v>
      </c>
      <c r="C569" s="59" t="s">
        <v>4214</v>
      </c>
      <c r="D569" s="61" t="s">
        <v>4472</v>
      </c>
      <c r="E569" t="str">
        <f>_xlfn.XLOOKUP(D569,'[2]8A. Master Device Catalog'!$F$5:$F$914,'[2]8A. Master Device Catalog'!$G$5:$G$914,"")</f>
        <v/>
      </c>
      <c r="F569" t="str">
        <f>_xlfn.XLOOKUP(D569,'[2]8A. Master Device Catalog'!$F$5:$F$914,'[2]8A. Master Device Catalog'!$H$5:$H$914,"")</f>
        <v/>
      </c>
    </row>
    <row r="570" spans="1:6" ht="21.5" x14ac:dyDescent="0.9">
      <c r="A570" t="s">
        <v>4473</v>
      </c>
      <c r="B570" s="59" t="s">
        <v>4449</v>
      </c>
      <c r="C570" s="59" t="s">
        <v>4214</v>
      </c>
      <c r="D570" s="61" t="s">
        <v>270</v>
      </c>
      <c r="E570" t="str">
        <f>_xlfn.XLOOKUP(D570,'[2]8A. Master Device Catalog'!$F$5:$F$914,'[2]8A. Master Device Catalog'!$G$5:$G$914,"")</f>
        <v>2037</v>
      </c>
      <c r="F570">
        <f>_xlfn.XLOOKUP(D570,'[2]8A. Master Device Catalog'!$F$5:$F$914,'[2]8A. Master Device Catalog'!$H$5:$H$914,"")</f>
        <v>2024</v>
      </c>
    </row>
    <row r="571" spans="1:6" ht="21.5" x14ac:dyDescent="0.9">
      <c r="A571" t="s">
        <v>4474</v>
      </c>
      <c r="B571" s="59" t="s">
        <v>4449</v>
      </c>
      <c r="C571" s="59" t="s">
        <v>4214</v>
      </c>
      <c r="D571" s="61" t="s">
        <v>4475</v>
      </c>
      <c r="E571" t="str">
        <f>_xlfn.XLOOKUP(D571,'[2]8A. Master Device Catalog'!$F$5:$F$914,'[2]8A. Master Device Catalog'!$G$5:$G$914,"")</f>
        <v/>
      </c>
      <c r="F571" t="str">
        <f>_xlfn.XLOOKUP(D571,'[2]8A. Master Device Catalog'!$F$5:$F$914,'[2]8A. Master Device Catalog'!$H$5:$H$914,"")</f>
        <v/>
      </c>
    </row>
    <row r="572" spans="1:6" ht="21.5" x14ac:dyDescent="0.9">
      <c r="A572" t="s">
        <v>4476</v>
      </c>
      <c r="B572" s="59" t="s">
        <v>4449</v>
      </c>
      <c r="C572" s="59" t="s">
        <v>4214</v>
      </c>
      <c r="D572" s="61" t="s">
        <v>4477</v>
      </c>
      <c r="E572" t="str">
        <f>_xlfn.XLOOKUP(D572,'[2]8A. Master Device Catalog'!$F$5:$F$914,'[2]8A. Master Device Catalog'!$G$5:$G$914,"")</f>
        <v/>
      </c>
      <c r="F572" t="str">
        <f>_xlfn.XLOOKUP(D572,'[2]8A. Master Device Catalog'!$F$5:$F$914,'[2]8A. Master Device Catalog'!$H$5:$H$914,"")</f>
        <v/>
      </c>
    </row>
    <row r="573" spans="1:6" ht="21.5" x14ac:dyDescent="0.9">
      <c r="A573" t="s">
        <v>4478</v>
      </c>
      <c r="B573" s="59" t="s">
        <v>4449</v>
      </c>
      <c r="C573" s="59" t="s">
        <v>4214</v>
      </c>
      <c r="D573" s="61" t="s">
        <v>4479</v>
      </c>
      <c r="E573" t="str">
        <f>_xlfn.XLOOKUP(D573,'[2]8A. Master Device Catalog'!$F$5:$F$914,'[2]8A. Master Device Catalog'!$G$5:$G$914,"")</f>
        <v/>
      </c>
      <c r="F573" t="str">
        <f>_xlfn.XLOOKUP(D573,'[2]8A. Master Device Catalog'!$F$5:$F$914,'[2]8A. Master Device Catalog'!$H$5:$H$914,"")</f>
        <v/>
      </c>
    </row>
    <row r="574" spans="1:6" ht="21.5" x14ac:dyDescent="0.9">
      <c r="A574" t="s">
        <v>4480</v>
      </c>
      <c r="B574" s="59" t="s">
        <v>4449</v>
      </c>
      <c r="C574" s="59" t="s">
        <v>4214</v>
      </c>
      <c r="D574" s="61" t="s">
        <v>4481</v>
      </c>
      <c r="E574" t="str">
        <f>_xlfn.XLOOKUP(D574,'[2]8A. Master Device Catalog'!$F$5:$F$914,'[2]8A. Master Device Catalog'!$G$5:$G$914,"")</f>
        <v/>
      </c>
      <c r="F574" t="str">
        <f>_xlfn.XLOOKUP(D574,'[2]8A. Master Device Catalog'!$F$5:$F$914,'[2]8A. Master Device Catalog'!$H$5:$H$914,"")</f>
        <v/>
      </c>
    </row>
    <row r="575" spans="1:6" ht="21.5" x14ac:dyDescent="0.9">
      <c r="A575" t="s">
        <v>4482</v>
      </c>
      <c r="B575" s="59" t="s">
        <v>4449</v>
      </c>
      <c r="C575" s="59" t="s">
        <v>4214</v>
      </c>
      <c r="D575" s="61" t="s">
        <v>261</v>
      </c>
      <c r="E575" t="str">
        <f>_xlfn.XLOOKUP(D575,'[2]8A. Master Device Catalog'!$F$5:$F$914,'[2]8A. Master Device Catalog'!$G$5:$G$914,"")</f>
        <v>2023</v>
      </c>
      <c r="F575">
        <f>_xlfn.XLOOKUP(D575,'[2]8A. Master Device Catalog'!$F$5:$F$914,'[2]8A. Master Device Catalog'!$H$5:$H$914,"")</f>
        <v>2023</v>
      </c>
    </row>
    <row r="576" spans="1:6" ht="21.5" x14ac:dyDescent="0.9">
      <c r="A576" t="s">
        <v>4483</v>
      </c>
      <c r="B576" s="59" t="s">
        <v>4449</v>
      </c>
      <c r="C576" s="59" t="s">
        <v>4214</v>
      </c>
      <c r="D576" s="61" t="s">
        <v>4484</v>
      </c>
      <c r="E576" t="str">
        <f>_xlfn.XLOOKUP(D576,'[2]8A. Master Device Catalog'!$F$5:$F$914,'[2]8A. Master Device Catalog'!$G$5:$G$914,"")</f>
        <v/>
      </c>
      <c r="F576" t="str">
        <f>_xlfn.XLOOKUP(D576,'[2]8A. Master Device Catalog'!$F$5:$F$914,'[2]8A. Master Device Catalog'!$H$5:$H$914,"")</f>
        <v/>
      </c>
    </row>
    <row r="577" spans="1:6" ht="21.5" x14ac:dyDescent="0.9">
      <c r="A577" t="s">
        <v>4485</v>
      </c>
      <c r="B577" s="59" t="s">
        <v>3167</v>
      </c>
      <c r="C577" s="59" t="s">
        <v>4214</v>
      </c>
      <c r="D577" s="61" t="s">
        <v>4486</v>
      </c>
      <c r="E577" t="str">
        <f>_xlfn.XLOOKUP(D577,'[2]8A. Master Device Catalog'!$F$5:$F$914,'[2]8A. Master Device Catalog'!$G$5:$G$914,"")</f>
        <v/>
      </c>
      <c r="F577" t="str">
        <f>_xlfn.XLOOKUP(D577,'[2]8A. Master Device Catalog'!$F$5:$F$914,'[2]8A. Master Device Catalog'!$H$5:$H$914,"")</f>
        <v/>
      </c>
    </row>
    <row r="578" spans="1:6" ht="21.5" x14ac:dyDescent="0.9">
      <c r="A578" t="s">
        <v>4487</v>
      </c>
      <c r="B578" s="59" t="s">
        <v>3167</v>
      </c>
      <c r="C578" s="59" t="s">
        <v>4214</v>
      </c>
      <c r="D578" s="61" t="s">
        <v>4488</v>
      </c>
      <c r="E578" t="str">
        <f>_xlfn.XLOOKUP(D578,'[2]8A. Master Device Catalog'!$F$5:$F$914,'[2]8A. Master Device Catalog'!$G$5:$G$914,"")</f>
        <v/>
      </c>
      <c r="F578" t="str">
        <f>_xlfn.XLOOKUP(D578,'[2]8A. Master Device Catalog'!$F$5:$F$914,'[2]8A. Master Device Catalog'!$H$5:$H$914,"")</f>
        <v/>
      </c>
    </row>
    <row r="579" spans="1:6" ht="21.5" x14ac:dyDescent="0.9">
      <c r="A579" t="s">
        <v>4489</v>
      </c>
      <c r="B579" s="59" t="s">
        <v>3167</v>
      </c>
      <c r="C579" s="59" t="s">
        <v>4214</v>
      </c>
      <c r="D579" s="61" t="s">
        <v>4490</v>
      </c>
      <c r="E579" t="str">
        <f>_xlfn.XLOOKUP(D579,'[2]8A. Master Device Catalog'!$F$5:$F$914,'[2]8A. Master Device Catalog'!$G$5:$G$914,"")</f>
        <v/>
      </c>
      <c r="F579" t="str">
        <f>_xlfn.XLOOKUP(D579,'[2]8A. Master Device Catalog'!$F$5:$F$914,'[2]8A. Master Device Catalog'!$H$5:$H$914,"")</f>
        <v/>
      </c>
    </row>
    <row r="580" spans="1:6" ht="21.5" x14ac:dyDescent="0.9">
      <c r="A580" t="s">
        <v>4491</v>
      </c>
      <c r="B580" s="59" t="s">
        <v>3167</v>
      </c>
      <c r="C580" s="59" t="s">
        <v>4214</v>
      </c>
      <c r="D580" s="61" t="s">
        <v>4492</v>
      </c>
      <c r="E580" t="str">
        <f>_xlfn.XLOOKUP(D580,'[2]8A. Master Device Catalog'!$F$5:$F$914,'[2]8A. Master Device Catalog'!$G$5:$G$914,"")</f>
        <v/>
      </c>
      <c r="F580" t="str">
        <f>_xlfn.XLOOKUP(D580,'[2]8A. Master Device Catalog'!$F$5:$F$914,'[2]8A. Master Device Catalog'!$H$5:$H$914,"")</f>
        <v/>
      </c>
    </row>
    <row r="581" spans="1:6" ht="21.5" x14ac:dyDescent="0.9">
      <c r="A581" t="s">
        <v>4493</v>
      </c>
      <c r="B581" s="59" t="s">
        <v>3167</v>
      </c>
      <c r="C581" s="59" t="s">
        <v>4214</v>
      </c>
      <c r="D581" s="61" t="s">
        <v>4494</v>
      </c>
      <c r="E581" t="str">
        <f>_xlfn.XLOOKUP(D581,'[2]8A. Master Device Catalog'!$F$5:$F$914,'[2]8A. Master Device Catalog'!$G$5:$G$914,"")</f>
        <v/>
      </c>
      <c r="F581" t="str">
        <f>_xlfn.XLOOKUP(D581,'[2]8A. Master Device Catalog'!$F$5:$F$914,'[2]8A. Master Device Catalog'!$H$5:$H$914,"")</f>
        <v/>
      </c>
    </row>
    <row r="582" spans="1:6" ht="21.5" x14ac:dyDescent="0.9">
      <c r="A582" t="s">
        <v>4495</v>
      </c>
      <c r="B582" s="59" t="s">
        <v>3167</v>
      </c>
      <c r="C582" s="59" t="s">
        <v>4214</v>
      </c>
      <c r="D582" s="61" t="s">
        <v>4496</v>
      </c>
      <c r="E582" t="str">
        <f>_xlfn.XLOOKUP(D582,'[2]8A. Master Device Catalog'!$F$5:$F$914,'[2]8A. Master Device Catalog'!$G$5:$G$914,"")</f>
        <v/>
      </c>
      <c r="F582" t="str">
        <f>_xlfn.XLOOKUP(D582,'[2]8A. Master Device Catalog'!$F$5:$F$914,'[2]8A. Master Device Catalog'!$H$5:$H$914,"")</f>
        <v/>
      </c>
    </row>
    <row r="583" spans="1:6" ht="21.5" x14ac:dyDescent="0.9">
      <c r="A583" t="s">
        <v>4497</v>
      </c>
      <c r="B583" s="59" t="s">
        <v>3167</v>
      </c>
      <c r="C583" s="59" t="s">
        <v>4214</v>
      </c>
      <c r="D583" s="61" t="s">
        <v>4498</v>
      </c>
      <c r="E583" t="str">
        <f>_xlfn.XLOOKUP(D583,'[2]8A. Master Device Catalog'!$F$5:$F$914,'[2]8A. Master Device Catalog'!$G$5:$G$914,"")</f>
        <v/>
      </c>
      <c r="F583" t="str">
        <f>_xlfn.XLOOKUP(D583,'[2]8A. Master Device Catalog'!$F$5:$F$914,'[2]8A. Master Device Catalog'!$H$5:$H$914,"")</f>
        <v/>
      </c>
    </row>
    <row r="584" spans="1:6" ht="21.5" x14ac:dyDescent="0.9">
      <c r="A584" t="s">
        <v>4499</v>
      </c>
      <c r="B584" s="59" t="s">
        <v>3167</v>
      </c>
      <c r="C584" s="59" t="s">
        <v>4214</v>
      </c>
      <c r="D584" s="61" t="s">
        <v>4500</v>
      </c>
      <c r="E584" t="str">
        <f>_xlfn.XLOOKUP(D584,'[2]8A. Master Device Catalog'!$F$5:$F$914,'[2]8A. Master Device Catalog'!$G$5:$G$914,"")</f>
        <v/>
      </c>
      <c r="F584" t="str">
        <f>_xlfn.XLOOKUP(D584,'[2]8A. Master Device Catalog'!$F$5:$F$914,'[2]8A. Master Device Catalog'!$H$5:$H$914,"")</f>
        <v/>
      </c>
    </row>
    <row r="585" spans="1:6" ht="21.5" x14ac:dyDescent="0.9">
      <c r="A585" t="s">
        <v>4501</v>
      </c>
      <c r="B585" s="59" t="s">
        <v>4502</v>
      </c>
      <c r="C585" s="59" t="s">
        <v>4214</v>
      </c>
      <c r="D585" s="61" t="s">
        <v>4503</v>
      </c>
      <c r="E585" t="str">
        <f>_xlfn.XLOOKUP(D585,'[2]8A. Master Device Catalog'!$F$5:$F$914,'[2]8A. Master Device Catalog'!$G$5:$G$914,"")</f>
        <v/>
      </c>
      <c r="F585" t="str">
        <f>_xlfn.XLOOKUP(D585,'[2]8A. Master Device Catalog'!$F$5:$F$914,'[2]8A. Master Device Catalog'!$H$5:$H$914,"")</f>
        <v/>
      </c>
    </row>
    <row r="586" spans="1:6" ht="21.5" x14ac:dyDescent="0.9">
      <c r="A586" t="s">
        <v>4504</v>
      </c>
      <c r="B586" s="59" t="s">
        <v>4502</v>
      </c>
      <c r="C586" s="59" t="s">
        <v>4214</v>
      </c>
      <c r="D586" s="61" t="s">
        <v>4505</v>
      </c>
      <c r="E586" t="str">
        <f>_xlfn.XLOOKUP(D586,'[2]8A. Master Device Catalog'!$F$5:$F$914,'[2]8A. Master Device Catalog'!$G$5:$G$914,"")</f>
        <v/>
      </c>
      <c r="F586" t="str">
        <f>_xlfn.XLOOKUP(D586,'[2]8A. Master Device Catalog'!$F$5:$F$914,'[2]8A. Master Device Catalog'!$H$5:$H$914,"")</f>
        <v/>
      </c>
    </row>
    <row r="587" spans="1:6" ht="21.5" x14ac:dyDescent="0.9">
      <c r="A587" t="s">
        <v>4506</v>
      </c>
      <c r="B587" s="59" t="s">
        <v>4502</v>
      </c>
      <c r="C587" s="59" t="s">
        <v>4214</v>
      </c>
      <c r="D587" s="61" t="s">
        <v>4507</v>
      </c>
      <c r="E587" t="str">
        <f>_xlfn.XLOOKUP(D587,'[2]8A. Master Device Catalog'!$F$5:$F$914,'[2]8A. Master Device Catalog'!$G$5:$G$914,"")</f>
        <v/>
      </c>
      <c r="F587" t="str">
        <f>_xlfn.XLOOKUP(D587,'[2]8A. Master Device Catalog'!$F$5:$F$914,'[2]8A. Master Device Catalog'!$H$5:$H$914,"")</f>
        <v/>
      </c>
    </row>
    <row r="588" spans="1:6" ht="21.5" x14ac:dyDescent="0.9">
      <c r="A588" t="s">
        <v>4508</v>
      </c>
      <c r="B588" s="59" t="s">
        <v>4502</v>
      </c>
      <c r="C588" s="59" t="s">
        <v>4214</v>
      </c>
      <c r="D588" s="61" t="s">
        <v>4509</v>
      </c>
      <c r="E588" t="str">
        <f>_xlfn.XLOOKUP(D588,'[2]8A. Master Device Catalog'!$F$5:$F$914,'[2]8A. Master Device Catalog'!$G$5:$G$914,"")</f>
        <v/>
      </c>
      <c r="F588" t="str">
        <f>_xlfn.XLOOKUP(D588,'[2]8A. Master Device Catalog'!$F$5:$F$914,'[2]8A. Master Device Catalog'!$H$5:$H$914,"")</f>
        <v/>
      </c>
    </row>
    <row r="589" spans="1:6" ht="21.5" x14ac:dyDescent="0.9">
      <c r="A589" t="s">
        <v>4510</v>
      </c>
      <c r="B589" s="59" t="s">
        <v>4502</v>
      </c>
      <c r="C589" s="59" t="s">
        <v>4214</v>
      </c>
      <c r="D589" s="61" t="s">
        <v>4511</v>
      </c>
      <c r="E589" t="str">
        <f>_xlfn.XLOOKUP(D589,'[2]8A. Master Device Catalog'!$F$5:$F$914,'[2]8A. Master Device Catalog'!$G$5:$G$914,"")</f>
        <v/>
      </c>
      <c r="F589" t="str">
        <f>_xlfn.XLOOKUP(D589,'[2]8A. Master Device Catalog'!$F$5:$F$914,'[2]8A. Master Device Catalog'!$H$5:$H$914,"")</f>
        <v/>
      </c>
    </row>
    <row r="590" spans="1:6" ht="21.5" x14ac:dyDescent="0.9">
      <c r="A590" t="s">
        <v>4512</v>
      </c>
      <c r="B590" s="59" t="s">
        <v>4502</v>
      </c>
      <c r="C590" s="59" t="s">
        <v>4214</v>
      </c>
      <c r="D590" s="61" t="s">
        <v>4513</v>
      </c>
      <c r="E590" t="str">
        <f>_xlfn.XLOOKUP(D590,'[2]8A. Master Device Catalog'!$F$5:$F$914,'[2]8A. Master Device Catalog'!$G$5:$G$914,"")</f>
        <v/>
      </c>
      <c r="F590" t="str">
        <f>_xlfn.XLOOKUP(D590,'[2]8A. Master Device Catalog'!$F$5:$F$914,'[2]8A. Master Device Catalog'!$H$5:$H$914,"")</f>
        <v/>
      </c>
    </row>
    <row r="591" spans="1:6" ht="21.5" x14ac:dyDescent="0.9">
      <c r="A591" t="s">
        <v>4514</v>
      </c>
      <c r="B591" s="59" t="s">
        <v>4502</v>
      </c>
      <c r="C591" s="59" t="s">
        <v>4214</v>
      </c>
      <c r="D591" s="61" t="s">
        <v>4515</v>
      </c>
      <c r="E591" t="str">
        <f>_xlfn.XLOOKUP(D591,'[2]8A. Master Device Catalog'!$F$5:$F$914,'[2]8A. Master Device Catalog'!$G$5:$G$914,"")</f>
        <v/>
      </c>
      <c r="F591" t="str">
        <f>_xlfn.XLOOKUP(D591,'[2]8A. Master Device Catalog'!$F$5:$F$914,'[2]8A. Master Device Catalog'!$H$5:$H$914,"")</f>
        <v/>
      </c>
    </row>
    <row r="592" spans="1:6" ht="21.5" x14ac:dyDescent="0.9">
      <c r="A592" t="s">
        <v>4516</v>
      </c>
      <c r="B592" s="59" t="s">
        <v>4502</v>
      </c>
      <c r="C592" s="59" t="s">
        <v>4214</v>
      </c>
      <c r="D592" s="61" t="s">
        <v>4517</v>
      </c>
      <c r="E592" t="str">
        <f>_xlfn.XLOOKUP(D592,'[2]8A. Master Device Catalog'!$F$5:$F$914,'[2]8A. Master Device Catalog'!$G$5:$G$914,"")</f>
        <v/>
      </c>
      <c r="F592" t="str">
        <f>_xlfn.XLOOKUP(D592,'[2]8A. Master Device Catalog'!$F$5:$F$914,'[2]8A. Master Device Catalog'!$H$5:$H$914,"")</f>
        <v/>
      </c>
    </row>
    <row r="593" spans="1:6" ht="21.5" x14ac:dyDescent="0.9">
      <c r="A593" t="s">
        <v>4518</v>
      </c>
      <c r="B593" s="59" t="s">
        <v>4502</v>
      </c>
      <c r="C593" s="59" t="s">
        <v>4214</v>
      </c>
      <c r="D593" s="61" t="s">
        <v>277</v>
      </c>
      <c r="E593" t="str">
        <f>_xlfn.XLOOKUP(D593,'[2]8A. Master Device Catalog'!$F$5:$F$914,'[2]8A. Master Device Catalog'!$G$5:$G$914,"")</f>
        <v>Blade16</v>
      </c>
      <c r="F593">
        <f>_xlfn.XLOOKUP(D593,'[2]8A. Master Device Catalog'!$F$5:$F$914,'[2]8A. Master Device Catalog'!$H$5:$H$914,"")</f>
        <v>2024</v>
      </c>
    </row>
    <row r="594" spans="1:6" ht="21.5" x14ac:dyDescent="0.9">
      <c r="A594" t="s">
        <v>4519</v>
      </c>
      <c r="B594" s="59" t="s">
        <v>4502</v>
      </c>
      <c r="C594" s="59" t="s">
        <v>4214</v>
      </c>
      <c r="D594" s="61" t="s">
        <v>4520</v>
      </c>
      <c r="E594" t="str">
        <f>_xlfn.XLOOKUP(D594,'[2]8A. Master Device Catalog'!$F$5:$F$914,'[2]8A. Master Device Catalog'!$G$5:$G$914,"")</f>
        <v/>
      </c>
      <c r="F594" t="str">
        <f>_xlfn.XLOOKUP(D594,'[2]8A. Master Device Catalog'!$F$5:$F$914,'[2]8A. Master Device Catalog'!$H$5:$H$914,"")</f>
        <v/>
      </c>
    </row>
    <row r="595" spans="1:6" ht="21.5" x14ac:dyDescent="0.9">
      <c r="A595" t="s">
        <v>4521</v>
      </c>
      <c r="B595" s="59" t="s">
        <v>4502</v>
      </c>
      <c r="C595" s="59" t="s">
        <v>4214</v>
      </c>
      <c r="D595" s="61" t="s">
        <v>4522</v>
      </c>
      <c r="E595" t="str">
        <f>_xlfn.XLOOKUP(D595,'[2]8A. Master Device Catalog'!$F$5:$F$914,'[2]8A. Master Device Catalog'!$G$5:$G$914,"")</f>
        <v/>
      </c>
      <c r="F595" t="str">
        <f>_xlfn.XLOOKUP(D595,'[2]8A. Master Device Catalog'!$F$5:$F$914,'[2]8A. Master Device Catalog'!$H$5:$H$914,"")</f>
        <v/>
      </c>
    </row>
    <row r="596" spans="1:6" ht="21.5" x14ac:dyDescent="0.9">
      <c r="A596" t="s">
        <v>4523</v>
      </c>
      <c r="B596" s="59" t="s">
        <v>4000</v>
      </c>
      <c r="C596" s="59" t="s">
        <v>4214</v>
      </c>
      <c r="D596" s="61" t="s">
        <v>1725</v>
      </c>
      <c r="E596" t="str">
        <f>_xlfn.XLOOKUP(D596,'[2]8A. Master Device Catalog'!$F$5:$F$914,'[2]8A. Master Device Catalog'!$G$5:$G$914,"")</f>
        <v>NP750XFG</v>
      </c>
      <c r="F596">
        <f>_xlfn.XLOOKUP(D596,'[2]8A. Master Device Catalog'!$F$5:$F$914,'[2]8A. Master Device Catalog'!$H$5:$H$914,"")</f>
        <v>2023</v>
      </c>
    </row>
    <row r="597" spans="1:6" ht="21.5" x14ac:dyDescent="0.9">
      <c r="A597" t="s">
        <v>4524</v>
      </c>
      <c r="B597" s="59" t="s">
        <v>4000</v>
      </c>
      <c r="C597" s="59" t="s">
        <v>4214</v>
      </c>
      <c r="D597" s="61" t="s">
        <v>1721</v>
      </c>
      <c r="E597" t="str">
        <f>_xlfn.XLOOKUP(D597,'[2]8A. Master Device Catalog'!$F$5:$F$914,'[2]8A. Master Device Catalog'!$G$5:$G$914,"")</f>
        <v>NP960XFG</v>
      </c>
      <c r="F597">
        <f>_xlfn.XLOOKUP(D597,'[2]8A. Master Device Catalog'!$F$5:$F$914,'[2]8A. Master Device Catalog'!$H$5:$H$914,"")</f>
        <v>2023</v>
      </c>
    </row>
    <row r="598" spans="1:6" ht="21.5" x14ac:dyDescent="0.9">
      <c r="A598" t="s">
        <v>4525</v>
      </c>
      <c r="B598" s="59" t="s">
        <v>4000</v>
      </c>
      <c r="C598" s="59" t="s">
        <v>4214</v>
      </c>
      <c r="D598" s="61" t="s">
        <v>1750</v>
      </c>
      <c r="E598" t="str">
        <f>_xlfn.XLOOKUP(D598,'[2]8A. Master Device Catalog'!$F$5:$F$914,'[2]8A. Master Device Catalog'!$G$5:$G$914,"")</f>
        <v>NP750XDA</v>
      </c>
      <c r="F598">
        <f>_xlfn.XLOOKUP(D598,'[2]8A. Master Device Catalog'!$F$5:$F$914,'[2]8A. Master Device Catalog'!$H$5:$H$914,"")</f>
        <v>2021</v>
      </c>
    </row>
    <row r="599" spans="1:6" ht="21.5" x14ac:dyDescent="0.9">
      <c r="A599" t="s">
        <v>4526</v>
      </c>
      <c r="B599" s="59" t="s">
        <v>4000</v>
      </c>
      <c r="C599" s="59" t="s">
        <v>4214</v>
      </c>
      <c r="D599" s="61" t="s">
        <v>4527</v>
      </c>
      <c r="E599" t="str">
        <f>_xlfn.XLOOKUP(D599,'[2]8A. Master Device Catalog'!$F$5:$F$914,'[2]8A. Master Device Catalog'!$G$5:$G$914,"")</f>
        <v/>
      </c>
      <c r="F599" t="str">
        <f>_xlfn.XLOOKUP(D599,'[2]8A. Master Device Catalog'!$F$5:$F$914,'[2]8A. Master Device Catalog'!$H$5:$H$914,"")</f>
        <v/>
      </c>
    </row>
    <row r="600" spans="1:6" ht="21.5" x14ac:dyDescent="0.9">
      <c r="A600" t="s">
        <v>4528</v>
      </c>
      <c r="B600" s="59" t="s">
        <v>4000</v>
      </c>
      <c r="C600" s="59" t="s">
        <v>4214</v>
      </c>
      <c r="D600" s="61" t="s">
        <v>4529</v>
      </c>
      <c r="E600" t="str">
        <f>_xlfn.XLOOKUP(D600,'[2]8A. Master Device Catalog'!$F$5:$F$914,'[2]8A. Master Device Catalog'!$G$5:$G$914,"")</f>
        <v/>
      </c>
      <c r="F600" t="str">
        <f>_xlfn.XLOOKUP(D600,'[2]8A. Master Device Catalog'!$F$5:$F$914,'[2]8A. Master Device Catalog'!$H$5:$H$914,"")</f>
        <v/>
      </c>
    </row>
    <row r="601" spans="1:6" ht="21.5" x14ac:dyDescent="0.9">
      <c r="A601" t="s">
        <v>4530</v>
      </c>
      <c r="B601" s="59" t="s">
        <v>4000</v>
      </c>
      <c r="C601" s="59" t="s">
        <v>4214</v>
      </c>
      <c r="D601" s="61" t="s">
        <v>4531</v>
      </c>
      <c r="E601" t="str">
        <f>_xlfn.XLOOKUP(D601,'[2]8A. Master Device Catalog'!$F$5:$F$914,'[2]8A. Master Device Catalog'!$G$5:$G$914,"")</f>
        <v/>
      </c>
      <c r="F601" t="str">
        <f>_xlfn.XLOOKUP(D601,'[2]8A. Master Device Catalog'!$F$5:$F$914,'[2]8A. Master Device Catalog'!$H$5:$H$914,"")</f>
        <v/>
      </c>
    </row>
    <row r="602" spans="1:6" ht="21.5" x14ac:dyDescent="0.9">
      <c r="A602" t="s">
        <v>4532</v>
      </c>
      <c r="B602" s="59" t="s">
        <v>4000</v>
      </c>
      <c r="C602" s="59" t="s">
        <v>4214</v>
      </c>
      <c r="D602" s="61" t="s">
        <v>4533</v>
      </c>
      <c r="E602" t="str">
        <f>_xlfn.XLOOKUP(D602,'[2]8A. Master Device Catalog'!$F$5:$F$914,'[2]8A. Master Device Catalog'!$G$5:$G$914,"")</f>
        <v/>
      </c>
      <c r="F602" t="str">
        <f>_xlfn.XLOOKUP(D602,'[2]8A. Master Device Catalog'!$F$5:$F$914,'[2]8A. Master Device Catalog'!$H$5:$H$914,"")</f>
        <v/>
      </c>
    </row>
    <row r="603" spans="1:6" ht="21.5" x14ac:dyDescent="0.9">
      <c r="A603" t="s">
        <v>4534</v>
      </c>
      <c r="B603" s="59" t="s">
        <v>4000</v>
      </c>
      <c r="C603" s="59" t="s">
        <v>4214</v>
      </c>
      <c r="D603" s="61" t="s">
        <v>4535</v>
      </c>
      <c r="E603" t="str">
        <f>_xlfn.XLOOKUP(D603,'[2]8A. Master Device Catalog'!$F$5:$F$914,'[2]8A. Master Device Catalog'!$G$5:$G$914,"")</f>
        <v/>
      </c>
      <c r="F603" t="str">
        <f>_xlfn.XLOOKUP(D603,'[2]8A. Master Device Catalog'!$F$5:$F$914,'[2]8A. Master Device Catalog'!$H$5:$H$914,"")</f>
        <v/>
      </c>
    </row>
    <row r="604" spans="1:6" ht="21.5" x14ac:dyDescent="0.9">
      <c r="A604" t="s">
        <v>4536</v>
      </c>
      <c r="B604" s="59" t="s">
        <v>4000</v>
      </c>
      <c r="C604" s="59" t="s">
        <v>4214</v>
      </c>
      <c r="D604" s="61" t="s">
        <v>1735</v>
      </c>
      <c r="E604" t="str">
        <f>_xlfn.XLOOKUP(D604,'[2]8A. Master Device Catalog'!$F$5:$F$914,'[2]8A. Master Device Catalog'!$G$5:$G$914,"")</f>
        <v>NP750XED</v>
      </c>
      <c r="F604">
        <f>_xlfn.XLOOKUP(D604,'[2]8A. Master Device Catalog'!$F$5:$F$914,'[2]8A. Master Device Catalog'!$H$5:$H$914,"")</f>
        <v>2022</v>
      </c>
    </row>
    <row r="605" spans="1:6" ht="21.5" x14ac:dyDescent="0.9">
      <c r="A605" t="s">
        <v>4537</v>
      </c>
      <c r="B605" s="59" t="s">
        <v>4000</v>
      </c>
      <c r="C605" s="59" t="s">
        <v>4214</v>
      </c>
      <c r="D605" s="61" t="s">
        <v>1730</v>
      </c>
      <c r="E605" t="str">
        <f>_xlfn.XLOOKUP(D605,'[2]8A. Master Device Catalog'!$F$5:$F$914,'[2]8A. Master Device Catalog'!$G$5:$G$914,"")</f>
        <v>NP950XEE</v>
      </c>
      <c r="F605">
        <f>_xlfn.XLOOKUP(D605,'[2]8A. Master Device Catalog'!$F$5:$F$914,'[2]8A. Master Device Catalog'!$H$5:$H$914,"")</f>
        <v>2022</v>
      </c>
    </row>
    <row r="606" spans="1:6" ht="21.5" x14ac:dyDescent="0.9">
      <c r="A606" t="s">
        <v>4538</v>
      </c>
      <c r="B606" s="59" t="s">
        <v>4000</v>
      </c>
      <c r="C606" s="59" t="s">
        <v>4214</v>
      </c>
      <c r="D606" s="61" t="s">
        <v>4539</v>
      </c>
      <c r="E606" t="str">
        <f>_xlfn.XLOOKUP(D606,'[2]8A. Master Device Catalog'!$F$5:$F$914,'[2]8A. Master Device Catalog'!$G$5:$G$914,"")</f>
        <v/>
      </c>
      <c r="F606" t="str">
        <f>_xlfn.XLOOKUP(D606,'[2]8A. Master Device Catalog'!$F$5:$F$914,'[2]8A. Master Device Catalog'!$H$5:$H$914,"")</f>
        <v/>
      </c>
    </row>
    <row r="607" spans="1:6" ht="21.5" x14ac:dyDescent="0.9">
      <c r="A607" t="s">
        <v>4540</v>
      </c>
      <c r="B607" s="59" t="s">
        <v>4000</v>
      </c>
      <c r="C607" s="59" t="s">
        <v>4214</v>
      </c>
      <c r="D607" s="61" t="s">
        <v>4541</v>
      </c>
      <c r="E607" t="str">
        <f>_xlfn.XLOOKUP(D607,'[2]8A. Master Device Catalog'!$F$5:$F$914,'[2]8A. Master Device Catalog'!$G$5:$G$914,"")</f>
        <v/>
      </c>
      <c r="F607" t="str">
        <f>_xlfn.XLOOKUP(D607,'[2]8A. Master Device Catalog'!$F$5:$F$914,'[2]8A. Master Device Catalog'!$H$5:$H$914,"")</f>
        <v/>
      </c>
    </row>
    <row r="608" spans="1:6" ht="21.5" x14ac:dyDescent="0.9">
      <c r="A608" t="s">
        <v>4542</v>
      </c>
      <c r="B608" s="59" t="s">
        <v>4000</v>
      </c>
      <c r="C608" s="59" t="s">
        <v>4214</v>
      </c>
      <c r="D608" s="61" t="s">
        <v>4543</v>
      </c>
      <c r="E608" t="str">
        <f>_xlfn.XLOOKUP(D608,'[2]8A. Master Device Catalog'!$F$5:$F$914,'[2]8A. Master Device Catalog'!$G$5:$G$914,"")</f>
        <v/>
      </c>
      <c r="F608" t="str">
        <f>_xlfn.XLOOKUP(D608,'[2]8A. Master Device Catalog'!$F$5:$F$914,'[2]8A. Master Device Catalog'!$H$5:$H$914,"")</f>
        <v/>
      </c>
    </row>
    <row r="609" spans="1:6" ht="21.5" x14ac:dyDescent="0.9">
      <c r="A609" t="s">
        <v>4544</v>
      </c>
      <c r="B609" s="59" t="s">
        <v>4000</v>
      </c>
      <c r="C609" s="59" t="s">
        <v>4214</v>
      </c>
      <c r="D609" s="61" t="s">
        <v>4545</v>
      </c>
      <c r="E609" t="str">
        <f>_xlfn.XLOOKUP(D609,'[2]8A. Master Device Catalog'!$F$5:$F$914,'[2]8A. Master Device Catalog'!$G$5:$G$914,"")</f>
        <v/>
      </c>
      <c r="F609" t="str">
        <f>_xlfn.XLOOKUP(D609,'[2]8A. Master Device Catalog'!$F$5:$F$914,'[2]8A. Master Device Catalog'!$H$5:$H$914,"")</f>
        <v/>
      </c>
    </row>
    <row r="610" spans="1:6" ht="21.5" x14ac:dyDescent="0.9">
      <c r="A610" t="s">
        <v>4546</v>
      </c>
      <c r="B610" s="59" t="s">
        <v>4000</v>
      </c>
      <c r="C610" s="59" t="s">
        <v>4214</v>
      </c>
      <c r="D610" s="61" t="s">
        <v>4547</v>
      </c>
      <c r="E610" t="str">
        <f>_xlfn.XLOOKUP(D610,'[2]8A. Master Device Catalog'!$F$5:$F$914,'[2]8A. Master Device Catalog'!$G$5:$G$914,"")</f>
        <v/>
      </c>
      <c r="F610" t="str">
        <f>_xlfn.XLOOKUP(D610,'[2]8A. Master Device Catalog'!$F$5:$F$914,'[2]8A. Master Device Catalog'!$H$5:$H$914,"")</f>
        <v/>
      </c>
    </row>
    <row r="611" spans="1:6" ht="21.5" x14ac:dyDescent="0.9">
      <c r="A611" t="s">
        <v>4548</v>
      </c>
      <c r="B611" s="59" t="s">
        <v>4000</v>
      </c>
      <c r="C611" s="59" t="s">
        <v>4214</v>
      </c>
      <c r="D611" s="61" t="s">
        <v>4549</v>
      </c>
      <c r="E611" t="str">
        <f>_xlfn.XLOOKUP(D611,'[2]8A. Master Device Catalog'!$F$5:$F$914,'[2]8A. Master Device Catalog'!$G$5:$G$914,"")</f>
        <v/>
      </c>
      <c r="F611" t="str">
        <f>_xlfn.XLOOKUP(D611,'[2]8A. Master Device Catalog'!$F$5:$F$914,'[2]8A. Master Device Catalog'!$H$5:$H$914,"")</f>
        <v/>
      </c>
    </row>
    <row r="612" spans="1:6" ht="21.5" x14ac:dyDescent="0.35">
      <c r="A612" t="s">
        <v>4550</v>
      </c>
      <c r="B612" s="59" t="s">
        <v>4000</v>
      </c>
      <c r="C612" s="59" t="s">
        <v>4214</v>
      </c>
      <c r="D612" s="60" t="s">
        <v>1716</v>
      </c>
      <c r="E612" t="str">
        <f>_xlfn.XLOOKUP(D612,'[2]8A. Master Device Catalog'!$F$5:$F$914,'[2]8A. Master Device Catalog'!$G$5:$G$914,"")</f>
        <v>NP750XGK</v>
      </c>
      <c r="F612">
        <f>_xlfn.XLOOKUP(D612,'[2]8A. Master Device Catalog'!$F$5:$F$914,'[2]8A. Master Device Catalog'!$H$5:$H$914,"")</f>
        <v>2024</v>
      </c>
    </row>
    <row r="613" spans="1:6" ht="21.5" x14ac:dyDescent="0.35">
      <c r="A613" t="s">
        <v>4551</v>
      </c>
      <c r="B613" s="59" t="s">
        <v>4000</v>
      </c>
      <c r="C613" s="59" t="s">
        <v>4214</v>
      </c>
      <c r="D613" s="60" t="s">
        <v>4552</v>
      </c>
      <c r="E613" t="str">
        <f>_xlfn.XLOOKUP(D613,'[2]8A. Master Device Catalog'!$F$5:$F$914,'[2]8A. Master Device Catalog'!$G$5:$G$914,"")</f>
        <v/>
      </c>
      <c r="F613" t="str">
        <f>_xlfn.XLOOKUP(D613,'[2]8A. Master Device Catalog'!$F$5:$F$914,'[2]8A. Master Device Catalog'!$H$5:$H$914,"")</f>
        <v/>
      </c>
    </row>
    <row r="614" spans="1:6" ht="21.5" x14ac:dyDescent="0.35">
      <c r="A614" t="s">
        <v>4553</v>
      </c>
      <c r="B614" s="59" t="s">
        <v>4000</v>
      </c>
      <c r="C614" s="59" t="s">
        <v>4214</v>
      </c>
      <c r="D614" s="60" t="s">
        <v>4554</v>
      </c>
      <c r="E614" t="str">
        <f>_xlfn.XLOOKUP(D614,'[2]8A. Master Device Catalog'!$F$5:$F$914,'[2]8A. Master Device Catalog'!$G$5:$G$914,"")</f>
        <v/>
      </c>
      <c r="F614" t="str">
        <f>_xlfn.XLOOKUP(D614,'[2]8A. Master Device Catalog'!$F$5:$F$914,'[2]8A. Master Device Catalog'!$H$5:$H$914,"")</f>
        <v/>
      </c>
    </row>
    <row r="615" spans="1:6" ht="21.5" x14ac:dyDescent="0.35">
      <c r="A615" t="s">
        <v>4555</v>
      </c>
      <c r="B615" s="59" t="s">
        <v>4000</v>
      </c>
      <c r="C615" s="59" t="s">
        <v>4214</v>
      </c>
      <c r="D615" s="60" t="s">
        <v>1712</v>
      </c>
      <c r="E615" t="str">
        <f>_xlfn.XLOOKUP(D615,'[2]8A. Master Device Catalog'!$F$5:$F$914,'[2]8A. Master Device Catalog'!$G$5:$G$914,"")</f>
        <v>NP960XGK</v>
      </c>
      <c r="F615">
        <f>_xlfn.XLOOKUP(D615,'[2]8A. Master Device Catalog'!$F$5:$F$914,'[2]8A. Master Device Catalog'!$H$5:$H$914,"")</f>
        <v>2024</v>
      </c>
    </row>
    <row r="616" spans="1:6" ht="21.5" x14ac:dyDescent="0.35">
      <c r="A616" t="s">
        <v>4556</v>
      </c>
      <c r="B616" s="59" t="s">
        <v>4000</v>
      </c>
      <c r="C616" s="59" t="s">
        <v>4214</v>
      </c>
      <c r="D616" s="60" t="s">
        <v>4557</v>
      </c>
      <c r="E616" t="str">
        <f>_xlfn.XLOOKUP(D616,'[2]8A. Master Device Catalog'!$F$5:$F$914,'[2]8A. Master Device Catalog'!$G$5:$G$914,"")</f>
        <v/>
      </c>
      <c r="F616" t="str">
        <f>_xlfn.XLOOKUP(D616,'[2]8A. Master Device Catalog'!$F$5:$F$914,'[2]8A. Master Device Catalog'!$H$5:$H$914,"")</f>
        <v/>
      </c>
    </row>
    <row r="617" spans="1:6" ht="21.5" x14ac:dyDescent="0.35">
      <c r="A617" t="s">
        <v>4558</v>
      </c>
      <c r="B617" s="59" t="s">
        <v>4000</v>
      </c>
      <c r="C617" s="59" t="s">
        <v>4214</v>
      </c>
      <c r="D617" s="60" t="s">
        <v>4559</v>
      </c>
      <c r="E617" t="str">
        <f>_xlfn.XLOOKUP(D617,'[2]8A. Master Device Catalog'!$F$5:$F$914,'[2]8A. Master Device Catalog'!$G$5:$G$914,"")</f>
        <v/>
      </c>
      <c r="F617" t="str">
        <f>_xlfn.XLOOKUP(D617,'[2]8A. Master Device Catalog'!$F$5:$F$914,'[2]8A. Master Device Catalog'!$H$5:$H$914,"")</f>
        <v/>
      </c>
    </row>
    <row r="618" spans="1:6" ht="21.5" x14ac:dyDescent="0.9">
      <c r="A618" t="s">
        <v>4560</v>
      </c>
      <c r="B618" s="59" t="s">
        <v>4561</v>
      </c>
      <c r="C618" s="59" t="s">
        <v>4562</v>
      </c>
      <c r="D618" s="61" t="s">
        <v>4563</v>
      </c>
      <c r="E618" t="str">
        <f>_xlfn.XLOOKUP(D618,'[2]8A. Master Device Catalog'!$F$5:$F$914,'[2]8A. Master Device Catalog'!$G$5:$G$914,"")</f>
        <v/>
      </c>
      <c r="F618" t="str">
        <f>_xlfn.XLOOKUP(D618,'[2]8A. Master Device Catalog'!$F$5:$F$914,'[2]8A. Master Device Catalog'!$H$5:$H$914,"")</f>
        <v/>
      </c>
    </row>
    <row r="619" spans="1:6" ht="21.5" x14ac:dyDescent="0.9">
      <c r="A619" t="s">
        <v>4564</v>
      </c>
      <c r="B619" s="59" t="s">
        <v>4561</v>
      </c>
      <c r="C619" s="59" t="s">
        <v>4562</v>
      </c>
      <c r="D619" s="61" t="s">
        <v>4565</v>
      </c>
      <c r="E619" t="str">
        <f>_xlfn.XLOOKUP(D619,'[2]8A. Master Device Catalog'!$F$5:$F$914,'[2]8A. Master Device Catalog'!$G$5:$G$914,"")</f>
        <v/>
      </c>
      <c r="F619" t="str">
        <f>_xlfn.XLOOKUP(D619,'[2]8A. Master Device Catalog'!$F$5:$F$914,'[2]8A. Master Device Catalog'!$H$5:$H$914,"")</f>
        <v/>
      </c>
    </row>
    <row r="620" spans="1:6" ht="21.5" x14ac:dyDescent="0.9">
      <c r="A620" t="s">
        <v>4566</v>
      </c>
      <c r="B620" s="59" t="s">
        <v>4561</v>
      </c>
      <c r="C620" s="59" t="s">
        <v>4562</v>
      </c>
      <c r="D620" s="61" t="s">
        <v>4567</v>
      </c>
      <c r="E620" t="str">
        <f>_xlfn.XLOOKUP(D620,'[2]8A. Master Device Catalog'!$F$5:$F$914,'[2]8A. Master Device Catalog'!$G$5:$G$914,"")</f>
        <v/>
      </c>
      <c r="F620" t="str">
        <f>_xlfn.XLOOKUP(D620,'[2]8A. Master Device Catalog'!$F$5:$F$914,'[2]8A. Master Device Catalog'!$H$5:$H$914,"")</f>
        <v/>
      </c>
    </row>
    <row r="621" spans="1:6" ht="21.5" x14ac:dyDescent="0.9">
      <c r="A621" t="s">
        <v>4568</v>
      </c>
      <c r="B621" s="59" t="s">
        <v>4561</v>
      </c>
      <c r="C621" s="59" t="s">
        <v>4562</v>
      </c>
      <c r="D621" s="61" t="s">
        <v>4569</v>
      </c>
      <c r="E621" t="str">
        <f>_xlfn.XLOOKUP(D621,'[2]8A. Master Device Catalog'!$F$5:$F$914,'[2]8A. Master Device Catalog'!$G$5:$G$914,"")</f>
        <v/>
      </c>
      <c r="F621" t="str">
        <f>_xlfn.XLOOKUP(D621,'[2]8A. Master Device Catalog'!$F$5:$F$914,'[2]8A. Master Device Catalog'!$H$5:$H$914,"")</f>
        <v/>
      </c>
    </row>
    <row r="622" spans="1:6" ht="21.5" x14ac:dyDescent="0.9">
      <c r="A622" t="s">
        <v>4570</v>
      </c>
      <c r="B622" s="59" t="s">
        <v>4571</v>
      </c>
      <c r="C622" s="59" t="s">
        <v>4572</v>
      </c>
      <c r="D622" s="61" t="s">
        <v>4573</v>
      </c>
      <c r="E622" t="str">
        <f>_xlfn.XLOOKUP(D622,'[2]8A. Master Device Catalog'!$F$5:$F$914,'[2]8A. Master Device Catalog'!$G$5:$G$914,"")</f>
        <v/>
      </c>
      <c r="F622" t="str">
        <f>_xlfn.XLOOKUP(D622,'[2]8A. Master Device Catalog'!$F$5:$F$914,'[2]8A. Master Device Catalog'!$H$5:$H$914,"")</f>
        <v/>
      </c>
    </row>
    <row r="623" spans="1:6" ht="21.5" x14ac:dyDescent="0.9">
      <c r="A623" t="s">
        <v>4574</v>
      </c>
      <c r="B623" s="59" t="s">
        <v>4571</v>
      </c>
      <c r="C623" s="59" t="s">
        <v>4572</v>
      </c>
      <c r="D623" s="61" t="s">
        <v>4575</v>
      </c>
      <c r="E623" t="str">
        <f>_xlfn.XLOOKUP(D623,'[2]8A. Master Device Catalog'!$F$5:$F$914,'[2]8A. Master Device Catalog'!$G$5:$G$914,"")</f>
        <v/>
      </c>
      <c r="F623" t="str">
        <f>_xlfn.XLOOKUP(D623,'[2]8A. Master Device Catalog'!$F$5:$F$914,'[2]8A. Master Device Catalog'!$H$5:$H$914,"")</f>
        <v/>
      </c>
    </row>
    <row r="624" spans="1:6" ht="21.5" x14ac:dyDescent="0.9">
      <c r="A624" t="s">
        <v>4576</v>
      </c>
      <c r="B624" s="59" t="s">
        <v>4571</v>
      </c>
      <c r="C624" s="59" t="s">
        <v>4572</v>
      </c>
      <c r="D624" s="61" t="s">
        <v>4577</v>
      </c>
      <c r="E624" t="str">
        <f>_xlfn.XLOOKUP(D624,'[2]8A. Master Device Catalog'!$F$5:$F$914,'[2]8A. Master Device Catalog'!$G$5:$G$914,"")</f>
        <v/>
      </c>
      <c r="F624" t="str">
        <f>_xlfn.XLOOKUP(D624,'[2]8A. Master Device Catalog'!$F$5:$F$914,'[2]8A. Master Device Catalog'!$H$5:$H$914,"")</f>
        <v/>
      </c>
    </row>
    <row r="625" spans="1:6" ht="21.5" x14ac:dyDescent="0.9">
      <c r="A625" t="s">
        <v>4578</v>
      </c>
      <c r="B625" s="59" t="s">
        <v>4571</v>
      </c>
      <c r="C625" s="59" t="s">
        <v>4572</v>
      </c>
      <c r="D625" s="61" t="s">
        <v>4579</v>
      </c>
      <c r="E625" t="str">
        <f>_xlfn.XLOOKUP(D625,'[2]8A. Master Device Catalog'!$F$5:$F$914,'[2]8A. Master Device Catalog'!$G$5:$G$914,"")</f>
        <v/>
      </c>
      <c r="F625" t="str">
        <f>_xlfn.XLOOKUP(D625,'[2]8A. Master Device Catalog'!$F$5:$F$914,'[2]8A. Master Device Catalog'!$H$5:$H$914,"")</f>
        <v/>
      </c>
    </row>
    <row r="626" spans="1:6" ht="21.5" x14ac:dyDescent="0.35">
      <c r="A626" t="s">
        <v>4580</v>
      </c>
      <c r="B626" s="59" t="s">
        <v>3756</v>
      </c>
      <c r="C626" s="59" t="s">
        <v>4572</v>
      </c>
      <c r="D626" s="60" t="s">
        <v>3078</v>
      </c>
      <c r="E626" t="str">
        <f>_xlfn.XLOOKUP(D626,'[2]8A. Master Device Catalog'!$F$5:$F$914,'[2]8A. Master Device Catalog'!$G$5:$G$914,"")</f>
        <v>A1219</v>
      </c>
      <c r="F626">
        <f>_xlfn.XLOOKUP(D626,'[2]8A. Master Device Catalog'!$F$5:$F$914,'[2]8A. Master Device Catalog'!$H$5:$H$914,"")</f>
        <v>2010</v>
      </c>
    </row>
    <row r="627" spans="1:6" ht="21.5" x14ac:dyDescent="0.35">
      <c r="A627" t="s">
        <v>4581</v>
      </c>
      <c r="B627" s="59" t="s">
        <v>3756</v>
      </c>
      <c r="C627" s="59" t="s">
        <v>4572</v>
      </c>
      <c r="D627" s="60" t="s">
        <v>3067</v>
      </c>
      <c r="E627" t="str">
        <f>_xlfn.XLOOKUP(D627,'[2]8A. Master Device Catalog'!$F$5:$F$914,'[2]8A. Master Device Catalog'!$G$5:$G$914,"")</f>
        <v>A1416</v>
      </c>
      <c r="F627">
        <f>_xlfn.XLOOKUP(D627,'[2]8A. Master Device Catalog'!$F$5:$F$914,'[2]8A. Master Device Catalog'!$H$5:$H$914,"")</f>
        <v>2012</v>
      </c>
    </row>
    <row r="628" spans="1:6" ht="21.5" x14ac:dyDescent="0.35">
      <c r="A628" t="s">
        <v>4582</v>
      </c>
      <c r="B628" s="59" t="s">
        <v>3756</v>
      </c>
      <c r="C628" s="59" t="s">
        <v>4572</v>
      </c>
      <c r="D628" s="60" t="s">
        <v>3073</v>
      </c>
      <c r="E628" t="str">
        <f>_xlfn.XLOOKUP(D628,'[2]8A. Master Device Catalog'!$F$5:$F$914,'[2]8A. Master Device Catalog'!$G$5:$G$914,"")</f>
        <v>A1395</v>
      </c>
      <c r="F628">
        <f>_xlfn.XLOOKUP(D628,'[2]8A. Master Device Catalog'!$F$5:$F$914,'[2]8A. Master Device Catalog'!$H$5:$H$914,"")</f>
        <v>2011</v>
      </c>
    </row>
    <row r="629" spans="1:6" ht="21.5" x14ac:dyDescent="0.35">
      <c r="A629" t="s">
        <v>4583</v>
      </c>
      <c r="B629" s="59" t="s">
        <v>3756</v>
      </c>
      <c r="C629" s="59" t="s">
        <v>4572</v>
      </c>
      <c r="D629" s="60" t="s">
        <v>3061</v>
      </c>
      <c r="E629" t="str">
        <f>_xlfn.XLOOKUP(D629,'[2]8A. Master Device Catalog'!$F$5:$F$914,'[2]8A. Master Device Catalog'!$G$5:$G$914,"")</f>
        <v>A1458</v>
      </c>
      <c r="F629">
        <f>_xlfn.XLOOKUP(D629,'[2]8A. Master Device Catalog'!$F$5:$F$914,'[2]8A. Master Device Catalog'!$H$5:$H$914,"")</f>
        <v>2012</v>
      </c>
    </row>
    <row r="630" spans="1:6" ht="21.5" x14ac:dyDescent="0.35">
      <c r="A630" t="s">
        <v>4584</v>
      </c>
      <c r="B630" s="59" t="s">
        <v>3756</v>
      </c>
      <c r="C630" s="59" t="s">
        <v>4572</v>
      </c>
      <c r="D630" s="60" t="s">
        <v>3058</v>
      </c>
      <c r="E630" t="str">
        <f>_xlfn.XLOOKUP(D630,'[2]8A. Master Device Catalog'!$F$5:$F$914,'[2]8A. Master Device Catalog'!$G$5:$G$914,"")</f>
        <v>A1822</v>
      </c>
      <c r="F630">
        <f>_xlfn.XLOOKUP(D630,'[2]8A. Master Device Catalog'!$F$5:$F$914,'[2]8A. Master Device Catalog'!$H$5:$H$914,"")</f>
        <v>2017</v>
      </c>
    </row>
    <row r="631" spans="1:6" ht="21.5" x14ac:dyDescent="0.35">
      <c r="A631" t="s">
        <v>4585</v>
      </c>
      <c r="B631" s="59" t="s">
        <v>3756</v>
      </c>
      <c r="C631" s="59" t="s">
        <v>4572</v>
      </c>
      <c r="D631" s="60" t="s">
        <v>3054</v>
      </c>
      <c r="E631" t="str">
        <f>_xlfn.XLOOKUP(D631,'[2]8A. Master Device Catalog'!$F$5:$F$914,'[2]8A. Master Device Catalog'!$G$5:$G$914,"")</f>
        <v>A1893</v>
      </c>
      <c r="F631">
        <f>_xlfn.XLOOKUP(D631,'[2]8A. Master Device Catalog'!$F$5:$F$914,'[2]8A. Master Device Catalog'!$H$5:$H$914,"")</f>
        <v>2018</v>
      </c>
    </row>
    <row r="632" spans="1:6" ht="21.5" x14ac:dyDescent="0.35">
      <c r="A632" t="s">
        <v>4586</v>
      </c>
      <c r="B632" s="59" t="s">
        <v>3756</v>
      </c>
      <c r="C632" s="59" t="s">
        <v>4572</v>
      </c>
      <c r="D632" s="60" t="s">
        <v>3051</v>
      </c>
      <c r="E632" t="str">
        <f>_xlfn.XLOOKUP(D632,'[2]8A. Master Device Catalog'!$F$5:$F$914,'[2]8A. Master Device Catalog'!$G$5:$G$914,"")</f>
        <v>A2197</v>
      </c>
      <c r="F632">
        <f>_xlfn.XLOOKUP(D632,'[2]8A. Master Device Catalog'!$F$5:$F$914,'[2]8A. Master Device Catalog'!$H$5:$H$914,"")</f>
        <v>2019</v>
      </c>
    </row>
    <row r="633" spans="1:6" ht="21.5" x14ac:dyDescent="0.35">
      <c r="A633" t="s">
        <v>4587</v>
      </c>
      <c r="B633" s="59" t="s">
        <v>3756</v>
      </c>
      <c r="C633" s="59" t="s">
        <v>4572</v>
      </c>
      <c r="D633" s="60" t="s">
        <v>3046</v>
      </c>
      <c r="E633" t="str">
        <f>_xlfn.XLOOKUP(D633,'[2]8A. Master Device Catalog'!$F$5:$F$914,'[2]8A. Master Device Catalog'!$G$5:$G$914,"")</f>
        <v>A2270</v>
      </c>
      <c r="F633">
        <f>_xlfn.XLOOKUP(D633,'[2]8A. Master Device Catalog'!$F$5:$F$914,'[2]8A. Master Device Catalog'!$H$5:$H$914,"")</f>
        <v>2020</v>
      </c>
    </row>
    <row r="634" spans="1:6" ht="21.5" x14ac:dyDescent="0.35">
      <c r="A634" t="s">
        <v>4588</v>
      </c>
      <c r="B634" s="59" t="s">
        <v>3756</v>
      </c>
      <c r="C634" s="59" t="s">
        <v>4572</v>
      </c>
      <c r="D634" s="60" t="s">
        <v>3041</v>
      </c>
      <c r="E634" t="str">
        <f>_xlfn.XLOOKUP(D634,'[2]8A. Master Device Catalog'!$F$5:$F$914,'[2]8A. Master Device Catalog'!$G$5:$G$914,"")</f>
        <v>A2602</v>
      </c>
      <c r="F634">
        <f>_xlfn.XLOOKUP(D634,'[2]8A. Master Device Catalog'!$F$5:$F$914,'[2]8A. Master Device Catalog'!$H$5:$H$914,"")</f>
        <v>2021</v>
      </c>
    </row>
    <row r="635" spans="1:6" ht="21.5" x14ac:dyDescent="0.35">
      <c r="A635" t="s">
        <v>4589</v>
      </c>
      <c r="B635" s="59" t="s">
        <v>3756</v>
      </c>
      <c r="C635" s="59" t="s">
        <v>4572</v>
      </c>
      <c r="D635" s="60" t="s">
        <v>3035</v>
      </c>
      <c r="E635" t="str">
        <f>_xlfn.XLOOKUP(D635,'[2]8A. Master Device Catalog'!$F$5:$F$914,'[2]8A. Master Device Catalog'!$G$5:$G$914,"")</f>
        <v>A2696</v>
      </c>
      <c r="F635">
        <f>_xlfn.XLOOKUP(D635,'[2]8A. Master Device Catalog'!$F$5:$F$914,'[2]8A. Master Device Catalog'!$H$5:$H$914,"")</f>
        <v>2022</v>
      </c>
    </row>
    <row r="636" spans="1:6" ht="21.5" x14ac:dyDescent="0.35">
      <c r="A636" t="s">
        <v>4590</v>
      </c>
      <c r="B636" s="59" t="s">
        <v>3756</v>
      </c>
      <c r="C636" s="59" t="s">
        <v>4572</v>
      </c>
      <c r="D636" s="60" t="s">
        <v>3030</v>
      </c>
      <c r="E636" t="str">
        <f>_xlfn.XLOOKUP(D636,'[2]8A. Master Device Catalog'!$F$5:$F$914,'[2]8A. Master Device Catalog'!$G$5:$G$914,"")</f>
        <v>A1432</v>
      </c>
      <c r="F636">
        <f>_xlfn.XLOOKUP(D636,'[2]8A. Master Device Catalog'!$F$5:$F$914,'[2]8A. Master Device Catalog'!$H$5:$H$914,"")</f>
        <v>2012</v>
      </c>
    </row>
    <row r="637" spans="1:6" ht="21.5" x14ac:dyDescent="0.35">
      <c r="A637" t="s">
        <v>4591</v>
      </c>
      <c r="B637" s="59" t="s">
        <v>3756</v>
      </c>
      <c r="C637" s="59" t="s">
        <v>4572</v>
      </c>
      <c r="D637" s="60" t="s">
        <v>3025</v>
      </c>
      <c r="E637" t="str">
        <f>_xlfn.XLOOKUP(D637,'[2]8A. Master Device Catalog'!$F$5:$F$914,'[2]8A. Master Device Catalog'!$G$5:$G$914,"")</f>
        <v>A1489</v>
      </c>
      <c r="F637">
        <f>_xlfn.XLOOKUP(D637,'[2]8A. Master Device Catalog'!$F$5:$F$914,'[2]8A. Master Device Catalog'!$H$5:$H$914,"")</f>
        <v>2013</v>
      </c>
    </row>
    <row r="638" spans="1:6" ht="21.5" x14ac:dyDescent="0.35">
      <c r="A638" t="s">
        <v>4592</v>
      </c>
      <c r="B638" s="59" t="s">
        <v>3756</v>
      </c>
      <c r="C638" s="59" t="s">
        <v>4572</v>
      </c>
      <c r="D638" s="60" t="s">
        <v>3020</v>
      </c>
      <c r="E638" t="str">
        <f>_xlfn.XLOOKUP(D638,'[2]8A. Master Device Catalog'!$F$5:$F$914,'[2]8A. Master Device Catalog'!$G$5:$G$914,"")</f>
        <v>A1599</v>
      </c>
      <c r="F638">
        <f>_xlfn.XLOOKUP(D638,'[2]8A. Master Device Catalog'!$F$5:$F$914,'[2]8A. Master Device Catalog'!$H$5:$H$914,"")</f>
        <v>2014</v>
      </c>
    </row>
    <row r="639" spans="1:6" ht="21.5" x14ac:dyDescent="0.35">
      <c r="A639" t="s">
        <v>4593</v>
      </c>
      <c r="B639" s="59" t="s">
        <v>3756</v>
      </c>
      <c r="C639" s="59" t="s">
        <v>4572</v>
      </c>
      <c r="D639" s="60" t="s">
        <v>3015</v>
      </c>
      <c r="E639" t="str">
        <f>_xlfn.XLOOKUP(D639,'[2]8A. Master Device Catalog'!$F$5:$F$914,'[2]8A. Master Device Catalog'!$G$5:$G$914,"")</f>
        <v>A1538</v>
      </c>
      <c r="F639">
        <f>_xlfn.XLOOKUP(D639,'[2]8A. Master Device Catalog'!$F$5:$F$914,'[2]8A. Master Device Catalog'!$H$5:$H$914,"")</f>
        <v>2015</v>
      </c>
    </row>
    <row r="640" spans="1:6" ht="21.5" x14ac:dyDescent="0.35">
      <c r="A640" t="s">
        <v>4594</v>
      </c>
      <c r="B640" s="59" t="s">
        <v>3756</v>
      </c>
      <c r="C640" s="59" t="s">
        <v>4572</v>
      </c>
      <c r="D640" s="60" t="s">
        <v>3010</v>
      </c>
      <c r="E640" t="str">
        <f>_xlfn.XLOOKUP(D640,'[2]8A. Master Device Catalog'!$F$5:$F$914,'[2]8A. Master Device Catalog'!$G$5:$G$914,"")</f>
        <v>A2133</v>
      </c>
      <c r="F640">
        <f>_xlfn.XLOOKUP(D640,'[2]8A. Master Device Catalog'!$F$5:$F$914,'[2]8A. Master Device Catalog'!$H$5:$H$914,"")</f>
        <v>2019</v>
      </c>
    </row>
    <row r="641" spans="1:6" ht="21.5" x14ac:dyDescent="0.35">
      <c r="A641" t="s">
        <v>4595</v>
      </c>
      <c r="B641" s="59" t="s">
        <v>3756</v>
      </c>
      <c r="C641" s="59" t="s">
        <v>4572</v>
      </c>
      <c r="D641" s="60" t="s">
        <v>3004</v>
      </c>
      <c r="E641" t="str">
        <f>_xlfn.XLOOKUP(D641,'[2]8A. Master Device Catalog'!$F$5:$F$914,'[2]8A. Master Device Catalog'!$G$5:$G$914,"")</f>
        <v>A2567</v>
      </c>
      <c r="F641">
        <f>_xlfn.XLOOKUP(D641,'[2]8A. Master Device Catalog'!$F$5:$F$914,'[2]8A. Master Device Catalog'!$H$5:$H$914,"")</f>
        <v>2021</v>
      </c>
    </row>
    <row r="642" spans="1:6" ht="21.5" x14ac:dyDescent="0.35">
      <c r="A642" t="s">
        <v>4596</v>
      </c>
      <c r="B642" s="59" t="s">
        <v>3756</v>
      </c>
      <c r="C642" s="59" t="s">
        <v>4572</v>
      </c>
      <c r="D642" s="60" t="s">
        <v>2999</v>
      </c>
      <c r="E642" t="str">
        <f>_xlfn.XLOOKUP(D642,'[2]8A. Master Device Catalog'!$F$5:$F$914,'[2]8A. Master Device Catalog'!$G$5:$G$914,"")</f>
        <v>A1474</v>
      </c>
      <c r="F642">
        <f>_xlfn.XLOOKUP(D642,'[2]8A. Master Device Catalog'!$F$5:$F$914,'[2]8A. Master Device Catalog'!$H$5:$H$914,"")</f>
        <v>2013</v>
      </c>
    </row>
    <row r="643" spans="1:6" ht="21.5" x14ac:dyDescent="0.35">
      <c r="A643" t="s">
        <v>4597</v>
      </c>
      <c r="B643" s="59" t="s">
        <v>3756</v>
      </c>
      <c r="C643" s="59" t="s">
        <v>4572</v>
      </c>
      <c r="D643" s="60" t="s">
        <v>2994</v>
      </c>
      <c r="E643" t="str">
        <f>_xlfn.XLOOKUP(D643,'[2]8A. Master Device Catalog'!$F$5:$F$914,'[2]8A. Master Device Catalog'!$G$5:$G$914,"")</f>
        <v>A1566</v>
      </c>
      <c r="F643">
        <f>_xlfn.XLOOKUP(D643,'[2]8A. Master Device Catalog'!$F$5:$F$914,'[2]8A. Master Device Catalog'!$H$5:$H$914,"")</f>
        <v>2014</v>
      </c>
    </row>
    <row r="644" spans="1:6" ht="21.5" x14ac:dyDescent="0.35">
      <c r="A644" t="s">
        <v>4598</v>
      </c>
      <c r="B644" s="59" t="s">
        <v>3756</v>
      </c>
      <c r="C644" s="59" t="s">
        <v>4572</v>
      </c>
      <c r="D644" s="60" t="s">
        <v>2989</v>
      </c>
      <c r="E644" t="str">
        <f>_xlfn.XLOOKUP(D644,'[2]8A. Master Device Catalog'!$F$5:$F$914,'[2]8A. Master Device Catalog'!$G$5:$G$914,"")</f>
        <v>A2152</v>
      </c>
      <c r="F644">
        <f>_xlfn.XLOOKUP(D644,'[2]8A. Master Device Catalog'!$F$5:$F$914,'[2]8A. Master Device Catalog'!$H$5:$H$914,"")</f>
        <v>2019</v>
      </c>
    </row>
    <row r="645" spans="1:6" ht="21.5" x14ac:dyDescent="0.35">
      <c r="A645" t="s">
        <v>4599</v>
      </c>
      <c r="B645" s="59" t="s">
        <v>3756</v>
      </c>
      <c r="C645" s="59" t="s">
        <v>4572</v>
      </c>
      <c r="D645" s="60" t="s">
        <v>2984</v>
      </c>
      <c r="E645" t="str">
        <f>_xlfn.XLOOKUP(D645,'[2]8A. Master Device Catalog'!$F$5:$F$914,'[2]8A. Master Device Catalog'!$G$5:$G$914,"")</f>
        <v>A2316</v>
      </c>
      <c r="F645">
        <f>_xlfn.XLOOKUP(D645,'[2]8A. Master Device Catalog'!$F$5:$F$914,'[2]8A. Master Device Catalog'!$H$5:$H$914,"")</f>
        <v>2020</v>
      </c>
    </row>
    <row r="646" spans="1:6" ht="21.5" x14ac:dyDescent="0.35">
      <c r="A646" t="s">
        <v>4600</v>
      </c>
      <c r="B646" s="59" t="s">
        <v>3756</v>
      </c>
      <c r="C646" s="59" t="s">
        <v>4572</v>
      </c>
      <c r="D646" s="60" t="s">
        <v>2979</v>
      </c>
      <c r="E646" t="str">
        <f>_xlfn.XLOOKUP(D646,'[2]8A. Master Device Catalog'!$F$5:$F$914,'[2]8A. Master Device Catalog'!$G$5:$G$914,"")</f>
        <v>A2588</v>
      </c>
      <c r="F646">
        <f>_xlfn.XLOOKUP(D646,'[2]8A. Master Device Catalog'!$F$5:$F$914,'[2]8A. Master Device Catalog'!$H$5:$H$914,"")</f>
        <v>2022</v>
      </c>
    </row>
    <row r="647" spans="1:6" ht="21.5" x14ac:dyDescent="0.35">
      <c r="A647" t="s">
        <v>4601</v>
      </c>
      <c r="B647" s="59" t="s">
        <v>3756</v>
      </c>
      <c r="C647" s="59" t="s">
        <v>4572</v>
      </c>
      <c r="D647" s="60" t="s">
        <v>2974</v>
      </c>
      <c r="E647" t="str">
        <f>_xlfn.XLOOKUP(D647,'[2]8A. Master Device Catalog'!$F$5:$F$914,'[2]8A. Master Device Catalog'!$G$5:$G$914,"")</f>
        <v>A2902</v>
      </c>
      <c r="F647">
        <f>_xlfn.XLOOKUP(D647,'[2]8A. Master Device Catalog'!$F$5:$F$914,'[2]8A. Master Device Catalog'!$H$5:$H$914,"")</f>
        <v>2024</v>
      </c>
    </row>
    <row r="648" spans="1:6" ht="21.5" x14ac:dyDescent="0.35">
      <c r="A648" t="s">
        <v>4602</v>
      </c>
      <c r="B648" s="59" t="s">
        <v>3756</v>
      </c>
      <c r="C648" s="59" t="s">
        <v>4572</v>
      </c>
      <c r="D648" s="60" t="s">
        <v>2968</v>
      </c>
      <c r="E648" t="str">
        <f>_xlfn.XLOOKUP(D648,'[2]8A. Master Device Catalog'!$F$5:$F$914,'[2]8A. Master Device Catalog'!$G$5:$G$914,"")</f>
        <v>A2898</v>
      </c>
      <c r="F648">
        <f>_xlfn.XLOOKUP(D648,'[2]8A. Master Device Catalog'!$F$5:$F$914,'[2]8A. Master Device Catalog'!$H$5:$H$914,"")</f>
        <v>2024</v>
      </c>
    </row>
    <row r="649" spans="1:6" ht="21.5" x14ac:dyDescent="0.35">
      <c r="A649" t="s">
        <v>4603</v>
      </c>
      <c r="B649" s="59" t="s">
        <v>3756</v>
      </c>
      <c r="C649" s="59" t="s">
        <v>4572</v>
      </c>
      <c r="D649" s="60" t="s">
        <v>2965</v>
      </c>
      <c r="E649" t="str">
        <f>_xlfn.XLOOKUP(D649,'[2]8A. Master Device Catalog'!$F$5:$F$914,'[2]8A. Master Device Catalog'!$G$5:$G$914,"")</f>
        <v>A1584</v>
      </c>
      <c r="F649">
        <f>_xlfn.XLOOKUP(D649,'[2]8A. Master Device Catalog'!$F$5:$F$914,'[2]8A. Master Device Catalog'!$H$5:$H$914,"")</f>
        <v>2015</v>
      </c>
    </row>
    <row r="650" spans="1:6" ht="21.5" x14ac:dyDescent="0.35">
      <c r="A650" t="s">
        <v>4604</v>
      </c>
      <c r="B650" s="59" t="s">
        <v>3756</v>
      </c>
      <c r="C650" s="59" t="s">
        <v>4572</v>
      </c>
      <c r="D650" s="60" t="s">
        <v>2961</v>
      </c>
      <c r="E650" t="str">
        <f>_xlfn.XLOOKUP(D650,'[2]8A. Master Device Catalog'!$F$5:$F$914,'[2]8A. Master Device Catalog'!$G$5:$G$914,"")</f>
        <v>A1673</v>
      </c>
      <c r="F650">
        <f>_xlfn.XLOOKUP(D650,'[2]8A. Master Device Catalog'!$F$5:$F$914,'[2]8A. Master Device Catalog'!$H$5:$H$914,"")</f>
        <v>2016</v>
      </c>
    </row>
    <row r="651" spans="1:6" ht="21.5" x14ac:dyDescent="0.35">
      <c r="A651" t="s">
        <v>4605</v>
      </c>
      <c r="B651" s="59" t="s">
        <v>3756</v>
      </c>
      <c r="C651" s="59" t="s">
        <v>4572</v>
      </c>
      <c r="D651" s="60" t="s">
        <v>2958</v>
      </c>
      <c r="E651" t="str">
        <f>_xlfn.XLOOKUP(D651,'[2]8A. Master Device Catalog'!$F$5:$F$914,'[2]8A. Master Device Catalog'!$G$5:$G$914,"")</f>
        <v>A1701</v>
      </c>
      <c r="F651">
        <f>_xlfn.XLOOKUP(D651,'[2]8A. Master Device Catalog'!$F$5:$F$914,'[2]8A. Master Device Catalog'!$H$5:$H$914,"")</f>
        <v>2017</v>
      </c>
    </row>
    <row r="652" spans="1:6" ht="21.5" x14ac:dyDescent="0.35">
      <c r="A652" t="s">
        <v>4606</v>
      </c>
      <c r="B652" s="59" t="s">
        <v>3756</v>
      </c>
      <c r="C652" s="59" t="s">
        <v>4572</v>
      </c>
      <c r="D652" s="60" t="s">
        <v>2953</v>
      </c>
      <c r="E652" t="str">
        <f>_xlfn.XLOOKUP(D652,'[2]8A. Master Device Catalog'!$F$5:$F$914,'[2]8A. Master Device Catalog'!$G$5:$G$914,"")</f>
        <v>A1670</v>
      </c>
      <c r="F652">
        <f>_xlfn.XLOOKUP(D652,'[2]8A. Master Device Catalog'!$F$5:$F$914,'[2]8A. Master Device Catalog'!$H$5:$H$914,"")</f>
        <v>2017</v>
      </c>
    </row>
    <row r="653" spans="1:6" ht="21.5" x14ac:dyDescent="0.35">
      <c r="A653" t="s">
        <v>4607</v>
      </c>
      <c r="B653" s="59" t="s">
        <v>3756</v>
      </c>
      <c r="C653" s="59" t="s">
        <v>4572</v>
      </c>
      <c r="D653" s="60" t="s">
        <v>2948</v>
      </c>
      <c r="E653" t="str">
        <f>_xlfn.XLOOKUP(D653,'[2]8A. Master Device Catalog'!$F$5:$F$914,'[2]8A. Master Device Catalog'!$G$5:$G$914,"")</f>
        <v>A1980</v>
      </c>
      <c r="F653">
        <f>_xlfn.XLOOKUP(D653,'[2]8A. Master Device Catalog'!$F$5:$F$914,'[2]8A. Master Device Catalog'!$H$5:$H$914,"")</f>
        <v>2018</v>
      </c>
    </row>
    <row r="654" spans="1:6" ht="21.5" x14ac:dyDescent="0.35">
      <c r="A654" t="s">
        <v>4608</v>
      </c>
      <c r="B654" s="59" t="s">
        <v>3756</v>
      </c>
      <c r="C654" s="59" t="s">
        <v>4572</v>
      </c>
      <c r="D654" s="60" t="s">
        <v>2943</v>
      </c>
      <c r="E654" t="str">
        <f>_xlfn.XLOOKUP(D654,'[2]8A. Master Device Catalog'!$F$5:$F$914,'[2]8A. Master Device Catalog'!$G$5:$G$914,"")</f>
        <v>A1876</v>
      </c>
      <c r="F654">
        <f>_xlfn.XLOOKUP(D654,'[2]8A. Master Device Catalog'!$F$5:$F$914,'[2]8A. Master Device Catalog'!$H$5:$H$914,"")</f>
        <v>2018</v>
      </c>
    </row>
    <row r="655" spans="1:6" ht="21.5" x14ac:dyDescent="0.35">
      <c r="A655" t="s">
        <v>4609</v>
      </c>
      <c r="B655" s="59" t="s">
        <v>3756</v>
      </c>
      <c r="C655" s="59" t="s">
        <v>4572</v>
      </c>
      <c r="D655" s="60" t="s">
        <v>2938</v>
      </c>
      <c r="E655" t="str">
        <f>_xlfn.XLOOKUP(D655,'[2]8A. Master Device Catalog'!$F$5:$F$914,'[2]8A. Master Device Catalog'!$G$5:$G$914,"")</f>
        <v>A2228</v>
      </c>
      <c r="F655">
        <f>_xlfn.XLOOKUP(D655,'[2]8A. Master Device Catalog'!$F$5:$F$914,'[2]8A. Master Device Catalog'!$H$5:$H$914,"")</f>
        <v>2020</v>
      </c>
    </row>
    <row r="656" spans="1:6" ht="21.5" x14ac:dyDescent="0.35">
      <c r="A656" t="s">
        <v>4610</v>
      </c>
      <c r="B656" s="59" t="s">
        <v>3756</v>
      </c>
      <c r="C656" s="59" t="s">
        <v>4572</v>
      </c>
      <c r="D656" s="60" t="s">
        <v>2933</v>
      </c>
      <c r="E656" t="str">
        <f>_xlfn.XLOOKUP(D656,'[2]8A. Master Device Catalog'!$F$5:$F$914,'[2]8A. Master Device Catalog'!$G$5:$G$914,"")</f>
        <v>A2229</v>
      </c>
      <c r="F656">
        <f>_xlfn.XLOOKUP(D656,'[2]8A. Master Device Catalog'!$F$5:$F$914,'[2]8A. Master Device Catalog'!$H$5:$H$914,"")</f>
        <v>2020</v>
      </c>
    </row>
    <row r="657" spans="1:6" ht="21.5" x14ac:dyDescent="0.35">
      <c r="A657" t="s">
        <v>4611</v>
      </c>
      <c r="B657" s="59" t="s">
        <v>3756</v>
      </c>
      <c r="C657" s="59" t="s">
        <v>4572</v>
      </c>
      <c r="D657" s="60" t="s">
        <v>2928</v>
      </c>
      <c r="E657" t="str">
        <f>_xlfn.XLOOKUP(D657,'[2]8A. Master Device Catalog'!$F$5:$F$914,'[2]8A. Master Device Catalog'!$G$5:$G$914,"")</f>
        <v>A2377</v>
      </c>
      <c r="F657">
        <f>_xlfn.XLOOKUP(D657,'[2]8A. Master Device Catalog'!$F$5:$F$914,'[2]8A. Master Device Catalog'!$H$5:$H$914,"")</f>
        <v>2021</v>
      </c>
    </row>
    <row r="658" spans="1:6" ht="21.5" x14ac:dyDescent="0.35">
      <c r="A658" t="s">
        <v>4612</v>
      </c>
      <c r="B658" s="59" t="s">
        <v>3756</v>
      </c>
      <c r="C658" s="59" t="s">
        <v>4572</v>
      </c>
      <c r="D658" s="60" t="s">
        <v>2923</v>
      </c>
      <c r="E658" t="str">
        <f>_xlfn.XLOOKUP(D658,'[2]8A. Master Device Catalog'!$F$5:$F$914,'[2]8A. Master Device Catalog'!$G$5:$G$914,"")</f>
        <v>A2378</v>
      </c>
      <c r="F658">
        <f>_xlfn.XLOOKUP(D658,'[2]8A. Master Device Catalog'!$F$5:$F$914,'[2]8A. Master Device Catalog'!$H$5:$H$914,"")</f>
        <v>2021</v>
      </c>
    </row>
    <row r="659" spans="1:6" ht="21.5" x14ac:dyDescent="0.35">
      <c r="A659" t="s">
        <v>4613</v>
      </c>
      <c r="B659" s="59" t="s">
        <v>3756</v>
      </c>
      <c r="C659" s="59" t="s">
        <v>4572</v>
      </c>
      <c r="D659" s="60" t="s">
        <v>2918</v>
      </c>
      <c r="E659" t="str">
        <f>_xlfn.XLOOKUP(D659,'[2]8A. Master Device Catalog'!$F$5:$F$914,'[2]8A. Master Device Catalog'!$G$5:$G$914,"")</f>
        <v>A2759</v>
      </c>
      <c r="F659">
        <f>_xlfn.XLOOKUP(D659,'[2]8A. Master Device Catalog'!$F$5:$F$914,'[2]8A. Master Device Catalog'!$H$5:$H$914,"")</f>
        <v>2022</v>
      </c>
    </row>
    <row r="660" spans="1:6" ht="21.5" x14ac:dyDescent="0.35">
      <c r="A660" t="s">
        <v>4614</v>
      </c>
      <c r="B660" s="59" t="s">
        <v>3756</v>
      </c>
      <c r="C660" s="59" t="s">
        <v>4572</v>
      </c>
      <c r="D660" s="60" t="s">
        <v>2913</v>
      </c>
      <c r="E660" t="str">
        <f>_xlfn.XLOOKUP(D660,'[2]8A. Master Device Catalog'!$F$5:$F$914,'[2]8A. Master Device Catalog'!$G$5:$G$914,"")</f>
        <v>A2764</v>
      </c>
      <c r="F660">
        <f>_xlfn.XLOOKUP(D660,'[2]8A. Master Device Catalog'!$F$5:$F$914,'[2]8A. Master Device Catalog'!$H$5:$H$914,"")</f>
        <v>2022</v>
      </c>
    </row>
    <row r="661" spans="1:6" ht="21.5" x14ac:dyDescent="0.35">
      <c r="A661" t="s">
        <v>4615</v>
      </c>
      <c r="B661" s="59" t="s">
        <v>3756</v>
      </c>
      <c r="C661" s="59" t="s">
        <v>4572</v>
      </c>
      <c r="D661" s="60" t="s">
        <v>2908</v>
      </c>
      <c r="E661" t="str">
        <f>_xlfn.XLOOKUP(D661,'[2]8A. Master Device Catalog'!$F$5:$F$914,'[2]8A. Master Device Catalog'!$G$5:$G$914,"")</f>
        <v>A2836</v>
      </c>
      <c r="F661">
        <f>_xlfn.XLOOKUP(D661,'[2]8A. Master Device Catalog'!$F$5:$F$914,'[2]8A. Master Device Catalog'!$H$5:$H$914,"")</f>
        <v>2024</v>
      </c>
    </row>
    <row r="662" spans="1:6" ht="21.5" x14ac:dyDescent="0.35">
      <c r="A662" t="s">
        <v>4616</v>
      </c>
      <c r="B662" s="59" t="s">
        <v>3756</v>
      </c>
      <c r="C662" s="59" t="s">
        <v>4572</v>
      </c>
      <c r="D662" s="60" t="s">
        <v>2904</v>
      </c>
      <c r="E662" t="str">
        <f>_xlfn.XLOOKUP(D662,'[2]8A. Master Device Catalog'!$F$5:$F$914,'[2]8A. Master Device Catalog'!$G$5:$G$914,"")</f>
        <v>A2925</v>
      </c>
      <c r="F662">
        <f>_xlfn.XLOOKUP(D662,'[2]8A. Master Device Catalog'!$F$5:$F$914,'[2]8A. Master Device Catalog'!$H$5:$H$914,"")</f>
        <v>2024</v>
      </c>
    </row>
    <row r="663" spans="1:6" ht="21.5" x14ac:dyDescent="0.9">
      <c r="A663" t="s">
        <v>4617</v>
      </c>
      <c r="B663" s="59" t="s">
        <v>3805</v>
      </c>
      <c r="C663" s="59" t="s">
        <v>4572</v>
      </c>
      <c r="D663" s="61" t="s">
        <v>973</v>
      </c>
      <c r="E663" t="str">
        <f>_xlfn.XLOOKUP(D663,'[2]8A. Master Device Catalog'!$F$5:$F$914,'[2]8A. Master Device Catalog'!$G$5:$G$914,"")</f>
        <v>Z500M</v>
      </c>
      <c r="F663">
        <f>_xlfn.XLOOKUP(D663,'[2]8A. Master Device Catalog'!$F$5:$F$914,'[2]8A. Master Device Catalog'!$H$5:$H$914,"")</f>
        <v>2016</v>
      </c>
    </row>
    <row r="664" spans="1:6" ht="21.5" x14ac:dyDescent="0.9">
      <c r="A664" t="s">
        <v>4618</v>
      </c>
      <c r="B664" s="59" t="s">
        <v>3824</v>
      </c>
      <c r="C664" s="59" t="s">
        <v>4572</v>
      </c>
      <c r="D664" s="61" t="s">
        <v>4619</v>
      </c>
      <c r="E664" t="str">
        <f>_xlfn.XLOOKUP(D664,'[2]8A. Master Device Catalog'!$F$5:$F$914,'[2]8A. Master Device Catalog'!$G$5:$G$914,"")</f>
        <v/>
      </c>
      <c r="F664" t="str">
        <f>_xlfn.XLOOKUP(D664,'[2]8A. Master Device Catalog'!$F$5:$F$914,'[2]8A. Master Device Catalog'!$H$5:$H$914,"")</f>
        <v/>
      </c>
    </row>
    <row r="665" spans="1:6" ht="21.5" x14ac:dyDescent="0.35">
      <c r="A665" t="s">
        <v>4620</v>
      </c>
      <c r="B665" s="59" t="s">
        <v>3824</v>
      </c>
      <c r="C665" s="59" t="s">
        <v>4572</v>
      </c>
      <c r="D665" s="60" t="s">
        <v>1518</v>
      </c>
      <c r="E665" t="str">
        <f>_xlfn.XLOOKUP(D665,'[2]8A. Master Device Catalog'!$F$5:$F$914,'[2]8A. Master Device Catalog'!$G$5:$G$914,"")</f>
        <v>GTU8P</v>
      </c>
      <c r="F665">
        <f>_xlfn.XLOOKUP(D665,'[2]8A. Master Device Catalog'!$F$5:$F$914,'[2]8A. Master Device Catalog'!$H$5:$H$914,"")</f>
        <v>2023</v>
      </c>
    </row>
    <row r="666" spans="1:6" ht="21.5" x14ac:dyDescent="0.35">
      <c r="A666" t="s">
        <v>4621</v>
      </c>
      <c r="B666" s="59" t="s">
        <v>3854</v>
      </c>
      <c r="C666" s="59" t="s">
        <v>4572</v>
      </c>
      <c r="D666" s="60" t="s">
        <v>4622</v>
      </c>
      <c r="E666" t="str">
        <f>_xlfn.XLOOKUP(D666,'[2]8A. Master Device Catalog'!$F$5:$F$914,'[2]8A. Master Device Catalog'!$G$5:$G$914,"")</f>
        <v/>
      </c>
      <c r="F666" t="str">
        <f>_xlfn.XLOOKUP(D666,'[2]8A. Master Device Catalog'!$F$5:$F$914,'[2]8A. Master Device Catalog'!$H$5:$H$914,"")</f>
        <v/>
      </c>
    </row>
    <row r="667" spans="1:6" ht="21.5" x14ac:dyDescent="0.9">
      <c r="A667" t="s">
        <v>4623</v>
      </c>
      <c r="B667" s="59" t="s">
        <v>3856</v>
      </c>
      <c r="C667" s="59" t="s">
        <v>4572</v>
      </c>
      <c r="D667" s="61" t="s">
        <v>4624</v>
      </c>
      <c r="E667" t="str">
        <f>_xlfn.XLOOKUP(D667,'[2]8A. Master Device Catalog'!$F$5:$F$914,'[2]8A. Master Device Catalog'!$G$5:$G$914,"")</f>
        <v/>
      </c>
      <c r="F667" t="str">
        <f>_xlfn.XLOOKUP(D667,'[2]8A. Master Device Catalog'!$F$5:$F$914,'[2]8A. Master Device Catalog'!$H$5:$H$914,"")</f>
        <v/>
      </c>
    </row>
    <row r="668" spans="1:6" ht="21.5" x14ac:dyDescent="0.9">
      <c r="A668" t="s">
        <v>4625</v>
      </c>
      <c r="B668" s="59" t="s">
        <v>3856</v>
      </c>
      <c r="C668" s="59" t="s">
        <v>4572</v>
      </c>
      <c r="D668" s="61" t="s">
        <v>4626</v>
      </c>
      <c r="E668" t="str">
        <f>_xlfn.XLOOKUP(D668,'[2]8A. Master Device Catalog'!$F$5:$F$914,'[2]8A. Master Device Catalog'!$G$5:$G$914,"")</f>
        <v/>
      </c>
      <c r="F668" t="str">
        <f>_xlfn.XLOOKUP(D668,'[2]8A. Master Device Catalog'!$F$5:$F$914,'[2]8A. Master Device Catalog'!$H$5:$H$914,"")</f>
        <v/>
      </c>
    </row>
    <row r="669" spans="1:6" ht="21.5" x14ac:dyDescent="0.9">
      <c r="A669" t="s">
        <v>4627</v>
      </c>
      <c r="B669" s="59" t="s">
        <v>3856</v>
      </c>
      <c r="C669" s="59" t="s">
        <v>4572</v>
      </c>
      <c r="D669" s="61" t="s">
        <v>4628</v>
      </c>
      <c r="E669" t="str">
        <f>_xlfn.XLOOKUP(D669,'[2]8A. Master Device Catalog'!$F$5:$F$914,'[2]8A. Master Device Catalog'!$G$5:$G$914,"")</f>
        <v/>
      </c>
      <c r="F669" t="str">
        <f>_xlfn.XLOOKUP(D669,'[2]8A. Master Device Catalog'!$F$5:$F$914,'[2]8A. Master Device Catalog'!$H$5:$H$914,"")</f>
        <v/>
      </c>
    </row>
    <row r="670" spans="1:6" ht="21.5" x14ac:dyDescent="0.9">
      <c r="A670" t="s">
        <v>4629</v>
      </c>
      <c r="B670" s="59" t="s">
        <v>4387</v>
      </c>
      <c r="C670" s="59" t="s">
        <v>4572</v>
      </c>
      <c r="D670" s="61" t="s">
        <v>375</v>
      </c>
      <c r="E670" t="str">
        <f>_xlfn.XLOOKUP(D670,'[2]8A. Master Device Catalog'!$F$5:$F$914,'[2]8A. Master Device Catalog'!$G$5:$G$914,"")</f>
        <v>14-eu</v>
      </c>
      <c r="F670">
        <f>_xlfn.XLOOKUP(D670,'[2]8A. Master Device Catalog'!$F$5:$F$914,'[2]8A. Master Device Catalog'!$H$5:$H$914,"")</f>
        <v>2024</v>
      </c>
    </row>
    <row r="671" spans="1:6" ht="21.5" x14ac:dyDescent="0.9">
      <c r="A671" t="s">
        <v>4630</v>
      </c>
      <c r="B671" s="59" t="s">
        <v>3863</v>
      </c>
      <c r="C671" s="59" t="s">
        <v>4572</v>
      </c>
      <c r="D671" s="61" t="s">
        <v>4631</v>
      </c>
      <c r="E671" t="str">
        <f>_xlfn.XLOOKUP(D671,'[2]8A. Master Device Catalog'!$F$5:$F$914,'[2]8A. Master Device Catalog'!$G$5:$G$914,"")</f>
        <v/>
      </c>
      <c r="F671" t="str">
        <f>_xlfn.XLOOKUP(D671,'[2]8A. Master Device Catalog'!$F$5:$F$914,'[2]8A. Master Device Catalog'!$H$5:$H$914,"")</f>
        <v/>
      </c>
    </row>
    <row r="672" spans="1:6" ht="21.5" x14ac:dyDescent="0.9">
      <c r="A672" t="s">
        <v>4632</v>
      </c>
      <c r="B672" s="59" t="s">
        <v>3863</v>
      </c>
      <c r="C672" s="59" t="s">
        <v>4572</v>
      </c>
      <c r="D672" s="61" t="s">
        <v>4633</v>
      </c>
      <c r="E672" t="str">
        <f>_xlfn.XLOOKUP(D672,'[2]8A. Master Device Catalog'!$F$5:$F$914,'[2]8A. Master Device Catalog'!$G$5:$G$914,"")</f>
        <v/>
      </c>
      <c r="F672" t="str">
        <f>_xlfn.XLOOKUP(D672,'[2]8A. Master Device Catalog'!$F$5:$F$914,'[2]8A. Master Device Catalog'!$H$5:$H$914,"")</f>
        <v/>
      </c>
    </row>
    <row r="673" spans="1:6" ht="21.5" x14ac:dyDescent="0.9">
      <c r="A673" t="s">
        <v>4634</v>
      </c>
      <c r="B673" s="59" t="s">
        <v>3863</v>
      </c>
      <c r="C673" s="59" t="s">
        <v>4572</v>
      </c>
      <c r="D673" s="61" t="s">
        <v>4635</v>
      </c>
      <c r="E673" t="str">
        <f>_xlfn.XLOOKUP(D673,'[2]8A. Master Device Catalog'!$F$5:$F$914,'[2]8A. Master Device Catalog'!$G$5:$G$914,"")</f>
        <v/>
      </c>
      <c r="F673" t="str">
        <f>_xlfn.XLOOKUP(D673,'[2]8A. Master Device Catalog'!$F$5:$F$914,'[2]8A. Master Device Catalog'!$H$5:$H$914,"")</f>
        <v/>
      </c>
    </row>
    <row r="674" spans="1:6" ht="21.5" x14ac:dyDescent="0.9">
      <c r="A674" t="s">
        <v>4636</v>
      </c>
      <c r="B674" s="59" t="s">
        <v>3863</v>
      </c>
      <c r="C674" s="59" t="s">
        <v>4572</v>
      </c>
      <c r="D674" s="61" t="s">
        <v>4637</v>
      </c>
      <c r="E674" t="str">
        <f>_xlfn.XLOOKUP(D674,'[2]8A. Master Device Catalog'!$F$5:$F$914,'[2]8A. Master Device Catalog'!$G$5:$G$914,"")</f>
        <v/>
      </c>
      <c r="F674" t="str">
        <f>_xlfn.XLOOKUP(D674,'[2]8A. Master Device Catalog'!$F$5:$F$914,'[2]8A. Master Device Catalog'!$H$5:$H$914,"")</f>
        <v/>
      </c>
    </row>
    <row r="675" spans="1:6" ht="21.5" x14ac:dyDescent="0.9">
      <c r="A675" t="s">
        <v>4638</v>
      </c>
      <c r="B675" s="59" t="s">
        <v>3863</v>
      </c>
      <c r="C675" s="59" t="s">
        <v>4572</v>
      </c>
      <c r="D675" s="61" t="s">
        <v>4639</v>
      </c>
      <c r="E675" t="str">
        <f>_xlfn.XLOOKUP(D675,'[2]8A. Master Device Catalog'!$F$5:$F$914,'[2]8A. Master Device Catalog'!$G$5:$G$914,"")</f>
        <v/>
      </c>
      <c r="F675" t="str">
        <f>_xlfn.XLOOKUP(D675,'[2]8A. Master Device Catalog'!$F$5:$F$914,'[2]8A. Master Device Catalog'!$H$5:$H$914,"")</f>
        <v/>
      </c>
    </row>
    <row r="676" spans="1:6" ht="21.5" x14ac:dyDescent="0.9">
      <c r="A676" t="s">
        <v>4640</v>
      </c>
      <c r="B676" s="59" t="s">
        <v>4414</v>
      </c>
      <c r="C676" s="59" t="s">
        <v>4572</v>
      </c>
      <c r="D676" s="61" t="s">
        <v>4641</v>
      </c>
      <c r="E676" t="str">
        <f>_xlfn.XLOOKUP(D676,'[2]8A. Master Device Catalog'!$F$5:$F$914,'[2]8A. Master Device Catalog'!$G$5:$G$914,"")</f>
        <v/>
      </c>
      <c r="F676" t="str">
        <f>_xlfn.XLOOKUP(D676,'[2]8A. Master Device Catalog'!$F$5:$F$914,'[2]8A. Master Device Catalog'!$H$5:$H$914,"")</f>
        <v/>
      </c>
    </row>
    <row r="677" spans="1:6" ht="21.5" x14ac:dyDescent="0.9">
      <c r="A677" t="s">
        <v>4642</v>
      </c>
      <c r="B677" s="59" t="s">
        <v>4414</v>
      </c>
      <c r="C677" s="59" t="s">
        <v>4572</v>
      </c>
      <c r="D677" s="61" t="s">
        <v>4643</v>
      </c>
      <c r="E677" t="str">
        <f>_xlfn.XLOOKUP(D677,'[2]8A. Master Device Catalog'!$F$5:$F$914,'[2]8A. Master Device Catalog'!$G$5:$G$914,"")</f>
        <v/>
      </c>
      <c r="F677" t="str">
        <f>_xlfn.XLOOKUP(D677,'[2]8A. Master Device Catalog'!$F$5:$F$914,'[2]8A. Master Device Catalog'!$H$5:$H$914,"")</f>
        <v/>
      </c>
    </row>
    <row r="678" spans="1:6" ht="21.5" x14ac:dyDescent="0.9">
      <c r="A678" t="s">
        <v>4644</v>
      </c>
      <c r="B678" s="59" t="s">
        <v>4414</v>
      </c>
      <c r="C678" s="59" t="s">
        <v>4572</v>
      </c>
      <c r="D678" s="61" t="s">
        <v>4645</v>
      </c>
      <c r="E678" t="str">
        <f>_xlfn.XLOOKUP(D678,'[2]8A. Master Device Catalog'!$F$5:$F$914,'[2]8A. Master Device Catalog'!$G$5:$G$914,"")</f>
        <v/>
      </c>
      <c r="F678" t="str">
        <f>_xlfn.XLOOKUP(D678,'[2]8A. Master Device Catalog'!$F$5:$F$914,'[2]8A. Master Device Catalog'!$H$5:$H$914,"")</f>
        <v/>
      </c>
    </row>
    <row r="679" spans="1:6" ht="21.5" x14ac:dyDescent="0.9">
      <c r="A679" t="s">
        <v>4646</v>
      </c>
      <c r="B679" s="59" t="s">
        <v>4414</v>
      </c>
      <c r="C679" s="59" t="s">
        <v>4572</v>
      </c>
      <c r="D679" s="61" t="s">
        <v>4647</v>
      </c>
      <c r="E679" t="str">
        <f>_xlfn.XLOOKUP(D679,'[2]8A. Master Device Catalog'!$F$5:$F$914,'[2]8A. Master Device Catalog'!$G$5:$G$914,"")</f>
        <v/>
      </c>
      <c r="F679" t="str">
        <f>_xlfn.XLOOKUP(D679,'[2]8A. Master Device Catalog'!$F$5:$F$914,'[2]8A. Master Device Catalog'!$H$5:$H$914,"")</f>
        <v/>
      </c>
    </row>
    <row r="680" spans="1:6" ht="21.5" x14ac:dyDescent="0.9">
      <c r="A680" t="s">
        <v>4648</v>
      </c>
      <c r="B680" s="59" t="s">
        <v>4449</v>
      </c>
      <c r="C680" s="59" t="s">
        <v>4572</v>
      </c>
      <c r="D680" s="61" t="s">
        <v>4649</v>
      </c>
      <c r="E680" t="str">
        <f>_xlfn.XLOOKUP(D680,'[2]8A. Master Device Catalog'!$F$5:$F$914,'[2]8A. Master Device Catalog'!$G$5:$G$914,"")</f>
        <v/>
      </c>
      <c r="F680" t="str">
        <f>_xlfn.XLOOKUP(D680,'[2]8A. Master Device Catalog'!$F$5:$F$914,'[2]8A. Master Device Catalog'!$H$5:$H$914,"")</f>
        <v/>
      </c>
    </row>
    <row r="681" spans="1:6" ht="21.5" x14ac:dyDescent="0.9">
      <c r="A681" t="s">
        <v>4650</v>
      </c>
      <c r="B681" s="59" t="s">
        <v>4449</v>
      </c>
      <c r="C681" s="59" t="s">
        <v>4572</v>
      </c>
      <c r="D681" s="61" t="s">
        <v>4651</v>
      </c>
      <c r="E681" t="str">
        <f>_xlfn.XLOOKUP(D681,'[2]8A. Master Device Catalog'!$F$5:$F$914,'[2]8A. Master Device Catalog'!$G$5:$G$914,"")</f>
        <v/>
      </c>
      <c r="F681" t="str">
        <f>_xlfn.XLOOKUP(D681,'[2]8A. Master Device Catalog'!$F$5:$F$914,'[2]8A. Master Device Catalog'!$H$5:$H$914,"")</f>
        <v/>
      </c>
    </row>
    <row r="682" spans="1:6" ht="21.5" x14ac:dyDescent="0.9">
      <c r="A682" t="s">
        <v>4652</v>
      </c>
      <c r="B682" s="59" t="s">
        <v>4449</v>
      </c>
      <c r="C682" s="59" t="s">
        <v>4572</v>
      </c>
      <c r="D682" s="61" t="s">
        <v>385</v>
      </c>
      <c r="E682" t="str">
        <f>_xlfn.XLOOKUP(D682,'[2]8A. Master Device Catalog'!$F$5:$F$914,'[2]8A. Master Device Catalog'!$G$5:$G$914,"")</f>
        <v>2076</v>
      </c>
      <c r="F682">
        <f>_xlfn.XLOOKUP(D682,'[2]8A. Master Device Catalog'!$F$5:$F$914,'[2]8A. Master Device Catalog'!$H$5:$H$914,"")</f>
        <v>2024</v>
      </c>
    </row>
    <row r="683" spans="1:6" ht="21.5" x14ac:dyDescent="0.9">
      <c r="A683" t="s">
        <v>4653</v>
      </c>
      <c r="B683" s="59" t="s">
        <v>4449</v>
      </c>
      <c r="C683" s="59" t="s">
        <v>4572</v>
      </c>
      <c r="D683" s="61" t="s">
        <v>4654</v>
      </c>
      <c r="E683" t="str">
        <f>_xlfn.XLOOKUP(D683,'[2]8A. Master Device Catalog'!$F$5:$F$914,'[2]8A. Master Device Catalog'!$G$5:$G$914,"")</f>
        <v/>
      </c>
      <c r="F683" t="str">
        <f>_xlfn.XLOOKUP(D683,'[2]8A. Master Device Catalog'!$F$5:$F$914,'[2]8A. Master Device Catalog'!$H$5:$H$914,"")</f>
        <v/>
      </c>
    </row>
    <row r="684" spans="1:6" ht="21.5" x14ac:dyDescent="0.9">
      <c r="A684" t="s">
        <v>4655</v>
      </c>
      <c r="B684" s="59" t="s">
        <v>4449</v>
      </c>
      <c r="C684" s="59" t="s">
        <v>4572</v>
      </c>
      <c r="D684" s="61" t="s">
        <v>4656</v>
      </c>
      <c r="E684" t="str">
        <f>_xlfn.XLOOKUP(D684,'[2]8A. Master Device Catalog'!$F$5:$F$914,'[2]8A. Master Device Catalog'!$G$5:$G$914,"")</f>
        <v/>
      </c>
      <c r="F684" t="str">
        <f>_xlfn.XLOOKUP(D684,'[2]8A. Master Device Catalog'!$F$5:$F$914,'[2]8A. Master Device Catalog'!$H$5:$H$914,"")</f>
        <v/>
      </c>
    </row>
    <row r="685" spans="1:6" ht="21.5" x14ac:dyDescent="0.9">
      <c r="A685" t="s">
        <v>4657</v>
      </c>
      <c r="B685" s="59" t="s">
        <v>4449</v>
      </c>
      <c r="C685" s="59" t="s">
        <v>4572</v>
      </c>
      <c r="D685" s="61" t="s">
        <v>4658</v>
      </c>
      <c r="E685" t="str">
        <f>_xlfn.XLOOKUP(D685,'[2]8A. Master Device Catalog'!$F$5:$F$914,'[2]8A. Master Device Catalog'!$G$5:$G$914,"")</f>
        <v/>
      </c>
      <c r="F685" t="str">
        <f>_xlfn.XLOOKUP(D685,'[2]8A. Master Device Catalog'!$F$5:$F$914,'[2]8A. Master Device Catalog'!$H$5:$H$914,"")</f>
        <v/>
      </c>
    </row>
    <row r="686" spans="1:6" ht="21.5" x14ac:dyDescent="0.9">
      <c r="A686" t="s">
        <v>4659</v>
      </c>
      <c r="B686" s="59" t="s">
        <v>4449</v>
      </c>
      <c r="C686" s="59" t="s">
        <v>4572</v>
      </c>
      <c r="D686" s="61" t="s">
        <v>4660</v>
      </c>
      <c r="E686" t="str">
        <f>_xlfn.XLOOKUP(D686,'[2]8A. Master Device Catalog'!$F$5:$F$914,'[2]8A. Master Device Catalog'!$G$5:$G$914,"")</f>
        <v/>
      </c>
      <c r="F686" t="str">
        <f>_xlfn.XLOOKUP(D686,'[2]8A. Master Device Catalog'!$F$5:$F$914,'[2]8A. Master Device Catalog'!$H$5:$H$914,"")</f>
        <v/>
      </c>
    </row>
    <row r="687" spans="1:6" ht="21.5" x14ac:dyDescent="0.9">
      <c r="A687" t="s">
        <v>4661</v>
      </c>
      <c r="B687" s="59" t="s">
        <v>4449</v>
      </c>
      <c r="C687" s="59" t="s">
        <v>4572</v>
      </c>
      <c r="D687" s="61" t="s">
        <v>4662</v>
      </c>
      <c r="E687" t="str">
        <f>_xlfn.XLOOKUP(D687,'[2]8A. Master Device Catalog'!$F$5:$F$914,'[2]8A. Master Device Catalog'!$G$5:$G$914,"")</f>
        <v/>
      </c>
      <c r="F687" t="str">
        <f>_xlfn.XLOOKUP(D687,'[2]8A. Master Device Catalog'!$F$5:$F$914,'[2]8A. Master Device Catalog'!$H$5:$H$914,"")</f>
        <v/>
      </c>
    </row>
    <row r="688" spans="1:6" ht="21.5" x14ac:dyDescent="0.35">
      <c r="A688" t="s">
        <v>4663</v>
      </c>
      <c r="B688" s="59" t="s">
        <v>4449</v>
      </c>
      <c r="C688" s="59" t="s">
        <v>4572</v>
      </c>
      <c r="D688" s="60" t="s">
        <v>4664</v>
      </c>
      <c r="E688" t="str">
        <f>_xlfn.XLOOKUP(D688,'[2]8A. Master Device Catalog'!$F$5:$F$914,'[2]8A. Master Device Catalog'!$G$5:$G$914,"")</f>
        <v/>
      </c>
      <c r="F688" t="str">
        <f>_xlfn.XLOOKUP(D688,'[2]8A. Master Device Catalog'!$F$5:$F$914,'[2]8A. Master Device Catalog'!$H$5:$H$914,"")</f>
        <v/>
      </c>
    </row>
    <row r="689" spans="1:6" ht="21.5" x14ac:dyDescent="0.35">
      <c r="A689" t="s">
        <v>4665</v>
      </c>
      <c r="B689" s="59" t="s">
        <v>4449</v>
      </c>
      <c r="C689" s="59" t="s">
        <v>4572</v>
      </c>
      <c r="D689" s="60" t="s">
        <v>4666</v>
      </c>
      <c r="E689" t="str">
        <f>_xlfn.XLOOKUP(D689,'[2]8A. Master Device Catalog'!$F$5:$F$914,'[2]8A. Master Device Catalog'!$G$5:$G$914,"")</f>
        <v/>
      </c>
      <c r="F689" t="str">
        <f>_xlfn.XLOOKUP(D689,'[2]8A. Master Device Catalog'!$F$5:$F$914,'[2]8A. Master Device Catalog'!$H$5:$H$914,"")</f>
        <v/>
      </c>
    </row>
    <row r="690" spans="1:6" ht="21.5" x14ac:dyDescent="0.35">
      <c r="A690" t="s">
        <v>4667</v>
      </c>
      <c r="B690" s="59" t="s">
        <v>4449</v>
      </c>
      <c r="C690" s="59" t="s">
        <v>4572</v>
      </c>
      <c r="D690" s="60" t="s">
        <v>4668</v>
      </c>
      <c r="E690" t="str">
        <f>_xlfn.XLOOKUP(D690,'[2]8A. Master Device Catalog'!$F$5:$F$914,'[2]8A. Master Device Catalog'!$G$5:$G$914,"")</f>
        <v/>
      </c>
      <c r="F690" t="str">
        <f>_xlfn.XLOOKUP(D690,'[2]8A. Master Device Catalog'!$F$5:$F$914,'[2]8A. Master Device Catalog'!$H$5:$H$914,"")</f>
        <v/>
      </c>
    </row>
    <row r="691" spans="1:6" ht="21.5" x14ac:dyDescent="0.35">
      <c r="A691" t="s">
        <v>4669</v>
      </c>
      <c r="B691" s="59" t="s">
        <v>4449</v>
      </c>
      <c r="C691" s="59" t="s">
        <v>4572</v>
      </c>
      <c r="D691" s="60" t="s">
        <v>4670</v>
      </c>
      <c r="E691" t="str">
        <f>_xlfn.XLOOKUP(D691,'[2]8A. Master Device Catalog'!$F$5:$F$914,'[2]8A. Master Device Catalog'!$G$5:$G$914,"")</f>
        <v/>
      </c>
      <c r="F691" t="str">
        <f>_xlfn.XLOOKUP(D691,'[2]8A. Master Device Catalog'!$F$5:$F$914,'[2]8A. Master Device Catalog'!$H$5:$H$914,"")</f>
        <v/>
      </c>
    </row>
    <row r="692" spans="1:6" ht="21.5" x14ac:dyDescent="0.35">
      <c r="A692" t="s">
        <v>4671</v>
      </c>
      <c r="B692" s="59" t="s">
        <v>4449</v>
      </c>
      <c r="C692" s="59" t="s">
        <v>4572</v>
      </c>
      <c r="D692" s="60" t="s">
        <v>4672</v>
      </c>
      <c r="E692" t="str">
        <f>_xlfn.XLOOKUP(D692,'[2]8A. Master Device Catalog'!$F$5:$F$914,'[2]8A. Master Device Catalog'!$G$5:$G$914,"")</f>
        <v/>
      </c>
      <c r="F692" t="str">
        <f>_xlfn.XLOOKUP(D692,'[2]8A. Master Device Catalog'!$F$5:$F$914,'[2]8A. Master Device Catalog'!$H$5:$H$914,"")</f>
        <v/>
      </c>
    </row>
    <row r="693" spans="1:6" ht="21.5" x14ac:dyDescent="0.9">
      <c r="A693" t="s">
        <v>4673</v>
      </c>
      <c r="B693" s="59" t="s">
        <v>4449</v>
      </c>
      <c r="C693" s="59" t="s">
        <v>4572</v>
      </c>
      <c r="D693" s="61" t="s">
        <v>4674</v>
      </c>
      <c r="E693" t="str">
        <f>_xlfn.XLOOKUP(D693,'[2]8A. Master Device Catalog'!$F$5:$F$914,'[2]8A. Master Device Catalog'!$G$5:$G$914,"")</f>
        <v/>
      </c>
      <c r="F693" t="str">
        <f>_xlfn.XLOOKUP(D693,'[2]8A. Master Device Catalog'!$F$5:$F$914,'[2]8A. Master Device Catalog'!$H$5:$H$914,"")</f>
        <v/>
      </c>
    </row>
    <row r="694" spans="1:6" ht="21.5" x14ac:dyDescent="0.9">
      <c r="A694" t="s">
        <v>4675</v>
      </c>
      <c r="B694" s="59" t="s">
        <v>4449</v>
      </c>
      <c r="C694" s="59" t="s">
        <v>4572</v>
      </c>
      <c r="D694" s="61" t="s">
        <v>4676</v>
      </c>
      <c r="E694" t="str">
        <f>_xlfn.XLOOKUP(D694,'[2]8A. Master Device Catalog'!$F$5:$F$914,'[2]8A. Master Device Catalog'!$G$5:$G$914,"")</f>
        <v/>
      </c>
      <c r="F694" t="str">
        <f>_xlfn.XLOOKUP(D694,'[2]8A. Master Device Catalog'!$F$5:$F$914,'[2]8A. Master Device Catalog'!$H$5:$H$914,"")</f>
        <v/>
      </c>
    </row>
    <row r="695" spans="1:6" ht="21.5" x14ac:dyDescent="0.9">
      <c r="A695" t="s">
        <v>4677</v>
      </c>
      <c r="B695" s="59" t="s">
        <v>4449</v>
      </c>
      <c r="C695" s="59" t="s">
        <v>4572</v>
      </c>
      <c r="D695" s="61" t="s">
        <v>4678</v>
      </c>
      <c r="E695" t="str">
        <f>_xlfn.XLOOKUP(D695,'[2]8A. Master Device Catalog'!$F$5:$F$914,'[2]8A. Master Device Catalog'!$G$5:$G$914,"")</f>
        <v/>
      </c>
      <c r="F695" t="str">
        <f>_xlfn.XLOOKUP(D695,'[2]8A. Master Device Catalog'!$F$5:$F$914,'[2]8A. Master Device Catalog'!$H$5:$H$914,"")</f>
        <v/>
      </c>
    </row>
    <row r="696" spans="1:6" ht="21.5" x14ac:dyDescent="0.9">
      <c r="A696" t="s">
        <v>4679</v>
      </c>
      <c r="B696" s="59" t="s">
        <v>4449</v>
      </c>
      <c r="C696" s="59" t="s">
        <v>4572</v>
      </c>
      <c r="D696" s="61" t="s">
        <v>4680</v>
      </c>
      <c r="E696" t="str">
        <f>_xlfn.XLOOKUP(D696,'[2]8A. Master Device Catalog'!$F$5:$F$914,'[2]8A. Master Device Catalog'!$G$5:$G$914,"")</f>
        <v/>
      </c>
      <c r="F696" t="str">
        <f>_xlfn.XLOOKUP(D696,'[2]8A. Master Device Catalog'!$F$5:$F$914,'[2]8A. Master Device Catalog'!$H$5:$H$914,"")</f>
        <v/>
      </c>
    </row>
    <row r="697" spans="1:6" ht="21.5" x14ac:dyDescent="0.9">
      <c r="A697" t="s">
        <v>4681</v>
      </c>
      <c r="B697" s="59" t="s">
        <v>3923</v>
      </c>
      <c r="C697" s="59" t="s">
        <v>4572</v>
      </c>
      <c r="D697" s="61" t="s">
        <v>4682</v>
      </c>
      <c r="E697" t="str">
        <f>_xlfn.XLOOKUP(D697,'[2]8A. Master Device Catalog'!$F$5:$F$914,'[2]8A. Master Device Catalog'!$G$5:$G$914,"")</f>
        <v/>
      </c>
      <c r="F697" t="str">
        <f>_xlfn.XLOOKUP(D697,'[2]8A. Master Device Catalog'!$F$5:$F$914,'[2]8A. Master Device Catalog'!$H$5:$H$914,"")</f>
        <v/>
      </c>
    </row>
    <row r="698" spans="1:6" ht="21.5" x14ac:dyDescent="0.9">
      <c r="A698" t="s">
        <v>4683</v>
      </c>
      <c r="B698" s="59" t="s">
        <v>3923</v>
      </c>
      <c r="C698" s="59" t="s">
        <v>4572</v>
      </c>
      <c r="D698" s="61" t="s">
        <v>4684</v>
      </c>
      <c r="E698" t="str">
        <f>_xlfn.XLOOKUP(D698,'[2]8A. Master Device Catalog'!$F$5:$F$914,'[2]8A. Master Device Catalog'!$G$5:$G$914,"")</f>
        <v/>
      </c>
      <c r="F698" t="str">
        <f>_xlfn.XLOOKUP(D698,'[2]8A. Master Device Catalog'!$F$5:$F$914,'[2]8A. Master Device Catalog'!$H$5:$H$914,"")</f>
        <v/>
      </c>
    </row>
    <row r="699" spans="1:6" ht="21.5" x14ac:dyDescent="0.9">
      <c r="A699" t="s">
        <v>4685</v>
      </c>
      <c r="B699" s="59" t="s">
        <v>3923</v>
      </c>
      <c r="C699" s="59" t="s">
        <v>4572</v>
      </c>
      <c r="D699" s="61" t="s">
        <v>4686</v>
      </c>
      <c r="E699" t="str">
        <f>_xlfn.XLOOKUP(D699,'[2]8A. Master Device Catalog'!$F$5:$F$914,'[2]8A. Master Device Catalog'!$G$5:$G$914,"")</f>
        <v/>
      </c>
      <c r="F699" t="str">
        <f>_xlfn.XLOOKUP(D699,'[2]8A. Master Device Catalog'!$F$5:$F$914,'[2]8A. Master Device Catalog'!$H$5:$H$914,"")</f>
        <v/>
      </c>
    </row>
    <row r="700" spans="1:6" ht="21.5" x14ac:dyDescent="0.9">
      <c r="A700" t="s">
        <v>4687</v>
      </c>
      <c r="B700" s="59" t="s">
        <v>3923</v>
      </c>
      <c r="C700" s="59" t="s">
        <v>4572</v>
      </c>
      <c r="D700" s="61" t="s">
        <v>1054</v>
      </c>
      <c r="E700" t="str">
        <f>_xlfn.XLOOKUP(D700,'[2]8A. Master Device Catalog'!$F$5:$F$914,'[2]8A. Master Device Catalog'!$G$5:$G$914,"")</f>
        <v>TA-1495</v>
      </c>
      <c r="F700">
        <f>_xlfn.XLOOKUP(D700,'[2]8A. Master Device Catalog'!$F$5:$F$914,'[2]8A. Master Device Catalog'!$H$5:$H$914,"")</f>
        <v>2022</v>
      </c>
    </row>
    <row r="701" spans="1:6" ht="21.5" x14ac:dyDescent="0.9">
      <c r="A701" t="s">
        <v>4688</v>
      </c>
      <c r="B701" s="59" t="s">
        <v>3923</v>
      </c>
      <c r="C701" s="59" t="s">
        <v>4572</v>
      </c>
      <c r="D701" s="61" t="s">
        <v>1060</v>
      </c>
      <c r="E701" t="str">
        <f>_xlfn.XLOOKUP(D701,'[2]8A. Master Device Catalog'!$F$5:$F$914,'[2]8A. Master Device Catalog'!$G$5:$G$914,"")</f>
        <v>TA-1462</v>
      </c>
      <c r="F701">
        <f>_xlfn.XLOOKUP(D701,'[2]8A. Master Device Catalog'!$F$5:$F$914,'[2]8A. Master Device Catalog'!$H$5:$H$914,"")</f>
        <v>2022</v>
      </c>
    </row>
    <row r="702" spans="1:6" ht="21.5" x14ac:dyDescent="0.9">
      <c r="A702" t="s">
        <v>4689</v>
      </c>
      <c r="B702" s="59" t="s">
        <v>3947</v>
      </c>
      <c r="C702" s="59" t="s">
        <v>4572</v>
      </c>
      <c r="D702" s="61" t="s">
        <v>840</v>
      </c>
      <c r="E702" t="str">
        <f>_xlfn.XLOOKUP(D702,'[2]8A. Master Device Catalog'!$F$5:$F$914,'[2]8A. Master Device Catalog'!$G$5:$G$914,"")</f>
        <v>OPD2203</v>
      </c>
      <c r="F702">
        <f>_xlfn.XLOOKUP(D702,'[2]8A. Master Device Catalog'!$F$5:$F$914,'[2]8A. Master Device Catalog'!$H$5:$H$914,"")</f>
        <v>2023</v>
      </c>
    </row>
    <row r="703" spans="1:6" ht="21.5" x14ac:dyDescent="0.9">
      <c r="A703" t="s">
        <v>4690</v>
      </c>
      <c r="B703" s="59" t="s">
        <v>3947</v>
      </c>
      <c r="C703" s="59" t="s">
        <v>4572</v>
      </c>
      <c r="D703" s="61" t="s">
        <v>4691</v>
      </c>
      <c r="E703" t="str">
        <f>_xlfn.XLOOKUP(D703,'[2]8A. Master Device Catalog'!$F$5:$F$914,'[2]8A. Master Device Catalog'!$G$5:$G$914,"")</f>
        <v/>
      </c>
      <c r="F703" t="str">
        <f>_xlfn.XLOOKUP(D703,'[2]8A. Master Device Catalog'!$F$5:$F$914,'[2]8A. Master Device Catalog'!$H$5:$H$914,"")</f>
        <v/>
      </c>
    </row>
    <row r="704" spans="1:6" ht="21.5" x14ac:dyDescent="0.9">
      <c r="A704" t="s">
        <v>4692</v>
      </c>
      <c r="B704" s="59" t="s">
        <v>3947</v>
      </c>
      <c r="C704" s="59" t="s">
        <v>4572</v>
      </c>
      <c r="D704" s="61" t="s">
        <v>835</v>
      </c>
      <c r="E704" t="str">
        <f>_xlfn.XLOOKUP(D704,'[2]8A. Master Device Catalog'!$F$5:$F$914,'[2]8A. Master Device Catalog'!$G$5:$G$914,"")</f>
        <v>OPD2404</v>
      </c>
      <c r="F704">
        <f>_xlfn.XLOOKUP(D704,'[2]8A. Master Device Catalog'!$F$5:$F$914,'[2]8A. Master Device Catalog'!$H$5:$H$914,"")</f>
        <v>2024</v>
      </c>
    </row>
    <row r="705" spans="1:6" ht="21.5" x14ac:dyDescent="0.9">
      <c r="A705" t="s">
        <v>4693</v>
      </c>
      <c r="B705" s="59" t="s">
        <v>3976</v>
      </c>
      <c r="C705" s="59" t="s">
        <v>4572</v>
      </c>
      <c r="D705" s="61" t="s">
        <v>4694</v>
      </c>
      <c r="E705" t="str">
        <f>_xlfn.XLOOKUP(D705,'[2]8A. Master Device Catalog'!$F$5:$F$914,'[2]8A. Master Device Catalog'!$G$5:$G$914,"")</f>
        <v/>
      </c>
      <c r="F705" t="str">
        <f>_xlfn.XLOOKUP(D705,'[2]8A. Master Device Catalog'!$F$5:$F$914,'[2]8A. Master Device Catalog'!$H$5:$H$914,"")</f>
        <v/>
      </c>
    </row>
    <row r="706" spans="1:6" ht="21.5" x14ac:dyDescent="0.9">
      <c r="A706" t="s">
        <v>4695</v>
      </c>
      <c r="B706" s="59" t="s">
        <v>3976</v>
      </c>
      <c r="C706" s="59" t="s">
        <v>4572</v>
      </c>
      <c r="D706" s="61" t="s">
        <v>4696</v>
      </c>
      <c r="E706" t="str">
        <f>_xlfn.XLOOKUP(D706,'[2]8A. Master Device Catalog'!$F$5:$F$914,'[2]8A. Master Device Catalog'!$G$5:$G$914,"")</f>
        <v/>
      </c>
      <c r="F706" t="str">
        <f>_xlfn.XLOOKUP(D706,'[2]8A. Master Device Catalog'!$F$5:$F$914,'[2]8A. Master Device Catalog'!$H$5:$H$914,"")</f>
        <v/>
      </c>
    </row>
    <row r="707" spans="1:6" ht="21.5" x14ac:dyDescent="0.9">
      <c r="A707" t="s">
        <v>4697</v>
      </c>
      <c r="B707" s="59" t="s">
        <v>3976</v>
      </c>
      <c r="C707" s="59" t="s">
        <v>4572</v>
      </c>
      <c r="D707" s="61" t="s">
        <v>675</v>
      </c>
      <c r="E707" t="str">
        <f>_xlfn.XLOOKUP(D707,'[2]8A. Master Device Catalog'!$F$5:$F$914,'[2]8A. Master Device Catalog'!$G$5:$G$914,"")</f>
        <v>OPD2202</v>
      </c>
      <c r="F707">
        <f>_xlfn.XLOOKUP(D707,'[2]8A. Master Device Catalog'!$F$5:$F$914,'[2]8A. Master Device Catalog'!$H$5:$H$914,"")</f>
        <v>2023</v>
      </c>
    </row>
    <row r="708" spans="1:6" ht="21.5" x14ac:dyDescent="0.9">
      <c r="A708" t="s">
        <v>4698</v>
      </c>
      <c r="B708" s="59" t="s">
        <v>4000</v>
      </c>
      <c r="C708" s="59" t="s">
        <v>4572</v>
      </c>
      <c r="D708" s="61" t="s">
        <v>4699</v>
      </c>
      <c r="E708" t="str">
        <f>_xlfn.XLOOKUP(D708,'[2]8A. Master Device Catalog'!$F$5:$F$914,'[2]8A. Master Device Catalog'!$G$5:$G$914,"")</f>
        <v/>
      </c>
      <c r="F708" t="str">
        <f>_xlfn.XLOOKUP(D708,'[2]8A. Master Device Catalog'!$F$5:$F$914,'[2]8A. Master Device Catalog'!$H$5:$H$914,"")</f>
        <v/>
      </c>
    </row>
    <row r="709" spans="1:6" ht="21.5" x14ac:dyDescent="0.9">
      <c r="A709" t="s">
        <v>4700</v>
      </c>
      <c r="B709" s="59" t="s">
        <v>4000</v>
      </c>
      <c r="C709" s="59" t="s">
        <v>4572</v>
      </c>
      <c r="D709" s="61" t="s">
        <v>4701</v>
      </c>
      <c r="E709" t="str">
        <f>_xlfn.XLOOKUP(D709,'[2]8A. Master Device Catalog'!$F$5:$F$914,'[2]8A. Master Device Catalog'!$G$5:$G$914,"")</f>
        <v/>
      </c>
      <c r="F709" t="str">
        <f>_xlfn.XLOOKUP(D709,'[2]8A. Master Device Catalog'!$F$5:$F$914,'[2]8A. Master Device Catalog'!$H$5:$H$914,"")</f>
        <v/>
      </c>
    </row>
    <row r="710" spans="1:6" ht="21.5" x14ac:dyDescent="0.9">
      <c r="A710" t="s">
        <v>4702</v>
      </c>
      <c r="B710" s="59" t="s">
        <v>4000</v>
      </c>
      <c r="C710" s="59" t="s">
        <v>4572</v>
      </c>
      <c r="D710" s="61" t="s">
        <v>1776</v>
      </c>
      <c r="E710" t="str">
        <f>_xlfn.XLOOKUP(D710,'[2]8A. Master Device Catalog'!$F$5:$F$914,'[2]8A. Master Device Catalog'!$G$5:$G$914,"")</f>
        <v>SM-T870</v>
      </c>
      <c r="F710">
        <f>_xlfn.XLOOKUP(D710,'[2]8A. Master Device Catalog'!$F$5:$F$914,'[2]8A. Master Device Catalog'!$H$5:$H$914,"")</f>
        <v>2020</v>
      </c>
    </row>
    <row r="711" spans="1:6" ht="21.5" x14ac:dyDescent="0.9">
      <c r="A711" t="s">
        <v>4703</v>
      </c>
      <c r="B711" s="59" t="s">
        <v>4000</v>
      </c>
      <c r="C711" s="59" t="s">
        <v>4572</v>
      </c>
      <c r="D711" s="61" t="s">
        <v>1786</v>
      </c>
      <c r="E711" t="str">
        <f>_xlfn.XLOOKUP(D711,'[2]8A. Master Device Catalog'!$F$5:$F$914,'[2]8A. Master Device Catalog'!$G$5:$G$914,"")</f>
        <v>SM-X200</v>
      </c>
      <c r="F711">
        <f>_xlfn.XLOOKUP(D711,'[2]8A. Master Device Catalog'!$F$5:$F$914,'[2]8A. Master Device Catalog'!$H$5:$H$914,"")</f>
        <v>2021</v>
      </c>
    </row>
    <row r="712" spans="1:6" ht="21.5" x14ac:dyDescent="0.9">
      <c r="A712" t="s">
        <v>4704</v>
      </c>
      <c r="B712" s="59" t="s">
        <v>4000</v>
      </c>
      <c r="C712" s="59" t="s">
        <v>4572</v>
      </c>
      <c r="D712" s="61" t="s">
        <v>1789</v>
      </c>
      <c r="E712" t="str">
        <f>_xlfn.XLOOKUP(D712,'[2]8A. Master Device Catalog'!$F$5:$F$914,'[2]8A. Master Device Catalog'!$G$5:$G$914,"")</f>
        <v>SM-T500</v>
      </c>
      <c r="F712">
        <f>_xlfn.XLOOKUP(D712,'[2]8A. Master Device Catalog'!$F$5:$F$914,'[2]8A. Master Device Catalog'!$H$5:$H$914,"")</f>
        <v>2020</v>
      </c>
    </row>
    <row r="713" spans="1:6" ht="21.5" x14ac:dyDescent="0.9">
      <c r="A713" t="s">
        <v>4705</v>
      </c>
      <c r="B713" s="59" t="s">
        <v>4000</v>
      </c>
      <c r="C713" s="59" t="s">
        <v>4572</v>
      </c>
      <c r="D713" s="61" t="s">
        <v>4706</v>
      </c>
      <c r="E713" t="str">
        <f>_xlfn.XLOOKUP(D713,'[2]8A. Master Device Catalog'!$F$5:$F$914,'[2]8A. Master Device Catalog'!$G$5:$G$914,"")</f>
        <v/>
      </c>
      <c r="F713" t="str">
        <f>_xlfn.XLOOKUP(D713,'[2]8A. Master Device Catalog'!$F$5:$F$914,'[2]8A. Master Device Catalog'!$H$5:$H$914,"")</f>
        <v/>
      </c>
    </row>
    <row r="714" spans="1:6" ht="21.5" x14ac:dyDescent="0.9">
      <c r="A714" t="s">
        <v>4707</v>
      </c>
      <c r="B714" s="59" t="s">
        <v>4000</v>
      </c>
      <c r="C714" s="59" t="s">
        <v>4572</v>
      </c>
      <c r="D714" s="61" t="s">
        <v>4708</v>
      </c>
      <c r="E714" t="str">
        <f>_xlfn.XLOOKUP(D714,'[2]8A. Master Device Catalog'!$F$5:$F$914,'[2]8A. Master Device Catalog'!$G$5:$G$914,"")</f>
        <v/>
      </c>
      <c r="F714" t="str">
        <f>_xlfn.XLOOKUP(D714,'[2]8A. Master Device Catalog'!$F$5:$F$914,'[2]8A. Master Device Catalog'!$H$5:$H$914,"")</f>
        <v/>
      </c>
    </row>
    <row r="715" spans="1:6" ht="21.5" x14ac:dyDescent="0.9">
      <c r="A715" t="s">
        <v>4709</v>
      </c>
      <c r="B715" s="59" t="s">
        <v>4000</v>
      </c>
      <c r="C715" s="59" t="s">
        <v>4572</v>
      </c>
      <c r="D715" s="61" t="s">
        <v>4710</v>
      </c>
      <c r="E715" t="str">
        <f>_xlfn.XLOOKUP(D715,'[2]8A. Master Device Catalog'!$F$5:$F$914,'[2]8A. Master Device Catalog'!$G$5:$G$914,"")</f>
        <v/>
      </c>
      <c r="F715" t="str">
        <f>_xlfn.XLOOKUP(D715,'[2]8A. Master Device Catalog'!$F$5:$F$914,'[2]8A. Master Device Catalog'!$H$5:$H$914,"")</f>
        <v/>
      </c>
    </row>
    <row r="716" spans="1:6" ht="21.5" x14ac:dyDescent="0.9">
      <c r="A716" t="s">
        <v>4711</v>
      </c>
      <c r="B716" s="59" t="s">
        <v>4000</v>
      </c>
      <c r="C716" s="59" t="s">
        <v>4572</v>
      </c>
      <c r="D716" s="61" t="s">
        <v>1755</v>
      </c>
      <c r="E716" t="str">
        <f>_xlfn.XLOOKUP(D716,'[2]8A. Master Device Catalog'!$F$5:$F$914,'[2]8A. Master Device Catalog'!$G$5:$G$914,"")</f>
        <v>SM-X300</v>
      </c>
      <c r="F716">
        <f>_xlfn.XLOOKUP(D716,'[2]8A. Master Device Catalog'!$F$5:$F$914,'[2]8A. Master Device Catalog'!$H$5:$H$914,"")</f>
        <v>2024</v>
      </c>
    </row>
    <row r="717" spans="1:6" ht="21.5" x14ac:dyDescent="0.35">
      <c r="A717" t="s">
        <v>4712</v>
      </c>
      <c r="B717" s="59" t="s">
        <v>4000</v>
      </c>
      <c r="C717" s="59" t="s">
        <v>4572</v>
      </c>
      <c r="D717" s="60" t="s">
        <v>4713</v>
      </c>
      <c r="E717" t="str">
        <f>_xlfn.XLOOKUP(D717,'[2]8A. Master Device Catalog'!$F$5:$F$914,'[2]8A. Master Device Catalog'!$G$5:$G$914,"")</f>
        <v/>
      </c>
      <c r="F717" t="str">
        <f>_xlfn.XLOOKUP(D717,'[2]8A. Master Device Catalog'!$F$5:$F$914,'[2]8A. Master Device Catalog'!$H$5:$H$914,"")</f>
        <v/>
      </c>
    </row>
    <row r="718" spans="1:6" ht="21.5" x14ac:dyDescent="0.35">
      <c r="A718" t="s">
        <v>4714</v>
      </c>
      <c r="B718" s="59" t="s">
        <v>4000</v>
      </c>
      <c r="C718" s="59" t="s">
        <v>4572</v>
      </c>
      <c r="D718" s="60" t="s">
        <v>1781</v>
      </c>
      <c r="E718" t="str">
        <f>_xlfn.XLOOKUP(D718,'[2]8A. Master Device Catalog'!$F$5:$F$914,'[2]8A. Master Device Catalog'!$G$5:$G$914,"")</f>
        <v>SM-P610</v>
      </c>
      <c r="F718">
        <f>_xlfn.XLOOKUP(D718,'[2]8A. Master Device Catalog'!$F$5:$F$914,'[2]8A. Master Device Catalog'!$H$5:$H$914,"")</f>
        <v>2020</v>
      </c>
    </row>
    <row r="719" spans="1:6" ht="21.5" x14ac:dyDescent="0.9">
      <c r="A719" t="s">
        <v>4715</v>
      </c>
      <c r="B719" s="59" t="s">
        <v>4000</v>
      </c>
      <c r="C719" s="59" t="s">
        <v>4572</v>
      </c>
      <c r="D719" s="61" t="s">
        <v>4716</v>
      </c>
      <c r="E719" t="str">
        <f>_xlfn.XLOOKUP(D719,'[2]8A. Master Device Catalog'!$F$5:$F$914,'[2]8A. Master Device Catalog'!$G$5:$G$914,"")</f>
        <v/>
      </c>
      <c r="F719" t="str">
        <f>_xlfn.XLOOKUP(D719,'[2]8A. Master Device Catalog'!$F$5:$F$914,'[2]8A. Master Device Catalog'!$H$5:$H$914,"")</f>
        <v/>
      </c>
    </row>
    <row r="720" spans="1:6" ht="21.5" x14ac:dyDescent="0.9">
      <c r="A720" t="s">
        <v>4717</v>
      </c>
      <c r="B720" s="59" t="s">
        <v>4000</v>
      </c>
      <c r="C720" s="59" t="s">
        <v>4572</v>
      </c>
      <c r="D720" s="61" t="s">
        <v>4718</v>
      </c>
      <c r="E720" t="str">
        <f>_xlfn.XLOOKUP(D720,'[2]8A. Master Device Catalog'!$F$5:$F$914,'[2]8A. Master Device Catalog'!$G$5:$G$914,"")</f>
        <v/>
      </c>
      <c r="F720" t="str">
        <f>_xlfn.XLOOKUP(D720,'[2]8A. Master Device Catalog'!$F$5:$F$914,'[2]8A. Master Device Catalog'!$H$5:$H$914,"")</f>
        <v/>
      </c>
    </row>
    <row r="721" spans="1:6" ht="21.5" x14ac:dyDescent="0.9">
      <c r="A721" t="s">
        <v>4719</v>
      </c>
      <c r="B721" s="59" t="s">
        <v>4000</v>
      </c>
      <c r="C721" s="59" t="s">
        <v>4572</v>
      </c>
      <c r="D721" s="61" t="s">
        <v>1771</v>
      </c>
      <c r="E721" t="str">
        <f>_xlfn.XLOOKUP(D721,'[2]8A. Master Device Catalog'!$F$5:$F$914,'[2]8A. Master Device Catalog'!$G$5:$G$914,"")</f>
        <v>SM-X700</v>
      </c>
      <c r="F721">
        <f>_xlfn.XLOOKUP(D721,'[2]8A. Master Device Catalog'!$F$5:$F$914,'[2]8A. Master Device Catalog'!$H$5:$H$914,"")</f>
        <v>2022</v>
      </c>
    </row>
    <row r="722" spans="1:6" ht="21.5" x14ac:dyDescent="0.9">
      <c r="A722" t="s">
        <v>4720</v>
      </c>
      <c r="B722" s="59" t="s">
        <v>4000</v>
      </c>
      <c r="C722" s="59" t="s">
        <v>4572</v>
      </c>
      <c r="D722" s="61" t="s">
        <v>4721</v>
      </c>
      <c r="E722" t="str">
        <f>_xlfn.XLOOKUP(D722,'[2]8A. Master Device Catalog'!$F$5:$F$914,'[2]8A. Master Device Catalog'!$G$5:$G$914,"")</f>
        <v/>
      </c>
      <c r="F722" t="str">
        <f>_xlfn.XLOOKUP(D722,'[2]8A. Master Device Catalog'!$F$5:$F$914,'[2]8A. Master Device Catalog'!$H$5:$H$914,"")</f>
        <v/>
      </c>
    </row>
    <row r="723" spans="1:6" ht="21.5" x14ac:dyDescent="0.35">
      <c r="A723" t="s">
        <v>4722</v>
      </c>
      <c r="B723" s="59" t="s">
        <v>4000</v>
      </c>
      <c r="C723" s="59" t="s">
        <v>4572</v>
      </c>
      <c r="D723" s="60" t="s">
        <v>4723</v>
      </c>
      <c r="E723" t="str">
        <f>_xlfn.XLOOKUP(D723,'[2]8A. Master Device Catalog'!$F$5:$F$914,'[2]8A. Master Device Catalog'!$G$5:$G$914,"")</f>
        <v/>
      </c>
      <c r="F723" t="str">
        <f>_xlfn.XLOOKUP(D723,'[2]8A. Master Device Catalog'!$F$5:$F$914,'[2]8A. Master Device Catalog'!$H$5:$H$914,"")</f>
        <v/>
      </c>
    </row>
    <row r="724" spans="1:6" ht="21.5" x14ac:dyDescent="0.35">
      <c r="A724" t="s">
        <v>4724</v>
      </c>
      <c r="B724" s="59" t="s">
        <v>4000</v>
      </c>
      <c r="C724" s="59" t="s">
        <v>4572</v>
      </c>
      <c r="D724" s="60" t="s">
        <v>1766</v>
      </c>
      <c r="E724" t="str">
        <f>_xlfn.XLOOKUP(D724,'[2]8A. Master Device Catalog'!$F$5:$F$914,'[2]8A. Master Device Catalog'!$G$5:$G$914,"")</f>
        <v>SM-X710</v>
      </c>
      <c r="F724">
        <f>_xlfn.XLOOKUP(D724,'[2]8A. Master Device Catalog'!$F$5:$F$914,'[2]8A. Master Device Catalog'!$H$5:$H$914,"")</f>
        <v>2023</v>
      </c>
    </row>
    <row r="725" spans="1:6" ht="21.5" x14ac:dyDescent="0.35">
      <c r="A725" t="s">
        <v>4725</v>
      </c>
      <c r="B725" s="59" t="s">
        <v>4000</v>
      </c>
      <c r="C725" s="59" t="s">
        <v>4572</v>
      </c>
      <c r="D725" s="60" t="s">
        <v>4726</v>
      </c>
      <c r="E725" t="str">
        <f>_xlfn.XLOOKUP(D725,'[2]8A. Master Device Catalog'!$F$5:$F$914,'[2]8A. Master Device Catalog'!$G$5:$G$914,"")</f>
        <v/>
      </c>
      <c r="F725" t="str">
        <f>_xlfn.XLOOKUP(D725,'[2]8A. Master Device Catalog'!$F$5:$F$914,'[2]8A. Master Device Catalog'!$H$5:$H$914,"")</f>
        <v/>
      </c>
    </row>
    <row r="726" spans="1:6" ht="21.5" x14ac:dyDescent="0.35">
      <c r="A726" t="s">
        <v>4727</v>
      </c>
      <c r="B726" s="59" t="s">
        <v>4000</v>
      </c>
      <c r="C726" s="59" t="s">
        <v>4572</v>
      </c>
      <c r="D726" s="60" t="s">
        <v>4728</v>
      </c>
      <c r="E726" t="str">
        <f>_xlfn.XLOOKUP(D726,'[2]8A. Master Device Catalog'!$F$5:$F$914,'[2]8A. Master Device Catalog'!$G$5:$G$914,"")</f>
        <v/>
      </c>
      <c r="F726" t="str">
        <f>_xlfn.XLOOKUP(D726,'[2]8A. Master Device Catalog'!$F$5:$F$914,'[2]8A. Master Device Catalog'!$H$5:$H$914,"")</f>
        <v/>
      </c>
    </row>
    <row r="727" spans="1:6" ht="21.5" x14ac:dyDescent="0.35">
      <c r="A727" t="s">
        <v>4729</v>
      </c>
      <c r="B727" s="59" t="s">
        <v>4000</v>
      </c>
      <c r="C727" s="59" t="s">
        <v>4572</v>
      </c>
      <c r="D727" s="60" t="s">
        <v>4730</v>
      </c>
      <c r="E727" t="str">
        <f>_xlfn.XLOOKUP(D727,'[2]8A. Master Device Catalog'!$F$5:$F$914,'[2]8A. Master Device Catalog'!$G$5:$G$914,"")</f>
        <v/>
      </c>
      <c r="F727" t="str">
        <f>_xlfn.XLOOKUP(D727,'[2]8A. Master Device Catalog'!$F$5:$F$914,'[2]8A. Master Device Catalog'!$H$5:$H$914,"")</f>
        <v/>
      </c>
    </row>
    <row r="728" spans="1:6" ht="21.5" x14ac:dyDescent="0.35">
      <c r="A728" t="s">
        <v>4731</v>
      </c>
      <c r="B728" s="59" t="s">
        <v>4000</v>
      </c>
      <c r="C728" s="59" t="s">
        <v>4572</v>
      </c>
      <c r="D728" s="60" t="s">
        <v>4732</v>
      </c>
      <c r="E728" t="str">
        <f>_xlfn.XLOOKUP(D728,'[2]8A. Master Device Catalog'!$F$5:$F$914,'[2]8A. Master Device Catalog'!$G$5:$G$914,"")</f>
        <v/>
      </c>
      <c r="F728" t="str">
        <f>_xlfn.XLOOKUP(D728,'[2]8A. Master Device Catalog'!$F$5:$F$914,'[2]8A. Master Device Catalog'!$H$5:$H$914,"")</f>
        <v/>
      </c>
    </row>
    <row r="729" spans="1:6" ht="21.5" x14ac:dyDescent="0.35">
      <c r="A729" t="s">
        <v>4733</v>
      </c>
      <c r="B729" s="59" t="s">
        <v>4000</v>
      </c>
      <c r="C729" s="59" t="s">
        <v>4572</v>
      </c>
      <c r="D729" s="60" t="s">
        <v>1761</v>
      </c>
      <c r="E729" t="str">
        <f>_xlfn.XLOOKUP(D729,'[2]8A. Master Device Catalog'!$F$5:$F$914,'[2]8A. Master Device Catalog'!$G$5:$G$914,"")</f>
        <v>SM-X820</v>
      </c>
      <c r="F729">
        <f>_xlfn.XLOOKUP(D729,'[2]8A. Master Device Catalog'!$F$5:$F$914,'[2]8A. Master Device Catalog'!$H$5:$H$914,"")</f>
        <v>2024</v>
      </c>
    </row>
    <row r="730" spans="1:6" ht="21.5" x14ac:dyDescent="0.35">
      <c r="A730" t="s">
        <v>4734</v>
      </c>
      <c r="B730" s="59" t="s">
        <v>4000</v>
      </c>
      <c r="C730" s="59" t="s">
        <v>4572</v>
      </c>
      <c r="D730" s="60" t="s">
        <v>4735</v>
      </c>
      <c r="E730" t="str">
        <f>_xlfn.XLOOKUP(D730,'[2]8A. Master Device Catalog'!$F$5:$F$914,'[2]8A. Master Device Catalog'!$G$5:$G$914,"")</f>
        <v/>
      </c>
      <c r="F730" t="str">
        <f>_xlfn.XLOOKUP(D730,'[2]8A. Master Device Catalog'!$F$5:$F$914,'[2]8A. Master Device Catalog'!$H$5:$H$914,"")</f>
        <v/>
      </c>
    </row>
    <row r="731" spans="1:6" ht="21.5" x14ac:dyDescent="0.9">
      <c r="A731" t="s">
        <v>4736</v>
      </c>
      <c r="B731" s="59" t="s">
        <v>4181</v>
      </c>
      <c r="C731" s="59" t="s">
        <v>4572</v>
      </c>
      <c r="D731" s="61" t="s">
        <v>4737</v>
      </c>
      <c r="E731" t="str">
        <f>_xlfn.XLOOKUP(D731,'[2]8A. Master Device Catalog'!$F$5:$F$914,'[2]8A. Master Device Catalog'!$G$5:$G$914,"")</f>
        <v/>
      </c>
      <c r="F731" t="str">
        <f>_xlfn.XLOOKUP(D731,'[2]8A. Master Device Catalog'!$F$5:$F$914,'[2]8A. Master Device Catalog'!$H$5:$H$914,"")</f>
        <v/>
      </c>
    </row>
    <row r="732" spans="1:6" ht="21.5" x14ac:dyDescent="0.9">
      <c r="A732" t="s">
        <v>4738</v>
      </c>
      <c r="B732" s="59" t="s">
        <v>4181</v>
      </c>
      <c r="C732" s="59" t="s">
        <v>4572</v>
      </c>
      <c r="D732" s="61" t="s">
        <v>4739</v>
      </c>
      <c r="E732" t="str">
        <f>_xlfn.XLOOKUP(D732,'[2]8A. Master Device Catalog'!$F$5:$F$914,'[2]8A. Master Device Catalog'!$G$5:$G$914,"")</f>
        <v/>
      </c>
      <c r="F732" t="str">
        <f>_xlfn.XLOOKUP(D732,'[2]8A. Master Device Catalog'!$F$5:$F$914,'[2]8A. Master Device Catalog'!$H$5:$H$914,"")</f>
        <v/>
      </c>
    </row>
    <row r="733" spans="1:6" ht="21.5" x14ac:dyDescent="0.9">
      <c r="A733" t="s">
        <v>4740</v>
      </c>
      <c r="B733" s="59" t="s">
        <v>4181</v>
      </c>
      <c r="C733" s="59" t="s">
        <v>4572</v>
      </c>
      <c r="D733" s="61" t="s">
        <v>729</v>
      </c>
      <c r="E733" t="str">
        <f>_xlfn.XLOOKUP(D733,'[2]8A. Master Device Catalog'!$F$5:$F$914,'[2]8A. Master Device Catalog'!$G$5:$G$914,"")</f>
        <v>24018RPACC</v>
      </c>
      <c r="F733">
        <f>_xlfn.XLOOKUP(D733,'[2]8A. Master Device Catalog'!$F$5:$F$914,'[2]8A. Master Device Catalog'!$H$5:$H$914,"")</f>
        <v>2024</v>
      </c>
    </row>
    <row r="734" spans="1:6" ht="21.5" x14ac:dyDescent="0.9">
      <c r="A734" t="s">
        <v>4741</v>
      </c>
      <c r="B734" s="59" t="s">
        <v>4181</v>
      </c>
      <c r="C734" s="59" t="s">
        <v>4572</v>
      </c>
      <c r="D734" s="61" t="s">
        <v>4742</v>
      </c>
      <c r="E734" t="str">
        <f>_xlfn.XLOOKUP(D734,'[2]8A. Master Device Catalog'!$F$5:$F$914,'[2]8A. Master Device Catalog'!$G$5:$G$914,"")</f>
        <v/>
      </c>
      <c r="F734" t="str">
        <f>_xlfn.XLOOKUP(D734,'[2]8A. Master Device Catalog'!$F$5:$F$914,'[2]8A. Master Device Catalog'!$H$5:$H$914,"")</f>
        <v/>
      </c>
    </row>
    <row r="735" spans="1:6" ht="21.5" x14ac:dyDescent="0.9">
      <c r="A735" t="s">
        <v>4743</v>
      </c>
      <c r="B735" s="59" t="s">
        <v>4211</v>
      </c>
      <c r="C735" s="59" t="s">
        <v>4572</v>
      </c>
      <c r="D735" s="61" t="s">
        <v>4744</v>
      </c>
      <c r="E735" t="str">
        <f>_xlfn.XLOOKUP(D735,'[2]8A. Master Device Catalog'!$F$5:$F$914,'[2]8A. Master Device Catalog'!$G$5:$G$914,"")</f>
        <v/>
      </c>
      <c r="F735" t="str">
        <f>_xlfn.XLOOKUP(D735,'[2]8A. Master Device Catalog'!$F$5:$F$914,'[2]8A. Master Device Catalog'!$H$5:$H$914,"")</f>
        <v/>
      </c>
    </row>
    <row r="736" spans="1:6" ht="21.5" x14ac:dyDescent="0.9">
      <c r="A736" t="s">
        <v>4745</v>
      </c>
      <c r="B736" s="59" t="s">
        <v>4211</v>
      </c>
      <c r="C736" s="59" t="s">
        <v>4572</v>
      </c>
      <c r="D736" s="61" t="s">
        <v>4746</v>
      </c>
      <c r="E736" t="str">
        <f>_xlfn.XLOOKUP(D736,'[2]8A. Master Device Catalog'!$F$5:$F$914,'[2]8A. Master Device Catalog'!$G$5:$G$914,"")</f>
        <v/>
      </c>
      <c r="F736" t="str">
        <f>_xlfn.XLOOKUP(D736,'[2]8A. Master Device Catalog'!$F$5:$F$914,'[2]8A. Master Device Catalog'!$H$5:$H$914,"")</f>
        <v/>
      </c>
    </row>
    <row r="737" spans="1:6" ht="21.5" x14ac:dyDescent="0.35">
      <c r="A737" t="s">
        <v>4747</v>
      </c>
      <c r="B737" s="59" t="s">
        <v>3756</v>
      </c>
      <c r="C737" s="59" t="s">
        <v>4748</v>
      </c>
      <c r="D737" s="62" t="s">
        <v>2710</v>
      </c>
      <c r="E737" t="str">
        <f>_xlfn.XLOOKUP(D737,'[2]8A. Master Device Catalog'!$F$5:$F$914,'[2]8A. Master Device Catalog'!$G$5:$G$914,"")</f>
        <v>A1802</v>
      </c>
      <c r="F737">
        <f>_xlfn.XLOOKUP(D737,'[2]8A. Master Device Catalog'!$F$5:$F$914,'[2]8A. Master Device Catalog'!$H$5:$H$914,"")</f>
        <v>2016</v>
      </c>
    </row>
    <row r="738" spans="1:6" ht="21.5" x14ac:dyDescent="0.35">
      <c r="A738" t="s">
        <v>4749</v>
      </c>
      <c r="B738" s="59" t="s">
        <v>3756</v>
      </c>
      <c r="C738" s="59" t="s">
        <v>4748</v>
      </c>
      <c r="D738" s="60" t="s">
        <v>2715</v>
      </c>
      <c r="E738" t="str">
        <f>_xlfn.XLOOKUP(D738,'[2]8A. Master Device Catalog'!$F$5:$F$914,'[2]8A. Master Device Catalog'!$G$5:$G$914,"")</f>
        <v>A1553</v>
      </c>
      <c r="F738">
        <f>_xlfn.XLOOKUP(D738,'[2]8A. Master Device Catalog'!$F$5:$F$914,'[2]8A. Master Device Catalog'!$H$5:$H$914,"")</f>
        <v>2015</v>
      </c>
    </row>
    <row r="739" spans="1:6" ht="21.5" x14ac:dyDescent="0.35">
      <c r="A739" t="s">
        <v>4750</v>
      </c>
      <c r="B739" s="59" t="s">
        <v>3756</v>
      </c>
      <c r="C739" s="59" t="s">
        <v>4748</v>
      </c>
      <c r="D739" s="62" t="s">
        <v>2705</v>
      </c>
      <c r="E739" t="str">
        <f>_xlfn.XLOOKUP(D739,'[2]8A. Master Device Catalog'!$F$5:$F$914,'[2]8A. Master Device Catalog'!$G$5:$G$914,"")</f>
        <v>A1757</v>
      </c>
      <c r="F739">
        <f>_xlfn.XLOOKUP(D739,'[2]8A. Master Device Catalog'!$F$5:$F$914,'[2]8A. Master Device Catalog'!$H$5:$H$914,"")</f>
        <v>2016</v>
      </c>
    </row>
    <row r="740" spans="1:6" ht="21.5" x14ac:dyDescent="0.35">
      <c r="A740" t="s">
        <v>4751</v>
      </c>
      <c r="B740" s="59" t="s">
        <v>3756</v>
      </c>
      <c r="C740" s="59" t="s">
        <v>4748</v>
      </c>
      <c r="D740" s="62" t="s">
        <v>2700</v>
      </c>
      <c r="E740" t="str">
        <f>_xlfn.XLOOKUP(D740,'[2]8A. Master Device Catalog'!$F$5:$F$914,'[2]8A. Master Device Catalog'!$G$5:$G$914,"")</f>
        <v>A1858</v>
      </c>
      <c r="F740">
        <f>_xlfn.XLOOKUP(D740,'[2]8A. Master Device Catalog'!$F$5:$F$914,'[2]8A. Master Device Catalog'!$H$5:$H$914,"")</f>
        <v>2017</v>
      </c>
    </row>
    <row r="741" spans="1:6" ht="21.5" x14ac:dyDescent="0.35">
      <c r="A741" t="s">
        <v>4752</v>
      </c>
      <c r="B741" s="59" t="s">
        <v>3756</v>
      </c>
      <c r="C741" s="59" t="s">
        <v>4748</v>
      </c>
      <c r="D741" s="62" t="s">
        <v>2695</v>
      </c>
      <c r="E741" t="str">
        <f>_xlfn.XLOOKUP(D741,'[2]8A. Master Device Catalog'!$F$5:$F$914,'[2]8A. Master Device Catalog'!$G$5:$G$914,"")</f>
        <v>A1977</v>
      </c>
      <c r="F741">
        <f>_xlfn.XLOOKUP(D741,'[2]8A. Master Device Catalog'!$F$5:$F$914,'[2]8A. Master Device Catalog'!$H$5:$H$914,"")</f>
        <v>2018</v>
      </c>
    </row>
    <row r="742" spans="1:6" ht="21.5" x14ac:dyDescent="0.35">
      <c r="A742" t="s">
        <v>4753</v>
      </c>
      <c r="B742" s="59" t="s">
        <v>3756</v>
      </c>
      <c r="C742" s="59" t="s">
        <v>4748</v>
      </c>
      <c r="D742" s="62" t="s">
        <v>2692</v>
      </c>
      <c r="E742" t="str">
        <f>_xlfn.XLOOKUP(D742,'[2]8A. Master Device Catalog'!$F$5:$F$914,'[2]8A. Master Device Catalog'!$G$5:$G$914,"")</f>
        <v>A2092</v>
      </c>
      <c r="F742">
        <f>_xlfn.XLOOKUP(D742,'[2]8A. Master Device Catalog'!$F$5:$F$914,'[2]8A. Master Device Catalog'!$H$5:$H$914,"")</f>
        <v>2019</v>
      </c>
    </row>
    <row r="743" spans="1:6" ht="21.5" x14ac:dyDescent="0.35">
      <c r="A743" t="s">
        <v>4754</v>
      </c>
      <c r="B743" s="59" t="s">
        <v>3756</v>
      </c>
      <c r="C743" s="59" t="s">
        <v>4748</v>
      </c>
      <c r="D743" s="62" t="s">
        <v>2688</v>
      </c>
      <c r="E743" t="str">
        <f>_xlfn.XLOOKUP(D743,'[2]8A. Master Device Catalog'!$F$5:$F$914,'[2]8A. Master Device Catalog'!$G$5:$G$914,"")</f>
        <v>A2291</v>
      </c>
      <c r="F743">
        <f>_xlfn.XLOOKUP(D743,'[2]8A. Master Device Catalog'!$F$5:$F$914,'[2]8A. Master Device Catalog'!$H$5:$H$914,"")</f>
        <v>2020</v>
      </c>
    </row>
    <row r="744" spans="1:6" ht="21.5" x14ac:dyDescent="0.35">
      <c r="A744" t="s">
        <v>4755</v>
      </c>
      <c r="B744" s="59" t="s">
        <v>3756</v>
      </c>
      <c r="C744" s="59" t="s">
        <v>4748</v>
      </c>
      <c r="D744" s="62" t="s">
        <v>2685</v>
      </c>
      <c r="E744" t="str">
        <f>_xlfn.XLOOKUP(D744,'[2]8A. Master Device Catalog'!$F$5:$F$914,'[2]8A. Master Device Catalog'!$G$5:$G$914,"")</f>
        <v>A2351</v>
      </c>
      <c r="F744">
        <f>_xlfn.XLOOKUP(D744,'[2]8A. Master Device Catalog'!$F$5:$F$914,'[2]8A. Master Device Catalog'!$H$5:$H$914,"")</f>
        <v>2020</v>
      </c>
    </row>
    <row r="745" spans="1:6" ht="21.5" x14ac:dyDescent="0.35">
      <c r="A745" t="s">
        <v>4756</v>
      </c>
      <c r="B745" s="59" t="s">
        <v>3756</v>
      </c>
      <c r="C745" s="59" t="s">
        <v>4748</v>
      </c>
      <c r="D745" s="62" t="s">
        <v>2680</v>
      </c>
      <c r="E745" t="str">
        <f>_xlfn.XLOOKUP(D745,'[2]8A. Master Device Catalog'!$F$5:$F$914,'[2]8A. Master Device Catalog'!$G$5:$G$914,"")</f>
        <v>A2473</v>
      </c>
      <c r="F745">
        <f>_xlfn.XLOOKUP(D745,'[2]8A. Master Device Catalog'!$F$5:$F$914,'[2]8A. Master Device Catalog'!$H$5:$H$914,"")</f>
        <v>2021</v>
      </c>
    </row>
    <row r="746" spans="1:6" ht="21.5" x14ac:dyDescent="0.35">
      <c r="A746" t="s">
        <v>4757</v>
      </c>
      <c r="B746" s="59" t="s">
        <v>3756</v>
      </c>
      <c r="C746" s="59" t="s">
        <v>4748</v>
      </c>
      <c r="D746" s="62" t="s">
        <v>2675</v>
      </c>
      <c r="E746" t="str">
        <f>_xlfn.XLOOKUP(D746,'[2]8A. Master Device Catalog'!$F$5:$F$914,'[2]8A. Master Device Catalog'!$G$5:$G$914,"")</f>
        <v>A2770</v>
      </c>
      <c r="F746">
        <f>_xlfn.XLOOKUP(D746,'[2]8A. Master Device Catalog'!$F$5:$F$914,'[2]8A. Master Device Catalog'!$H$5:$H$914,"")</f>
        <v>2022</v>
      </c>
    </row>
    <row r="747" spans="1:6" ht="21.5" x14ac:dyDescent="0.35">
      <c r="A747" t="s">
        <v>4758</v>
      </c>
      <c r="B747" s="59" t="s">
        <v>3756</v>
      </c>
      <c r="C747" s="59" t="s">
        <v>4748</v>
      </c>
      <c r="D747" s="62" t="s">
        <v>2670</v>
      </c>
      <c r="E747" t="str">
        <f>_xlfn.XLOOKUP(D747,'[2]8A. Master Device Catalog'!$F$5:$F$914,'[2]8A. Master Device Catalog'!$G$5:$G$914,"")</f>
        <v>A2622</v>
      </c>
      <c r="F747">
        <f>_xlfn.XLOOKUP(D747,'[2]8A. Master Device Catalog'!$F$5:$F$914,'[2]8A. Master Device Catalog'!$H$5:$H$914,"")</f>
        <v>2022</v>
      </c>
    </row>
    <row r="748" spans="1:6" ht="21.5" x14ac:dyDescent="0.35">
      <c r="A748" t="s">
        <v>4759</v>
      </c>
      <c r="B748" s="59" t="s">
        <v>3756</v>
      </c>
      <c r="C748" s="59" t="s">
        <v>4748</v>
      </c>
      <c r="D748" s="62" t="s">
        <v>2665</v>
      </c>
      <c r="E748" t="str">
        <f>_xlfn.XLOOKUP(D748,'[2]8A. Master Device Catalog'!$F$5:$F$914,'[2]8A. Master Device Catalog'!$G$5:$G$914,"")</f>
        <v>A2722</v>
      </c>
      <c r="F748">
        <f>_xlfn.XLOOKUP(D748,'[2]8A. Master Device Catalog'!$F$5:$F$914,'[2]8A. Master Device Catalog'!$H$5:$H$914,"")</f>
        <v>2022</v>
      </c>
    </row>
    <row r="749" spans="1:6" ht="21.5" x14ac:dyDescent="0.35">
      <c r="A749" t="s">
        <v>4760</v>
      </c>
      <c r="B749" s="59" t="s">
        <v>3756</v>
      </c>
      <c r="C749" s="59" t="s">
        <v>4748</v>
      </c>
      <c r="D749" s="62" t="s">
        <v>2660</v>
      </c>
      <c r="E749" t="str">
        <f>_xlfn.XLOOKUP(D749,'[2]8A. Master Device Catalog'!$F$5:$F$914,'[2]8A. Master Device Catalog'!$G$5:$G$914,"")</f>
        <v>A2982</v>
      </c>
      <c r="F749">
        <f>_xlfn.XLOOKUP(D749,'[2]8A. Master Device Catalog'!$F$5:$F$914,'[2]8A. Master Device Catalog'!$H$5:$H$914,"")</f>
        <v>2023</v>
      </c>
    </row>
    <row r="750" spans="1:6" ht="21.5" x14ac:dyDescent="0.35">
      <c r="A750" t="s">
        <v>4761</v>
      </c>
      <c r="B750" s="59" t="s">
        <v>3756</v>
      </c>
      <c r="C750" s="59" t="s">
        <v>4748</v>
      </c>
      <c r="D750" s="62" t="s">
        <v>2655</v>
      </c>
      <c r="E750" t="str">
        <f>_xlfn.XLOOKUP(D750,'[2]8A. Master Device Catalog'!$F$5:$F$914,'[2]8A. Master Device Catalog'!$G$5:$G$914,"")</f>
        <v>A2986</v>
      </c>
      <c r="F750">
        <f>_xlfn.XLOOKUP(D750,'[2]8A. Master Device Catalog'!$F$5:$F$914,'[2]8A. Master Device Catalog'!$H$5:$H$914,"")</f>
        <v>2023</v>
      </c>
    </row>
    <row r="751" spans="1:6" ht="21.5" x14ac:dyDescent="0.35">
      <c r="A751" t="s">
        <v>4762</v>
      </c>
      <c r="B751" s="59" t="s">
        <v>3756</v>
      </c>
      <c r="C751" s="59" t="s">
        <v>4748</v>
      </c>
      <c r="D751" s="62" t="s">
        <v>2650</v>
      </c>
      <c r="E751" t="str">
        <f>_xlfn.XLOOKUP(D751,'[2]8A. Master Device Catalog'!$F$5:$F$914,'[2]8A. Master Device Catalog'!$G$5:$G$914,"")</f>
        <v>A2997</v>
      </c>
      <c r="F751">
        <f>_xlfn.XLOOKUP(D751,'[2]8A. Master Device Catalog'!$F$5:$F$914,'[2]8A. Master Device Catalog'!$H$5:$H$914,"")</f>
        <v>2024</v>
      </c>
    </row>
    <row r="752" spans="1:6" ht="21.5" x14ac:dyDescent="0.35">
      <c r="A752" t="s">
        <v>4763</v>
      </c>
      <c r="B752" s="59" t="s">
        <v>3756</v>
      </c>
      <c r="C752" s="59" t="s">
        <v>4562</v>
      </c>
      <c r="D752" s="62" t="s">
        <v>2647</v>
      </c>
      <c r="E752" t="str">
        <f>_xlfn.XLOOKUP(D752,'[2]8A. Master Device Catalog'!$F$5:$F$914,'[2]8A. Master Device Catalog'!$G$5:$G$914,"")</f>
        <v>A1218</v>
      </c>
      <c r="F752">
        <f>_xlfn.XLOOKUP(D752,'[2]8A. Master Device Catalog'!$F$5:$F$914,'[2]8A. Master Device Catalog'!$H$5:$H$914,"")</f>
        <v>2007</v>
      </c>
    </row>
    <row r="753" spans="1:6" ht="21.5" x14ac:dyDescent="0.35">
      <c r="A753" t="s">
        <v>4764</v>
      </c>
      <c r="B753" s="59" t="s">
        <v>3756</v>
      </c>
      <c r="C753" s="59" t="s">
        <v>4562</v>
      </c>
      <c r="D753" s="62" t="s">
        <v>2643</v>
      </c>
      <c r="E753" t="str">
        <f>_xlfn.XLOOKUP(D753,'[2]8A. Master Device Catalog'!$F$5:$F$914,'[2]8A. Master Device Catalog'!$G$5:$G$914,"")</f>
        <v>A1378</v>
      </c>
      <c r="F753">
        <f>_xlfn.XLOOKUP(D753,'[2]8A. Master Device Catalog'!$F$5:$F$914,'[2]8A. Master Device Catalog'!$H$5:$H$914,"")</f>
        <v>2010</v>
      </c>
    </row>
    <row r="754" spans="1:6" ht="21.5" x14ac:dyDescent="0.35">
      <c r="A754" t="s">
        <v>4765</v>
      </c>
      <c r="B754" s="59" t="s">
        <v>3756</v>
      </c>
      <c r="C754" s="59" t="s">
        <v>4562</v>
      </c>
      <c r="D754" s="62" t="s">
        <v>2640</v>
      </c>
      <c r="E754" t="str">
        <f>_xlfn.XLOOKUP(D754,'[2]8A. Master Device Catalog'!$F$5:$F$914,'[2]8A. Master Device Catalog'!$G$5:$G$914,"")</f>
        <v>A1427</v>
      </c>
      <c r="F754">
        <f>_xlfn.XLOOKUP(D754,'[2]8A. Master Device Catalog'!$F$5:$F$914,'[2]8A. Master Device Catalog'!$H$5:$H$914,"")</f>
        <v>2012</v>
      </c>
    </row>
    <row r="755" spans="1:6" ht="21.5" x14ac:dyDescent="0.35">
      <c r="A755" t="s">
        <v>4766</v>
      </c>
      <c r="B755" s="59" t="s">
        <v>3756</v>
      </c>
      <c r="C755" s="59" t="s">
        <v>4562</v>
      </c>
      <c r="D755" s="62" t="s">
        <v>2635</v>
      </c>
      <c r="E755" t="str">
        <f>_xlfn.XLOOKUP(D755,'[2]8A. Master Device Catalog'!$F$5:$F$914,'[2]8A. Master Device Catalog'!$G$5:$G$914,"")</f>
        <v>A1625</v>
      </c>
      <c r="F755">
        <f>_xlfn.XLOOKUP(D755,'[2]8A. Master Device Catalog'!$F$5:$F$914,'[2]8A. Master Device Catalog'!$H$5:$H$914,"")</f>
        <v>2015</v>
      </c>
    </row>
    <row r="756" spans="1:6" ht="21.5" x14ac:dyDescent="0.35">
      <c r="A756" t="s">
        <v>4767</v>
      </c>
      <c r="B756" s="59" t="s">
        <v>3756</v>
      </c>
      <c r="C756" s="59" t="s">
        <v>4562</v>
      </c>
      <c r="D756" s="62" t="s">
        <v>2630</v>
      </c>
      <c r="E756" t="str">
        <f>_xlfn.XLOOKUP(D756,'[2]8A. Master Device Catalog'!$F$5:$F$914,'[2]8A. Master Device Catalog'!$G$5:$G$914,"")</f>
        <v>A1842</v>
      </c>
      <c r="F756">
        <f>_xlfn.XLOOKUP(D756,'[2]8A. Master Device Catalog'!$F$5:$F$914,'[2]8A. Master Device Catalog'!$H$5:$H$914,"")</f>
        <v>2017</v>
      </c>
    </row>
    <row r="757" spans="1:6" ht="21.5" x14ac:dyDescent="0.35">
      <c r="A757" t="s">
        <v>4768</v>
      </c>
      <c r="B757" s="59" t="s">
        <v>3756</v>
      </c>
      <c r="C757" s="59" t="s">
        <v>4562</v>
      </c>
      <c r="D757" s="62" t="s">
        <v>2625</v>
      </c>
      <c r="E757" t="str">
        <f>_xlfn.XLOOKUP(D757,'[2]8A. Master Device Catalog'!$F$5:$F$914,'[2]8A. Master Device Catalog'!$G$5:$G$914,"")</f>
        <v>A2169</v>
      </c>
      <c r="F757">
        <f>_xlfn.XLOOKUP(D757,'[2]8A. Master Device Catalog'!$F$5:$F$914,'[2]8A. Master Device Catalog'!$H$5:$H$914,"")</f>
        <v>2021</v>
      </c>
    </row>
    <row r="758" spans="1:6" ht="21.5" x14ac:dyDescent="0.35">
      <c r="A758" t="s">
        <v>4769</v>
      </c>
      <c r="B758" s="59" t="s">
        <v>3756</v>
      </c>
      <c r="C758" s="59" t="s">
        <v>4562</v>
      </c>
      <c r="D758" s="62" t="s">
        <v>2618</v>
      </c>
      <c r="E758" t="str">
        <f>_xlfn.XLOOKUP(D758,'[2]8A. Master Device Catalog'!$F$5:$F$914,'[2]8A. Master Device Catalog'!$G$5:$G$914,"")</f>
        <v>A2843</v>
      </c>
      <c r="F758">
        <f>_xlfn.XLOOKUP(D758,'[2]8A. Master Device Catalog'!$F$5:$F$914,'[2]8A. Master Device Catalog'!$H$5:$H$914,"")</f>
        <v>2022</v>
      </c>
    </row>
    <row r="759" spans="1:6" ht="21.5" x14ac:dyDescent="0.35">
      <c r="A759" t="s">
        <v>4770</v>
      </c>
      <c r="B759" s="59" t="s">
        <v>3756</v>
      </c>
      <c r="C759" s="59" t="s">
        <v>4562</v>
      </c>
      <c r="D759" s="62" t="s">
        <v>2610</v>
      </c>
      <c r="E759" t="str">
        <f>_xlfn.XLOOKUP(D759,'[2]8A. Master Device Catalog'!$F$5:$F$914,'[2]8A. Master Device Catalog'!$G$5:$G$914,"")</f>
        <v>A2117</v>
      </c>
      <c r="F759">
        <f>_xlfn.XLOOKUP(D759,'[2]8A. Master Device Catalog'!$F$5:$F$914,'[2]8A. Master Device Catalog'!$H$5:$H$914,"")</f>
        <v>2024</v>
      </c>
    </row>
    <row r="760" spans="1:6" ht="21.5" x14ac:dyDescent="0.9">
      <c r="A760" t="s">
        <v>4771</v>
      </c>
      <c r="B760" s="59" t="s">
        <v>3756</v>
      </c>
      <c r="C760" s="59" t="s">
        <v>4748</v>
      </c>
      <c r="D760" s="61" t="s">
        <v>4772</v>
      </c>
      <c r="E760" t="str">
        <f>_xlfn.XLOOKUP(D760,'[2]8A. Master Device Catalog'!$F$5:$F$914,'[2]8A. Master Device Catalog'!$G$5:$G$914,"")</f>
        <v/>
      </c>
      <c r="F760" t="str">
        <f>_xlfn.XLOOKUP(D760,'[2]8A. Master Device Catalog'!$F$5:$F$914,'[2]8A. Master Device Catalog'!$H$5:$H$914,"")</f>
        <v/>
      </c>
    </row>
    <row r="761" spans="1:6" ht="21.5" x14ac:dyDescent="0.9">
      <c r="A761" t="s">
        <v>4773</v>
      </c>
      <c r="B761" s="59" t="s">
        <v>3756</v>
      </c>
      <c r="C761" s="59" t="s">
        <v>4748</v>
      </c>
      <c r="D761" s="61" t="s">
        <v>4774</v>
      </c>
      <c r="E761" t="str">
        <f>_xlfn.XLOOKUP(D761,'[2]8A. Master Device Catalog'!$F$5:$F$914,'[2]8A. Master Device Catalog'!$G$5:$G$914,"")</f>
        <v/>
      </c>
      <c r="F761" t="str">
        <f>_xlfn.XLOOKUP(D761,'[2]8A. Master Device Catalog'!$F$5:$F$914,'[2]8A. Master Device Catalog'!$H$5:$H$914,"")</f>
        <v/>
      </c>
    </row>
    <row r="762" spans="1:6" ht="21.5" x14ac:dyDescent="0.9">
      <c r="A762" t="s">
        <v>4775</v>
      </c>
      <c r="B762" s="59" t="s">
        <v>3756</v>
      </c>
      <c r="C762" s="59" t="s">
        <v>4748</v>
      </c>
      <c r="D762" s="61" t="s">
        <v>4776</v>
      </c>
      <c r="E762" t="str">
        <f>_xlfn.XLOOKUP(D762,'[2]8A. Master Device Catalog'!$F$5:$F$914,'[2]8A. Master Device Catalog'!$G$5:$G$914,"")</f>
        <v/>
      </c>
      <c r="F762" t="str">
        <f>_xlfn.XLOOKUP(D762,'[2]8A. Master Device Catalog'!$F$5:$F$914,'[2]8A. Master Device Catalog'!$H$5:$H$914,"")</f>
        <v/>
      </c>
    </row>
    <row r="763" spans="1:6" ht="21.5" x14ac:dyDescent="0.9">
      <c r="A763" t="s">
        <v>4777</v>
      </c>
      <c r="B763" s="59" t="s">
        <v>4778</v>
      </c>
      <c r="C763" s="59" t="s">
        <v>4748</v>
      </c>
      <c r="D763" s="61" t="s">
        <v>4779</v>
      </c>
      <c r="E763" t="str">
        <f>_xlfn.XLOOKUP(D763,'[2]8A. Master Device Catalog'!$F$5:$F$914,'[2]8A. Master Device Catalog'!$G$5:$G$914,"")</f>
        <v/>
      </c>
      <c r="F763" t="str">
        <f>_xlfn.XLOOKUP(D763,'[2]8A. Master Device Catalog'!$F$5:$F$914,'[2]8A. Master Device Catalog'!$H$5:$H$914,"")</f>
        <v/>
      </c>
    </row>
    <row r="764" spans="1:6" ht="21.5" x14ac:dyDescent="0.9">
      <c r="A764" t="s">
        <v>4780</v>
      </c>
      <c r="B764" s="59" t="s">
        <v>4778</v>
      </c>
      <c r="C764" s="59" t="s">
        <v>4748</v>
      </c>
      <c r="D764" s="61" t="s">
        <v>4781</v>
      </c>
      <c r="E764" t="str">
        <f>_xlfn.XLOOKUP(D764,'[2]8A. Master Device Catalog'!$F$5:$F$914,'[2]8A. Master Device Catalog'!$G$5:$G$914,"")</f>
        <v/>
      </c>
      <c r="F764" t="str">
        <f>_xlfn.XLOOKUP(D764,'[2]8A. Master Device Catalog'!$F$5:$F$914,'[2]8A. Master Device Catalog'!$H$5:$H$914,"")</f>
        <v/>
      </c>
    </row>
    <row r="765" spans="1:6" ht="21.5" x14ac:dyDescent="0.9">
      <c r="A765" t="s">
        <v>4782</v>
      </c>
      <c r="B765" s="59" t="s">
        <v>4778</v>
      </c>
      <c r="C765" s="59" t="s">
        <v>4748</v>
      </c>
      <c r="D765" s="61" t="s">
        <v>4783</v>
      </c>
      <c r="E765" t="str">
        <f>_xlfn.XLOOKUP(D765,'[2]8A. Master Device Catalog'!$F$5:$F$914,'[2]8A. Master Device Catalog'!$G$5:$G$914,"")</f>
        <v/>
      </c>
      <c r="F765" t="str">
        <f>_xlfn.XLOOKUP(D765,'[2]8A. Master Device Catalog'!$F$5:$F$914,'[2]8A. Master Device Catalog'!$H$5:$H$914,"")</f>
        <v/>
      </c>
    </row>
    <row r="766" spans="1:6" ht="21.5" x14ac:dyDescent="0.9">
      <c r="A766" t="s">
        <v>4784</v>
      </c>
      <c r="B766" s="59" t="s">
        <v>4778</v>
      </c>
      <c r="C766" s="59" t="s">
        <v>4748</v>
      </c>
      <c r="D766" s="61" t="s">
        <v>4785</v>
      </c>
      <c r="E766" t="str">
        <f>_xlfn.XLOOKUP(D766,'[2]8A. Master Device Catalog'!$F$5:$F$914,'[2]8A. Master Device Catalog'!$G$5:$G$914,"")</f>
        <v/>
      </c>
      <c r="F766" t="str">
        <f>_xlfn.XLOOKUP(D766,'[2]8A. Master Device Catalog'!$F$5:$F$914,'[2]8A. Master Device Catalog'!$H$5:$H$914,"")</f>
        <v/>
      </c>
    </row>
    <row r="767" spans="1:6" ht="21.5" x14ac:dyDescent="0.9">
      <c r="A767" t="s">
        <v>4786</v>
      </c>
      <c r="B767" s="59" t="s">
        <v>4778</v>
      </c>
      <c r="C767" s="59" t="s">
        <v>4748</v>
      </c>
      <c r="D767" s="61" t="s">
        <v>4787</v>
      </c>
      <c r="E767" t="str">
        <f>_xlfn.XLOOKUP(D767,'[2]8A. Master Device Catalog'!$F$5:$F$914,'[2]8A. Master Device Catalog'!$G$5:$G$914,"")</f>
        <v/>
      </c>
      <c r="F767" t="str">
        <f>_xlfn.XLOOKUP(D767,'[2]8A. Master Device Catalog'!$F$5:$F$914,'[2]8A. Master Device Catalog'!$H$5:$H$914,"")</f>
        <v/>
      </c>
    </row>
    <row r="768" spans="1:6" ht="21.5" x14ac:dyDescent="0.9">
      <c r="A768" t="s">
        <v>4788</v>
      </c>
      <c r="B768" s="59" t="s">
        <v>4778</v>
      </c>
      <c r="C768" s="59" t="s">
        <v>4748</v>
      </c>
      <c r="D768" s="61" t="s">
        <v>4789</v>
      </c>
      <c r="E768" t="str">
        <f>_xlfn.XLOOKUP(D768,'[2]8A. Master Device Catalog'!$F$5:$F$914,'[2]8A. Master Device Catalog'!$G$5:$G$914,"")</f>
        <v/>
      </c>
      <c r="F768" t="str">
        <f>_xlfn.XLOOKUP(D768,'[2]8A. Master Device Catalog'!$F$5:$F$914,'[2]8A. Master Device Catalog'!$H$5:$H$914,"")</f>
        <v/>
      </c>
    </row>
    <row r="769" spans="1:6" ht="21.5" x14ac:dyDescent="0.9">
      <c r="A769" t="s">
        <v>4790</v>
      </c>
      <c r="B769" s="59" t="s">
        <v>4778</v>
      </c>
      <c r="C769" s="59" t="s">
        <v>4748</v>
      </c>
      <c r="D769" s="61" t="s">
        <v>4791</v>
      </c>
      <c r="E769" t="str">
        <f>_xlfn.XLOOKUP(D769,'[2]8A. Master Device Catalog'!$F$5:$F$914,'[2]8A. Master Device Catalog'!$G$5:$G$914,"")</f>
        <v/>
      </c>
      <c r="F769" t="str">
        <f>_xlfn.XLOOKUP(D769,'[2]8A. Master Device Catalog'!$F$5:$F$914,'[2]8A. Master Device Catalog'!$H$5:$H$914,"")</f>
        <v/>
      </c>
    </row>
    <row r="770" spans="1:6" ht="21.5" x14ac:dyDescent="0.9">
      <c r="A770" t="s">
        <v>4792</v>
      </c>
      <c r="B770" s="59" t="s">
        <v>4778</v>
      </c>
      <c r="C770" s="59" t="s">
        <v>4748</v>
      </c>
      <c r="D770" s="61" t="s">
        <v>4793</v>
      </c>
      <c r="E770" t="str">
        <f>_xlfn.XLOOKUP(D770,'[2]8A. Master Device Catalog'!$F$5:$F$914,'[2]8A. Master Device Catalog'!$G$5:$G$914,"")</f>
        <v/>
      </c>
      <c r="F770" t="str">
        <f>_xlfn.XLOOKUP(D770,'[2]8A. Master Device Catalog'!$F$5:$F$914,'[2]8A. Master Device Catalog'!$H$5:$H$914,"")</f>
        <v/>
      </c>
    </row>
    <row r="771" spans="1:6" ht="21.5" x14ac:dyDescent="0.9">
      <c r="A771" t="s">
        <v>4794</v>
      </c>
      <c r="B771" s="59" t="s">
        <v>4795</v>
      </c>
      <c r="C771" s="59" t="s">
        <v>4748</v>
      </c>
      <c r="D771" s="61" t="s">
        <v>4796</v>
      </c>
      <c r="E771" t="str">
        <f>_xlfn.XLOOKUP(D771,'[2]8A. Master Device Catalog'!$F$5:$F$914,'[2]8A. Master Device Catalog'!$G$5:$G$914,"")</f>
        <v/>
      </c>
      <c r="F771" t="str">
        <f>_xlfn.XLOOKUP(D771,'[2]8A. Master Device Catalog'!$F$5:$F$914,'[2]8A. Master Device Catalog'!$H$5:$H$914,"")</f>
        <v/>
      </c>
    </row>
    <row r="772" spans="1:6" ht="21.5" x14ac:dyDescent="0.9">
      <c r="A772" t="s">
        <v>4797</v>
      </c>
      <c r="B772" s="59" t="s">
        <v>4795</v>
      </c>
      <c r="C772" s="59" t="s">
        <v>4748</v>
      </c>
      <c r="D772" s="61" t="s">
        <v>4798</v>
      </c>
      <c r="E772" t="str">
        <f>_xlfn.XLOOKUP(D772,'[2]8A. Master Device Catalog'!$F$5:$F$914,'[2]8A. Master Device Catalog'!$G$5:$G$914,"")</f>
        <v/>
      </c>
      <c r="F772" t="str">
        <f>_xlfn.XLOOKUP(D772,'[2]8A. Master Device Catalog'!$F$5:$F$914,'[2]8A. Master Device Catalog'!$H$5:$H$914,"")</f>
        <v/>
      </c>
    </row>
    <row r="773" spans="1:6" ht="21.5" x14ac:dyDescent="0.9">
      <c r="A773" t="s">
        <v>4799</v>
      </c>
      <c r="B773" s="59" t="s">
        <v>4795</v>
      </c>
      <c r="C773" s="59" t="s">
        <v>4748</v>
      </c>
      <c r="D773" s="61" t="s">
        <v>4800</v>
      </c>
      <c r="E773" t="str">
        <f>_xlfn.XLOOKUP(D773,'[2]8A. Master Device Catalog'!$F$5:$F$914,'[2]8A. Master Device Catalog'!$G$5:$G$914,"")</f>
        <v/>
      </c>
      <c r="F773" t="str">
        <f>_xlfn.XLOOKUP(D773,'[2]8A. Master Device Catalog'!$F$5:$F$914,'[2]8A. Master Device Catalog'!$H$5:$H$914,"")</f>
        <v/>
      </c>
    </row>
    <row r="774" spans="1:6" ht="21.5" x14ac:dyDescent="0.9">
      <c r="A774" t="s">
        <v>4801</v>
      </c>
      <c r="B774" s="59" t="s">
        <v>4795</v>
      </c>
      <c r="C774" s="59" t="s">
        <v>4748</v>
      </c>
      <c r="D774" s="61" t="s">
        <v>4802</v>
      </c>
      <c r="E774" t="str">
        <f>_xlfn.XLOOKUP(D774,'[2]8A. Master Device Catalog'!$F$5:$F$914,'[2]8A. Master Device Catalog'!$G$5:$G$914,"")</f>
        <v/>
      </c>
      <c r="F774" t="str">
        <f>_xlfn.XLOOKUP(D774,'[2]8A. Master Device Catalog'!$F$5:$F$914,'[2]8A. Master Device Catalog'!$H$5:$H$914,"")</f>
        <v/>
      </c>
    </row>
    <row r="775" spans="1:6" ht="21.5" x14ac:dyDescent="0.9">
      <c r="A775" t="s">
        <v>4803</v>
      </c>
      <c r="B775" s="59" t="s">
        <v>4795</v>
      </c>
      <c r="C775" s="59" t="s">
        <v>4748</v>
      </c>
      <c r="D775" s="61" t="s">
        <v>4804</v>
      </c>
      <c r="E775" t="str">
        <f>_xlfn.XLOOKUP(D775,'[2]8A. Master Device Catalog'!$F$5:$F$914,'[2]8A. Master Device Catalog'!$G$5:$G$914,"")</f>
        <v/>
      </c>
      <c r="F775" t="str">
        <f>_xlfn.XLOOKUP(D775,'[2]8A. Master Device Catalog'!$F$5:$F$914,'[2]8A. Master Device Catalog'!$H$5:$H$914,"")</f>
        <v/>
      </c>
    </row>
    <row r="776" spans="1:6" ht="21.5" x14ac:dyDescent="0.9">
      <c r="A776" t="s">
        <v>4805</v>
      </c>
      <c r="B776" s="59" t="s">
        <v>4795</v>
      </c>
      <c r="C776" s="59" t="s">
        <v>4748</v>
      </c>
      <c r="D776" s="61" t="s">
        <v>4806</v>
      </c>
      <c r="E776" t="str">
        <f>_xlfn.XLOOKUP(D776,'[2]8A. Master Device Catalog'!$F$5:$F$914,'[2]8A. Master Device Catalog'!$G$5:$G$914,"")</f>
        <v/>
      </c>
      <c r="F776" t="str">
        <f>_xlfn.XLOOKUP(D776,'[2]8A. Master Device Catalog'!$F$5:$F$914,'[2]8A. Master Device Catalog'!$H$5:$H$914,"")</f>
        <v/>
      </c>
    </row>
    <row r="777" spans="1:6" ht="21.5" x14ac:dyDescent="0.9">
      <c r="A777" t="s">
        <v>4807</v>
      </c>
      <c r="B777" s="59" t="s">
        <v>4795</v>
      </c>
      <c r="C777" s="59" t="s">
        <v>4748</v>
      </c>
      <c r="D777" s="61" t="s">
        <v>4808</v>
      </c>
      <c r="E777" t="str">
        <f>_xlfn.XLOOKUP(D777,'[2]8A. Master Device Catalog'!$F$5:$F$914,'[2]8A. Master Device Catalog'!$G$5:$G$914,"")</f>
        <v/>
      </c>
      <c r="F777" t="str">
        <f>_xlfn.XLOOKUP(D777,'[2]8A. Master Device Catalog'!$F$5:$F$914,'[2]8A. Master Device Catalog'!$H$5:$H$914,"")</f>
        <v/>
      </c>
    </row>
    <row r="778" spans="1:6" ht="21.5" x14ac:dyDescent="0.9">
      <c r="A778" t="s">
        <v>4809</v>
      </c>
      <c r="B778" s="59" t="s">
        <v>4795</v>
      </c>
      <c r="C778" s="59" t="s">
        <v>4748</v>
      </c>
      <c r="D778" s="61" t="s">
        <v>4810</v>
      </c>
      <c r="E778" t="str">
        <f>_xlfn.XLOOKUP(D778,'[2]8A. Master Device Catalog'!$F$5:$F$914,'[2]8A. Master Device Catalog'!$G$5:$G$914,"")</f>
        <v/>
      </c>
      <c r="F778" t="str">
        <f>_xlfn.XLOOKUP(D778,'[2]8A. Master Device Catalog'!$F$5:$F$914,'[2]8A. Master Device Catalog'!$H$5:$H$914,"")</f>
        <v/>
      </c>
    </row>
    <row r="779" spans="1:6" ht="21.5" x14ac:dyDescent="0.9">
      <c r="A779" t="s">
        <v>4811</v>
      </c>
      <c r="B779" s="59" t="s">
        <v>4795</v>
      </c>
      <c r="C779" s="59" t="s">
        <v>4748</v>
      </c>
      <c r="D779" s="61" t="s">
        <v>4812</v>
      </c>
      <c r="E779" t="str">
        <f>_xlfn.XLOOKUP(D779,'[2]8A. Master Device Catalog'!$F$5:$F$914,'[2]8A. Master Device Catalog'!$G$5:$G$914,"")</f>
        <v/>
      </c>
      <c r="F779" t="str">
        <f>_xlfn.XLOOKUP(D779,'[2]8A. Master Device Catalog'!$F$5:$F$914,'[2]8A. Master Device Catalog'!$H$5:$H$914,"")</f>
        <v/>
      </c>
    </row>
    <row r="780" spans="1:6" ht="21.5" x14ac:dyDescent="0.9">
      <c r="A780" t="s">
        <v>4813</v>
      </c>
      <c r="B780" s="59" t="s">
        <v>4795</v>
      </c>
      <c r="C780" s="59" t="s">
        <v>4748</v>
      </c>
      <c r="D780" s="61" t="s">
        <v>4814</v>
      </c>
      <c r="E780" t="str">
        <f>_xlfn.XLOOKUP(D780,'[2]8A. Master Device Catalog'!$F$5:$F$914,'[2]8A. Master Device Catalog'!$G$5:$G$914,"")</f>
        <v/>
      </c>
      <c r="F780" t="str">
        <f>_xlfn.XLOOKUP(D780,'[2]8A. Master Device Catalog'!$F$5:$F$914,'[2]8A. Master Device Catalog'!$H$5:$H$914,"")</f>
        <v/>
      </c>
    </row>
    <row r="781" spans="1:6" ht="21.5" x14ac:dyDescent="0.9">
      <c r="A781" t="s">
        <v>4815</v>
      </c>
      <c r="B781" s="59" t="s">
        <v>4795</v>
      </c>
      <c r="C781" s="59" t="s">
        <v>4748</v>
      </c>
      <c r="D781" s="61" t="s">
        <v>4816</v>
      </c>
      <c r="E781" t="str">
        <f>_xlfn.XLOOKUP(D781,'[2]8A. Master Device Catalog'!$F$5:$F$914,'[2]8A. Master Device Catalog'!$G$5:$G$914,"")</f>
        <v/>
      </c>
      <c r="F781" t="str">
        <f>_xlfn.XLOOKUP(D781,'[2]8A. Master Device Catalog'!$F$5:$F$914,'[2]8A. Master Device Catalog'!$H$5:$H$914,"")</f>
        <v/>
      </c>
    </row>
    <row r="782" spans="1:6" ht="21.5" x14ac:dyDescent="0.9">
      <c r="A782" t="s">
        <v>4817</v>
      </c>
      <c r="B782" s="59" t="s">
        <v>4795</v>
      </c>
      <c r="C782" s="59" t="s">
        <v>4748</v>
      </c>
      <c r="D782" s="61" t="s">
        <v>4818</v>
      </c>
      <c r="E782" t="str">
        <f>_xlfn.XLOOKUP(D782,'[2]8A. Master Device Catalog'!$F$5:$F$914,'[2]8A. Master Device Catalog'!$G$5:$G$914,"")</f>
        <v/>
      </c>
      <c r="F782" t="str">
        <f>_xlfn.XLOOKUP(D782,'[2]8A. Master Device Catalog'!$F$5:$F$914,'[2]8A. Master Device Catalog'!$H$5:$H$914,"")</f>
        <v/>
      </c>
    </row>
    <row r="783" spans="1:6" ht="21.5" x14ac:dyDescent="0.9">
      <c r="A783" t="s">
        <v>4819</v>
      </c>
      <c r="B783" s="59" t="s">
        <v>4795</v>
      </c>
      <c r="C783" s="59" t="s">
        <v>4748</v>
      </c>
      <c r="D783" s="61" t="s">
        <v>4820</v>
      </c>
      <c r="E783" t="str">
        <f>_xlfn.XLOOKUP(D783,'[2]8A. Master Device Catalog'!$F$5:$F$914,'[2]8A. Master Device Catalog'!$G$5:$G$914,"")</f>
        <v/>
      </c>
      <c r="F783" t="str">
        <f>_xlfn.XLOOKUP(D783,'[2]8A. Master Device Catalog'!$F$5:$F$914,'[2]8A. Master Device Catalog'!$H$5:$H$914,"")</f>
        <v/>
      </c>
    </row>
    <row r="784" spans="1:6" ht="21.5" x14ac:dyDescent="0.9">
      <c r="A784" t="s">
        <v>4821</v>
      </c>
      <c r="B784" s="59" t="s">
        <v>3824</v>
      </c>
      <c r="C784" s="59" t="s">
        <v>4748</v>
      </c>
      <c r="D784" s="61" t="s">
        <v>4822</v>
      </c>
      <c r="E784" t="str">
        <f>_xlfn.XLOOKUP(D784,'[2]8A. Master Device Catalog'!$F$5:$F$914,'[2]8A. Master Device Catalog'!$G$5:$G$914,"")</f>
        <v/>
      </c>
      <c r="F784" t="str">
        <f>_xlfn.XLOOKUP(D784,'[2]8A. Master Device Catalog'!$F$5:$F$914,'[2]8A. Master Device Catalog'!$H$5:$H$914,"")</f>
        <v/>
      </c>
    </row>
    <row r="785" spans="1:6" ht="21.5" x14ac:dyDescent="0.9">
      <c r="A785" t="s">
        <v>4823</v>
      </c>
      <c r="B785" s="59" t="s">
        <v>3824</v>
      </c>
      <c r="C785" s="59" t="s">
        <v>4748</v>
      </c>
      <c r="D785" s="61" t="s">
        <v>4824</v>
      </c>
      <c r="E785" t="str">
        <f>_xlfn.XLOOKUP(D785,'[2]8A. Master Device Catalog'!$F$5:$F$914,'[2]8A. Master Device Catalog'!$G$5:$G$914,"")</f>
        <v/>
      </c>
      <c r="F785" t="str">
        <f>_xlfn.XLOOKUP(D785,'[2]8A. Master Device Catalog'!$F$5:$F$914,'[2]8A. Master Device Catalog'!$H$5:$H$914,"")</f>
        <v/>
      </c>
    </row>
    <row r="786" spans="1:6" ht="21.5" x14ac:dyDescent="0.9">
      <c r="A786" t="s">
        <v>4825</v>
      </c>
      <c r="B786" s="59" t="s">
        <v>3824</v>
      </c>
      <c r="C786" s="59" t="s">
        <v>4748</v>
      </c>
      <c r="D786" s="61" t="s">
        <v>4826</v>
      </c>
      <c r="E786" t="str">
        <f>_xlfn.XLOOKUP(D786,'[2]8A. Master Device Catalog'!$F$5:$F$914,'[2]8A. Master Device Catalog'!$G$5:$G$914,"")</f>
        <v/>
      </c>
      <c r="F786" t="str">
        <f>_xlfn.XLOOKUP(D786,'[2]8A. Master Device Catalog'!$F$5:$F$914,'[2]8A. Master Device Catalog'!$H$5:$H$914,"")</f>
        <v/>
      </c>
    </row>
    <row r="787" spans="1:6" ht="21.5" x14ac:dyDescent="0.9">
      <c r="A787" t="s">
        <v>4827</v>
      </c>
      <c r="B787" s="59" t="s">
        <v>3824</v>
      </c>
      <c r="C787" s="59" t="s">
        <v>4748</v>
      </c>
      <c r="D787" s="61" t="s">
        <v>4828</v>
      </c>
      <c r="E787" t="str">
        <f>_xlfn.XLOOKUP(D787,'[2]8A. Master Device Catalog'!$F$5:$F$914,'[2]8A. Master Device Catalog'!$G$5:$G$914,"")</f>
        <v/>
      </c>
      <c r="F787" t="str">
        <f>_xlfn.XLOOKUP(D787,'[2]8A. Master Device Catalog'!$F$5:$F$914,'[2]8A. Master Device Catalog'!$H$5:$H$914,"")</f>
        <v/>
      </c>
    </row>
    <row r="788" spans="1:6" ht="21.5" x14ac:dyDescent="0.9">
      <c r="A788" t="s">
        <v>4829</v>
      </c>
      <c r="B788" s="59" t="s">
        <v>4000</v>
      </c>
      <c r="C788" s="59" t="s">
        <v>4748</v>
      </c>
      <c r="D788" s="61" t="s">
        <v>1668</v>
      </c>
      <c r="E788" t="str">
        <f>_xlfn.XLOOKUP(D788,'[2]8A. Master Device Catalog'!$F$5:$F$914,'[2]8A. Master Device Catalog'!$G$5:$G$914,"")</f>
        <v>SM-R940</v>
      </c>
      <c r="F788">
        <f>_xlfn.XLOOKUP(D788,'[2]8A. Master Device Catalog'!$F$5:$F$914,'[2]8A. Master Device Catalog'!$H$5:$H$914,"")</f>
        <v>2023</v>
      </c>
    </row>
    <row r="789" spans="1:6" ht="21.5" x14ac:dyDescent="0.9">
      <c r="A789" t="s">
        <v>4830</v>
      </c>
      <c r="B789" s="59" t="s">
        <v>4000</v>
      </c>
      <c r="C789" s="59" t="s">
        <v>4748</v>
      </c>
      <c r="D789" s="61" t="s">
        <v>4831</v>
      </c>
      <c r="E789" t="str">
        <f>_xlfn.XLOOKUP(D789,'[2]8A. Master Device Catalog'!$F$5:$F$914,'[2]8A. Master Device Catalog'!$G$5:$G$914,"")</f>
        <v/>
      </c>
      <c r="F789" t="str">
        <f>_xlfn.XLOOKUP(D789,'[2]8A. Master Device Catalog'!$F$5:$F$914,'[2]8A. Master Device Catalog'!$H$5:$H$914,"")</f>
        <v/>
      </c>
    </row>
    <row r="790" spans="1:6" ht="21.5" x14ac:dyDescent="0.9">
      <c r="A790" t="s">
        <v>4832</v>
      </c>
      <c r="B790" s="59" t="s">
        <v>4000</v>
      </c>
      <c r="C790" s="59" t="s">
        <v>4748</v>
      </c>
      <c r="D790" s="61" t="s">
        <v>4833</v>
      </c>
      <c r="E790" t="str">
        <f>_xlfn.XLOOKUP(D790,'[2]8A. Master Device Catalog'!$F$5:$F$914,'[2]8A. Master Device Catalog'!$G$5:$G$914,"")</f>
        <v/>
      </c>
      <c r="F790" t="str">
        <f>_xlfn.XLOOKUP(D790,'[2]8A. Master Device Catalog'!$F$5:$F$914,'[2]8A. Master Device Catalog'!$H$5:$H$914,"")</f>
        <v/>
      </c>
    </row>
    <row r="791" spans="1:6" ht="21.5" x14ac:dyDescent="0.9">
      <c r="A791" t="s">
        <v>4834</v>
      </c>
      <c r="B791" s="59" t="s">
        <v>4000</v>
      </c>
      <c r="C791" s="59" t="s">
        <v>4748</v>
      </c>
      <c r="D791" s="61" t="s">
        <v>4835</v>
      </c>
      <c r="E791" t="str">
        <f>_xlfn.XLOOKUP(D791,'[2]8A. Master Device Catalog'!$F$5:$F$914,'[2]8A. Master Device Catalog'!$G$5:$G$914,"")</f>
        <v/>
      </c>
      <c r="F791" t="str">
        <f>_xlfn.XLOOKUP(D791,'[2]8A. Master Device Catalog'!$F$5:$F$914,'[2]8A. Master Device Catalog'!$H$5:$H$914,"")</f>
        <v/>
      </c>
    </row>
    <row r="792" spans="1:6" ht="21.5" x14ac:dyDescent="0.9">
      <c r="A792" t="s">
        <v>4836</v>
      </c>
      <c r="B792" s="59" t="s">
        <v>4000</v>
      </c>
      <c r="C792" s="59" t="s">
        <v>4748</v>
      </c>
      <c r="D792" s="61" t="s">
        <v>1662</v>
      </c>
      <c r="E792" t="str">
        <f>_xlfn.XLOOKUP(D792,'[2]8A. Master Device Catalog'!$F$5:$F$914,'[2]8A. Master Device Catalog'!$G$5:$G$914,"")</f>
        <v>SM-L705</v>
      </c>
      <c r="F792">
        <f>_xlfn.XLOOKUP(D792,'[2]8A. Master Device Catalog'!$F$5:$F$914,'[2]8A. Master Device Catalog'!$H$5:$H$914,"")</f>
        <v>2024</v>
      </c>
    </row>
    <row r="793" spans="1:6" ht="21.5" x14ac:dyDescent="0.9">
      <c r="A793" t="s">
        <v>4837</v>
      </c>
      <c r="B793" s="59" t="s">
        <v>4000</v>
      </c>
      <c r="C793" s="59" t="s">
        <v>4748</v>
      </c>
      <c r="D793" s="61" t="s">
        <v>4838</v>
      </c>
      <c r="E793" t="str">
        <f>_xlfn.XLOOKUP(D793,'[2]8A. Master Device Catalog'!$F$5:$F$914,'[2]8A. Master Device Catalog'!$G$5:$G$914,"")</f>
        <v/>
      </c>
      <c r="F793" t="str">
        <f>_xlfn.XLOOKUP(D793,'[2]8A. Master Device Catalog'!$F$5:$F$914,'[2]8A. Master Device Catalog'!$H$5:$H$914,"")</f>
        <v/>
      </c>
    </row>
    <row r="794" spans="1:6" ht="21.5" x14ac:dyDescent="0.9">
      <c r="A794" t="s">
        <v>4839</v>
      </c>
      <c r="B794" s="59" t="s">
        <v>4000</v>
      </c>
      <c r="C794" s="59" t="s">
        <v>4748</v>
      </c>
      <c r="D794" s="61" t="s">
        <v>1631</v>
      </c>
      <c r="E794" t="str">
        <f>_xlfn.XLOOKUP(D794,'[2]8A. Master Device Catalog'!$F$5:$F$914,'[2]8A. Master Device Catalog'!$G$5:$G$914,"")</f>
        <v>SM-R400</v>
      </c>
      <c r="F794">
        <f>_xlfn.XLOOKUP(D794,'[2]8A. Master Device Catalog'!$F$5:$F$914,'[2]8A. Master Device Catalog'!$H$5:$H$914,"")</f>
        <v>2023</v>
      </c>
    </row>
    <row r="795" spans="1:6" ht="21.5" x14ac:dyDescent="0.9">
      <c r="A795" t="s">
        <v>4840</v>
      </c>
      <c r="B795" s="59" t="s">
        <v>4000</v>
      </c>
      <c r="C795" s="59" t="s">
        <v>4748</v>
      </c>
      <c r="D795" s="61" t="s">
        <v>1673</v>
      </c>
      <c r="E795" t="str">
        <f>_xlfn.XLOOKUP(D795,'[2]8A. Master Device Catalog'!$F$5:$F$914,'[2]8A. Master Device Catalog'!$G$5:$G$914,"")</f>
        <v>SM-R910</v>
      </c>
      <c r="F795">
        <f>_xlfn.XLOOKUP(D795,'[2]8A. Master Device Catalog'!$F$5:$F$914,'[2]8A. Master Device Catalog'!$H$5:$H$914,"")</f>
        <v>2022</v>
      </c>
    </row>
    <row r="796" spans="1:6" ht="21.5" x14ac:dyDescent="0.9">
      <c r="A796" t="s">
        <v>4841</v>
      </c>
      <c r="B796" s="59" t="s">
        <v>4000</v>
      </c>
      <c r="C796" s="59" t="s">
        <v>4748</v>
      </c>
      <c r="D796" s="61" t="s">
        <v>4842</v>
      </c>
      <c r="E796" t="str">
        <f>_xlfn.XLOOKUP(D796,'[2]8A. Master Device Catalog'!$F$5:$F$914,'[2]8A. Master Device Catalog'!$G$5:$G$914,"")</f>
        <v/>
      </c>
      <c r="F796" t="str">
        <f>_xlfn.XLOOKUP(D796,'[2]8A. Master Device Catalog'!$F$5:$F$914,'[2]8A. Master Device Catalog'!$H$5:$H$914,"")</f>
        <v/>
      </c>
    </row>
    <row r="797" spans="1:6" ht="21.5" x14ac:dyDescent="0.9">
      <c r="A797" t="s">
        <v>4843</v>
      </c>
      <c r="B797" s="59" t="s">
        <v>4000</v>
      </c>
      <c r="C797" s="59" t="s">
        <v>4748</v>
      </c>
      <c r="D797" s="61" t="s">
        <v>1678</v>
      </c>
      <c r="E797" t="str">
        <f>_xlfn.XLOOKUP(D797,'[2]8A. Master Device Catalog'!$F$5:$F$914,'[2]8A. Master Device Catalog'!$G$5:$G$914,"")</f>
        <v>SM-R870</v>
      </c>
      <c r="F797">
        <f>_xlfn.XLOOKUP(D797,'[2]8A. Master Device Catalog'!$F$5:$F$914,'[2]8A. Master Device Catalog'!$H$5:$H$914,"")</f>
        <v>2021</v>
      </c>
    </row>
    <row r="798" spans="1:6" ht="21.5" x14ac:dyDescent="0.9">
      <c r="A798" t="s">
        <v>4844</v>
      </c>
      <c r="B798" s="59" t="s">
        <v>4000</v>
      </c>
      <c r="C798" s="59" t="s">
        <v>4748</v>
      </c>
      <c r="D798" s="61" t="s">
        <v>4845</v>
      </c>
      <c r="E798" t="str">
        <f>_xlfn.XLOOKUP(D798,'[2]8A. Master Device Catalog'!$F$5:$F$914,'[2]8A. Master Device Catalog'!$G$5:$G$914,"")</f>
        <v/>
      </c>
      <c r="F798" t="str">
        <f>_xlfn.XLOOKUP(D798,'[2]8A. Master Device Catalog'!$F$5:$F$914,'[2]8A. Master Device Catalog'!$H$5:$H$914,"")</f>
        <v/>
      </c>
    </row>
    <row r="799" spans="1:6" ht="21.5" x14ac:dyDescent="0.9">
      <c r="A799" t="s">
        <v>4846</v>
      </c>
      <c r="B799" s="59" t="s">
        <v>4000</v>
      </c>
      <c r="C799" s="59" t="s">
        <v>4748</v>
      </c>
      <c r="D799" s="61" t="s">
        <v>4847</v>
      </c>
      <c r="E799" t="str">
        <f>_xlfn.XLOOKUP(D799,'[2]8A. Master Device Catalog'!$F$5:$F$914,'[2]8A. Master Device Catalog'!$G$5:$G$914,"")</f>
        <v/>
      </c>
      <c r="F799" t="str">
        <f>_xlfn.XLOOKUP(D799,'[2]8A. Master Device Catalog'!$F$5:$F$914,'[2]8A. Master Device Catalog'!$H$5:$H$914,"")</f>
        <v/>
      </c>
    </row>
    <row r="800" spans="1:6" ht="21.5" x14ac:dyDescent="0.9">
      <c r="A800" t="s">
        <v>4848</v>
      </c>
      <c r="B800" s="59" t="s">
        <v>4000</v>
      </c>
      <c r="C800" s="59" t="s">
        <v>4748</v>
      </c>
      <c r="D800" s="61" t="s">
        <v>1688</v>
      </c>
      <c r="E800" t="str">
        <f>_xlfn.XLOOKUP(D800,'[2]8A. Master Device Catalog'!$F$5:$F$914,'[2]8A. Master Device Catalog'!$G$5:$G$914,"")</f>
        <v>SM-R800</v>
      </c>
      <c r="F800">
        <f>_xlfn.XLOOKUP(D800,'[2]8A. Master Device Catalog'!$F$5:$F$914,'[2]8A. Master Device Catalog'!$H$5:$H$914,"")</f>
        <v>2018</v>
      </c>
    </row>
    <row r="801" spans="1:6" ht="21.5" x14ac:dyDescent="0.35">
      <c r="A801" t="s">
        <v>4849</v>
      </c>
      <c r="B801" s="59" t="s">
        <v>4000</v>
      </c>
      <c r="C801" s="59" t="s">
        <v>4748</v>
      </c>
      <c r="D801" s="60" t="s">
        <v>1685</v>
      </c>
      <c r="E801" t="str">
        <f>_xlfn.XLOOKUP(D801,'[2]8A. Master Device Catalog'!$F$5:$F$914,'[2]8A. Master Device Catalog'!$G$5:$G$914,"")</f>
        <v>SM-R500</v>
      </c>
      <c r="F801">
        <f>_xlfn.XLOOKUP(D801,'[2]8A. Master Device Catalog'!$F$5:$F$914,'[2]8A. Master Device Catalog'!$H$5:$H$914,"")</f>
        <v>2019</v>
      </c>
    </row>
    <row r="802" spans="1:6" ht="21.5" x14ac:dyDescent="0.35">
      <c r="A802" t="s">
        <v>4850</v>
      </c>
      <c r="B802" s="59" t="s">
        <v>4000</v>
      </c>
      <c r="C802" s="59" t="s">
        <v>4748</v>
      </c>
      <c r="D802" s="60" t="s">
        <v>4851</v>
      </c>
      <c r="E802" t="str">
        <f>_xlfn.XLOOKUP(D802,'[2]8A. Master Device Catalog'!$F$5:$F$914,'[2]8A. Master Device Catalog'!$G$5:$G$914,"")</f>
        <v/>
      </c>
      <c r="F802" t="str">
        <f>_xlfn.XLOOKUP(D802,'[2]8A. Master Device Catalog'!$F$5:$F$914,'[2]8A. Master Device Catalog'!$H$5:$H$914,"")</f>
        <v/>
      </c>
    </row>
    <row r="803" spans="1:6" ht="21.5" x14ac:dyDescent="0.35">
      <c r="A803" t="s">
        <v>4852</v>
      </c>
      <c r="B803" s="59" t="s">
        <v>4000</v>
      </c>
      <c r="C803" s="59" t="s">
        <v>4748</v>
      </c>
      <c r="D803" s="60" t="s">
        <v>1681</v>
      </c>
      <c r="E803" t="str">
        <f>_xlfn.XLOOKUP(D803,'[2]8A. Master Device Catalog'!$F$5:$F$914,'[2]8A. Master Device Catalog'!$G$5:$G$914,"")</f>
        <v>SM-R840</v>
      </c>
      <c r="F803">
        <f>_xlfn.XLOOKUP(D803,'[2]8A. Master Device Catalog'!$F$5:$F$914,'[2]8A. Master Device Catalog'!$H$5:$H$914,"")</f>
        <v>2020</v>
      </c>
    </row>
    <row r="804" spans="1:6" ht="21.5" x14ac:dyDescent="0.35">
      <c r="A804" t="s">
        <v>4853</v>
      </c>
      <c r="B804" s="59" t="s">
        <v>4000</v>
      </c>
      <c r="C804" s="59" t="s">
        <v>4748</v>
      </c>
      <c r="D804" s="60" t="s">
        <v>1657</v>
      </c>
      <c r="E804" t="str">
        <f>_xlfn.XLOOKUP(D804,'[2]8A. Master Device Catalog'!$F$5:$F$914,'[2]8A. Master Device Catalog'!$G$5:$G$914,"")</f>
        <v>SM-R170</v>
      </c>
      <c r="F804">
        <f>_xlfn.XLOOKUP(D804,'[2]8A. Master Device Catalog'!$F$5:$F$914,'[2]8A. Master Device Catalog'!$H$5:$H$914,"")</f>
        <v>2019</v>
      </c>
    </row>
    <row r="805" spans="1:6" ht="21.5" x14ac:dyDescent="0.35">
      <c r="A805" t="s">
        <v>4854</v>
      </c>
      <c r="B805" s="59" t="s">
        <v>4000</v>
      </c>
      <c r="C805" s="59" t="s">
        <v>4748</v>
      </c>
      <c r="D805" s="60" t="s">
        <v>1652</v>
      </c>
      <c r="E805" t="str">
        <f>_xlfn.XLOOKUP(D805,'[2]8A. Master Device Catalog'!$F$5:$F$914,'[2]8A. Master Device Catalog'!$G$5:$G$914,"")</f>
        <v>SM-R175</v>
      </c>
      <c r="F805">
        <f>_xlfn.XLOOKUP(D805,'[2]8A. Master Device Catalog'!$F$5:$F$914,'[2]8A. Master Device Catalog'!$H$5:$H$914,"")</f>
        <v>2020</v>
      </c>
    </row>
    <row r="806" spans="1:6" ht="21.5" x14ac:dyDescent="0.35">
      <c r="A806" t="s">
        <v>4855</v>
      </c>
      <c r="B806" s="59" t="s">
        <v>4000</v>
      </c>
      <c r="C806" s="59" t="s">
        <v>4748</v>
      </c>
      <c r="D806" s="60" t="s">
        <v>1647</v>
      </c>
      <c r="E806" t="str">
        <f>_xlfn.XLOOKUP(D806,'[2]8A. Master Device Catalog'!$F$5:$F$914,'[2]8A. Master Device Catalog'!$G$5:$G$914,"")</f>
        <v>SM-R180</v>
      </c>
      <c r="F806">
        <f>_xlfn.XLOOKUP(D806,'[2]8A. Master Device Catalog'!$F$5:$F$914,'[2]8A. Master Device Catalog'!$H$5:$H$914,"")</f>
        <v>2020</v>
      </c>
    </row>
    <row r="807" spans="1:6" ht="21.5" x14ac:dyDescent="0.35">
      <c r="A807" t="s">
        <v>4856</v>
      </c>
      <c r="B807" s="59" t="s">
        <v>4000</v>
      </c>
      <c r="C807" s="59" t="s">
        <v>4748</v>
      </c>
      <c r="D807" s="60" t="s">
        <v>1644</v>
      </c>
      <c r="E807" t="str">
        <f>_xlfn.XLOOKUP(D807,'[2]8A. Master Device Catalog'!$F$5:$F$914,'[2]8A. Master Device Catalog'!$G$5:$G$914,"")</f>
        <v>SM-R190</v>
      </c>
      <c r="F807">
        <f>_xlfn.XLOOKUP(D807,'[2]8A. Master Device Catalog'!$F$5:$F$914,'[2]8A. Master Device Catalog'!$H$5:$H$914,"")</f>
        <v>2021</v>
      </c>
    </row>
    <row r="808" spans="1:6" ht="21.5" x14ac:dyDescent="0.35">
      <c r="A808" t="s">
        <v>4857</v>
      </c>
      <c r="B808" s="59" t="s">
        <v>4000</v>
      </c>
      <c r="C808" s="59" t="s">
        <v>4748</v>
      </c>
      <c r="D808" s="60" t="s">
        <v>1640</v>
      </c>
      <c r="E808" t="str">
        <f>_xlfn.XLOOKUP(D808,'[2]8A. Master Device Catalog'!$F$5:$F$914,'[2]8A. Master Device Catalog'!$G$5:$G$914,"")</f>
        <v>SM-R177</v>
      </c>
      <c r="F808">
        <f>_xlfn.XLOOKUP(D808,'[2]8A. Master Device Catalog'!$F$5:$F$914,'[2]8A. Master Device Catalog'!$H$5:$H$914,"")</f>
        <v>2021</v>
      </c>
    </row>
    <row r="809" spans="1:6" ht="21.5" x14ac:dyDescent="0.35">
      <c r="A809" t="s">
        <v>4858</v>
      </c>
      <c r="B809" s="59" t="s">
        <v>4000</v>
      </c>
      <c r="C809" s="59" t="s">
        <v>4748</v>
      </c>
      <c r="D809" s="60" t="s">
        <v>1637</v>
      </c>
      <c r="E809" t="str">
        <f>_xlfn.XLOOKUP(D809,'[2]8A. Master Device Catalog'!$F$5:$F$914,'[2]8A. Master Device Catalog'!$G$5:$G$914,"")</f>
        <v>SM-R510</v>
      </c>
      <c r="F809">
        <f>_xlfn.XLOOKUP(D809,'[2]8A. Master Device Catalog'!$F$5:$F$914,'[2]8A. Master Device Catalog'!$H$5:$H$914,"")</f>
        <v>2022</v>
      </c>
    </row>
    <row r="810" spans="1:6" ht="21.5" x14ac:dyDescent="0.35">
      <c r="A810" t="s">
        <v>4859</v>
      </c>
      <c r="B810" s="59" t="s">
        <v>4000</v>
      </c>
      <c r="C810" s="59" t="s">
        <v>4748</v>
      </c>
      <c r="D810" s="60" t="s">
        <v>1625</v>
      </c>
      <c r="E810" t="str">
        <f>_xlfn.XLOOKUP(D810,'[2]8A. Master Device Catalog'!$F$5:$F$914,'[2]8A. Master Device Catalog'!$G$5:$G$914,"")</f>
        <v>SM-R530</v>
      </c>
      <c r="F810">
        <f>_xlfn.XLOOKUP(D810,'[2]8A. Master Device Catalog'!$F$5:$F$914,'[2]8A. Master Device Catalog'!$H$5:$H$914,"")</f>
        <v>2024</v>
      </c>
    </row>
    <row r="811" spans="1:6" ht="21.5" x14ac:dyDescent="0.35">
      <c r="A811" t="s">
        <v>4860</v>
      </c>
      <c r="B811" s="59" t="s">
        <v>4000</v>
      </c>
      <c r="C811" s="59" t="s">
        <v>4748</v>
      </c>
      <c r="D811" s="60" t="s">
        <v>1616</v>
      </c>
      <c r="E811" t="str">
        <f>_xlfn.XLOOKUP(D811,'[2]8A. Master Device Catalog'!$F$5:$F$914,'[2]8A. Master Device Catalog'!$G$5:$G$914,"")</f>
        <v>SM-R630</v>
      </c>
      <c r="F811">
        <f>_xlfn.XLOOKUP(D811,'[2]8A. Master Device Catalog'!$F$5:$F$914,'[2]8A. Master Device Catalog'!$H$5:$H$914,"")</f>
        <v>2024</v>
      </c>
    </row>
    <row r="812" spans="1:6" ht="21.5" x14ac:dyDescent="0.9">
      <c r="A812" t="s">
        <v>4861</v>
      </c>
      <c r="B812" s="59" t="s">
        <v>3805</v>
      </c>
      <c r="C812" s="59" t="s">
        <v>4862</v>
      </c>
      <c r="D812" s="61" t="s">
        <v>238</v>
      </c>
      <c r="E812" t="str">
        <f>_xlfn.XLOOKUP(D812,'[2]8A. Master Device Catalog'!$F$5:$F$914,'[2]8A. Master Device Catalog'!$G$5:$G$914,"")</f>
        <v>RC72LA</v>
      </c>
      <c r="F812">
        <f>_xlfn.XLOOKUP(D812,'[2]8A. Master Device Catalog'!$F$5:$F$914,'[2]8A. Master Device Catalog'!$H$5:$H$914,"")</f>
        <v>2024</v>
      </c>
    </row>
    <row r="813" spans="1:6" ht="21.5" x14ac:dyDescent="0.9">
      <c r="A813" t="s">
        <v>4863</v>
      </c>
      <c r="B813" s="59" t="s">
        <v>3805</v>
      </c>
      <c r="C813" s="59" t="s">
        <v>4862</v>
      </c>
      <c r="D813" s="61" t="s">
        <v>4864</v>
      </c>
      <c r="E813" t="str">
        <f>_xlfn.XLOOKUP(D813,'[2]8A. Master Device Catalog'!$F$5:$F$914,'[2]8A. Master Device Catalog'!$G$5:$G$914,"")</f>
        <v/>
      </c>
      <c r="F813" t="str">
        <f>_xlfn.XLOOKUP(D813,'[2]8A. Master Device Catalog'!$F$5:$F$914,'[2]8A. Master Device Catalog'!$H$5:$H$914,"")</f>
        <v/>
      </c>
    </row>
    <row r="814" spans="1:6" ht="21.5" x14ac:dyDescent="0.9">
      <c r="A814" t="s">
        <v>4865</v>
      </c>
      <c r="B814" s="59" t="s">
        <v>4414</v>
      </c>
      <c r="C814" s="59" t="s">
        <v>4862</v>
      </c>
      <c r="D814" s="61" t="s">
        <v>4866</v>
      </c>
      <c r="E814" t="str">
        <f>_xlfn.XLOOKUP(D814,'[2]8A. Master Device Catalog'!$F$5:$F$914,'[2]8A. Master Device Catalog'!$G$5:$G$914,"")</f>
        <v/>
      </c>
      <c r="F814" t="str">
        <f>_xlfn.XLOOKUP(D814,'[2]8A. Master Device Catalog'!$F$5:$F$914,'[2]8A. Master Device Catalog'!$H$5:$H$914,"")</f>
        <v/>
      </c>
    </row>
    <row r="815" spans="1:6" ht="21.5" x14ac:dyDescent="0.9">
      <c r="A815" t="s">
        <v>4867</v>
      </c>
      <c r="B815" s="59" t="s">
        <v>4449</v>
      </c>
      <c r="C815" s="59" t="s">
        <v>4862</v>
      </c>
      <c r="D815" s="61" t="s">
        <v>4868</v>
      </c>
      <c r="E815" t="str">
        <f>_xlfn.XLOOKUP(D815,'[2]8A. Master Device Catalog'!$F$5:$F$914,'[2]8A. Master Device Catalog'!$G$5:$G$914,"")</f>
        <v/>
      </c>
      <c r="F815" t="str">
        <f>_xlfn.XLOOKUP(D815,'[2]8A. Master Device Catalog'!$F$5:$F$914,'[2]8A. Master Device Catalog'!$H$5:$H$914,"")</f>
        <v/>
      </c>
    </row>
    <row r="816" spans="1:6" ht="21.5" x14ac:dyDescent="0.9">
      <c r="A816" t="s">
        <v>4869</v>
      </c>
      <c r="B816" s="59" t="s">
        <v>4449</v>
      </c>
      <c r="C816" s="59" t="s">
        <v>4862</v>
      </c>
      <c r="D816" s="61" t="s">
        <v>4870</v>
      </c>
      <c r="E816" t="str">
        <f>_xlfn.XLOOKUP(D816,'[2]8A. Master Device Catalog'!$F$5:$F$914,'[2]8A. Master Device Catalog'!$G$5:$G$914,"")</f>
        <v/>
      </c>
      <c r="F816" t="str">
        <f>_xlfn.XLOOKUP(D816,'[2]8A. Master Device Catalog'!$F$5:$F$914,'[2]8A. Master Device Catalog'!$H$5:$H$914,"")</f>
        <v/>
      </c>
    </row>
    <row r="817" spans="1:6" ht="21.5" x14ac:dyDescent="0.9">
      <c r="A817" t="s">
        <v>4871</v>
      </c>
      <c r="B817" s="59" t="s">
        <v>4449</v>
      </c>
      <c r="C817" s="59" t="s">
        <v>4862</v>
      </c>
      <c r="D817" s="61" t="s">
        <v>4872</v>
      </c>
      <c r="E817" t="str">
        <f>_xlfn.XLOOKUP(D817,'[2]8A. Master Device Catalog'!$F$5:$F$914,'[2]8A. Master Device Catalog'!$G$5:$G$914,"")</f>
        <v/>
      </c>
      <c r="F817" t="str">
        <f>_xlfn.XLOOKUP(D817,'[2]8A. Master Device Catalog'!$F$5:$F$914,'[2]8A. Master Device Catalog'!$H$5:$H$914,"")</f>
        <v/>
      </c>
    </row>
    <row r="818" spans="1:6" ht="21.5" x14ac:dyDescent="0.9">
      <c r="A818" t="s">
        <v>4873</v>
      </c>
      <c r="B818" s="59" t="s">
        <v>4449</v>
      </c>
      <c r="C818" s="59" t="s">
        <v>4862</v>
      </c>
      <c r="D818" s="61" t="s">
        <v>4874</v>
      </c>
      <c r="E818" t="str">
        <f>_xlfn.XLOOKUP(D818,'[2]8A. Master Device Catalog'!$F$5:$F$914,'[2]8A. Master Device Catalog'!$G$5:$G$914,"")</f>
        <v/>
      </c>
      <c r="F818" t="str">
        <f>_xlfn.XLOOKUP(D818,'[2]8A. Master Device Catalog'!$F$5:$F$914,'[2]8A. Master Device Catalog'!$H$5:$H$914,"")</f>
        <v/>
      </c>
    </row>
    <row r="819" spans="1:6" ht="21.5" x14ac:dyDescent="0.9">
      <c r="A819" t="s">
        <v>4875</v>
      </c>
      <c r="B819" s="59" t="s">
        <v>4449</v>
      </c>
      <c r="C819" s="59" t="s">
        <v>4862</v>
      </c>
      <c r="D819" s="61" t="s">
        <v>4876</v>
      </c>
      <c r="E819" t="str">
        <f>_xlfn.XLOOKUP(D819,'[2]8A. Master Device Catalog'!$F$5:$F$914,'[2]8A. Master Device Catalog'!$G$5:$G$914,"")</f>
        <v/>
      </c>
      <c r="F819" t="str">
        <f>_xlfn.XLOOKUP(D819,'[2]8A. Master Device Catalog'!$F$5:$F$914,'[2]8A. Master Device Catalog'!$H$5:$H$914,"")</f>
        <v/>
      </c>
    </row>
    <row r="820" spans="1:6" ht="21.5" x14ac:dyDescent="0.9">
      <c r="A820" t="s">
        <v>4877</v>
      </c>
      <c r="B820" s="59" t="s">
        <v>4878</v>
      </c>
      <c r="C820" s="59" t="s">
        <v>4862</v>
      </c>
      <c r="D820" s="61" t="s">
        <v>4879</v>
      </c>
      <c r="E820" t="str">
        <f>_xlfn.XLOOKUP(D820,'[2]8A. Master Device Catalog'!$F$5:$F$914,'[2]8A. Master Device Catalog'!$G$5:$G$914,"")</f>
        <v/>
      </c>
      <c r="F820" t="str">
        <f>_xlfn.XLOOKUP(D820,'[2]8A. Master Device Catalog'!$F$5:$F$914,'[2]8A. Master Device Catalog'!$H$5:$H$914,"")</f>
        <v/>
      </c>
    </row>
    <row r="821" spans="1:6" ht="21.5" x14ac:dyDescent="0.9">
      <c r="A821" t="s">
        <v>4880</v>
      </c>
      <c r="B821" s="59" t="s">
        <v>4878</v>
      </c>
      <c r="C821" s="59" t="s">
        <v>4862</v>
      </c>
      <c r="D821" s="61" t="s">
        <v>4881</v>
      </c>
      <c r="E821" t="str">
        <f>_xlfn.XLOOKUP(D821,'[2]8A. Master Device Catalog'!$F$5:$F$914,'[2]8A. Master Device Catalog'!$G$5:$G$914,"")</f>
        <v/>
      </c>
      <c r="F821" t="str">
        <f>_xlfn.XLOOKUP(D821,'[2]8A. Master Device Catalog'!$F$5:$F$914,'[2]8A. Master Device Catalog'!$H$5:$H$914,"")</f>
        <v/>
      </c>
    </row>
    <row r="822" spans="1:6" ht="21.5" x14ac:dyDescent="0.9">
      <c r="A822" t="s">
        <v>4882</v>
      </c>
      <c r="B822" s="59" t="s">
        <v>4878</v>
      </c>
      <c r="C822" s="59" t="s">
        <v>4862</v>
      </c>
      <c r="D822" s="61" t="s">
        <v>253</v>
      </c>
      <c r="E822" t="str">
        <f>_xlfn.XLOOKUP(D822,'[2]8A. Master Device Catalog'!$F$5:$F$914,'[2]8A. Master Device Catalog'!$G$5:$G$914,"")</f>
        <v>HEG-001</v>
      </c>
      <c r="F822">
        <f>_xlfn.XLOOKUP(D822,'[2]8A. Master Device Catalog'!$F$5:$F$914,'[2]8A. Master Device Catalog'!$H$5:$H$914,"")</f>
        <v>2021</v>
      </c>
    </row>
    <row r="823" spans="1:6" ht="21.5" x14ac:dyDescent="0.9">
      <c r="A823" t="s">
        <v>4883</v>
      </c>
      <c r="B823" s="59" t="s">
        <v>4878</v>
      </c>
      <c r="C823" s="59" t="s">
        <v>4862</v>
      </c>
      <c r="D823" s="61" t="s">
        <v>4884</v>
      </c>
      <c r="E823" t="str">
        <f>_xlfn.XLOOKUP(D823,'[2]8A. Master Device Catalog'!$F$5:$F$914,'[2]8A. Master Device Catalog'!$G$5:$G$914,"")</f>
        <v/>
      </c>
      <c r="F823" t="str">
        <f>_xlfn.XLOOKUP(D823,'[2]8A. Master Device Catalog'!$F$5:$F$914,'[2]8A. Master Device Catalog'!$H$5:$H$914,"")</f>
        <v/>
      </c>
    </row>
    <row r="824" spans="1:6" ht="21.5" x14ac:dyDescent="0.9">
      <c r="A824" t="s">
        <v>4885</v>
      </c>
      <c r="B824" s="59" t="s">
        <v>4878</v>
      </c>
      <c r="C824" s="59" t="s">
        <v>4862</v>
      </c>
      <c r="D824" s="61" t="s">
        <v>4886</v>
      </c>
      <c r="E824" t="str">
        <f>_xlfn.XLOOKUP(D824,'[2]8A. Master Device Catalog'!$F$5:$F$914,'[2]8A. Master Device Catalog'!$G$5:$G$914,"")</f>
        <v/>
      </c>
      <c r="F824" t="str">
        <f>_xlfn.XLOOKUP(D824,'[2]8A. Master Device Catalog'!$F$5:$F$914,'[2]8A. Master Device Catalog'!$H$5:$H$914,"")</f>
        <v/>
      </c>
    </row>
    <row r="825" spans="1:6" ht="21.5" x14ac:dyDescent="0.9">
      <c r="A825" t="s">
        <v>4887</v>
      </c>
      <c r="B825" s="59" t="s">
        <v>4160</v>
      </c>
      <c r="C825" s="59" t="s">
        <v>4862</v>
      </c>
      <c r="D825" s="63" t="s">
        <v>4888</v>
      </c>
      <c r="E825" t="str">
        <f>_xlfn.XLOOKUP(D825,'[2]8A. Master Device Catalog'!$F$5:$F$914,'[2]8A. Master Device Catalog'!$G$5:$G$914,"")</f>
        <v/>
      </c>
      <c r="F825" t="str">
        <f>_xlfn.XLOOKUP(D825,'[2]8A. Master Device Catalog'!$F$5:$F$914,'[2]8A. Master Device Catalog'!$H$5:$H$914,"")</f>
        <v/>
      </c>
    </row>
    <row r="826" spans="1:6" ht="21.5" x14ac:dyDescent="0.9">
      <c r="A826" t="s">
        <v>4889</v>
      </c>
      <c r="B826" s="59" t="s">
        <v>4160</v>
      </c>
      <c r="C826" s="59" t="s">
        <v>4862</v>
      </c>
      <c r="D826" s="63" t="s">
        <v>4890</v>
      </c>
      <c r="E826" t="str">
        <f>_xlfn.XLOOKUP(D826,'[2]8A. Master Device Catalog'!$F$5:$F$914,'[2]8A. Master Device Catalog'!$G$5:$G$914,"")</f>
        <v/>
      </c>
      <c r="F826" t="str">
        <f>_xlfn.XLOOKUP(D826,'[2]8A. Master Device Catalog'!$F$5:$F$914,'[2]8A. Master Device Catalog'!$H$5:$H$914,"")</f>
        <v/>
      </c>
    </row>
    <row r="827" spans="1:6" ht="21.5" x14ac:dyDescent="0.9">
      <c r="A827" t="s">
        <v>4891</v>
      </c>
      <c r="B827" s="59" t="s">
        <v>4160</v>
      </c>
      <c r="C827" s="59" t="s">
        <v>4862</v>
      </c>
      <c r="D827" s="63" t="s">
        <v>4892</v>
      </c>
      <c r="E827" t="str">
        <f>_xlfn.XLOOKUP(D827,'[2]8A. Master Device Catalog'!$F$5:$F$914,'[2]8A. Master Device Catalog'!$G$5:$G$914,"")</f>
        <v/>
      </c>
      <c r="F827" t="str">
        <f>_xlfn.XLOOKUP(D827,'[2]8A. Master Device Catalog'!$F$5:$F$914,'[2]8A. Master Device Catalog'!$H$5:$H$914,"")</f>
        <v/>
      </c>
    </row>
    <row r="828" spans="1:6" ht="21.5" x14ac:dyDescent="0.9">
      <c r="A828" t="s">
        <v>4893</v>
      </c>
      <c r="B828" s="59" t="s">
        <v>4160</v>
      </c>
      <c r="C828" s="59" t="s">
        <v>4862</v>
      </c>
      <c r="D828" s="63" t="s">
        <v>4894</v>
      </c>
      <c r="E828" t="str">
        <f>_xlfn.XLOOKUP(D828,'[2]8A. Master Device Catalog'!$F$5:$F$914,'[2]8A. Master Device Catalog'!$G$5:$G$914,"")</f>
        <v/>
      </c>
      <c r="F828" t="str">
        <f>_xlfn.XLOOKUP(D828,'[2]8A. Master Device Catalog'!$F$5:$F$914,'[2]8A. Master Device Catalog'!$H$5:$H$914,"")</f>
        <v/>
      </c>
    </row>
    <row r="829" spans="1:6" ht="21.5" x14ac:dyDescent="0.9">
      <c r="A829" t="s">
        <v>4895</v>
      </c>
      <c r="B829" s="59" t="s">
        <v>4160</v>
      </c>
      <c r="C829" s="59" t="s">
        <v>4862</v>
      </c>
      <c r="D829" s="63" t="s">
        <v>4896</v>
      </c>
      <c r="E829" t="str">
        <f>_xlfn.XLOOKUP(D829,'[2]8A. Master Device Catalog'!$F$5:$F$914,'[2]8A. Master Device Catalog'!$G$5:$G$914,"")</f>
        <v/>
      </c>
      <c r="F829" t="str">
        <f>_xlfn.XLOOKUP(D829,'[2]8A. Master Device Catalog'!$F$5:$F$914,'[2]8A. Master Device Catalog'!$H$5:$H$914,"")</f>
        <v/>
      </c>
    </row>
    <row r="830" spans="1:6" ht="21.5" x14ac:dyDescent="0.9">
      <c r="A830" t="s">
        <v>4897</v>
      </c>
      <c r="B830" s="59" t="s">
        <v>4160</v>
      </c>
      <c r="C830" s="59" t="s">
        <v>4862</v>
      </c>
      <c r="D830" s="63" t="s">
        <v>4898</v>
      </c>
      <c r="E830" t="str">
        <f>_xlfn.XLOOKUP(D830,'[2]8A. Master Device Catalog'!$F$5:$F$914,'[2]8A. Master Device Catalog'!$G$5:$G$914,"")</f>
        <v/>
      </c>
      <c r="F830" t="str">
        <f>_xlfn.XLOOKUP(D830,'[2]8A. Master Device Catalog'!$F$5:$F$914,'[2]8A. Master Device Catalog'!$H$5:$H$914,"")</f>
        <v/>
      </c>
    </row>
    <row r="831" spans="1:6" ht="21.5" x14ac:dyDescent="0.9">
      <c r="A831" t="s">
        <v>4899</v>
      </c>
      <c r="B831" s="59" t="s">
        <v>4160</v>
      </c>
      <c r="C831" s="59" t="s">
        <v>4862</v>
      </c>
      <c r="D831" s="63" t="s">
        <v>4900</v>
      </c>
      <c r="E831" t="str">
        <f>_xlfn.XLOOKUP(D831,'[2]8A. Master Device Catalog'!$F$5:$F$914,'[2]8A. Master Device Catalog'!$G$5:$G$914,"")</f>
        <v/>
      </c>
      <c r="F831" t="str">
        <f>_xlfn.XLOOKUP(D831,'[2]8A. Master Device Catalog'!$F$5:$F$914,'[2]8A. Master Device Catalog'!$H$5:$H$914,"")</f>
        <v/>
      </c>
    </row>
    <row r="832" spans="1:6" ht="21.5" x14ac:dyDescent="0.9">
      <c r="A832" t="s">
        <v>4901</v>
      </c>
      <c r="B832" s="59" t="s">
        <v>4160</v>
      </c>
      <c r="C832" s="59" t="s">
        <v>4862</v>
      </c>
      <c r="D832" s="63" t="s">
        <v>222</v>
      </c>
      <c r="E832" t="str">
        <f>_xlfn.XLOOKUP(D832,'[2]8A. Master Device Catalog'!$F$5:$F$914,'[2]8A. Master Device Catalog'!$G$5:$G$914,"")</f>
        <v>CFI-Y1001</v>
      </c>
      <c r="F832">
        <f>_xlfn.XLOOKUP(D832,'[2]8A. Master Device Catalog'!$F$5:$F$914,'[2]8A. Master Device Catalog'!$H$5:$H$914,"")</f>
        <v>2023</v>
      </c>
    </row>
    <row r="833" spans="1:6" ht="21.5" x14ac:dyDescent="0.9">
      <c r="A833" t="s">
        <v>4902</v>
      </c>
      <c r="B833" s="59" t="s">
        <v>4160</v>
      </c>
      <c r="C833" s="59" t="s">
        <v>4862</v>
      </c>
      <c r="D833" s="63" t="s">
        <v>4903</v>
      </c>
      <c r="E833" t="str">
        <f>_xlfn.XLOOKUP(D833,'[2]8A. Master Device Catalog'!$F$5:$F$914,'[2]8A. Master Device Catalog'!$G$5:$G$914,"")</f>
        <v/>
      </c>
      <c r="F833" t="str">
        <f>_xlfn.XLOOKUP(D833,'[2]8A. Master Device Catalog'!$F$5:$F$914,'[2]8A. Master Device Catalog'!$H$5:$H$914,"")</f>
        <v/>
      </c>
    </row>
    <row r="834" spans="1:6" ht="21.5" x14ac:dyDescent="0.9">
      <c r="A834" t="s">
        <v>4904</v>
      </c>
      <c r="B834" s="59" t="s">
        <v>4160</v>
      </c>
      <c r="C834" s="59" t="s">
        <v>4862</v>
      </c>
      <c r="D834" s="61" t="s">
        <v>4905</v>
      </c>
      <c r="E834" t="str">
        <f>_xlfn.XLOOKUP(D834,'[2]8A. Master Device Catalog'!$F$5:$F$914,'[2]8A. Master Device Catalog'!$G$5:$G$914,"")</f>
        <v/>
      </c>
      <c r="F834" t="str">
        <f>_xlfn.XLOOKUP(D834,'[2]8A. Master Device Catalog'!$F$5:$F$914,'[2]8A. Master Device Catalog'!$H$5:$H$914,"")</f>
        <v/>
      </c>
    </row>
    <row r="835" spans="1:6" ht="21.5" x14ac:dyDescent="0.9">
      <c r="A835" t="s">
        <v>4906</v>
      </c>
      <c r="B835" s="59" t="s">
        <v>4160</v>
      </c>
      <c r="C835" s="59" t="s">
        <v>4862</v>
      </c>
      <c r="D835" s="61" t="s">
        <v>4907</v>
      </c>
      <c r="E835" t="str">
        <f>_xlfn.XLOOKUP(D835,'[2]8A. Master Device Catalog'!$F$5:$F$914,'[2]8A. Master Device Catalog'!$G$5:$G$914,"")</f>
        <v/>
      </c>
      <c r="F835" t="str">
        <f>_xlfn.XLOOKUP(D835,'[2]8A. Master Device Catalog'!$F$5:$F$914,'[2]8A. Master Device Catalog'!$H$5:$H$914,"")</f>
        <v/>
      </c>
    </row>
    <row r="836" spans="1:6" ht="21.5" x14ac:dyDescent="0.9">
      <c r="A836" t="s">
        <v>4908</v>
      </c>
      <c r="B836" s="59" t="s">
        <v>4909</v>
      </c>
      <c r="C836" s="59" t="s">
        <v>4862</v>
      </c>
      <c r="D836" s="61" t="s">
        <v>4910</v>
      </c>
      <c r="E836" t="str">
        <f>_xlfn.XLOOKUP(D836,'[2]8A. Master Device Catalog'!$F$5:$F$914,'[2]8A. Master Device Catalog'!$G$5:$G$914,"")</f>
        <v/>
      </c>
      <c r="F836" t="str">
        <f>_xlfn.XLOOKUP(D836,'[2]8A. Master Device Catalog'!$F$5:$F$914,'[2]8A. Master Device Catalog'!$H$5:$H$914,"")</f>
        <v/>
      </c>
    </row>
    <row r="837" spans="1:6" ht="21.5" x14ac:dyDescent="0.9">
      <c r="A837" t="s">
        <v>4911</v>
      </c>
      <c r="B837" s="59" t="s">
        <v>4909</v>
      </c>
      <c r="C837" s="59" t="s">
        <v>4862</v>
      </c>
      <c r="D837" s="61" t="s">
        <v>4912</v>
      </c>
      <c r="E837" t="str">
        <f>_xlfn.XLOOKUP(D837,'[2]8A. Master Device Catalog'!$F$5:$F$914,'[2]8A. Master Device Catalog'!$G$5:$G$914,"")</f>
        <v/>
      </c>
      <c r="F837" t="str">
        <f>_xlfn.XLOOKUP(D837,'[2]8A. Master Device Catalog'!$F$5:$F$914,'[2]8A. Master Device Catalog'!$H$5:$H$914,"")</f>
        <v/>
      </c>
    </row>
    <row r="838" spans="1:6" ht="21.5" x14ac:dyDescent="0.9">
      <c r="A838" t="s">
        <v>4913</v>
      </c>
      <c r="B838" s="59" t="s">
        <v>4909</v>
      </c>
      <c r="C838" s="59" t="s">
        <v>4862</v>
      </c>
      <c r="D838" s="64" t="s">
        <v>246</v>
      </c>
      <c r="E838" t="str">
        <f>_xlfn.XLOOKUP(D838,'[2]8A. Master Device Catalog'!$F$5:$F$914,'[2]8A. Master Device Catalog'!$G$5:$G$914,"")</f>
        <v>1030</v>
      </c>
      <c r="F838">
        <f>_xlfn.XLOOKUP(D838,'[2]8A. Master Device Catalog'!$F$5:$F$914,'[2]8A. Master Device Catalog'!$H$5:$H$914,"")</f>
        <v>2023</v>
      </c>
    </row>
  </sheetData>
  <conditionalFormatting sqref="D559:D610 D438:D557">
    <cfRule type="duplicateValues" dxfId="4" priority="2"/>
  </conditionalFormatting>
  <conditionalFormatting sqref="D694:D718 D625:D692 D611:D622">
    <cfRule type="duplicateValues" dxfId="3" priority="3"/>
  </conditionalFormatting>
  <conditionalFormatting sqref="D735:D804 D719:D730">
    <cfRule type="duplicateValues" dxfId="2" priority="4"/>
  </conditionalFormatting>
  <conditionalFormatting sqref="D836:D837 D805:D811 D821:D833">
    <cfRule type="duplicateValues" dxfId="1" priority="5"/>
  </conditionalFormatting>
  <conditionalFormatting sqref="I839:I1048576 D1:D838">
    <cfRule type="duplicateValues" dxfId="0" priority="1"/>
  </conditionalFormatting>
  <dataValidations count="1">
    <dataValidation type="list" allowBlank="1" showInputMessage="1" showErrorMessage="1" sqref="B2:B838" xr:uid="{565A53D5-0E13-48FA-80F4-1AC1D97F4100}">
      <formula1>Manufacturer_ID</formula1>
    </dataValidation>
  </dataValidation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D042A-934F-49D8-A15A-7D4128206EE7}">
  <sheetPr>
    <tabColor rgb="FFFFFF00"/>
  </sheetPr>
  <dimension ref="B4:W74"/>
  <sheetViews>
    <sheetView topLeftCell="I1" workbookViewId="0">
      <selection activeCell="J33" sqref="J33"/>
    </sheetView>
  </sheetViews>
  <sheetFormatPr defaultRowHeight="14.5" x14ac:dyDescent="0.35"/>
  <cols>
    <col min="2" max="2" width="15.08984375" bestFit="1" customWidth="1"/>
    <col min="3" max="3" width="28.36328125" bestFit="1" customWidth="1"/>
    <col min="4" max="4" width="15.453125" customWidth="1"/>
    <col min="5" max="5" width="21.81640625" customWidth="1"/>
    <col min="6" max="6" width="19.08984375" customWidth="1"/>
    <col min="7" max="7" width="9.453125" customWidth="1"/>
    <col min="12" max="12" width="18" bestFit="1" customWidth="1"/>
    <col min="13" max="13" width="27.08984375" bestFit="1" customWidth="1"/>
    <col min="14" max="14" width="19.81640625" customWidth="1"/>
    <col min="15" max="15" width="11.7265625" customWidth="1"/>
    <col min="16" max="16" width="21.1796875" customWidth="1"/>
    <col min="17" max="17" width="23.453125" customWidth="1"/>
    <col min="18" max="18" width="9.453125" customWidth="1"/>
    <col min="20" max="20" width="15.1796875" customWidth="1"/>
  </cols>
  <sheetData>
    <row r="4" spans="2:23" x14ac:dyDescent="0.35">
      <c r="B4" s="52" t="s">
        <v>6</v>
      </c>
      <c r="C4" s="52" t="s">
        <v>4990</v>
      </c>
      <c r="D4" s="52" t="s">
        <v>32</v>
      </c>
      <c r="E4" s="66" t="s">
        <v>4992</v>
      </c>
      <c r="F4" s="66" t="s">
        <v>4991</v>
      </c>
      <c r="G4" s="52" t="s">
        <v>4985</v>
      </c>
      <c r="H4" s="52" t="s">
        <v>0</v>
      </c>
      <c r="L4" t="s">
        <v>6</v>
      </c>
      <c r="M4" t="s">
        <v>4990</v>
      </c>
      <c r="N4" t="s">
        <v>4989</v>
      </c>
      <c r="O4" t="s">
        <v>4988</v>
      </c>
      <c r="P4" t="s">
        <v>4987</v>
      </c>
      <c r="Q4" t="s">
        <v>4986</v>
      </c>
      <c r="R4" t="s">
        <v>4985</v>
      </c>
      <c r="S4" t="s">
        <v>0</v>
      </c>
      <c r="T4" t="s">
        <v>4984</v>
      </c>
      <c r="W4" s="65"/>
    </row>
    <row r="5" spans="2:23" x14ac:dyDescent="0.35">
      <c r="B5" s="57"/>
      <c r="C5" s="57"/>
      <c r="L5" s="57" t="s">
        <v>4940</v>
      </c>
      <c r="M5" s="57" t="s">
        <v>2147</v>
      </c>
      <c r="N5" s="65"/>
      <c r="O5" s="65"/>
      <c r="P5" s="65"/>
      <c r="Q5" s="65"/>
      <c r="R5" s="65"/>
      <c r="S5" s="65"/>
      <c r="T5" s="65"/>
      <c r="W5" s="65"/>
    </row>
    <row r="6" spans="2:23" x14ac:dyDescent="0.35">
      <c r="B6" s="57" t="s">
        <v>4940</v>
      </c>
      <c r="C6" s="57" t="s">
        <v>2142</v>
      </c>
      <c r="L6" s="57" t="s">
        <v>4940</v>
      </c>
      <c r="M6" s="57" t="s">
        <v>4983</v>
      </c>
      <c r="N6" s="65"/>
      <c r="O6" s="65"/>
      <c r="P6" s="65"/>
      <c r="Q6" s="65"/>
      <c r="R6" s="65"/>
      <c r="S6" s="65"/>
      <c r="T6" s="65"/>
      <c r="W6" s="65"/>
    </row>
    <row r="7" spans="2:23" x14ac:dyDescent="0.35">
      <c r="B7" s="57" t="s">
        <v>4940</v>
      </c>
      <c r="C7" s="57" t="s">
        <v>4977</v>
      </c>
      <c r="L7" s="57" t="s">
        <v>4940</v>
      </c>
      <c r="M7" s="57" t="s">
        <v>4982</v>
      </c>
      <c r="N7" s="65"/>
      <c r="O7" s="65"/>
      <c r="P7" s="65"/>
      <c r="Q7" s="65"/>
      <c r="R7" s="65"/>
      <c r="S7" s="65"/>
      <c r="T7" s="65"/>
      <c r="W7" s="65"/>
    </row>
    <row r="8" spans="2:23" x14ac:dyDescent="0.35">
      <c r="B8" s="57" t="s">
        <v>4940</v>
      </c>
      <c r="C8" s="57" t="s">
        <v>4975</v>
      </c>
      <c r="L8" s="57" t="s">
        <v>4940</v>
      </c>
      <c r="M8" s="57" t="s">
        <v>4981</v>
      </c>
      <c r="N8" s="65"/>
      <c r="O8" s="65"/>
      <c r="P8" s="65"/>
      <c r="Q8" s="65"/>
      <c r="R8" s="65"/>
      <c r="S8" s="65"/>
      <c r="T8" s="65"/>
      <c r="W8" s="65"/>
    </row>
    <row r="9" spans="2:23" x14ac:dyDescent="0.35">
      <c r="B9" s="57" t="s">
        <v>4940</v>
      </c>
      <c r="C9" s="57" t="s">
        <v>4974</v>
      </c>
      <c r="L9" s="57" t="s">
        <v>4940</v>
      </c>
      <c r="M9" s="57" t="s">
        <v>4980</v>
      </c>
      <c r="N9" s="65"/>
      <c r="O9" s="65"/>
      <c r="P9" s="65"/>
      <c r="Q9" s="65"/>
      <c r="R9" s="65"/>
      <c r="S9" s="65"/>
      <c r="T9" s="65"/>
      <c r="W9" s="65"/>
    </row>
    <row r="10" spans="2:23" x14ac:dyDescent="0.35">
      <c r="B10" s="57" t="s">
        <v>4940</v>
      </c>
      <c r="C10" s="57" t="s">
        <v>4971</v>
      </c>
      <c r="L10" s="57" t="s">
        <v>4940</v>
      </c>
      <c r="M10" s="57" t="s">
        <v>4979</v>
      </c>
      <c r="N10" s="65"/>
      <c r="O10" s="65"/>
      <c r="P10" s="65"/>
      <c r="Q10" s="65"/>
      <c r="R10" s="65"/>
      <c r="S10" s="65"/>
      <c r="T10" s="65"/>
      <c r="W10" s="65"/>
    </row>
    <row r="11" spans="2:23" x14ac:dyDescent="0.35">
      <c r="B11" s="57" t="s">
        <v>4940</v>
      </c>
      <c r="C11" s="57" t="s">
        <v>4978</v>
      </c>
      <c r="L11" s="57" t="s">
        <v>4940</v>
      </c>
      <c r="M11" s="57" t="s">
        <v>2142</v>
      </c>
      <c r="N11" s="65"/>
      <c r="O11" s="65"/>
      <c r="P11" s="65"/>
      <c r="Q11" s="65"/>
      <c r="R11" s="65"/>
      <c r="S11" s="65"/>
      <c r="T11" s="65"/>
      <c r="W11" s="65"/>
    </row>
    <row r="12" spans="2:23" x14ac:dyDescent="0.35">
      <c r="B12" s="57" t="s">
        <v>4940</v>
      </c>
      <c r="C12" s="57" t="s">
        <v>4973</v>
      </c>
      <c r="L12" s="57" t="s">
        <v>4940</v>
      </c>
      <c r="M12" s="57" t="s">
        <v>4977</v>
      </c>
      <c r="N12" s="65"/>
      <c r="O12" s="65"/>
      <c r="P12" s="65"/>
      <c r="Q12" s="65"/>
      <c r="R12" s="65"/>
      <c r="S12" s="65"/>
      <c r="T12" s="65"/>
      <c r="W12" s="65"/>
    </row>
    <row r="13" spans="2:23" x14ac:dyDescent="0.35">
      <c r="B13" s="57" t="s">
        <v>4940</v>
      </c>
      <c r="C13" s="57" t="s">
        <v>4954</v>
      </c>
      <c r="L13" s="57" t="s">
        <v>4940</v>
      </c>
      <c r="M13" s="57" t="s">
        <v>4976</v>
      </c>
      <c r="N13" s="65"/>
      <c r="O13" s="65"/>
      <c r="P13" s="65"/>
      <c r="Q13" s="65"/>
      <c r="R13" s="65"/>
      <c r="S13" s="65"/>
      <c r="T13" s="65"/>
    </row>
    <row r="14" spans="2:23" x14ac:dyDescent="0.35">
      <c r="B14" s="57" t="s">
        <v>4940</v>
      </c>
      <c r="C14" s="57" t="s">
        <v>4956</v>
      </c>
      <c r="L14" s="57" t="s">
        <v>4940</v>
      </c>
      <c r="M14" s="57" t="s">
        <v>4975</v>
      </c>
      <c r="N14" s="65"/>
      <c r="O14" s="65"/>
      <c r="P14" s="65"/>
      <c r="Q14" s="65"/>
      <c r="R14" s="65"/>
      <c r="S14" s="65"/>
      <c r="T14" s="65"/>
    </row>
    <row r="15" spans="2:23" x14ac:dyDescent="0.35">
      <c r="B15" s="57" t="s">
        <v>4940</v>
      </c>
      <c r="C15" s="57" t="s">
        <v>4966</v>
      </c>
      <c r="L15" s="57" t="s">
        <v>4940</v>
      </c>
      <c r="M15" s="57" t="s">
        <v>4974</v>
      </c>
      <c r="N15" s="65"/>
      <c r="O15" s="65"/>
      <c r="P15" s="65"/>
      <c r="Q15" s="65"/>
      <c r="R15" s="65"/>
      <c r="S15" s="65"/>
      <c r="T15" s="65"/>
    </row>
    <row r="16" spans="2:23" x14ac:dyDescent="0.35">
      <c r="B16" s="57" t="s">
        <v>4940</v>
      </c>
      <c r="C16" s="57" t="s">
        <v>4944</v>
      </c>
      <c r="L16" s="57" t="s">
        <v>4940</v>
      </c>
      <c r="M16" s="57" t="s">
        <v>4973</v>
      </c>
      <c r="N16" s="65"/>
      <c r="O16" s="65"/>
      <c r="P16" s="65"/>
      <c r="Q16" s="65"/>
      <c r="R16" s="65"/>
      <c r="S16" s="65"/>
      <c r="T16" s="65"/>
    </row>
    <row r="17" spans="2:20" x14ac:dyDescent="0.35">
      <c r="B17" s="57" t="s">
        <v>4940</v>
      </c>
      <c r="C17" s="57" t="s">
        <v>4972</v>
      </c>
      <c r="L17" s="57" t="s">
        <v>4940</v>
      </c>
      <c r="M17" s="57" t="s">
        <v>4971</v>
      </c>
      <c r="N17" s="65"/>
      <c r="O17" s="65"/>
      <c r="P17" s="65"/>
      <c r="Q17" s="65"/>
      <c r="R17" s="65"/>
      <c r="S17" s="65"/>
      <c r="T17" s="65"/>
    </row>
    <row r="18" spans="2:20" x14ac:dyDescent="0.35">
      <c r="B18" s="57" t="s">
        <v>1868</v>
      </c>
      <c r="C18" s="57" t="s">
        <v>4928</v>
      </c>
      <c r="L18" s="57" t="s">
        <v>4940</v>
      </c>
      <c r="M18" s="57" t="s">
        <v>4970</v>
      </c>
      <c r="N18" s="65"/>
      <c r="O18" s="65"/>
      <c r="P18" s="65"/>
      <c r="Q18" s="65"/>
      <c r="R18" s="65"/>
      <c r="S18" s="65"/>
      <c r="T18" s="65"/>
    </row>
    <row r="19" spans="2:20" x14ac:dyDescent="0.35">
      <c r="B19" s="57" t="s">
        <v>1883</v>
      </c>
      <c r="C19" s="57" t="s">
        <v>2001</v>
      </c>
      <c r="L19" s="57" t="s">
        <v>4940</v>
      </c>
      <c r="M19" s="57" t="s">
        <v>4969</v>
      </c>
      <c r="N19" s="65"/>
      <c r="O19" s="65"/>
      <c r="P19" s="65"/>
      <c r="Q19" s="65"/>
      <c r="R19" s="65"/>
      <c r="S19" s="65"/>
      <c r="T19" s="65"/>
    </row>
    <row r="20" spans="2:20" x14ac:dyDescent="0.35">
      <c r="B20" s="57" t="s">
        <v>1883</v>
      </c>
      <c r="C20" s="57" t="s">
        <v>4939</v>
      </c>
      <c r="L20" s="57" t="s">
        <v>4940</v>
      </c>
      <c r="M20" s="57" t="s">
        <v>4968</v>
      </c>
      <c r="N20" s="65"/>
      <c r="O20" s="65"/>
      <c r="P20" s="65"/>
      <c r="Q20" s="65"/>
      <c r="R20" s="65"/>
      <c r="S20" s="65"/>
      <c r="T20" s="65"/>
    </row>
    <row r="21" spans="2:20" x14ac:dyDescent="0.35">
      <c r="B21" s="57" t="s">
        <v>1883</v>
      </c>
      <c r="C21" s="57" t="s">
        <v>4937</v>
      </c>
      <c r="L21" s="57" t="s">
        <v>4940</v>
      </c>
      <c r="M21" s="57" t="s">
        <v>4967</v>
      </c>
      <c r="N21" s="65"/>
      <c r="O21" s="65"/>
      <c r="P21" s="65"/>
      <c r="Q21" s="65"/>
      <c r="R21" s="65"/>
      <c r="S21" s="65"/>
      <c r="T21" s="65"/>
    </row>
    <row r="22" spans="2:20" x14ac:dyDescent="0.35">
      <c r="B22" s="57" t="s">
        <v>1883</v>
      </c>
      <c r="C22" s="57" t="s">
        <v>4938</v>
      </c>
      <c r="L22" s="57" t="s">
        <v>4940</v>
      </c>
      <c r="M22" s="57" t="s">
        <v>4966</v>
      </c>
      <c r="N22" s="65"/>
      <c r="O22" s="65"/>
      <c r="P22" s="65"/>
      <c r="Q22" s="65"/>
      <c r="R22" s="65"/>
      <c r="S22" s="65"/>
      <c r="T22" s="65"/>
    </row>
    <row r="23" spans="2:20" x14ac:dyDescent="0.35">
      <c r="B23" s="57" t="s">
        <v>1883</v>
      </c>
      <c r="C23" s="57" t="s">
        <v>4935</v>
      </c>
      <c r="L23" s="57" t="s">
        <v>4940</v>
      </c>
      <c r="M23" s="57" t="s">
        <v>4965</v>
      </c>
      <c r="N23" s="65"/>
      <c r="O23" s="65"/>
      <c r="P23" s="65"/>
      <c r="Q23" s="65"/>
      <c r="R23" s="65"/>
      <c r="S23" s="65"/>
      <c r="T23" s="65"/>
    </row>
    <row r="24" spans="2:20" x14ac:dyDescent="0.35">
      <c r="B24" s="57" t="s">
        <v>1883</v>
      </c>
      <c r="C24" s="57" t="s">
        <v>4964</v>
      </c>
      <c r="L24" s="57" t="s">
        <v>4940</v>
      </c>
      <c r="M24" s="57" t="s">
        <v>4963</v>
      </c>
      <c r="N24" s="65"/>
      <c r="O24" s="65"/>
      <c r="P24" s="65"/>
      <c r="Q24" s="65"/>
      <c r="R24" s="65"/>
      <c r="S24" s="65"/>
      <c r="T24" s="65"/>
    </row>
    <row r="25" spans="2:20" x14ac:dyDescent="0.35">
      <c r="B25" s="57" t="s">
        <v>1883</v>
      </c>
      <c r="C25" s="57" t="s">
        <v>4930</v>
      </c>
      <c r="L25" s="57" t="s">
        <v>4940</v>
      </c>
      <c r="M25" s="57" t="s">
        <v>4962</v>
      </c>
      <c r="N25" s="65"/>
      <c r="O25" s="65"/>
      <c r="P25" s="65"/>
      <c r="Q25" s="65"/>
      <c r="R25" s="65"/>
      <c r="S25" s="65"/>
      <c r="T25" s="65"/>
    </row>
    <row r="26" spans="2:20" x14ac:dyDescent="0.35">
      <c r="B26" s="57" t="s">
        <v>1883</v>
      </c>
      <c r="C26" s="57" t="s">
        <v>2006</v>
      </c>
      <c r="L26" s="57" t="s">
        <v>4940</v>
      </c>
      <c r="M26" s="57" t="s">
        <v>4961</v>
      </c>
      <c r="N26" s="65"/>
      <c r="O26" s="65"/>
      <c r="P26" s="65"/>
      <c r="Q26" s="65"/>
      <c r="R26" s="65"/>
      <c r="S26" s="65"/>
      <c r="T26" s="65"/>
    </row>
    <row r="27" spans="2:20" x14ac:dyDescent="0.35">
      <c r="B27" s="57" t="s">
        <v>4921</v>
      </c>
      <c r="C27" s="57" t="s">
        <v>4960</v>
      </c>
      <c r="L27" s="57" t="s">
        <v>4940</v>
      </c>
      <c r="M27" s="57" t="s">
        <v>4959</v>
      </c>
      <c r="N27" s="65"/>
      <c r="O27" s="65"/>
      <c r="P27" s="65"/>
      <c r="Q27" s="65"/>
      <c r="R27" s="65"/>
      <c r="S27" s="65"/>
      <c r="T27" s="65"/>
    </row>
    <row r="28" spans="2:20" x14ac:dyDescent="0.35">
      <c r="B28" s="57" t="s">
        <v>4921</v>
      </c>
      <c r="C28" s="57" t="s">
        <v>1943</v>
      </c>
      <c r="L28" s="57" t="s">
        <v>4940</v>
      </c>
      <c r="M28" s="57" t="s">
        <v>4958</v>
      </c>
      <c r="N28" s="65"/>
      <c r="O28" s="65"/>
      <c r="P28" s="65"/>
      <c r="Q28" s="65"/>
      <c r="R28" s="65"/>
      <c r="S28" s="65"/>
      <c r="T28" s="65"/>
    </row>
    <row r="29" spans="2:20" x14ac:dyDescent="0.35">
      <c r="B29" s="57" t="s">
        <v>1858</v>
      </c>
      <c r="C29" s="57" t="s">
        <v>1918</v>
      </c>
      <c r="L29" s="57" t="s">
        <v>4940</v>
      </c>
      <c r="M29" s="57" t="s">
        <v>4957</v>
      </c>
      <c r="N29" s="65"/>
      <c r="O29" s="65"/>
      <c r="P29" s="65"/>
      <c r="Q29" s="65"/>
      <c r="R29" s="65"/>
      <c r="S29" s="65"/>
      <c r="T29" s="65"/>
    </row>
    <row r="30" spans="2:20" x14ac:dyDescent="0.35">
      <c r="B30" s="57" t="s">
        <v>1858</v>
      </c>
      <c r="C30" s="57" t="s">
        <v>1923</v>
      </c>
      <c r="L30" s="57" t="s">
        <v>4940</v>
      </c>
      <c r="M30" s="57" t="s">
        <v>4956</v>
      </c>
      <c r="N30" s="65"/>
      <c r="O30" s="65"/>
      <c r="P30" s="65"/>
      <c r="Q30" s="65"/>
      <c r="R30" s="65"/>
      <c r="S30" s="65"/>
      <c r="T30" s="65"/>
    </row>
    <row r="31" spans="2:20" x14ac:dyDescent="0.35">
      <c r="B31" s="57" t="s">
        <v>4953</v>
      </c>
      <c r="C31" s="57" t="s">
        <v>4942</v>
      </c>
      <c r="L31" s="57" t="s">
        <v>4940</v>
      </c>
      <c r="M31" s="57" t="s">
        <v>4955</v>
      </c>
      <c r="N31" s="65"/>
      <c r="O31" s="65"/>
      <c r="P31" s="65"/>
      <c r="Q31" s="65"/>
      <c r="R31" s="65"/>
      <c r="S31" s="65"/>
      <c r="T31" s="65"/>
    </row>
    <row r="32" spans="2:20" x14ac:dyDescent="0.35">
      <c r="B32" s="57" t="s">
        <v>4953</v>
      </c>
      <c r="C32" s="57" t="s">
        <v>1938</v>
      </c>
      <c r="L32" s="57" t="s">
        <v>4940</v>
      </c>
      <c r="M32" s="57" t="s">
        <v>4954</v>
      </c>
      <c r="N32" s="65"/>
      <c r="O32" s="65"/>
      <c r="P32" s="65"/>
      <c r="Q32" s="65"/>
      <c r="R32" s="65"/>
      <c r="S32" s="65"/>
      <c r="T32" s="65"/>
    </row>
    <row r="33" spans="2:20" x14ac:dyDescent="0.35">
      <c r="B33" s="57" t="s">
        <v>4953</v>
      </c>
      <c r="C33" s="57" t="s">
        <v>4918</v>
      </c>
      <c r="L33" s="57" t="s">
        <v>4940</v>
      </c>
      <c r="M33" s="57" t="s">
        <v>4952</v>
      </c>
      <c r="N33" s="65"/>
      <c r="O33" s="65"/>
      <c r="P33" s="65"/>
      <c r="Q33" s="65"/>
      <c r="R33" s="65"/>
      <c r="S33" s="65"/>
      <c r="T33" s="65"/>
    </row>
    <row r="34" spans="2:20" x14ac:dyDescent="0.35">
      <c r="L34" s="57" t="s">
        <v>4940</v>
      </c>
      <c r="M34" s="57" t="s">
        <v>4951</v>
      </c>
      <c r="N34" s="65"/>
      <c r="O34" s="65"/>
      <c r="P34" s="65"/>
      <c r="Q34" s="65"/>
      <c r="R34" s="65"/>
      <c r="S34" s="65"/>
      <c r="T34" s="65"/>
    </row>
    <row r="35" spans="2:20" x14ac:dyDescent="0.35">
      <c r="L35" s="57" t="s">
        <v>4940</v>
      </c>
      <c r="M35" s="57" t="s">
        <v>4950</v>
      </c>
      <c r="N35" s="65"/>
      <c r="O35" s="65"/>
      <c r="P35" s="65"/>
      <c r="Q35" s="65"/>
      <c r="R35" s="65"/>
      <c r="S35" s="65"/>
      <c r="T35" s="65"/>
    </row>
    <row r="36" spans="2:20" x14ac:dyDescent="0.35">
      <c r="L36" s="57" t="s">
        <v>4940</v>
      </c>
      <c r="M36" s="57" t="s">
        <v>4949</v>
      </c>
      <c r="N36" s="65"/>
      <c r="O36" s="65"/>
      <c r="P36" s="65"/>
      <c r="Q36" s="65"/>
      <c r="R36" s="65"/>
      <c r="S36" s="65"/>
      <c r="T36" s="65"/>
    </row>
    <row r="37" spans="2:20" x14ac:dyDescent="0.35">
      <c r="L37" s="57" t="s">
        <v>4940</v>
      </c>
      <c r="M37" s="57" t="s">
        <v>4948</v>
      </c>
      <c r="N37" s="65"/>
      <c r="O37" s="65"/>
      <c r="P37" s="65"/>
      <c r="Q37" s="65"/>
      <c r="R37" s="65"/>
      <c r="S37" s="65"/>
      <c r="T37" s="65"/>
    </row>
    <row r="38" spans="2:20" x14ac:dyDescent="0.35">
      <c r="L38" s="57" t="s">
        <v>4940</v>
      </c>
      <c r="M38" s="57" t="s">
        <v>4947</v>
      </c>
      <c r="N38" s="65"/>
      <c r="O38" s="65"/>
      <c r="P38" s="65"/>
      <c r="Q38" s="65"/>
      <c r="R38" s="65"/>
      <c r="S38" s="65"/>
      <c r="T38" s="65"/>
    </row>
    <row r="39" spans="2:20" x14ac:dyDescent="0.35">
      <c r="L39" s="57" t="s">
        <v>4940</v>
      </c>
      <c r="M39" s="57" t="s">
        <v>4946</v>
      </c>
      <c r="N39" s="65"/>
      <c r="O39" s="65"/>
      <c r="P39" s="65"/>
      <c r="Q39" s="65"/>
      <c r="R39" s="65"/>
      <c r="S39" s="65"/>
      <c r="T39" s="65"/>
    </row>
    <row r="40" spans="2:20" x14ac:dyDescent="0.35">
      <c r="L40" s="57" t="s">
        <v>4940</v>
      </c>
      <c r="M40" s="57" t="s">
        <v>4945</v>
      </c>
      <c r="N40" s="65"/>
      <c r="O40" s="65"/>
      <c r="P40" s="65"/>
      <c r="Q40" s="65"/>
      <c r="R40" s="65"/>
      <c r="S40" s="65"/>
      <c r="T40" s="65"/>
    </row>
    <row r="41" spans="2:20" x14ac:dyDescent="0.35">
      <c r="L41" s="57" t="s">
        <v>4940</v>
      </c>
      <c r="M41" s="57" t="s">
        <v>4944</v>
      </c>
      <c r="N41" s="65"/>
      <c r="O41" s="65"/>
      <c r="P41" s="65"/>
      <c r="Q41" s="65"/>
      <c r="R41" s="65"/>
      <c r="S41" s="65"/>
      <c r="T41" s="65"/>
    </row>
    <row r="42" spans="2:20" x14ac:dyDescent="0.35">
      <c r="L42" s="57" t="s">
        <v>4940</v>
      </c>
      <c r="M42" s="57" t="s">
        <v>4943</v>
      </c>
      <c r="N42" s="65"/>
      <c r="O42" s="65"/>
      <c r="P42" s="65"/>
      <c r="Q42" s="65"/>
      <c r="R42" s="65"/>
      <c r="S42" s="65"/>
      <c r="T42" s="65"/>
    </row>
    <row r="43" spans="2:20" x14ac:dyDescent="0.35">
      <c r="L43" s="57" t="s">
        <v>4940</v>
      </c>
      <c r="M43" s="57" t="s">
        <v>4942</v>
      </c>
      <c r="N43" s="65"/>
      <c r="O43" s="65"/>
      <c r="P43" s="65"/>
      <c r="Q43" s="65"/>
      <c r="R43" s="65"/>
      <c r="S43" s="65"/>
      <c r="T43" s="65"/>
    </row>
    <row r="44" spans="2:20" x14ac:dyDescent="0.35">
      <c r="L44" s="57" t="s">
        <v>4940</v>
      </c>
      <c r="M44" s="57" t="s">
        <v>4941</v>
      </c>
      <c r="N44" s="65"/>
      <c r="O44" s="65"/>
      <c r="P44" s="65"/>
      <c r="Q44" s="65"/>
      <c r="R44" s="65"/>
      <c r="S44" s="65"/>
      <c r="T44" s="65"/>
    </row>
    <row r="45" spans="2:20" x14ac:dyDescent="0.35">
      <c r="L45" s="57" t="s">
        <v>4940</v>
      </c>
      <c r="M45" s="57" t="s">
        <v>1938</v>
      </c>
      <c r="N45" s="65"/>
      <c r="O45" s="65"/>
      <c r="P45" s="65"/>
      <c r="Q45" s="65"/>
      <c r="R45" s="65"/>
      <c r="S45" s="65"/>
      <c r="T45" s="65"/>
    </row>
    <row r="46" spans="2:20" x14ac:dyDescent="0.35">
      <c r="L46" s="57" t="s">
        <v>4940</v>
      </c>
      <c r="M46" s="57" t="s">
        <v>1943</v>
      </c>
      <c r="N46" s="65"/>
      <c r="O46" s="65"/>
      <c r="P46" s="65"/>
      <c r="Q46" s="65"/>
      <c r="R46" s="65"/>
      <c r="S46" s="65"/>
      <c r="T46" s="65"/>
    </row>
    <row r="47" spans="2:20" x14ac:dyDescent="0.35">
      <c r="L47" s="57" t="s">
        <v>4929</v>
      </c>
      <c r="M47" s="57" t="s">
        <v>2001</v>
      </c>
      <c r="N47" s="65"/>
      <c r="O47" s="65"/>
      <c r="P47" s="65"/>
      <c r="Q47" s="65"/>
      <c r="R47" s="65"/>
      <c r="S47" s="65"/>
      <c r="T47" s="65"/>
    </row>
    <row r="48" spans="2:20" x14ac:dyDescent="0.35">
      <c r="L48" s="57" t="s">
        <v>4929</v>
      </c>
      <c r="M48" s="57" t="s">
        <v>4939</v>
      </c>
      <c r="N48" s="65"/>
      <c r="O48" s="65"/>
      <c r="P48" s="65"/>
      <c r="Q48" s="65"/>
      <c r="R48" s="65"/>
      <c r="S48" s="65"/>
      <c r="T48" s="65"/>
    </row>
    <row r="49" spans="12:20" x14ac:dyDescent="0.35">
      <c r="L49" s="57" t="s">
        <v>4929</v>
      </c>
      <c r="M49" s="57" t="s">
        <v>4938</v>
      </c>
      <c r="N49" s="65"/>
      <c r="O49" s="65"/>
      <c r="P49" s="65"/>
      <c r="Q49" s="65"/>
      <c r="R49" s="65"/>
      <c r="S49" s="65"/>
      <c r="T49" s="65"/>
    </row>
    <row r="50" spans="12:20" x14ac:dyDescent="0.35">
      <c r="L50" s="57" t="s">
        <v>4929</v>
      </c>
      <c r="M50" s="57" t="s">
        <v>4937</v>
      </c>
      <c r="N50" s="65"/>
      <c r="O50" s="65"/>
      <c r="P50" s="65"/>
      <c r="Q50" s="65"/>
      <c r="R50" s="65"/>
      <c r="S50" s="65"/>
      <c r="T50" s="65"/>
    </row>
    <row r="51" spans="12:20" x14ac:dyDescent="0.35">
      <c r="L51" s="57" t="s">
        <v>4929</v>
      </c>
      <c r="M51" s="57" t="s">
        <v>4936</v>
      </c>
      <c r="N51" s="65"/>
      <c r="O51" s="65"/>
      <c r="P51" s="65"/>
      <c r="Q51" s="65"/>
      <c r="R51" s="65"/>
      <c r="S51" s="65"/>
      <c r="T51" s="65"/>
    </row>
    <row r="52" spans="12:20" x14ac:dyDescent="0.35">
      <c r="L52" s="57" t="s">
        <v>4929</v>
      </c>
      <c r="M52" s="57" t="s">
        <v>4935</v>
      </c>
      <c r="N52" s="65"/>
      <c r="O52" s="65"/>
      <c r="P52" s="65"/>
      <c r="Q52" s="65"/>
      <c r="R52" s="65"/>
      <c r="S52" s="65"/>
      <c r="T52" s="65"/>
    </row>
    <row r="53" spans="12:20" x14ac:dyDescent="0.35">
      <c r="L53" s="57" t="s">
        <v>4929</v>
      </c>
      <c r="M53" s="57" t="s">
        <v>4934</v>
      </c>
      <c r="N53" s="65"/>
      <c r="O53" s="65"/>
      <c r="P53" s="65"/>
      <c r="Q53" s="65"/>
      <c r="R53" s="65"/>
      <c r="S53" s="65"/>
      <c r="T53" s="65"/>
    </row>
    <row r="54" spans="12:20" x14ac:dyDescent="0.35">
      <c r="L54" s="57" t="s">
        <v>4929</v>
      </c>
      <c r="M54" s="57" t="s">
        <v>4933</v>
      </c>
      <c r="N54" s="65"/>
      <c r="O54" s="65"/>
      <c r="P54" s="65"/>
      <c r="Q54" s="65"/>
      <c r="R54" s="65"/>
      <c r="S54" s="65"/>
      <c r="T54" s="65"/>
    </row>
    <row r="55" spans="12:20" x14ac:dyDescent="0.35">
      <c r="L55" s="57" t="s">
        <v>4929</v>
      </c>
      <c r="M55" s="57" t="s">
        <v>4932</v>
      </c>
      <c r="N55" s="65"/>
      <c r="O55" s="65"/>
      <c r="P55" s="65"/>
      <c r="Q55" s="65"/>
      <c r="R55" s="65"/>
      <c r="S55" s="65"/>
      <c r="T55" s="65"/>
    </row>
    <row r="56" spans="12:20" x14ac:dyDescent="0.35">
      <c r="L56" s="57" t="s">
        <v>4929</v>
      </c>
      <c r="M56" s="57" t="s">
        <v>4931</v>
      </c>
      <c r="N56" s="65"/>
      <c r="O56" s="65"/>
      <c r="P56" s="65"/>
      <c r="Q56" s="65"/>
      <c r="R56" s="65"/>
      <c r="S56" s="65"/>
      <c r="T56" s="65"/>
    </row>
    <row r="57" spans="12:20" x14ac:dyDescent="0.35">
      <c r="L57" s="57" t="s">
        <v>4929</v>
      </c>
      <c r="M57" s="57" t="s">
        <v>4930</v>
      </c>
      <c r="N57" s="65"/>
      <c r="O57" s="65"/>
      <c r="P57" s="65"/>
      <c r="Q57" s="65"/>
      <c r="R57" s="65"/>
      <c r="S57" s="65"/>
      <c r="T57" s="65"/>
    </row>
    <row r="58" spans="12:20" x14ac:dyDescent="0.35">
      <c r="L58" s="57" t="s">
        <v>4929</v>
      </c>
      <c r="M58" s="57" t="s">
        <v>2006</v>
      </c>
      <c r="N58" s="65"/>
      <c r="O58" s="65"/>
      <c r="P58" s="65"/>
      <c r="Q58" s="65"/>
      <c r="R58" s="65"/>
      <c r="S58" s="65"/>
      <c r="T58" s="65"/>
    </row>
    <row r="59" spans="12:20" x14ac:dyDescent="0.35">
      <c r="L59" s="57" t="s">
        <v>1868</v>
      </c>
      <c r="M59" s="57" t="s">
        <v>4928</v>
      </c>
      <c r="N59" s="65"/>
      <c r="O59" s="65"/>
      <c r="P59" s="65"/>
      <c r="Q59" s="65"/>
      <c r="R59" s="65"/>
      <c r="S59" s="65"/>
      <c r="T59" s="65"/>
    </row>
    <row r="60" spans="12:20" x14ac:dyDescent="0.35">
      <c r="L60" s="57" t="s">
        <v>1868</v>
      </c>
      <c r="M60" s="57" t="s">
        <v>4927</v>
      </c>
      <c r="N60" s="65"/>
      <c r="O60" s="65"/>
      <c r="P60" s="65"/>
      <c r="Q60" s="65"/>
      <c r="R60" s="65"/>
      <c r="S60" s="65"/>
      <c r="T60" s="65"/>
    </row>
    <row r="61" spans="12:20" x14ac:dyDescent="0.35">
      <c r="L61" s="57" t="s">
        <v>1868</v>
      </c>
      <c r="M61" s="57" t="s">
        <v>4926</v>
      </c>
      <c r="N61" s="65"/>
      <c r="O61" s="65"/>
      <c r="P61" s="65"/>
      <c r="Q61" s="65"/>
      <c r="R61" s="65"/>
      <c r="S61" s="65"/>
      <c r="T61" s="65"/>
    </row>
    <row r="62" spans="12:20" x14ac:dyDescent="0.35">
      <c r="L62" s="57" t="s">
        <v>1868</v>
      </c>
      <c r="M62" s="57" t="s">
        <v>4925</v>
      </c>
      <c r="N62" s="65"/>
      <c r="O62" s="65"/>
      <c r="P62" s="65"/>
      <c r="Q62" s="65"/>
      <c r="R62" s="65"/>
      <c r="S62" s="65"/>
      <c r="T62" s="65"/>
    </row>
    <row r="63" spans="12:20" x14ac:dyDescent="0.35">
      <c r="L63" s="57" t="s">
        <v>4921</v>
      </c>
      <c r="M63" s="57" t="s">
        <v>4924</v>
      </c>
      <c r="N63" s="65"/>
      <c r="O63" s="65"/>
      <c r="P63" s="65"/>
      <c r="Q63" s="65"/>
      <c r="R63" s="65"/>
      <c r="S63" s="65"/>
      <c r="T63" s="65"/>
    </row>
    <row r="64" spans="12:20" x14ac:dyDescent="0.35">
      <c r="L64" s="57" t="s">
        <v>4921</v>
      </c>
      <c r="M64" s="57" t="s">
        <v>4923</v>
      </c>
      <c r="N64" s="65"/>
      <c r="O64" s="65"/>
      <c r="P64" s="65"/>
      <c r="Q64" s="65"/>
      <c r="R64" s="65"/>
      <c r="S64" s="65"/>
      <c r="T64" s="65"/>
    </row>
    <row r="65" spans="12:20" x14ac:dyDescent="0.35">
      <c r="L65" s="57" t="s">
        <v>4921</v>
      </c>
      <c r="M65" s="57" t="s">
        <v>4922</v>
      </c>
      <c r="N65" s="65"/>
      <c r="O65" s="65"/>
      <c r="P65" s="65"/>
      <c r="Q65" s="65"/>
      <c r="R65" s="65"/>
      <c r="S65" s="65"/>
      <c r="T65" s="65"/>
    </row>
    <row r="66" spans="12:20" x14ac:dyDescent="0.35">
      <c r="L66" s="57" t="s">
        <v>4921</v>
      </c>
      <c r="M66" s="57" t="s">
        <v>4920</v>
      </c>
      <c r="N66" s="65"/>
      <c r="O66" s="65"/>
      <c r="P66" s="65"/>
      <c r="Q66" s="65"/>
      <c r="R66" s="65"/>
      <c r="S66" s="65"/>
      <c r="T66" s="65"/>
    </row>
    <row r="67" spans="12:20" x14ac:dyDescent="0.35">
      <c r="L67" s="57" t="s">
        <v>1858</v>
      </c>
      <c r="M67" s="57" t="s">
        <v>1923</v>
      </c>
      <c r="N67" s="65"/>
      <c r="O67" s="65"/>
      <c r="P67" s="65"/>
      <c r="Q67" s="65"/>
      <c r="R67" s="65"/>
      <c r="S67" s="65"/>
      <c r="T67" s="65"/>
    </row>
    <row r="68" spans="12:20" x14ac:dyDescent="0.35">
      <c r="L68" s="57" t="s">
        <v>1858</v>
      </c>
      <c r="M68" s="57" t="s">
        <v>1918</v>
      </c>
      <c r="N68" s="65"/>
      <c r="O68" s="65"/>
      <c r="P68" s="65"/>
      <c r="Q68" s="65"/>
      <c r="R68" s="65"/>
      <c r="S68" s="65"/>
      <c r="T68" s="65"/>
    </row>
    <row r="69" spans="12:20" x14ac:dyDescent="0.35">
      <c r="L69" s="57" t="s">
        <v>1858</v>
      </c>
      <c r="M69" s="57" t="s">
        <v>4919</v>
      </c>
      <c r="N69" s="65"/>
      <c r="O69" s="65"/>
      <c r="P69" s="65"/>
      <c r="Q69" s="65"/>
      <c r="R69" s="65"/>
      <c r="S69" s="65"/>
      <c r="T69" s="65"/>
    </row>
    <row r="70" spans="12:20" x14ac:dyDescent="0.35">
      <c r="L70" s="57" t="s">
        <v>1858</v>
      </c>
      <c r="M70" s="57" t="s">
        <v>4918</v>
      </c>
      <c r="N70" s="65"/>
      <c r="O70" s="65"/>
      <c r="P70" s="65"/>
      <c r="Q70" s="65"/>
      <c r="R70" s="65"/>
      <c r="S70" s="65"/>
      <c r="T70" s="65"/>
    </row>
    <row r="71" spans="12:20" x14ac:dyDescent="0.35">
      <c r="L71" s="57" t="s">
        <v>4915</v>
      </c>
      <c r="M71" s="57" t="s">
        <v>1913</v>
      </c>
      <c r="N71" s="65"/>
      <c r="O71" s="65"/>
      <c r="P71" s="65"/>
      <c r="Q71" s="65"/>
      <c r="R71" s="65"/>
      <c r="S71" s="65"/>
      <c r="T71" s="65"/>
    </row>
    <row r="72" spans="12:20" x14ac:dyDescent="0.35">
      <c r="L72" s="57" t="s">
        <v>4915</v>
      </c>
      <c r="M72" s="57" t="s">
        <v>4917</v>
      </c>
      <c r="N72" s="65"/>
      <c r="O72" s="65"/>
      <c r="P72" s="65"/>
      <c r="Q72" s="65"/>
      <c r="R72" s="65"/>
      <c r="S72" s="65"/>
      <c r="T72" s="65"/>
    </row>
    <row r="73" spans="12:20" x14ac:dyDescent="0.35">
      <c r="L73" s="57" t="s">
        <v>4915</v>
      </c>
      <c r="M73" s="57" t="s">
        <v>4916</v>
      </c>
      <c r="N73" s="65"/>
      <c r="O73" s="65"/>
      <c r="P73" s="65"/>
      <c r="Q73" s="65"/>
      <c r="R73" s="65"/>
      <c r="S73" s="65"/>
      <c r="T73" s="65"/>
    </row>
    <row r="74" spans="12:20" x14ac:dyDescent="0.35">
      <c r="L74" s="57" t="s">
        <v>4915</v>
      </c>
      <c r="M74" s="57" t="s">
        <v>4914</v>
      </c>
      <c r="N74" s="65"/>
      <c r="O74" s="65"/>
      <c r="P74" s="65"/>
      <c r="Q74" s="65"/>
      <c r="R74" s="65"/>
      <c r="S74" s="65"/>
      <c r="T74" s="65"/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369A8-CFDB-437D-BAE3-63CEC3213328}">
  <sheetPr>
    <tabColor rgb="FFFFFF00"/>
  </sheetPr>
  <dimension ref="A1:K76"/>
  <sheetViews>
    <sheetView topLeftCell="A2" workbookViewId="0">
      <selection activeCell="A2" sqref="A2:K76"/>
    </sheetView>
  </sheetViews>
  <sheetFormatPr defaultRowHeight="14.5" x14ac:dyDescent="0.35"/>
  <cols>
    <col min="1" max="1" width="11.6328125" customWidth="1"/>
    <col min="2" max="2" width="24" bestFit="1" customWidth="1"/>
    <col min="3" max="3" width="20.1796875" bestFit="1" customWidth="1"/>
    <col min="4" max="4" width="14.6328125" customWidth="1"/>
    <col min="5" max="5" width="18.08984375" bestFit="1" customWidth="1"/>
    <col min="6" max="6" width="35.7265625" bestFit="1" customWidth="1"/>
    <col min="7" max="7" width="23.26953125" bestFit="1" customWidth="1"/>
    <col min="8" max="8" width="19.54296875" bestFit="1" customWidth="1"/>
    <col min="9" max="9" width="19.54296875" customWidth="1"/>
  </cols>
  <sheetData>
    <row r="1" spans="1:11" x14ac:dyDescent="0.35">
      <c r="A1" s="58" t="s">
        <v>11</v>
      </c>
      <c r="B1" s="58" t="s">
        <v>5</v>
      </c>
      <c r="C1" s="58" t="s">
        <v>6</v>
      </c>
      <c r="D1" s="58" t="s">
        <v>4993</v>
      </c>
      <c r="E1" s="58" t="s">
        <v>4994</v>
      </c>
      <c r="F1" s="58" t="s">
        <v>4995</v>
      </c>
      <c r="G1" s="58" t="s">
        <v>4996</v>
      </c>
      <c r="H1" s="58" t="s">
        <v>4997</v>
      </c>
      <c r="I1" s="58" t="s">
        <v>4998</v>
      </c>
      <c r="J1" s="58" t="s">
        <v>0</v>
      </c>
      <c r="K1" s="58" t="s">
        <v>3723</v>
      </c>
    </row>
    <row r="2" spans="1:11" x14ac:dyDescent="0.35">
      <c r="A2" s="65" t="s">
        <v>4999</v>
      </c>
      <c r="B2" s="65" t="s">
        <v>2147</v>
      </c>
      <c r="C2" s="65" t="s">
        <v>1528</v>
      </c>
      <c r="D2" s="65" t="s">
        <v>1888</v>
      </c>
      <c r="E2" s="57" t="b">
        <v>1</v>
      </c>
      <c r="F2" s="57" t="b">
        <v>1</v>
      </c>
      <c r="G2" s="57"/>
      <c r="H2" s="57" t="b">
        <v>1</v>
      </c>
      <c r="J2" s="57" t="b">
        <v>1</v>
      </c>
      <c r="K2" s="57"/>
    </row>
    <row r="3" spans="1:11" x14ac:dyDescent="0.35">
      <c r="A3" s="65" t="s">
        <v>5000</v>
      </c>
      <c r="B3" s="65" t="s">
        <v>4982</v>
      </c>
      <c r="C3" s="65" t="s">
        <v>1528</v>
      </c>
      <c r="D3" s="65" t="s">
        <v>1888</v>
      </c>
      <c r="E3" s="57" t="b">
        <v>1</v>
      </c>
      <c r="F3" s="57" t="b">
        <v>1</v>
      </c>
      <c r="G3" s="57"/>
      <c r="H3" s="57" t="b">
        <v>1</v>
      </c>
      <c r="J3" s="57" t="b">
        <v>1</v>
      </c>
      <c r="K3" s="57"/>
    </row>
    <row r="4" spans="1:11" x14ac:dyDescent="0.35">
      <c r="A4" s="65" t="s">
        <v>5001</v>
      </c>
      <c r="B4" s="65" t="s">
        <v>4981</v>
      </c>
      <c r="C4" s="65" t="s">
        <v>1528</v>
      </c>
      <c r="D4" s="65" t="s">
        <v>1888</v>
      </c>
      <c r="E4" s="57" t="b">
        <v>1</v>
      </c>
      <c r="F4" s="57" t="b">
        <v>1</v>
      </c>
      <c r="G4" s="57"/>
      <c r="H4" s="57" t="b">
        <v>1</v>
      </c>
      <c r="J4" s="57" t="b">
        <v>1</v>
      </c>
      <c r="K4" s="57"/>
    </row>
    <row r="5" spans="1:11" x14ac:dyDescent="0.35">
      <c r="A5" s="65" t="s">
        <v>5002</v>
      </c>
      <c r="B5" s="65" t="s">
        <v>4980</v>
      </c>
      <c r="C5" s="65" t="s">
        <v>1528</v>
      </c>
      <c r="D5" s="65" t="s">
        <v>1888</v>
      </c>
      <c r="E5" s="57" t="b">
        <v>1</v>
      </c>
      <c r="F5" s="57" t="b">
        <v>1</v>
      </c>
      <c r="G5" s="57"/>
      <c r="H5" s="57" t="b">
        <v>1</v>
      </c>
      <c r="J5" s="57" t="b">
        <v>1</v>
      </c>
      <c r="K5" s="57"/>
    </row>
    <row r="6" spans="1:11" x14ac:dyDescent="0.35">
      <c r="A6" s="65" t="s">
        <v>5003</v>
      </c>
      <c r="B6" s="65" t="s">
        <v>4954</v>
      </c>
      <c r="C6" s="65" t="s">
        <v>1528</v>
      </c>
      <c r="D6" s="65" t="s">
        <v>1888</v>
      </c>
      <c r="E6" s="57" t="b">
        <v>1</v>
      </c>
      <c r="F6" s="57" t="b">
        <v>1</v>
      </c>
      <c r="G6" s="57"/>
      <c r="H6" s="57" t="b">
        <v>1</v>
      </c>
      <c r="J6" s="57" t="b">
        <v>1</v>
      </c>
      <c r="K6" s="57"/>
    </row>
    <row r="7" spans="1:11" x14ac:dyDescent="0.35">
      <c r="A7" s="65" t="s">
        <v>5004</v>
      </c>
      <c r="B7" s="65" t="s">
        <v>5005</v>
      </c>
      <c r="C7" s="65" t="s">
        <v>1528</v>
      </c>
      <c r="D7" s="65" t="s">
        <v>1888</v>
      </c>
      <c r="E7" s="57" t="b">
        <v>1</v>
      </c>
      <c r="F7" s="57" t="b">
        <v>1</v>
      </c>
      <c r="G7" s="57"/>
      <c r="H7" s="57" t="b">
        <v>1</v>
      </c>
      <c r="J7" s="57" t="b">
        <v>1</v>
      </c>
      <c r="K7" s="57"/>
    </row>
    <row r="8" spans="1:11" x14ac:dyDescent="0.35">
      <c r="A8" s="65" t="s">
        <v>5006</v>
      </c>
      <c r="B8" s="65" t="s">
        <v>2142</v>
      </c>
      <c r="C8" s="65" t="s">
        <v>1522</v>
      </c>
      <c r="D8" s="65" t="s">
        <v>1888</v>
      </c>
      <c r="E8" s="57" t="b">
        <v>1</v>
      </c>
      <c r="F8" s="57" t="b">
        <v>1</v>
      </c>
      <c r="G8" s="57"/>
      <c r="H8" s="57" t="b">
        <v>1</v>
      </c>
      <c r="J8" s="57" t="b">
        <v>1</v>
      </c>
      <c r="K8" s="57"/>
    </row>
    <row r="9" spans="1:11" x14ac:dyDescent="0.35">
      <c r="A9" s="65" t="s">
        <v>5007</v>
      </c>
      <c r="B9" s="65" t="s">
        <v>5008</v>
      </c>
      <c r="C9" s="65" t="s">
        <v>1522</v>
      </c>
      <c r="D9" s="65" t="s">
        <v>4928</v>
      </c>
      <c r="E9" s="57" t="b">
        <v>1</v>
      </c>
      <c r="F9" s="57" t="b">
        <v>1</v>
      </c>
      <c r="G9" s="57"/>
      <c r="H9" s="57" t="b">
        <v>1</v>
      </c>
      <c r="J9" s="57" t="b">
        <v>1</v>
      </c>
      <c r="K9" s="57"/>
    </row>
    <row r="10" spans="1:11" x14ac:dyDescent="0.35">
      <c r="A10" s="65" t="s">
        <v>5009</v>
      </c>
      <c r="B10" s="65" t="s">
        <v>1976</v>
      </c>
      <c r="C10" s="65" t="s">
        <v>1522</v>
      </c>
      <c r="D10" s="65" t="s">
        <v>1883</v>
      </c>
      <c r="E10" s="57" t="b">
        <v>1</v>
      </c>
      <c r="F10" s="57" t="b">
        <v>1</v>
      </c>
      <c r="G10" s="57"/>
      <c r="H10" s="57" t="b">
        <v>1</v>
      </c>
      <c r="J10" s="57" t="b">
        <v>1</v>
      </c>
      <c r="K10" s="57"/>
    </row>
    <row r="11" spans="1:11" x14ac:dyDescent="0.35">
      <c r="A11" s="65" t="s">
        <v>5010</v>
      </c>
      <c r="B11" s="65" t="s">
        <v>4976</v>
      </c>
      <c r="C11" s="65" t="s">
        <v>1515</v>
      </c>
      <c r="D11" s="65" t="s">
        <v>1888</v>
      </c>
      <c r="E11" s="57" t="b">
        <v>1</v>
      </c>
      <c r="F11" s="57" t="b">
        <v>1</v>
      </c>
      <c r="G11" s="57"/>
      <c r="H11" s="57" t="b">
        <v>1</v>
      </c>
      <c r="J11" s="57" t="b">
        <v>1</v>
      </c>
      <c r="K11" s="57"/>
    </row>
    <row r="12" spans="1:11" x14ac:dyDescent="0.35">
      <c r="A12" s="65" t="s">
        <v>5011</v>
      </c>
      <c r="B12" s="65" t="s">
        <v>5012</v>
      </c>
      <c r="C12" s="65" t="s">
        <v>1515</v>
      </c>
      <c r="D12" s="65" t="s">
        <v>1888</v>
      </c>
      <c r="E12" s="57" t="b">
        <v>1</v>
      </c>
      <c r="F12" s="57" t="b">
        <v>1</v>
      </c>
      <c r="G12" s="57"/>
      <c r="H12" s="57" t="b">
        <v>1</v>
      </c>
      <c r="J12" s="57" t="b">
        <v>1</v>
      </c>
      <c r="K12" s="57"/>
    </row>
    <row r="13" spans="1:11" x14ac:dyDescent="0.35">
      <c r="A13" s="65" t="s">
        <v>5013</v>
      </c>
      <c r="B13" s="65" t="s">
        <v>5014</v>
      </c>
      <c r="C13" s="65" t="s">
        <v>1515</v>
      </c>
      <c r="D13" s="65" t="s">
        <v>1888</v>
      </c>
      <c r="E13" s="57" t="b">
        <v>1</v>
      </c>
      <c r="F13" s="57" t="b">
        <v>1</v>
      </c>
      <c r="G13" s="57"/>
      <c r="H13" s="57" t="b">
        <v>1</v>
      </c>
      <c r="J13" s="57" t="b">
        <v>1</v>
      </c>
      <c r="K13" s="57"/>
    </row>
    <row r="14" spans="1:11" x14ac:dyDescent="0.35">
      <c r="A14" s="65" t="s">
        <v>5015</v>
      </c>
      <c r="B14" s="65" t="s">
        <v>4975</v>
      </c>
      <c r="C14" s="65" t="s">
        <v>1509</v>
      </c>
      <c r="D14" s="65" t="s">
        <v>1888</v>
      </c>
      <c r="E14" s="57" t="b">
        <v>1</v>
      </c>
      <c r="F14" s="57" t="b">
        <v>1</v>
      </c>
      <c r="G14" s="57"/>
      <c r="H14" s="57" t="b">
        <v>1</v>
      </c>
      <c r="J14" s="57" t="b">
        <v>1</v>
      </c>
      <c r="K14" s="57"/>
    </row>
    <row r="15" spans="1:11" x14ac:dyDescent="0.35">
      <c r="A15" s="65" t="s">
        <v>5016</v>
      </c>
      <c r="B15" s="65" t="s">
        <v>4974</v>
      </c>
      <c r="C15" s="65" t="s">
        <v>1509</v>
      </c>
      <c r="D15" s="65" t="s">
        <v>1888</v>
      </c>
      <c r="E15" s="57" t="b">
        <v>1</v>
      </c>
      <c r="F15" s="57" t="b">
        <v>1</v>
      </c>
      <c r="G15" s="57"/>
      <c r="H15" s="57" t="b">
        <v>1</v>
      </c>
      <c r="J15" s="57" t="b">
        <v>1</v>
      </c>
      <c r="K15" s="57"/>
    </row>
    <row r="16" spans="1:11" x14ac:dyDescent="0.35">
      <c r="A16" s="65" t="s">
        <v>5017</v>
      </c>
      <c r="B16" s="65" t="s">
        <v>4973</v>
      </c>
      <c r="C16" s="65" t="s">
        <v>1509</v>
      </c>
      <c r="D16" s="65" t="s">
        <v>1888</v>
      </c>
      <c r="E16" s="57" t="b">
        <v>1</v>
      </c>
      <c r="F16" s="57" t="b">
        <v>1</v>
      </c>
      <c r="G16" s="57"/>
      <c r="H16" s="57" t="b">
        <v>1</v>
      </c>
      <c r="J16" s="57" t="b">
        <v>1</v>
      </c>
      <c r="K16" s="57"/>
    </row>
    <row r="17" spans="1:11" x14ac:dyDescent="0.35">
      <c r="A17" s="65" t="s">
        <v>5018</v>
      </c>
      <c r="B17" s="65" t="s">
        <v>1966</v>
      </c>
      <c r="C17" s="65" t="s">
        <v>1509</v>
      </c>
      <c r="D17" s="65" t="s">
        <v>1883</v>
      </c>
      <c r="E17" s="57" t="b">
        <v>1</v>
      </c>
      <c r="F17" s="57" t="b">
        <v>1</v>
      </c>
      <c r="G17" s="57"/>
      <c r="H17" s="57" t="b">
        <v>1</v>
      </c>
      <c r="J17" s="57" t="b">
        <v>1</v>
      </c>
      <c r="K17" s="57"/>
    </row>
    <row r="18" spans="1:11" x14ac:dyDescent="0.35">
      <c r="A18" s="65" t="s">
        <v>5019</v>
      </c>
      <c r="B18" s="65" t="s">
        <v>4971</v>
      </c>
      <c r="C18" s="65" t="s">
        <v>1497</v>
      </c>
      <c r="D18" s="65" t="s">
        <v>1888</v>
      </c>
      <c r="E18" s="57" t="b">
        <v>1</v>
      </c>
      <c r="F18" s="57" t="b">
        <v>1</v>
      </c>
      <c r="G18" s="57"/>
      <c r="H18" s="57" t="b">
        <v>1</v>
      </c>
      <c r="J18" s="57" t="b">
        <v>1</v>
      </c>
      <c r="K18" s="57"/>
    </row>
    <row r="19" spans="1:11" x14ac:dyDescent="0.35">
      <c r="A19" s="65" t="s">
        <v>5020</v>
      </c>
      <c r="B19" s="65" t="s">
        <v>4968</v>
      </c>
      <c r="C19" s="65" t="s">
        <v>1497</v>
      </c>
      <c r="D19" s="65" t="s">
        <v>1888</v>
      </c>
      <c r="E19" s="57" t="b">
        <v>1</v>
      </c>
      <c r="F19" s="57" t="b">
        <v>1</v>
      </c>
      <c r="G19" s="57"/>
      <c r="H19" s="57" t="b">
        <v>1</v>
      </c>
      <c r="J19" s="57" t="b">
        <v>1</v>
      </c>
      <c r="K19" s="57"/>
    </row>
    <row r="20" spans="1:11" x14ac:dyDescent="0.35">
      <c r="A20" s="65" t="s">
        <v>5021</v>
      </c>
      <c r="B20" s="65" t="s">
        <v>5022</v>
      </c>
      <c r="C20" s="65" t="s">
        <v>1497</v>
      </c>
      <c r="D20" s="65" t="s">
        <v>1888</v>
      </c>
      <c r="E20" s="57" t="b">
        <v>1</v>
      </c>
      <c r="F20" s="57" t="b">
        <v>1</v>
      </c>
      <c r="G20" s="57"/>
      <c r="H20" s="57" t="b">
        <v>1</v>
      </c>
      <c r="J20" s="57" t="b">
        <v>1</v>
      </c>
      <c r="K20" s="57"/>
    </row>
    <row r="21" spans="1:11" x14ac:dyDescent="0.35">
      <c r="A21" s="65" t="s">
        <v>5023</v>
      </c>
      <c r="B21" s="65" t="s">
        <v>5024</v>
      </c>
      <c r="C21" s="65" t="s">
        <v>1497</v>
      </c>
      <c r="D21" s="65" t="s">
        <v>1888</v>
      </c>
      <c r="E21" s="57" t="b">
        <v>1</v>
      </c>
      <c r="F21" s="57" t="b">
        <v>1</v>
      </c>
      <c r="G21" s="57"/>
      <c r="H21" s="57" t="b">
        <v>1</v>
      </c>
      <c r="J21" s="57" t="b">
        <v>1</v>
      </c>
      <c r="K21" s="57"/>
    </row>
    <row r="22" spans="1:11" x14ac:dyDescent="0.35">
      <c r="A22" s="65" t="s">
        <v>5025</v>
      </c>
      <c r="B22" s="65" t="s">
        <v>4963</v>
      </c>
      <c r="C22" s="65" t="s">
        <v>1491</v>
      </c>
      <c r="D22" s="65" t="s">
        <v>1888</v>
      </c>
      <c r="E22" s="57" t="b">
        <v>1</v>
      </c>
      <c r="F22" s="57" t="b">
        <v>1</v>
      </c>
      <c r="G22" s="57"/>
      <c r="H22" s="57" t="b">
        <v>1</v>
      </c>
      <c r="J22" s="57" t="b">
        <v>1</v>
      </c>
      <c r="K22" s="57"/>
    </row>
    <row r="23" spans="1:11" x14ac:dyDescent="0.35">
      <c r="A23" s="65" t="s">
        <v>5026</v>
      </c>
      <c r="B23" s="65" t="s">
        <v>4962</v>
      </c>
      <c r="C23" s="65" t="s">
        <v>1491</v>
      </c>
      <c r="D23" s="65" t="s">
        <v>1888</v>
      </c>
      <c r="E23" s="57" t="b">
        <v>1</v>
      </c>
      <c r="F23" s="57" t="b">
        <v>1</v>
      </c>
      <c r="G23" s="57"/>
      <c r="H23" s="57" t="b">
        <v>1</v>
      </c>
      <c r="J23" s="57" t="b">
        <v>1</v>
      </c>
      <c r="K23" s="57"/>
    </row>
    <row r="24" spans="1:11" x14ac:dyDescent="0.35">
      <c r="A24" s="65" t="s">
        <v>5027</v>
      </c>
      <c r="B24" s="65" t="s">
        <v>4961</v>
      </c>
      <c r="C24" s="65" t="s">
        <v>1491</v>
      </c>
      <c r="D24" s="65" t="s">
        <v>1888</v>
      </c>
      <c r="E24" s="57" t="b">
        <v>1</v>
      </c>
      <c r="F24" s="57" t="b">
        <v>1</v>
      </c>
      <c r="G24" s="57"/>
      <c r="H24" s="57" t="b">
        <v>1</v>
      </c>
      <c r="J24" s="57" t="b">
        <v>1</v>
      </c>
      <c r="K24" s="57"/>
    </row>
    <row r="25" spans="1:11" x14ac:dyDescent="0.35">
      <c r="A25" s="65" t="s">
        <v>5028</v>
      </c>
      <c r="B25" s="65" t="s">
        <v>5029</v>
      </c>
      <c r="C25" s="65" t="s">
        <v>1491</v>
      </c>
      <c r="D25" s="65" t="s">
        <v>1888</v>
      </c>
      <c r="E25" s="57" t="b">
        <v>1</v>
      </c>
      <c r="F25" s="57" t="b">
        <v>1</v>
      </c>
      <c r="G25" s="57"/>
      <c r="H25" s="57" t="b">
        <v>1</v>
      </c>
      <c r="J25" s="57" t="b">
        <v>1</v>
      </c>
      <c r="K25" s="57"/>
    </row>
    <row r="26" spans="1:11" x14ac:dyDescent="0.35">
      <c r="A26" s="65" t="s">
        <v>5030</v>
      </c>
      <c r="B26" s="65" t="s">
        <v>5031</v>
      </c>
      <c r="C26" s="65" t="s">
        <v>1503</v>
      </c>
      <c r="D26" s="65" t="s">
        <v>1888</v>
      </c>
      <c r="E26" s="57" t="b">
        <v>1</v>
      </c>
      <c r="F26" s="57" t="b">
        <v>1</v>
      </c>
      <c r="G26" s="57"/>
      <c r="H26" s="57" t="b">
        <v>1</v>
      </c>
      <c r="J26" s="57" t="b">
        <v>1</v>
      </c>
      <c r="K26" s="57"/>
    </row>
    <row r="27" spans="1:11" x14ac:dyDescent="0.35">
      <c r="A27" s="65" t="s">
        <v>5032</v>
      </c>
      <c r="B27" s="65" t="s">
        <v>4956</v>
      </c>
      <c r="C27" s="65" t="s">
        <v>1503</v>
      </c>
      <c r="D27" s="65" t="s">
        <v>1888</v>
      </c>
      <c r="E27" s="57" t="b">
        <v>1</v>
      </c>
      <c r="F27" s="57" t="b">
        <v>1</v>
      </c>
      <c r="G27" s="57"/>
      <c r="H27" s="57" t="b">
        <v>1</v>
      </c>
      <c r="J27" s="57" t="b">
        <v>1</v>
      </c>
      <c r="K27" s="57"/>
    </row>
    <row r="28" spans="1:11" x14ac:dyDescent="0.35">
      <c r="A28" s="65" t="s">
        <v>5033</v>
      </c>
      <c r="B28" s="65" t="s">
        <v>5034</v>
      </c>
      <c r="C28" s="65" t="s">
        <v>1503</v>
      </c>
      <c r="D28" s="65" t="s">
        <v>1888</v>
      </c>
      <c r="E28" s="57" t="b">
        <v>1</v>
      </c>
      <c r="F28" s="57" t="b">
        <v>1</v>
      </c>
      <c r="G28" s="57"/>
      <c r="H28" s="57" t="b">
        <v>1</v>
      </c>
      <c r="J28" s="57" t="b">
        <v>1</v>
      </c>
      <c r="K28" s="57"/>
    </row>
    <row r="29" spans="1:11" x14ac:dyDescent="0.35">
      <c r="A29" s="65" t="s">
        <v>5035</v>
      </c>
      <c r="B29" s="65" t="s">
        <v>5036</v>
      </c>
      <c r="C29" s="65" t="s">
        <v>1503</v>
      </c>
      <c r="D29" s="65" t="s">
        <v>1888</v>
      </c>
      <c r="E29" s="57" t="b">
        <v>1</v>
      </c>
      <c r="F29" s="57" t="b">
        <v>1</v>
      </c>
      <c r="G29" s="57"/>
      <c r="H29" s="57" t="b">
        <v>1</v>
      </c>
      <c r="J29" s="57" t="b">
        <v>1</v>
      </c>
      <c r="K29" s="57"/>
    </row>
    <row r="30" spans="1:11" x14ac:dyDescent="0.35">
      <c r="A30" s="65" t="s">
        <v>5037</v>
      </c>
      <c r="B30" s="65" t="s">
        <v>4943</v>
      </c>
      <c r="C30" s="65" t="s">
        <v>2047</v>
      </c>
      <c r="D30" s="65" t="s">
        <v>1888</v>
      </c>
      <c r="E30" s="57" t="b">
        <v>1</v>
      </c>
      <c r="F30" s="57" t="b">
        <v>1</v>
      </c>
      <c r="G30" s="57"/>
      <c r="H30" s="57" t="b">
        <v>1</v>
      </c>
      <c r="J30" s="57" t="b">
        <v>1</v>
      </c>
      <c r="K30" s="57"/>
    </row>
    <row r="31" spans="1:11" x14ac:dyDescent="0.35">
      <c r="A31" s="65" t="s">
        <v>5038</v>
      </c>
      <c r="B31" s="65" t="s">
        <v>5039</v>
      </c>
      <c r="C31" s="65" t="s">
        <v>2047</v>
      </c>
      <c r="D31" s="65" t="s">
        <v>4928</v>
      </c>
      <c r="E31" s="57" t="b">
        <v>1</v>
      </c>
      <c r="F31" s="57" t="b">
        <v>1</v>
      </c>
      <c r="G31" s="57"/>
      <c r="H31" s="57" t="b">
        <v>0</v>
      </c>
      <c r="J31" s="57" t="b">
        <v>1</v>
      </c>
      <c r="K31" s="57"/>
    </row>
    <row r="32" spans="1:11" x14ac:dyDescent="0.35">
      <c r="A32" s="65" t="s">
        <v>5040</v>
      </c>
      <c r="B32" s="65" t="s">
        <v>5041</v>
      </c>
      <c r="C32" s="65" t="s">
        <v>2047</v>
      </c>
      <c r="D32" s="65" t="s">
        <v>1888</v>
      </c>
      <c r="E32" s="57" t="b">
        <v>1</v>
      </c>
      <c r="F32" s="57" t="b">
        <v>1</v>
      </c>
      <c r="G32" s="57"/>
      <c r="H32" s="57" t="b">
        <v>0</v>
      </c>
      <c r="J32" s="57" t="b">
        <v>0</v>
      </c>
      <c r="K32" s="57"/>
    </row>
    <row r="33" spans="1:11" x14ac:dyDescent="0.35">
      <c r="A33" s="65" t="s">
        <v>5042</v>
      </c>
      <c r="B33" s="65" t="s">
        <v>5043</v>
      </c>
      <c r="C33" s="65" t="s">
        <v>2047</v>
      </c>
      <c r="D33" s="65" t="s">
        <v>1888</v>
      </c>
      <c r="E33" s="57" t="b">
        <v>1</v>
      </c>
      <c r="F33" s="57" t="b">
        <v>1</v>
      </c>
      <c r="G33" s="57"/>
      <c r="H33" s="57" t="b">
        <v>1</v>
      </c>
      <c r="J33" s="57" t="b">
        <v>1</v>
      </c>
      <c r="K33" s="57"/>
    </row>
    <row r="34" spans="1:11" x14ac:dyDescent="0.35">
      <c r="A34" s="65" t="s">
        <v>5044</v>
      </c>
      <c r="B34" s="65" t="s">
        <v>5045</v>
      </c>
      <c r="C34" s="65" t="s">
        <v>1883</v>
      </c>
      <c r="D34" s="65" t="s">
        <v>1883</v>
      </c>
      <c r="E34" s="57" t="b">
        <v>1</v>
      </c>
      <c r="F34" s="57" t="b">
        <v>1</v>
      </c>
      <c r="G34" s="57"/>
      <c r="H34" s="57" t="b">
        <v>1</v>
      </c>
      <c r="J34" s="57" t="b">
        <v>1</v>
      </c>
      <c r="K34" s="57"/>
    </row>
    <row r="35" spans="1:11" x14ac:dyDescent="0.35">
      <c r="A35" s="65" t="s">
        <v>5046</v>
      </c>
      <c r="B35" s="65" t="s">
        <v>2001</v>
      </c>
      <c r="C35" s="65" t="s">
        <v>1883</v>
      </c>
      <c r="D35" s="65" t="s">
        <v>1883</v>
      </c>
      <c r="E35" s="57" t="b">
        <v>1</v>
      </c>
      <c r="F35" s="57" t="b">
        <v>1</v>
      </c>
      <c r="G35" s="57"/>
      <c r="H35" s="57" t="b">
        <v>1</v>
      </c>
      <c r="J35" s="57" t="b">
        <v>1</v>
      </c>
      <c r="K35" s="57"/>
    </row>
    <row r="36" spans="1:11" x14ac:dyDescent="0.35">
      <c r="A36" s="65" t="s">
        <v>5047</v>
      </c>
      <c r="B36" s="65" t="s">
        <v>5048</v>
      </c>
      <c r="C36" s="65" t="s">
        <v>1883</v>
      </c>
      <c r="D36" s="65" t="s">
        <v>1883</v>
      </c>
      <c r="E36" s="57" t="b">
        <v>1</v>
      </c>
      <c r="F36" s="57" t="b">
        <v>1</v>
      </c>
      <c r="G36" s="57"/>
      <c r="H36" s="57" t="b">
        <v>1</v>
      </c>
      <c r="J36" s="57" t="b">
        <v>1</v>
      </c>
      <c r="K36" s="57"/>
    </row>
    <row r="37" spans="1:11" x14ac:dyDescent="0.35">
      <c r="A37" s="65" t="s">
        <v>5049</v>
      </c>
      <c r="B37" s="65" t="s">
        <v>4935</v>
      </c>
      <c r="C37" s="65" t="s">
        <v>1883</v>
      </c>
      <c r="D37" s="65" t="s">
        <v>1883</v>
      </c>
      <c r="E37" s="57" t="b">
        <v>1</v>
      </c>
      <c r="F37" s="57" t="b">
        <v>1</v>
      </c>
      <c r="G37" s="57"/>
      <c r="H37" s="57" t="b">
        <v>1</v>
      </c>
      <c r="J37" s="57" t="b">
        <v>1</v>
      </c>
      <c r="K37" s="57"/>
    </row>
    <row r="38" spans="1:11" x14ac:dyDescent="0.35">
      <c r="A38" s="65" t="s">
        <v>5050</v>
      </c>
      <c r="B38" s="65" t="s">
        <v>4930</v>
      </c>
      <c r="C38" s="65" t="s">
        <v>1883</v>
      </c>
      <c r="D38" s="65" t="s">
        <v>1883</v>
      </c>
      <c r="E38" s="57" t="b">
        <v>1</v>
      </c>
      <c r="F38" s="57" t="b">
        <v>1</v>
      </c>
      <c r="G38" s="57"/>
      <c r="H38" s="57" t="b">
        <v>1</v>
      </c>
      <c r="J38" s="57" t="b">
        <v>1</v>
      </c>
      <c r="K38" s="57"/>
    </row>
    <row r="39" spans="1:11" x14ac:dyDescent="0.35">
      <c r="A39" s="65" t="s">
        <v>5051</v>
      </c>
      <c r="B39" s="65" t="s">
        <v>4932</v>
      </c>
      <c r="C39" s="65" t="s">
        <v>1883</v>
      </c>
      <c r="D39" s="65" t="s">
        <v>1883</v>
      </c>
      <c r="E39" s="57" t="b">
        <v>1</v>
      </c>
      <c r="F39" s="57" t="b">
        <v>1</v>
      </c>
      <c r="G39" s="57"/>
      <c r="H39" s="57" t="b">
        <v>1</v>
      </c>
      <c r="J39" s="57" t="b">
        <v>1</v>
      </c>
      <c r="K39" s="57"/>
    </row>
    <row r="40" spans="1:11" x14ac:dyDescent="0.35">
      <c r="A40" s="65" t="s">
        <v>5052</v>
      </c>
      <c r="B40" s="65" t="s">
        <v>1991</v>
      </c>
      <c r="C40" s="65" t="s">
        <v>1883</v>
      </c>
      <c r="D40" s="65" t="s">
        <v>1883</v>
      </c>
      <c r="E40" s="57" t="b">
        <v>1</v>
      </c>
      <c r="F40" s="57" t="b">
        <v>1</v>
      </c>
      <c r="G40" s="57"/>
      <c r="H40" s="57" t="b">
        <v>1</v>
      </c>
      <c r="J40" s="57" t="b">
        <v>1</v>
      </c>
      <c r="K40" s="57"/>
    </row>
    <row r="41" spans="1:11" x14ac:dyDescent="0.35">
      <c r="A41" s="65" t="s">
        <v>5053</v>
      </c>
      <c r="B41" s="65" t="s">
        <v>4933</v>
      </c>
      <c r="C41" s="65" t="s">
        <v>1883</v>
      </c>
      <c r="D41" s="65" t="s">
        <v>1883</v>
      </c>
      <c r="E41" s="57" t="b">
        <v>1</v>
      </c>
      <c r="F41" s="57" t="b">
        <v>1</v>
      </c>
      <c r="G41" s="57"/>
      <c r="H41" s="57" t="b">
        <v>1</v>
      </c>
      <c r="J41" s="57" t="b">
        <v>1</v>
      </c>
      <c r="K41" s="57"/>
    </row>
    <row r="42" spans="1:11" x14ac:dyDescent="0.35">
      <c r="A42" s="65" t="s">
        <v>5054</v>
      </c>
      <c r="B42" s="65" t="s">
        <v>5055</v>
      </c>
      <c r="C42" s="65" t="s">
        <v>1868</v>
      </c>
      <c r="D42" s="65" t="s">
        <v>4928</v>
      </c>
      <c r="E42" s="57" t="b">
        <v>1</v>
      </c>
      <c r="F42" s="57" t="b">
        <v>1</v>
      </c>
      <c r="G42" s="57"/>
      <c r="H42" s="57" t="b">
        <v>0</v>
      </c>
      <c r="J42" s="57" t="b">
        <v>1</v>
      </c>
      <c r="K42" s="57"/>
    </row>
    <row r="43" spans="1:11" x14ac:dyDescent="0.35">
      <c r="A43" s="65" t="s">
        <v>5056</v>
      </c>
      <c r="B43" s="65" t="s">
        <v>5057</v>
      </c>
      <c r="C43" s="65" t="s">
        <v>1868</v>
      </c>
      <c r="D43" s="65" t="s">
        <v>4928</v>
      </c>
      <c r="E43" s="57" t="b">
        <v>1</v>
      </c>
      <c r="F43" s="57" t="b">
        <v>1</v>
      </c>
      <c r="G43" s="57"/>
      <c r="H43" s="57" t="b">
        <v>0</v>
      </c>
      <c r="J43" s="57" t="b">
        <v>1</v>
      </c>
      <c r="K43" s="57"/>
    </row>
    <row r="44" spans="1:11" x14ac:dyDescent="0.35">
      <c r="A44" s="65" t="s">
        <v>5058</v>
      </c>
      <c r="B44" s="65" t="s">
        <v>5059</v>
      </c>
      <c r="C44" s="65" t="s">
        <v>1868</v>
      </c>
      <c r="D44" s="65" t="s">
        <v>4928</v>
      </c>
      <c r="E44" s="57" t="b">
        <v>1</v>
      </c>
      <c r="F44" s="57" t="b">
        <v>1</v>
      </c>
      <c r="G44" s="57"/>
      <c r="H44" s="57" t="b">
        <v>0</v>
      </c>
      <c r="J44" s="57" t="b">
        <v>1</v>
      </c>
      <c r="K44" s="57"/>
    </row>
    <row r="45" spans="1:11" x14ac:dyDescent="0.35">
      <c r="A45" s="65" t="s">
        <v>5060</v>
      </c>
      <c r="B45" s="65" t="s">
        <v>4924</v>
      </c>
      <c r="C45" s="65" t="s">
        <v>1842</v>
      </c>
      <c r="D45" s="65" t="s">
        <v>1888</v>
      </c>
      <c r="E45" s="57" t="b">
        <v>1</v>
      </c>
      <c r="F45" s="57" t="b">
        <v>1</v>
      </c>
      <c r="G45" s="57"/>
      <c r="H45" s="57" t="b">
        <v>1</v>
      </c>
      <c r="J45" s="57" t="b">
        <v>1</v>
      </c>
      <c r="K45" s="57"/>
    </row>
    <row r="46" spans="1:11" x14ac:dyDescent="0.35">
      <c r="A46" s="65" t="s">
        <v>5061</v>
      </c>
      <c r="B46" s="65" t="s">
        <v>5062</v>
      </c>
      <c r="C46" s="65" t="s">
        <v>1842</v>
      </c>
      <c r="D46" s="65" t="s">
        <v>1888</v>
      </c>
      <c r="E46" s="57" t="b">
        <v>1</v>
      </c>
      <c r="F46" s="57" t="b">
        <v>1</v>
      </c>
      <c r="G46" s="57"/>
      <c r="H46" s="57" t="b">
        <v>0</v>
      </c>
      <c r="J46" s="57" t="b">
        <v>1</v>
      </c>
      <c r="K46" s="57"/>
    </row>
    <row r="47" spans="1:11" x14ac:dyDescent="0.35">
      <c r="A47" s="65" t="s">
        <v>5063</v>
      </c>
      <c r="B47" s="65" t="s">
        <v>5064</v>
      </c>
      <c r="C47" s="65" t="s">
        <v>1842</v>
      </c>
      <c r="D47" s="65" t="s">
        <v>1888</v>
      </c>
      <c r="E47" s="57" t="b">
        <v>1</v>
      </c>
      <c r="F47" s="57" t="b">
        <v>1</v>
      </c>
      <c r="G47" s="57"/>
      <c r="H47" s="57" t="b">
        <v>1</v>
      </c>
      <c r="J47" s="57" t="b">
        <v>1</v>
      </c>
      <c r="K47" s="57"/>
    </row>
    <row r="48" spans="1:11" x14ac:dyDescent="0.35">
      <c r="A48" s="65" t="s">
        <v>5065</v>
      </c>
      <c r="B48" s="65" t="s">
        <v>2006</v>
      </c>
      <c r="C48" s="65" t="s">
        <v>2006</v>
      </c>
      <c r="D48" s="65" t="s">
        <v>1883</v>
      </c>
      <c r="E48" s="57" t="b">
        <v>1</v>
      </c>
      <c r="F48" s="57" t="b">
        <v>1</v>
      </c>
      <c r="G48" s="57"/>
      <c r="H48" s="57" t="b">
        <v>1</v>
      </c>
      <c r="J48" s="57" t="b">
        <v>1</v>
      </c>
      <c r="K48" s="57"/>
    </row>
    <row r="49" spans="1:11" x14ac:dyDescent="0.35">
      <c r="A49" s="65" t="s">
        <v>5066</v>
      </c>
      <c r="B49" s="65" t="s">
        <v>5067</v>
      </c>
      <c r="C49" s="65" t="s">
        <v>2006</v>
      </c>
      <c r="D49" s="65" t="s">
        <v>1883</v>
      </c>
      <c r="E49" s="57" t="b">
        <v>1</v>
      </c>
      <c r="F49" s="57" t="b">
        <v>1</v>
      </c>
      <c r="G49" s="57"/>
      <c r="H49" s="57" t="b">
        <v>1</v>
      </c>
      <c r="J49" s="57" t="b">
        <v>1</v>
      </c>
      <c r="K49" s="57"/>
    </row>
    <row r="50" spans="1:11" x14ac:dyDescent="0.35">
      <c r="A50" s="65" t="s">
        <v>5068</v>
      </c>
      <c r="B50" s="65" t="s">
        <v>5069</v>
      </c>
      <c r="C50" s="65" t="s">
        <v>2006</v>
      </c>
      <c r="D50" s="65" t="s">
        <v>1883</v>
      </c>
      <c r="E50" s="57" t="b">
        <v>1</v>
      </c>
      <c r="F50" s="57" t="b">
        <v>1</v>
      </c>
      <c r="G50" s="57"/>
      <c r="H50" s="57" t="b">
        <v>1</v>
      </c>
      <c r="J50" s="57" t="b">
        <v>1</v>
      </c>
      <c r="K50" s="57"/>
    </row>
    <row r="51" spans="1:11" x14ac:dyDescent="0.35">
      <c r="A51" s="65" t="s">
        <v>5070</v>
      </c>
      <c r="B51" s="65" t="s">
        <v>1923</v>
      </c>
      <c r="C51" s="65" t="s">
        <v>5071</v>
      </c>
      <c r="D51" s="65" t="s">
        <v>1888</v>
      </c>
      <c r="E51" s="57" t="b">
        <v>1</v>
      </c>
      <c r="F51" s="57" t="b">
        <v>1</v>
      </c>
      <c r="G51" s="57"/>
      <c r="H51" s="57" t="b">
        <v>1</v>
      </c>
      <c r="J51" s="57" t="b">
        <v>1</v>
      </c>
      <c r="K51" s="57"/>
    </row>
    <row r="52" spans="1:11" x14ac:dyDescent="0.35">
      <c r="A52" s="65" t="s">
        <v>5072</v>
      </c>
      <c r="B52" s="65" t="s">
        <v>5073</v>
      </c>
      <c r="C52" s="65" t="s">
        <v>5071</v>
      </c>
      <c r="D52" s="65" t="s">
        <v>1888</v>
      </c>
      <c r="E52" s="57" t="b">
        <v>1</v>
      </c>
      <c r="F52" s="57" t="b">
        <v>1</v>
      </c>
      <c r="G52" s="57"/>
      <c r="H52" s="57" t="b">
        <v>1</v>
      </c>
      <c r="J52" s="57" t="b">
        <v>1</v>
      </c>
      <c r="K52" s="57"/>
    </row>
    <row r="53" spans="1:11" x14ac:dyDescent="0.35">
      <c r="A53" s="65" t="s">
        <v>5074</v>
      </c>
      <c r="B53" s="65" t="s">
        <v>1918</v>
      </c>
      <c r="C53" s="65" t="s">
        <v>5075</v>
      </c>
      <c r="D53" s="65" t="s">
        <v>1888</v>
      </c>
      <c r="E53" s="57" t="b">
        <v>1</v>
      </c>
      <c r="F53" s="57" t="b">
        <v>1</v>
      </c>
      <c r="G53" s="57"/>
      <c r="H53" s="57" t="b">
        <v>1</v>
      </c>
      <c r="J53" s="57" t="b">
        <v>1</v>
      </c>
      <c r="K53" s="57"/>
    </row>
    <row r="54" spans="1:11" x14ac:dyDescent="0.35">
      <c r="A54" s="65" t="s">
        <v>5076</v>
      </c>
      <c r="B54" s="65" t="s">
        <v>1933</v>
      </c>
      <c r="C54" s="65" t="s">
        <v>5077</v>
      </c>
      <c r="D54" s="65" t="s">
        <v>1888</v>
      </c>
      <c r="E54" s="57" t="b">
        <v>1</v>
      </c>
      <c r="F54" s="57" t="b">
        <v>1</v>
      </c>
      <c r="G54" s="57"/>
      <c r="H54" s="57" t="b">
        <v>1</v>
      </c>
      <c r="J54" s="57" t="b">
        <v>1</v>
      </c>
      <c r="K54" s="57"/>
    </row>
    <row r="55" spans="1:11" x14ac:dyDescent="0.35">
      <c r="A55" s="65" t="s">
        <v>5078</v>
      </c>
      <c r="B55" s="65" t="s">
        <v>1928</v>
      </c>
      <c r="C55" s="65" t="s">
        <v>5077</v>
      </c>
      <c r="D55" s="65" t="s">
        <v>1888</v>
      </c>
      <c r="E55" s="57" t="b">
        <v>1</v>
      </c>
      <c r="F55" s="57" t="b">
        <v>1</v>
      </c>
      <c r="G55" s="57"/>
      <c r="H55" s="57" t="b">
        <v>1</v>
      </c>
      <c r="J55" s="57" t="b">
        <v>1</v>
      </c>
      <c r="K55" s="57"/>
    </row>
    <row r="56" spans="1:11" x14ac:dyDescent="0.35">
      <c r="A56" s="65" t="s">
        <v>5079</v>
      </c>
      <c r="B56" s="65" t="s">
        <v>1938</v>
      </c>
      <c r="C56" s="65" t="s">
        <v>5080</v>
      </c>
      <c r="D56" s="65" t="s">
        <v>1888</v>
      </c>
      <c r="E56" s="57" t="b">
        <v>1</v>
      </c>
      <c r="F56" s="57" t="b">
        <v>1</v>
      </c>
      <c r="G56" s="57"/>
      <c r="H56" s="57" t="b">
        <v>1</v>
      </c>
      <c r="J56" s="57" t="b">
        <v>1</v>
      </c>
      <c r="K56" s="57"/>
    </row>
    <row r="57" spans="1:11" x14ac:dyDescent="0.35">
      <c r="A57" s="65" t="s">
        <v>5081</v>
      </c>
      <c r="B57" s="65" t="s">
        <v>1943</v>
      </c>
      <c r="C57" s="65" t="s">
        <v>5080</v>
      </c>
      <c r="D57" s="65" t="s">
        <v>1888</v>
      </c>
      <c r="E57" s="57" t="b">
        <v>1</v>
      </c>
      <c r="F57" s="57" t="b">
        <v>1</v>
      </c>
      <c r="G57" s="57"/>
      <c r="H57" s="57" t="b">
        <v>1</v>
      </c>
      <c r="J57" s="57" t="b">
        <v>1</v>
      </c>
      <c r="K57" s="57"/>
    </row>
    <row r="58" spans="1:11" x14ac:dyDescent="0.35">
      <c r="A58" s="65" t="s">
        <v>5082</v>
      </c>
      <c r="B58" s="65" t="s">
        <v>5083</v>
      </c>
      <c r="C58" s="65" t="s">
        <v>5084</v>
      </c>
      <c r="D58" s="65" t="s">
        <v>1888</v>
      </c>
      <c r="E58" s="57" t="b">
        <v>1</v>
      </c>
      <c r="F58" s="57" t="b">
        <v>1</v>
      </c>
      <c r="G58" s="57"/>
      <c r="H58" s="57" t="b">
        <v>1</v>
      </c>
      <c r="J58" s="57" t="b">
        <v>1</v>
      </c>
      <c r="K58" s="57"/>
    </row>
    <row r="59" spans="1:11" x14ac:dyDescent="0.35">
      <c r="A59" s="65" t="s">
        <v>5085</v>
      </c>
      <c r="B59" s="65" t="s">
        <v>5086</v>
      </c>
      <c r="C59" s="65" t="s">
        <v>5087</v>
      </c>
      <c r="D59" s="65" t="s">
        <v>1888</v>
      </c>
      <c r="E59" s="57" t="b">
        <v>1</v>
      </c>
      <c r="F59" s="57" t="b">
        <v>1</v>
      </c>
      <c r="G59" s="57"/>
      <c r="H59" s="57" t="b">
        <v>1</v>
      </c>
      <c r="J59" s="57" t="b">
        <v>1</v>
      </c>
      <c r="K59" s="57"/>
    </row>
    <row r="60" spans="1:11" x14ac:dyDescent="0.35">
      <c r="A60" s="65" t="s">
        <v>5088</v>
      </c>
      <c r="B60" s="65" t="s">
        <v>4948</v>
      </c>
      <c r="C60" s="65" t="s">
        <v>5087</v>
      </c>
      <c r="D60" s="65" t="s">
        <v>1888</v>
      </c>
      <c r="E60" s="57" t="b">
        <v>1</v>
      </c>
      <c r="F60" s="57" t="b">
        <v>1</v>
      </c>
      <c r="G60" s="57"/>
      <c r="H60" s="57" t="b">
        <v>1</v>
      </c>
      <c r="J60" s="57" t="b">
        <v>1</v>
      </c>
      <c r="K60" s="57"/>
    </row>
    <row r="61" spans="1:11" x14ac:dyDescent="0.35">
      <c r="A61" s="65" t="s">
        <v>5089</v>
      </c>
      <c r="B61" s="65" t="s">
        <v>4950</v>
      </c>
      <c r="C61" s="65" t="s">
        <v>5087</v>
      </c>
      <c r="D61" s="65" t="s">
        <v>1888</v>
      </c>
      <c r="E61" s="57" t="b">
        <v>1</v>
      </c>
      <c r="F61" s="57" t="b">
        <v>1</v>
      </c>
      <c r="G61" s="57"/>
      <c r="H61" s="57" t="b">
        <v>1</v>
      </c>
      <c r="J61" s="57" t="b">
        <v>1</v>
      </c>
      <c r="K61" s="57"/>
    </row>
    <row r="62" spans="1:11" x14ac:dyDescent="0.35">
      <c r="A62" s="65" t="s">
        <v>5090</v>
      </c>
      <c r="B62" s="65" t="s">
        <v>4952</v>
      </c>
      <c r="C62" s="65" t="s">
        <v>5087</v>
      </c>
      <c r="D62" s="65" t="s">
        <v>1888</v>
      </c>
      <c r="E62" s="57" t="b">
        <v>1</v>
      </c>
      <c r="F62" s="57" t="b">
        <v>1</v>
      </c>
      <c r="G62" s="57"/>
      <c r="H62" s="57" t="b">
        <v>1</v>
      </c>
      <c r="J62" s="57" t="b">
        <v>1</v>
      </c>
      <c r="K62" s="57"/>
    </row>
    <row r="63" spans="1:11" x14ac:dyDescent="0.35">
      <c r="A63" s="65" t="s">
        <v>5091</v>
      </c>
      <c r="B63" s="65" t="s">
        <v>4951</v>
      </c>
      <c r="C63" s="65" t="s">
        <v>5087</v>
      </c>
      <c r="D63" s="65" t="s">
        <v>1888</v>
      </c>
      <c r="E63" s="57" t="b">
        <v>1</v>
      </c>
      <c r="F63" s="57" t="b">
        <v>1</v>
      </c>
      <c r="G63" s="57"/>
      <c r="H63" s="57" t="b">
        <v>1</v>
      </c>
      <c r="J63" s="57" t="b">
        <v>1</v>
      </c>
      <c r="K63" s="57"/>
    </row>
    <row r="64" spans="1:11" x14ac:dyDescent="0.35">
      <c r="A64" s="65" t="s">
        <v>5092</v>
      </c>
      <c r="B64" s="65" t="s">
        <v>4942</v>
      </c>
      <c r="C64" s="65" t="s">
        <v>5093</v>
      </c>
      <c r="D64" s="65" t="s">
        <v>1888</v>
      </c>
      <c r="E64" s="57" t="b">
        <v>1</v>
      </c>
      <c r="F64" s="57" t="b">
        <v>1</v>
      </c>
      <c r="G64" s="57"/>
      <c r="H64" s="57" t="b">
        <v>1</v>
      </c>
      <c r="J64" s="57" t="b">
        <v>1</v>
      </c>
      <c r="K64" s="57"/>
    </row>
    <row r="65" spans="1:11" x14ac:dyDescent="0.35">
      <c r="A65" s="65" t="s">
        <v>5094</v>
      </c>
      <c r="B65" s="65" t="s">
        <v>4941</v>
      </c>
      <c r="C65" s="65" t="s">
        <v>5093</v>
      </c>
      <c r="D65" s="65" t="s">
        <v>1888</v>
      </c>
      <c r="E65" s="57" t="b">
        <v>1</v>
      </c>
      <c r="F65" s="57" t="b">
        <v>1</v>
      </c>
      <c r="G65" s="57"/>
      <c r="H65" s="57" t="b">
        <v>1</v>
      </c>
      <c r="J65" s="57" t="b">
        <v>1</v>
      </c>
      <c r="K65" s="57"/>
    </row>
    <row r="66" spans="1:11" x14ac:dyDescent="0.35">
      <c r="A66" s="65" t="s">
        <v>5095</v>
      </c>
      <c r="B66" s="65" t="s">
        <v>5096</v>
      </c>
      <c r="C66" s="65" t="s">
        <v>5093</v>
      </c>
      <c r="D66" s="65" t="s">
        <v>1888</v>
      </c>
      <c r="E66" s="57" t="b">
        <v>1</v>
      </c>
      <c r="F66" s="57" t="b">
        <v>1</v>
      </c>
      <c r="G66" s="57"/>
      <c r="H66" s="57" t="b">
        <v>1</v>
      </c>
      <c r="J66" s="57" t="b">
        <v>1</v>
      </c>
      <c r="K66" s="57"/>
    </row>
    <row r="67" spans="1:11" x14ac:dyDescent="0.35">
      <c r="A67" s="65" t="s">
        <v>5097</v>
      </c>
      <c r="B67" s="65" t="s">
        <v>5098</v>
      </c>
      <c r="C67" s="65" t="s">
        <v>5093</v>
      </c>
      <c r="D67" s="65" t="s">
        <v>1888</v>
      </c>
      <c r="E67" s="57" t="b">
        <v>1</v>
      </c>
      <c r="F67" s="57" t="b">
        <v>1</v>
      </c>
      <c r="G67" s="57"/>
      <c r="H67" s="57" t="b">
        <v>1</v>
      </c>
      <c r="J67" s="57" t="b">
        <v>1</v>
      </c>
      <c r="K67" s="57"/>
    </row>
    <row r="68" spans="1:11" x14ac:dyDescent="0.35">
      <c r="A68" s="65" t="s">
        <v>5099</v>
      </c>
      <c r="B68" s="65" t="s">
        <v>5100</v>
      </c>
      <c r="C68" s="65" t="s">
        <v>4953</v>
      </c>
      <c r="D68" s="65" t="s">
        <v>1888</v>
      </c>
      <c r="E68" s="57" t="b">
        <v>1</v>
      </c>
      <c r="F68" s="57" t="b">
        <v>1</v>
      </c>
      <c r="G68" s="57"/>
      <c r="H68" s="57" t="b">
        <v>1</v>
      </c>
      <c r="J68" s="57" t="b">
        <v>1</v>
      </c>
      <c r="K68" s="57"/>
    </row>
    <row r="69" spans="1:11" x14ac:dyDescent="0.35">
      <c r="A69" s="65" t="s">
        <v>5101</v>
      </c>
      <c r="B69" s="65" t="s">
        <v>5102</v>
      </c>
      <c r="C69" s="65" t="s">
        <v>4953</v>
      </c>
      <c r="D69" s="65" t="s">
        <v>1888</v>
      </c>
      <c r="E69" s="57" t="b">
        <v>1</v>
      </c>
      <c r="F69" s="57" t="b">
        <v>1</v>
      </c>
      <c r="G69" s="57"/>
      <c r="H69" s="57" t="b">
        <v>1</v>
      </c>
      <c r="J69" s="57" t="b">
        <v>1</v>
      </c>
      <c r="K69" s="57"/>
    </row>
    <row r="70" spans="1:11" x14ac:dyDescent="0.35">
      <c r="A70" s="65" t="s">
        <v>5103</v>
      </c>
      <c r="B70" s="65" t="s">
        <v>5104</v>
      </c>
      <c r="C70" s="65" t="s">
        <v>4953</v>
      </c>
      <c r="D70" s="65" t="s">
        <v>1888</v>
      </c>
      <c r="E70" s="57" t="b">
        <v>1</v>
      </c>
      <c r="F70" s="57" t="b">
        <v>1</v>
      </c>
      <c r="G70" s="57"/>
      <c r="H70" s="57" t="b">
        <v>1</v>
      </c>
      <c r="J70" s="57" t="b">
        <v>1</v>
      </c>
      <c r="K70" s="57"/>
    </row>
    <row r="71" spans="1:11" x14ac:dyDescent="0.35">
      <c r="A71" s="65" t="s">
        <v>5105</v>
      </c>
      <c r="B71" s="65" t="s">
        <v>5106</v>
      </c>
      <c r="C71" s="65" t="s">
        <v>4953</v>
      </c>
      <c r="D71" s="65" t="s">
        <v>1888</v>
      </c>
      <c r="E71" s="57" t="b">
        <v>1</v>
      </c>
      <c r="F71" s="57" t="b">
        <v>1</v>
      </c>
      <c r="G71" s="57"/>
      <c r="H71" s="57" t="b">
        <v>1</v>
      </c>
      <c r="J71" s="57" t="b">
        <v>1</v>
      </c>
      <c r="K71" s="57"/>
    </row>
    <row r="72" spans="1:11" x14ac:dyDescent="0.35">
      <c r="A72" s="65" t="s">
        <v>5107</v>
      </c>
      <c r="B72" s="65" t="s">
        <v>5108</v>
      </c>
      <c r="C72" s="65" t="s">
        <v>4921</v>
      </c>
      <c r="D72" s="65" t="s">
        <v>1888</v>
      </c>
      <c r="E72" s="57" t="b">
        <v>1</v>
      </c>
      <c r="F72" s="57" t="b">
        <v>1</v>
      </c>
      <c r="G72" s="57"/>
      <c r="H72" s="57" t="b">
        <v>0</v>
      </c>
      <c r="J72" s="57" t="b">
        <v>1</v>
      </c>
      <c r="K72" s="57"/>
    </row>
    <row r="73" spans="1:11" x14ac:dyDescent="0.35">
      <c r="A73" s="65" t="s">
        <v>5109</v>
      </c>
      <c r="B73" s="65" t="s">
        <v>1863</v>
      </c>
      <c r="C73" s="65" t="s">
        <v>4921</v>
      </c>
      <c r="D73" s="65" t="s">
        <v>1888</v>
      </c>
      <c r="E73" s="57" t="b">
        <v>1</v>
      </c>
      <c r="F73" s="57" t="b">
        <v>1</v>
      </c>
      <c r="G73" s="57"/>
      <c r="H73" s="57" t="b">
        <v>0</v>
      </c>
      <c r="J73" s="57" t="b">
        <v>1</v>
      </c>
      <c r="K73" s="57"/>
    </row>
    <row r="74" spans="1:11" ht="29" x14ac:dyDescent="0.35">
      <c r="A74" s="65" t="s">
        <v>5110</v>
      </c>
      <c r="B74" s="65" t="s">
        <v>1913</v>
      </c>
      <c r="C74" s="65" t="s">
        <v>1472</v>
      </c>
      <c r="D74" s="65" t="s">
        <v>1888</v>
      </c>
      <c r="E74" s="57" t="b">
        <v>1</v>
      </c>
      <c r="F74" s="57" t="b">
        <v>1</v>
      </c>
      <c r="G74" s="57"/>
      <c r="H74" s="57" t="b">
        <v>0</v>
      </c>
      <c r="J74" s="57" t="b">
        <v>1</v>
      </c>
      <c r="K74" s="57"/>
    </row>
    <row r="75" spans="1:11" x14ac:dyDescent="0.35">
      <c r="A75" s="65" t="s">
        <v>5111</v>
      </c>
      <c r="B75" s="65" t="s">
        <v>4917</v>
      </c>
      <c r="C75" s="65" t="s">
        <v>1472</v>
      </c>
      <c r="D75" s="65" t="s">
        <v>1888</v>
      </c>
      <c r="E75" s="57" t="b">
        <v>1</v>
      </c>
      <c r="F75" s="57" t="b">
        <v>1</v>
      </c>
      <c r="G75" s="57"/>
      <c r="H75" s="57" t="b">
        <v>0</v>
      </c>
      <c r="J75" s="57" t="b">
        <v>1</v>
      </c>
      <c r="K75" s="57"/>
    </row>
    <row r="76" spans="1:11" x14ac:dyDescent="0.35">
      <c r="A76" s="65" t="s">
        <v>5112</v>
      </c>
      <c r="B76" s="65" t="s">
        <v>5113</v>
      </c>
      <c r="C76" s="65" t="s">
        <v>5114</v>
      </c>
      <c r="D76" s="65" t="s">
        <v>1888</v>
      </c>
      <c r="E76" s="57" t="b">
        <v>1</v>
      </c>
      <c r="F76" s="57" t="b">
        <v>1</v>
      </c>
      <c r="G76" s="57"/>
      <c r="H76" s="57" t="b">
        <v>0</v>
      </c>
      <c r="J76" s="57" t="b">
        <v>1</v>
      </c>
      <c r="K76" s="57"/>
    </row>
  </sheetData>
  <dataValidations count="1">
    <dataValidation type="list" allowBlank="1" showInputMessage="1" showErrorMessage="1" sqref="E2:F76 H2:H76 J2:J76" xr:uid="{3ABB7F6C-67CE-4F37-AE80-5A45F8E1BE1D}">
      <formula1>IstBoolean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F5BEB-A24E-49C1-9EF8-2A48D9B3E2D7}">
  <sheetPr>
    <tabColor rgb="FFFFFF00"/>
  </sheetPr>
  <dimension ref="A2:G144"/>
  <sheetViews>
    <sheetView topLeftCell="A69" workbookViewId="0">
      <selection activeCell="B14" sqref="B14"/>
    </sheetView>
  </sheetViews>
  <sheetFormatPr defaultRowHeight="14.5" x14ac:dyDescent="0.35"/>
  <cols>
    <col min="1" max="1" width="16.453125" customWidth="1"/>
    <col min="2" max="3" width="14.54296875" customWidth="1"/>
    <col min="4" max="4" width="24.08984375" customWidth="1"/>
    <col min="5" max="5" width="22" bestFit="1" customWidth="1"/>
    <col min="6" max="6" width="19.26953125" customWidth="1"/>
  </cols>
  <sheetData>
    <row r="2" spans="1:7" x14ac:dyDescent="0.35">
      <c r="A2" s="67" t="s">
        <v>5115</v>
      </c>
      <c r="B2" s="68" t="s">
        <v>8</v>
      </c>
      <c r="C2" s="68" t="s">
        <v>5</v>
      </c>
      <c r="D2" s="69" t="s">
        <v>5116</v>
      </c>
      <c r="E2" s="70" t="s">
        <v>5117</v>
      </c>
      <c r="F2" s="71" t="s">
        <v>3723</v>
      </c>
    </row>
    <row r="3" spans="1:7" x14ac:dyDescent="0.35">
      <c r="A3" t="s">
        <v>5118</v>
      </c>
      <c r="B3" t="s">
        <v>3757</v>
      </c>
      <c r="C3" t="s">
        <v>5051</v>
      </c>
      <c r="D3" s="72" t="b">
        <v>1</v>
      </c>
      <c r="E3" s="73"/>
      <c r="G3" s="57" t="e">
        <f>_xlfn.XLOOKUP(
F3,
[1]!tblMasterServicesV2[Service Name],
[1]!tblMasterServicesV2[Service ID],
""
)</f>
        <v>#REF!</v>
      </c>
    </row>
    <row r="4" spans="1:7" x14ac:dyDescent="0.35">
      <c r="A4" t="s">
        <v>5119</v>
      </c>
      <c r="B4" t="s">
        <v>3757</v>
      </c>
      <c r="C4" t="s">
        <v>5056</v>
      </c>
      <c r="D4" s="72" t="b">
        <v>1</v>
      </c>
      <c r="E4" s="73"/>
      <c r="G4" s="57" t="e">
        <f>_xlfn.XLOOKUP(
F4,
[1]!tblMasterServicesV2[Service Name],
[1]!tblMasterServicesV2[Service ID],
""
)</f>
        <v>#REF!</v>
      </c>
    </row>
    <row r="5" spans="1:7" x14ac:dyDescent="0.35">
      <c r="A5" t="s">
        <v>5120</v>
      </c>
      <c r="B5" t="s">
        <v>3757</v>
      </c>
      <c r="C5" t="s">
        <v>5003</v>
      </c>
      <c r="D5" s="72" t="b">
        <v>1</v>
      </c>
      <c r="E5" s="73"/>
      <c r="G5" s="57" t="e">
        <f>_xlfn.XLOOKUP(
F5,
[1]!tblMasterServicesV2[Service Name],
[1]!tblMasterServicesV2[Service ID],
""
)</f>
        <v>#REF!</v>
      </c>
    </row>
    <row r="6" spans="1:7" x14ac:dyDescent="0.35">
      <c r="A6" t="s">
        <v>5121</v>
      </c>
      <c r="B6" t="s">
        <v>3757</v>
      </c>
      <c r="C6" t="s">
        <v>5054</v>
      </c>
      <c r="D6" s="72" t="b">
        <v>1</v>
      </c>
      <c r="E6" s="73"/>
      <c r="G6" s="57" t="e">
        <f>_xlfn.XLOOKUP(
F6,
[1]!tblMasterServicesV2[Service Name],
[1]!tblMasterServicesV2[Service ID],
""
)</f>
        <v>#REF!</v>
      </c>
    </row>
    <row r="7" spans="1:7" x14ac:dyDescent="0.35">
      <c r="A7" t="s">
        <v>5122</v>
      </c>
      <c r="B7" t="s">
        <v>3757</v>
      </c>
      <c r="C7" t="s">
        <v>5006</v>
      </c>
      <c r="D7" s="72" t="b">
        <v>1</v>
      </c>
      <c r="E7" s="73"/>
      <c r="G7" s="57" t="e">
        <f>_xlfn.XLOOKUP(
F7,
[1]!tblMasterServicesV2[Service Name],
[1]!tblMasterServicesV2[Service ID],
""
)</f>
        <v>#REF!</v>
      </c>
    </row>
    <row r="8" spans="1:7" x14ac:dyDescent="0.35">
      <c r="A8" t="s">
        <v>5123</v>
      </c>
      <c r="B8" t="s">
        <v>3757</v>
      </c>
      <c r="C8" t="s">
        <v>5010</v>
      </c>
      <c r="D8" s="72" t="b">
        <v>1</v>
      </c>
      <c r="E8" s="73"/>
      <c r="G8" s="57" t="e">
        <f>_xlfn.XLOOKUP(
F8,
[1]!tblMasterServicesV2[Service Name],
[1]!tblMasterServicesV2[Service ID],
""
)</f>
        <v>#REF!</v>
      </c>
    </row>
    <row r="9" spans="1:7" x14ac:dyDescent="0.35">
      <c r="A9" t="s">
        <v>5124</v>
      </c>
      <c r="B9" t="s">
        <v>3757</v>
      </c>
      <c r="C9" t="s">
        <v>5050</v>
      </c>
      <c r="D9" s="72" t="b">
        <v>1</v>
      </c>
      <c r="E9" s="73"/>
      <c r="G9" s="57" t="e">
        <f>_xlfn.XLOOKUP(
F9,
[1]!tblMasterServicesV2[Service Name],
[1]!tblMasterServicesV2[Service ID],
""
)</f>
        <v>#REF!</v>
      </c>
    </row>
    <row r="10" spans="1:7" x14ac:dyDescent="0.35">
      <c r="A10" t="s">
        <v>5125</v>
      </c>
      <c r="B10" t="s">
        <v>3757</v>
      </c>
      <c r="C10" t="s">
        <v>5002</v>
      </c>
      <c r="D10" s="72" t="b">
        <v>1</v>
      </c>
      <c r="E10" s="73"/>
      <c r="G10" s="57" t="e">
        <f>_xlfn.XLOOKUP(
F10,
[1]!tblMasterServicesV2[Service Name],
[1]!tblMasterServicesV2[Service ID],
""
)</f>
        <v>#REF!</v>
      </c>
    </row>
    <row r="11" spans="1:7" x14ac:dyDescent="0.35">
      <c r="A11" t="s">
        <v>5126</v>
      </c>
      <c r="B11" t="s">
        <v>3757</v>
      </c>
      <c r="C11" t="s">
        <v>5016</v>
      </c>
      <c r="D11" s="72" t="b">
        <v>1</v>
      </c>
      <c r="E11" s="73"/>
      <c r="G11" s="57" t="e">
        <f>_xlfn.XLOOKUP(
F11,
[1]!tblMasterServicesV2[Service Name],
[1]!tblMasterServicesV2[Service ID],
""
)</f>
        <v>#REF!</v>
      </c>
    </row>
    <row r="12" spans="1:7" x14ac:dyDescent="0.35">
      <c r="A12" t="s">
        <v>5127</v>
      </c>
      <c r="B12" t="s">
        <v>3757</v>
      </c>
      <c r="C12" t="s">
        <v>5004</v>
      </c>
      <c r="D12" s="72" t="b">
        <v>1</v>
      </c>
      <c r="E12" s="73"/>
      <c r="G12" s="57" t="e">
        <f>_xlfn.XLOOKUP(
F12,
[1]!tblMasterServicesV2[Service Name],
[1]!tblMasterServicesV2[Service ID],
""
)</f>
        <v>#REF!</v>
      </c>
    </row>
    <row r="13" spans="1:7" x14ac:dyDescent="0.35">
      <c r="A13" t="s">
        <v>5128</v>
      </c>
      <c r="B13" t="s">
        <v>3757</v>
      </c>
      <c r="C13" t="s">
        <v>5058</v>
      </c>
      <c r="D13" s="72" t="b">
        <v>1</v>
      </c>
      <c r="E13" s="73"/>
      <c r="G13" s="57" t="e">
        <f>_xlfn.XLOOKUP(
F13,
[1]!tblMasterServicesV2[Service Name],
[1]!tblMasterServicesV2[Service ID],
""
)</f>
        <v>#REF!</v>
      </c>
    </row>
    <row r="14" spans="1:7" x14ac:dyDescent="0.35">
      <c r="A14" t="s">
        <v>5129</v>
      </c>
      <c r="B14" t="s">
        <v>3757</v>
      </c>
      <c r="C14" t="s">
        <v>5060</v>
      </c>
      <c r="D14" s="72" t="b">
        <v>1</v>
      </c>
      <c r="E14" s="73"/>
      <c r="G14" s="57" t="e">
        <f>_xlfn.XLOOKUP(
F14,
[1]!tblMasterServicesV2[Service Name],
[1]!tblMasterServicesV2[Service ID],
""
)</f>
        <v>#REF!</v>
      </c>
    </row>
    <row r="15" spans="1:7" x14ac:dyDescent="0.35">
      <c r="A15" t="s">
        <v>5130</v>
      </c>
      <c r="B15" t="s">
        <v>3757</v>
      </c>
      <c r="C15" t="s">
        <v>5001</v>
      </c>
      <c r="D15" s="72" t="b">
        <v>1</v>
      </c>
      <c r="E15" s="73"/>
      <c r="G15" s="57" t="e">
        <f>_xlfn.XLOOKUP(
F15,
[1]!tblMasterServicesV2[Service Name],
[1]!tblMasterServicesV2[Service ID],
""
)</f>
        <v>#REF!</v>
      </c>
    </row>
    <row r="16" spans="1:7" x14ac:dyDescent="0.35">
      <c r="A16" t="s">
        <v>5131</v>
      </c>
      <c r="B16" t="s">
        <v>3757</v>
      </c>
      <c r="C16" t="s">
        <v>5061</v>
      </c>
      <c r="D16" s="72" t="b">
        <v>1</v>
      </c>
      <c r="E16" s="73"/>
      <c r="G16" s="57" t="e">
        <f>_xlfn.XLOOKUP(
F16,
[1]!tblMasterServicesV2[Service Name],
[1]!tblMasterServicesV2[Service ID],
""
)</f>
        <v>#REF!</v>
      </c>
    </row>
    <row r="17" spans="1:7" x14ac:dyDescent="0.35">
      <c r="A17" t="s">
        <v>5132</v>
      </c>
      <c r="B17" t="s">
        <v>3757</v>
      </c>
      <c r="C17" t="s">
        <v>5020</v>
      </c>
      <c r="D17" s="72" t="b">
        <v>1</v>
      </c>
      <c r="E17" s="73"/>
      <c r="G17" s="57" t="e">
        <f>_xlfn.XLOOKUP(
F17,
[1]!tblMasterServicesV2[Service Name],
[1]!tblMasterServicesV2[Service ID],
""
)</f>
        <v>#REF!</v>
      </c>
    </row>
    <row r="18" spans="1:7" x14ac:dyDescent="0.35">
      <c r="A18" t="s">
        <v>5133</v>
      </c>
      <c r="B18" t="s">
        <v>3757</v>
      </c>
      <c r="C18" t="s">
        <v>5000</v>
      </c>
      <c r="D18" s="72" t="b">
        <v>1</v>
      </c>
      <c r="E18" s="73"/>
      <c r="G18" s="57"/>
    </row>
    <row r="19" spans="1:7" x14ac:dyDescent="0.35">
      <c r="A19" t="s">
        <v>5134</v>
      </c>
      <c r="B19" t="s">
        <v>3757</v>
      </c>
      <c r="C19" t="s">
        <v>5053</v>
      </c>
      <c r="D19" s="72" t="b">
        <v>1</v>
      </c>
      <c r="E19" s="73"/>
      <c r="G19" s="57"/>
    </row>
    <row r="20" spans="1:7" x14ac:dyDescent="0.35">
      <c r="A20" t="s">
        <v>5135</v>
      </c>
      <c r="B20" t="s">
        <v>3757</v>
      </c>
      <c r="C20" t="s">
        <v>5015</v>
      </c>
      <c r="D20" s="72" t="b">
        <v>1</v>
      </c>
      <c r="E20" s="73"/>
      <c r="G20" s="57"/>
    </row>
    <row r="21" spans="1:7" x14ac:dyDescent="0.35">
      <c r="A21" t="s">
        <v>5136</v>
      </c>
      <c r="B21" t="s">
        <v>3757</v>
      </c>
      <c r="C21" t="s">
        <v>4999</v>
      </c>
      <c r="D21" s="72" t="b">
        <v>1</v>
      </c>
      <c r="E21" s="73"/>
      <c r="G21" s="57"/>
    </row>
    <row r="22" spans="1:7" x14ac:dyDescent="0.35">
      <c r="A22" t="s">
        <v>5137</v>
      </c>
      <c r="B22" t="s">
        <v>3757</v>
      </c>
      <c r="C22" t="s">
        <v>5046</v>
      </c>
      <c r="D22" s="72" t="b">
        <v>1</v>
      </c>
      <c r="E22" s="73"/>
      <c r="G22" s="57" t="e">
        <f>_xlfn.XLOOKUP(
F22,
[1]!tblMasterServicesV2[Service Name],
[1]!tblMasterServicesV2[Service ID],
""
)</f>
        <v>#REF!</v>
      </c>
    </row>
    <row r="23" spans="1:7" x14ac:dyDescent="0.35">
      <c r="A23" t="s">
        <v>5138</v>
      </c>
      <c r="B23" t="s">
        <v>3757</v>
      </c>
      <c r="C23" t="s">
        <v>5019</v>
      </c>
      <c r="D23" s="72" t="b">
        <v>1</v>
      </c>
      <c r="E23" s="73"/>
      <c r="G23" s="57" t="e">
        <f>_xlfn.XLOOKUP(
F23,
[1]!tblMasterServicesV2[Service Name],
[1]!tblMasterServicesV2[Service ID],
""
)</f>
        <v>#REF!</v>
      </c>
    </row>
    <row r="24" spans="1:7" x14ac:dyDescent="0.35">
      <c r="A24" t="s">
        <v>5139</v>
      </c>
      <c r="B24" t="s">
        <v>3757</v>
      </c>
      <c r="C24" t="s">
        <v>5052</v>
      </c>
      <c r="D24" s="72" t="b">
        <v>1</v>
      </c>
      <c r="E24" s="73"/>
      <c r="G24" s="57" t="e">
        <f>_xlfn.XLOOKUP(
F24,
[1]!tblMasterServicesV2[Service Name],
[1]!tblMasterServicesV2[Service ID],
""
)</f>
        <v>#REF!</v>
      </c>
    </row>
    <row r="25" spans="1:7" x14ac:dyDescent="0.35">
      <c r="A25" t="s">
        <v>5140</v>
      </c>
      <c r="B25" t="s">
        <v>3757</v>
      </c>
      <c r="C25" t="s">
        <v>5074</v>
      </c>
      <c r="D25" s="72" t="b">
        <v>0</v>
      </c>
      <c r="E25" s="73"/>
      <c r="G25" s="57" t="e">
        <f>_xlfn.XLOOKUP(
F25,
[1]!tblMasterServicesV2[Service Name],
[1]!tblMasterServicesV2[Service ID],
""
)</f>
        <v>#REF!</v>
      </c>
    </row>
    <row r="26" spans="1:7" x14ac:dyDescent="0.35">
      <c r="A26" t="s">
        <v>5141</v>
      </c>
      <c r="B26" t="s">
        <v>3757</v>
      </c>
      <c r="C26" t="s">
        <v>5070</v>
      </c>
      <c r="D26" s="72" t="b">
        <v>0</v>
      </c>
      <c r="E26" s="73"/>
      <c r="G26" s="57" t="e">
        <f>_xlfn.XLOOKUP(
F26,
[1]!tblMasterServicesV2[Service Name],
[1]!tblMasterServicesV2[Service ID],
""
)</f>
        <v>#REF!</v>
      </c>
    </row>
    <row r="27" spans="1:7" x14ac:dyDescent="0.35">
      <c r="A27" t="s">
        <v>5142</v>
      </c>
      <c r="B27" t="s">
        <v>3757</v>
      </c>
      <c r="C27" t="s">
        <v>5076</v>
      </c>
      <c r="D27" s="72" t="b">
        <v>0</v>
      </c>
      <c r="E27" s="73"/>
      <c r="G27" s="57" t="e">
        <f>_xlfn.XLOOKUP(
F27,
[1]!tblMasterServicesV2[Service Name],
[1]!tblMasterServicesV2[Service ID],
""
)</f>
        <v>#REF!</v>
      </c>
    </row>
    <row r="28" spans="1:7" x14ac:dyDescent="0.35">
      <c r="A28" t="s">
        <v>5143</v>
      </c>
      <c r="B28" t="s">
        <v>3757</v>
      </c>
      <c r="C28" t="s">
        <v>5078</v>
      </c>
      <c r="D28" s="72" t="b">
        <v>0</v>
      </c>
      <c r="E28" s="73"/>
      <c r="G28" s="57" t="e">
        <f>_xlfn.XLOOKUP(
F28,
[1]!tblMasterServicesV2[Service Name],
[1]!tblMasterServicesV2[Service ID],
""
)</f>
        <v>#REF!</v>
      </c>
    </row>
    <row r="29" spans="1:7" x14ac:dyDescent="0.35">
      <c r="A29" t="s">
        <v>5144</v>
      </c>
      <c r="B29" t="s">
        <v>3757</v>
      </c>
      <c r="C29" t="s">
        <v>5092</v>
      </c>
      <c r="D29" s="72" t="b">
        <v>0</v>
      </c>
      <c r="E29" s="73"/>
      <c r="G29" s="57" t="e">
        <f>_xlfn.XLOOKUP(
F29,
[1]!tblMasterServicesV2[Service Name],
[1]!tblMasterServicesV2[Service ID],
""
)</f>
        <v>#REF!</v>
      </c>
    </row>
    <row r="30" spans="1:7" x14ac:dyDescent="0.35">
      <c r="A30" t="s">
        <v>5145</v>
      </c>
      <c r="B30" t="s">
        <v>3757</v>
      </c>
      <c r="C30" t="s">
        <v>5097</v>
      </c>
      <c r="D30" s="72" t="b">
        <v>0</v>
      </c>
      <c r="E30" s="73"/>
      <c r="G30" s="57" t="e">
        <f>_xlfn.XLOOKUP(
F30,
[1]!tblMasterServicesV2[Service Name],
[1]!tblMasterServicesV2[Service ID],
""
)</f>
        <v>#REF!</v>
      </c>
    </row>
    <row r="31" spans="1:7" x14ac:dyDescent="0.35">
      <c r="A31" t="s">
        <v>5146</v>
      </c>
      <c r="B31" t="s">
        <v>4572</v>
      </c>
      <c r="C31" t="s">
        <v>5051</v>
      </c>
      <c r="D31" s="72" t="b">
        <v>1</v>
      </c>
      <c r="E31" s="73"/>
      <c r="G31" s="57" t="e">
        <f>_xlfn.XLOOKUP(
F31,
[1]!tblMasterServicesV2[Service Name],
[1]!tblMasterServicesV2[Service ID],
""
)</f>
        <v>#REF!</v>
      </c>
    </row>
    <row r="32" spans="1:7" x14ac:dyDescent="0.35">
      <c r="A32" t="s">
        <v>5147</v>
      </c>
      <c r="B32" t="s">
        <v>4572</v>
      </c>
      <c r="C32" t="s">
        <v>5056</v>
      </c>
      <c r="D32" s="72" t="b">
        <v>1</v>
      </c>
      <c r="E32" s="73"/>
      <c r="G32" s="57" t="e">
        <f>_xlfn.XLOOKUP(
F32,
[1]!tblMasterServicesV2[Service Name],
[1]!tblMasterServicesV2[Service ID],
""
)</f>
        <v>#REF!</v>
      </c>
    </row>
    <row r="33" spans="1:7" x14ac:dyDescent="0.35">
      <c r="A33" t="s">
        <v>5148</v>
      </c>
      <c r="B33" t="s">
        <v>4572</v>
      </c>
      <c r="C33" t="s">
        <v>5003</v>
      </c>
      <c r="D33" s="72" t="b">
        <v>1</v>
      </c>
      <c r="E33" s="73"/>
      <c r="G33" s="57" t="e">
        <f>_xlfn.XLOOKUP(
F33,
[1]!tblMasterServicesV2[Service Name],
[1]!tblMasterServicesV2[Service ID],
""
)</f>
        <v>#REF!</v>
      </c>
    </row>
    <row r="34" spans="1:7" x14ac:dyDescent="0.35">
      <c r="A34" t="s">
        <v>5149</v>
      </c>
      <c r="B34" t="s">
        <v>4572</v>
      </c>
      <c r="C34" t="s">
        <v>5054</v>
      </c>
      <c r="D34" s="72" t="b">
        <v>1</v>
      </c>
      <c r="E34" s="73"/>
      <c r="G34" s="57" t="e">
        <f>_xlfn.XLOOKUP(
F34,
[1]!tblMasterServicesV2[Service Name],
[1]!tblMasterServicesV2[Service ID],
""
)</f>
        <v>#REF!</v>
      </c>
    </row>
    <row r="35" spans="1:7" x14ac:dyDescent="0.35">
      <c r="A35" t="s">
        <v>5150</v>
      </c>
      <c r="B35" t="s">
        <v>4572</v>
      </c>
      <c r="C35" t="s">
        <v>5006</v>
      </c>
      <c r="D35" s="72" t="b">
        <v>1</v>
      </c>
      <c r="E35" s="73"/>
      <c r="G35" s="57" t="e">
        <f>_xlfn.XLOOKUP(
F35,
[1]!tblMasterServicesV2[Service Name],
[1]!tblMasterServicesV2[Service ID],
""
)</f>
        <v>#REF!</v>
      </c>
    </row>
    <row r="36" spans="1:7" x14ac:dyDescent="0.35">
      <c r="A36" t="s">
        <v>5151</v>
      </c>
      <c r="B36" t="s">
        <v>4572</v>
      </c>
      <c r="C36" t="s">
        <v>5010</v>
      </c>
      <c r="D36" s="72" t="b">
        <v>1</v>
      </c>
      <c r="E36" s="73"/>
      <c r="G36" s="57" t="e">
        <f>_xlfn.XLOOKUP(
F36,
[1]!tblMasterServicesV2[Service Name],
[1]!tblMasterServicesV2[Service ID],
""
)</f>
        <v>#REF!</v>
      </c>
    </row>
    <row r="37" spans="1:7" x14ac:dyDescent="0.35">
      <c r="A37" t="s">
        <v>5152</v>
      </c>
      <c r="B37" t="s">
        <v>4572</v>
      </c>
      <c r="C37" t="s">
        <v>5050</v>
      </c>
      <c r="D37" s="72" t="b">
        <v>1</v>
      </c>
      <c r="E37" s="73"/>
      <c r="G37" s="57" t="e">
        <f>_xlfn.XLOOKUP(
F37,
[1]!tblMasterServicesV2[Service Name],
[1]!tblMasterServicesV2[Service ID],
""
)</f>
        <v>#REF!</v>
      </c>
    </row>
    <row r="38" spans="1:7" x14ac:dyDescent="0.35">
      <c r="A38" t="s">
        <v>5153</v>
      </c>
      <c r="B38" t="s">
        <v>4572</v>
      </c>
      <c r="C38" t="s">
        <v>5002</v>
      </c>
      <c r="D38" s="72" t="b">
        <v>1</v>
      </c>
      <c r="E38" s="73"/>
      <c r="G38" s="57" t="e">
        <f>_xlfn.XLOOKUP(
F38,
[1]!tblMasterServicesV2[Service Name],
[1]!tblMasterServicesV2[Service ID],
""
)</f>
        <v>#REF!</v>
      </c>
    </row>
    <row r="39" spans="1:7" x14ac:dyDescent="0.35">
      <c r="A39" t="s">
        <v>5154</v>
      </c>
      <c r="B39" t="s">
        <v>4572</v>
      </c>
      <c r="C39" t="s">
        <v>5016</v>
      </c>
      <c r="D39" s="72" t="b">
        <v>1</v>
      </c>
      <c r="E39" s="73"/>
      <c r="G39" s="57" t="e">
        <f>_xlfn.XLOOKUP(
F39,
[1]!tblMasterServicesV2[Service Name],
[1]!tblMasterServicesV2[Service ID],
""
)</f>
        <v>#REF!</v>
      </c>
    </row>
    <row r="40" spans="1:7" x14ac:dyDescent="0.35">
      <c r="A40" t="s">
        <v>5155</v>
      </c>
      <c r="B40" t="s">
        <v>4572</v>
      </c>
      <c r="C40" t="s">
        <v>5004</v>
      </c>
      <c r="D40" s="72" t="b">
        <v>1</v>
      </c>
      <c r="E40" s="73"/>
      <c r="G40" s="57" t="e">
        <f>_xlfn.XLOOKUP(
F40,
[1]!tblMasterServicesV2[Service Name],
[1]!tblMasterServicesV2[Service ID],
""
)</f>
        <v>#REF!</v>
      </c>
    </row>
    <row r="41" spans="1:7" x14ac:dyDescent="0.35">
      <c r="A41" t="s">
        <v>5156</v>
      </c>
      <c r="B41" t="s">
        <v>4572</v>
      </c>
      <c r="C41" t="s">
        <v>5058</v>
      </c>
      <c r="D41" s="72" t="b">
        <v>1</v>
      </c>
      <c r="E41" s="73"/>
      <c r="G41" s="57" t="e">
        <f>_xlfn.XLOOKUP(
F41,
[1]!tblMasterServicesV2[Service Name],
[1]!tblMasterServicesV2[Service ID],
""
)</f>
        <v>#REF!</v>
      </c>
    </row>
    <row r="42" spans="1:7" x14ac:dyDescent="0.35">
      <c r="A42" t="s">
        <v>5157</v>
      </c>
      <c r="B42" t="s">
        <v>4572</v>
      </c>
      <c r="C42" t="s">
        <v>5060</v>
      </c>
      <c r="D42" s="72" t="b">
        <v>1</v>
      </c>
      <c r="E42" s="73"/>
      <c r="G42" s="57" t="e">
        <f>_xlfn.XLOOKUP(
F42,
[1]!tblMasterServicesV2[Service Name],
[1]!tblMasterServicesV2[Service ID],
""
)</f>
        <v>#REF!</v>
      </c>
    </row>
    <row r="43" spans="1:7" x14ac:dyDescent="0.35">
      <c r="A43" t="s">
        <v>5158</v>
      </c>
      <c r="B43" t="s">
        <v>4572</v>
      </c>
      <c r="C43" t="s">
        <v>5001</v>
      </c>
      <c r="D43" s="72" t="b">
        <v>1</v>
      </c>
      <c r="E43" s="73"/>
      <c r="G43" s="57" t="e">
        <f>_xlfn.XLOOKUP(
F43,
[1]!tblMasterServicesV2[Service Name],
[1]!tblMasterServicesV2[Service ID],
""
)</f>
        <v>#REF!</v>
      </c>
    </row>
    <row r="44" spans="1:7" x14ac:dyDescent="0.35">
      <c r="A44" t="s">
        <v>5159</v>
      </c>
      <c r="B44" t="s">
        <v>4572</v>
      </c>
      <c r="C44" t="s">
        <v>5061</v>
      </c>
      <c r="D44" s="72" t="b">
        <v>1</v>
      </c>
      <c r="E44" s="73"/>
      <c r="G44" s="57" t="e">
        <f>_xlfn.XLOOKUP(
F44,
[1]!tblMasterServicesV2[Service Name],
[1]!tblMasterServicesV2[Service ID],
""
)</f>
        <v>#REF!</v>
      </c>
    </row>
    <row r="45" spans="1:7" x14ac:dyDescent="0.35">
      <c r="A45" t="s">
        <v>5160</v>
      </c>
      <c r="B45" t="s">
        <v>4572</v>
      </c>
      <c r="C45" t="s">
        <v>5020</v>
      </c>
      <c r="D45" s="72" t="b">
        <v>1</v>
      </c>
      <c r="E45" s="73"/>
      <c r="G45" s="57" t="e">
        <f>_xlfn.XLOOKUP(
F45,
[1]!tblMasterServicesV2[Service Name],
[1]!tblMasterServicesV2[Service ID],
""
)</f>
        <v>#REF!</v>
      </c>
    </row>
    <row r="46" spans="1:7" x14ac:dyDescent="0.35">
      <c r="A46" t="s">
        <v>5161</v>
      </c>
      <c r="B46" t="s">
        <v>4572</v>
      </c>
      <c r="C46" t="s">
        <v>5000</v>
      </c>
      <c r="D46" s="72" t="b">
        <v>1</v>
      </c>
      <c r="E46" s="73"/>
      <c r="G46" s="57"/>
    </row>
    <row r="47" spans="1:7" x14ac:dyDescent="0.35">
      <c r="A47" t="s">
        <v>5162</v>
      </c>
      <c r="B47" t="s">
        <v>4572</v>
      </c>
      <c r="C47" t="s">
        <v>5053</v>
      </c>
      <c r="D47" s="72" t="b">
        <v>1</v>
      </c>
      <c r="E47" s="73"/>
      <c r="G47" s="57"/>
    </row>
    <row r="48" spans="1:7" x14ac:dyDescent="0.35">
      <c r="A48" t="s">
        <v>5163</v>
      </c>
      <c r="B48" t="s">
        <v>4572</v>
      </c>
      <c r="C48" t="s">
        <v>5015</v>
      </c>
      <c r="D48" s="72" t="b">
        <v>1</v>
      </c>
      <c r="E48" s="73"/>
      <c r="G48" s="57"/>
    </row>
    <row r="49" spans="1:7" x14ac:dyDescent="0.35">
      <c r="A49" t="s">
        <v>5164</v>
      </c>
      <c r="B49" t="s">
        <v>4572</v>
      </c>
      <c r="C49" t="s">
        <v>4999</v>
      </c>
      <c r="D49" s="72" t="b">
        <v>1</v>
      </c>
      <c r="E49" s="73"/>
      <c r="G49" s="57"/>
    </row>
    <row r="50" spans="1:7" x14ac:dyDescent="0.35">
      <c r="A50" t="s">
        <v>5165</v>
      </c>
      <c r="B50" t="s">
        <v>4572</v>
      </c>
      <c r="C50" t="s">
        <v>5046</v>
      </c>
      <c r="D50" s="72" t="b">
        <v>1</v>
      </c>
      <c r="E50" s="73"/>
      <c r="G50" s="57" t="e">
        <f>_xlfn.XLOOKUP(
F50,
[1]!tblMasterServicesV2[Service Name],
[1]!tblMasterServicesV2[Service ID],
""
)</f>
        <v>#REF!</v>
      </c>
    </row>
    <row r="51" spans="1:7" x14ac:dyDescent="0.35">
      <c r="A51" t="s">
        <v>5166</v>
      </c>
      <c r="B51" t="s">
        <v>4572</v>
      </c>
      <c r="C51" t="s">
        <v>5019</v>
      </c>
      <c r="D51" s="72" t="b">
        <v>1</v>
      </c>
      <c r="E51" s="73"/>
      <c r="G51" s="57" t="e">
        <f>_xlfn.XLOOKUP(
F51,
[1]!tblMasterServicesV2[Service Name],
[1]!tblMasterServicesV2[Service ID],
""
)</f>
        <v>#REF!</v>
      </c>
    </row>
    <row r="52" spans="1:7" x14ac:dyDescent="0.35">
      <c r="A52" t="s">
        <v>5167</v>
      </c>
      <c r="B52" t="s">
        <v>4572</v>
      </c>
      <c r="C52" t="s">
        <v>5052</v>
      </c>
      <c r="D52" s="72" t="b">
        <v>1</v>
      </c>
      <c r="E52" s="73"/>
      <c r="G52" s="57" t="e">
        <f>_xlfn.XLOOKUP(
F52,
[1]!tblMasterServicesV2[Service Name],
[1]!tblMasterServicesV2[Service ID],
""
)</f>
        <v>#REF!</v>
      </c>
    </row>
    <row r="53" spans="1:7" x14ac:dyDescent="0.35">
      <c r="A53" t="s">
        <v>5168</v>
      </c>
      <c r="B53" t="s">
        <v>4572</v>
      </c>
      <c r="C53" t="s">
        <v>5074</v>
      </c>
      <c r="D53" s="72" t="b">
        <v>0</v>
      </c>
      <c r="E53" s="73"/>
      <c r="G53" s="57" t="e">
        <f>_xlfn.XLOOKUP(
F53,
[1]!tblMasterServicesV2[Service Name],
[1]!tblMasterServicesV2[Service ID],
""
)</f>
        <v>#REF!</v>
      </c>
    </row>
    <row r="54" spans="1:7" x14ac:dyDescent="0.35">
      <c r="A54" t="s">
        <v>5169</v>
      </c>
      <c r="B54" t="s">
        <v>4572</v>
      </c>
      <c r="C54" t="s">
        <v>5070</v>
      </c>
      <c r="D54" s="72" t="b">
        <v>0</v>
      </c>
      <c r="E54" s="73"/>
      <c r="G54" s="57" t="e">
        <f>_xlfn.XLOOKUP(
F54,
[1]!tblMasterServicesV2[Service Name],
[1]!tblMasterServicesV2[Service ID],
""
)</f>
        <v>#REF!</v>
      </c>
    </row>
    <row r="55" spans="1:7" x14ac:dyDescent="0.35">
      <c r="A55" t="s">
        <v>5170</v>
      </c>
      <c r="B55" t="s">
        <v>4572</v>
      </c>
      <c r="C55" t="s">
        <v>5076</v>
      </c>
      <c r="D55" s="72" t="b">
        <v>0</v>
      </c>
      <c r="E55" s="73"/>
      <c r="G55" s="57" t="e">
        <f>_xlfn.XLOOKUP(
F55,
[1]!tblMasterServicesV2[Service Name],
[1]!tblMasterServicesV2[Service ID],
""
)</f>
        <v>#REF!</v>
      </c>
    </row>
    <row r="56" spans="1:7" x14ac:dyDescent="0.35">
      <c r="A56" t="s">
        <v>5171</v>
      </c>
      <c r="B56" t="s">
        <v>4572</v>
      </c>
      <c r="C56" t="s">
        <v>5078</v>
      </c>
      <c r="D56" s="72" t="b">
        <v>0</v>
      </c>
      <c r="E56" s="73"/>
      <c r="G56" s="57" t="e">
        <f>_xlfn.XLOOKUP(
F56,
[1]!tblMasterServicesV2[Service Name],
[1]!tblMasterServicesV2[Service ID],
""
)</f>
        <v>#REF!</v>
      </c>
    </row>
    <row r="57" spans="1:7" x14ac:dyDescent="0.35">
      <c r="A57" t="s">
        <v>5172</v>
      </c>
      <c r="B57" t="s">
        <v>4572</v>
      </c>
      <c r="C57" t="s">
        <v>5092</v>
      </c>
      <c r="D57" s="72" t="b">
        <v>0</v>
      </c>
      <c r="E57" s="73"/>
      <c r="G57" s="57" t="e">
        <f>_xlfn.XLOOKUP(
F57,
[1]!tblMasterServicesV2[Service Name],
[1]!tblMasterServicesV2[Service ID],
""
)</f>
        <v>#REF!</v>
      </c>
    </row>
    <row r="58" spans="1:7" x14ac:dyDescent="0.35">
      <c r="A58" t="s">
        <v>5173</v>
      </c>
      <c r="B58" t="s">
        <v>4572</v>
      </c>
      <c r="C58" t="s">
        <v>5097</v>
      </c>
      <c r="D58" s="72" t="b">
        <v>0</v>
      </c>
      <c r="E58" s="73"/>
      <c r="G58" s="57" t="e">
        <f>_xlfn.XLOOKUP(
F58,
[1]!tblMasterServicesV2[Service Name],
[1]!tblMasterServicesV2[Service ID],
""
)</f>
        <v>#REF!</v>
      </c>
    </row>
    <row r="59" spans="1:7" x14ac:dyDescent="0.35">
      <c r="A59" t="s">
        <v>5174</v>
      </c>
      <c r="B59" t="s">
        <v>4214</v>
      </c>
      <c r="C59" t="s">
        <v>5070</v>
      </c>
      <c r="D59" s="72" t="b">
        <v>1</v>
      </c>
      <c r="E59" s="73"/>
      <c r="G59" s="74" t="e">
        <f>_xlfn.XLOOKUP(
F59,
[1]!tblMasterServicesV2[Service Name],
[1]!tblMasterServicesV2[Service ID],
""
)</f>
        <v>#REF!</v>
      </c>
    </row>
    <row r="60" spans="1:7" x14ac:dyDescent="0.35">
      <c r="A60" t="s">
        <v>5175</v>
      </c>
      <c r="B60" t="s">
        <v>4214</v>
      </c>
      <c r="C60" t="s">
        <v>5072</v>
      </c>
      <c r="D60" s="72" t="b">
        <v>1</v>
      </c>
      <c r="E60" s="73"/>
      <c r="G60" s="74" t="e">
        <f>_xlfn.XLOOKUP(
F60,
[1]!tblMasterServicesV2[Service Name],
[1]!tblMasterServicesV2[Service ID],
""
)</f>
        <v>#REF!</v>
      </c>
    </row>
    <row r="61" spans="1:7" x14ac:dyDescent="0.35">
      <c r="A61" t="s">
        <v>5176</v>
      </c>
      <c r="B61" t="s">
        <v>4214</v>
      </c>
      <c r="C61" t="s">
        <v>5074</v>
      </c>
      <c r="D61" s="72" t="b">
        <v>1</v>
      </c>
      <c r="E61" s="73"/>
      <c r="G61" s="74" t="e">
        <f>_xlfn.XLOOKUP(
F61,
[1]!tblMasterServicesV2[Service Name],
[1]!tblMasterServicesV2[Service ID],
""
)</f>
        <v>#REF!</v>
      </c>
    </row>
    <row r="62" spans="1:7" x14ac:dyDescent="0.35">
      <c r="A62" t="s">
        <v>5177</v>
      </c>
      <c r="B62" t="s">
        <v>4214</v>
      </c>
      <c r="C62" t="s">
        <v>5076</v>
      </c>
      <c r="D62" s="72" t="b">
        <v>1</v>
      </c>
      <c r="E62" s="73"/>
      <c r="G62" s="74" t="e">
        <f>_xlfn.XLOOKUP(
F62,
[1]!tblMasterServicesV2[Service Name],
[1]!tblMasterServicesV2[Service ID],
""
)</f>
        <v>#REF!</v>
      </c>
    </row>
    <row r="63" spans="1:7" x14ac:dyDescent="0.35">
      <c r="A63" t="s">
        <v>5178</v>
      </c>
      <c r="B63" t="s">
        <v>4214</v>
      </c>
      <c r="C63" t="s">
        <v>5078</v>
      </c>
      <c r="D63" s="72" t="b">
        <v>1</v>
      </c>
      <c r="E63" s="73"/>
      <c r="G63" s="74" t="e">
        <f>_xlfn.XLOOKUP(
F63,
[1]!tblMasterServicesV2[Service Name],
[1]!tblMasterServicesV2[Service ID],
""
)</f>
        <v>#REF!</v>
      </c>
    </row>
    <row r="64" spans="1:7" x14ac:dyDescent="0.35">
      <c r="A64" t="s">
        <v>5179</v>
      </c>
      <c r="B64" t="s">
        <v>4214</v>
      </c>
      <c r="C64" t="s">
        <v>5079</v>
      </c>
      <c r="D64" s="72" t="b">
        <v>1</v>
      </c>
      <c r="E64" s="73"/>
      <c r="G64" s="74" t="e">
        <f>_xlfn.XLOOKUP(
F64,
[1]!tblMasterServicesV2[Service Name],
[1]!tblMasterServicesV2[Service ID],
""
)</f>
        <v>#REF!</v>
      </c>
    </row>
    <row r="65" spans="1:7" x14ac:dyDescent="0.35">
      <c r="A65" t="s">
        <v>5180</v>
      </c>
      <c r="B65" t="s">
        <v>4214</v>
      </c>
      <c r="C65" t="s">
        <v>5081</v>
      </c>
      <c r="D65" s="72" t="b">
        <v>1</v>
      </c>
      <c r="E65" s="73"/>
      <c r="G65" s="74" t="e">
        <f>_xlfn.XLOOKUP(
F65,
[1]!tblMasterServicesV2[Service Name],
[1]!tblMasterServicesV2[Service ID],
""
)</f>
        <v>#REF!</v>
      </c>
    </row>
    <row r="66" spans="1:7" x14ac:dyDescent="0.35">
      <c r="A66" t="s">
        <v>5181</v>
      </c>
      <c r="B66" t="s">
        <v>4214</v>
      </c>
      <c r="C66" t="s">
        <v>5082</v>
      </c>
      <c r="D66" s="72" t="b">
        <v>1</v>
      </c>
      <c r="E66" s="73"/>
      <c r="G66" s="74" t="e">
        <f>_xlfn.XLOOKUP(
F66,
[1]!tblMasterServicesV2[Service Name],
[1]!tblMasterServicesV2[Service ID],
""
)</f>
        <v>#REF!</v>
      </c>
    </row>
    <row r="67" spans="1:7" x14ac:dyDescent="0.35">
      <c r="A67" t="s">
        <v>5182</v>
      </c>
      <c r="B67" t="s">
        <v>4214</v>
      </c>
      <c r="C67" t="s">
        <v>5085</v>
      </c>
      <c r="D67" s="72" t="b">
        <v>1</v>
      </c>
      <c r="E67" s="73"/>
      <c r="G67" s="74" t="e">
        <f>_xlfn.XLOOKUP(
F67,
[1]!tblMasterServicesV2[Service Name],
[1]!tblMasterServicesV2[Service ID],
""
)</f>
        <v>#REF!</v>
      </c>
    </row>
    <row r="68" spans="1:7" x14ac:dyDescent="0.35">
      <c r="A68" t="s">
        <v>5183</v>
      </c>
      <c r="B68" t="s">
        <v>4214</v>
      </c>
      <c r="C68" t="s">
        <v>5095</v>
      </c>
      <c r="D68" s="72" t="b">
        <v>1</v>
      </c>
      <c r="E68" s="73"/>
      <c r="G68" s="57" t="e">
        <f>_xlfn.XLOOKUP(
F68,
[1]!tblMasterServicesV2[Service Name],
[1]!tblMasterServicesV2[Service ID],
""
)</f>
        <v>#REF!</v>
      </c>
    </row>
    <row r="69" spans="1:7" x14ac:dyDescent="0.35">
      <c r="A69" t="s">
        <v>5184</v>
      </c>
      <c r="B69" t="s">
        <v>4214</v>
      </c>
      <c r="C69" t="s">
        <v>5092</v>
      </c>
      <c r="D69" s="72" t="b">
        <v>1</v>
      </c>
      <c r="E69" s="73"/>
      <c r="G69" s="57" t="e">
        <f>_xlfn.XLOOKUP(
F69,
[1]!tblMasterServicesV2[Service Name],
[1]!tblMasterServicesV2[Service ID],
""
)</f>
        <v>#REF!</v>
      </c>
    </row>
    <row r="70" spans="1:7" x14ac:dyDescent="0.35">
      <c r="A70" t="s">
        <v>5185</v>
      </c>
      <c r="B70" t="s">
        <v>4214</v>
      </c>
      <c r="C70" t="s">
        <v>5097</v>
      </c>
      <c r="D70" s="72" t="b">
        <v>1</v>
      </c>
      <c r="E70" s="73"/>
      <c r="G70" s="57" t="e">
        <f>_xlfn.XLOOKUP(
F70,
[1]!tblMasterServicesV2[Service Name],
[1]!tblMasterServicesV2[Service ID],
""
)</f>
        <v>#REF!</v>
      </c>
    </row>
    <row r="71" spans="1:7" x14ac:dyDescent="0.35">
      <c r="A71" t="s">
        <v>5186</v>
      </c>
      <c r="B71" t="s">
        <v>4214</v>
      </c>
      <c r="C71" t="s">
        <v>5044</v>
      </c>
      <c r="D71" s="72" t="b">
        <v>1</v>
      </c>
      <c r="E71" s="73"/>
      <c r="G71" s="57" t="e">
        <f>_xlfn.XLOOKUP(
F71,
[1]!tblMasterServicesV2[Service Name],
[1]!tblMasterServicesV2[Service ID],
""
)</f>
        <v>#REF!</v>
      </c>
    </row>
    <row r="72" spans="1:7" x14ac:dyDescent="0.35">
      <c r="A72" t="s">
        <v>5187</v>
      </c>
      <c r="B72" t="s">
        <v>4214</v>
      </c>
      <c r="C72" t="s">
        <v>5065</v>
      </c>
      <c r="D72" s="72" t="b">
        <v>1</v>
      </c>
      <c r="E72" s="73"/>
      <c r="G72" s="57" t="e">
        <f>_xlfn.XLOOKUP(
F72,
[1]!tblMasterServicesV2[Service Name],
[1]!tblMasterServicesV2[Service ID],
""
)</f>
        <v>#REF!</v>
      </c>
    </row>
    <row r="73" spans="1:7" x14ac:dyDescent="0.35">
      <c r="A73" t="s">
        <v>5188</v>
      </c>
      <c r="B73" t="s">
        <v>4862</v>
      </c>
      <c r="C73" t="s">
        <v>5092</v>
      </c>
      <c r="D73" s="72" t="b">
        <v>1</v>
      </c>
      <c r="E73" s="73"/>
      <c r="G73" s="57" t="e">
        <f>_xlfn.XLOOKUP(
F73,
[1]!tblMasterServicesV2[Service Name],
[1]!tblMasterServicesV2[Service ID],
""
)</f>
        <v>#REF!</v>
      </c>
    </row>
    <row r="74" spans="1:7" x14ac:dyDescent="0.35">
      <c r="A74" t="s">
        <v>5189</v>
      </c>
      <c r="B74" t="s">
        <v>4862</v>
      </c>
      <c r="C74" t="s">
        <v>5105</v>
      </c>
      <c r="D74" s="72" t="b">
        <v>1</v>
      </c>
      <c r="E74" s="73"/>
      <c r="G74" s="57" t="e">
        <f>_xlfn.XLOOKUP(
F74,
[1]!tblMasterServicesV2[Service Name],
[1]!tblMasterServicesV2[Service ID],
""
)</f>
        <v>#REF!</v>
      </c>
    </row>
    <row r="75" spans="1:7" x14ac:dyDescent="0.35">
      <c r="A75" t="s">
        <v>5190</v>
      </c>
      <c r="B75" t="s">
        <v>4862</v>
      </c>
      <c r="C75" t="s">
        <v>5079</v>
      </c>
      <c r="D75" s="72" t="b">
        <v>1</v>
      </c>
      <c r="E75" s="73"/>
      <c r="G75" s="57" t="e">
        <f>_xlfn.XLOOKUP(
F75,
[1]!tblMasterServicesV2[Service Name],
[1]!tblMasterServicesV2[Service ID],
""
)</f>
        <v>#REF!</v>
      </c>
    </row>
    <row r="76" spans="1:7" x14ac:dyDescent="0.35">
      <c r="A76" t="s">
        <v>5191</v>
      </c>
      <c r="B76" t="s">
        <v>4862</v>
      </c>
      <c r="C76" t="s">
        <v>5107</v>
      </c>
      <c r="D76" s="72" t="b">
        <v>1</v>
      </c>
      <c r="E76" s="73"/>
      <c r="G76" s="57" t="e">
        <f>_xlfn.XLOOKUP(
F76,
[1]!tblMasterServicesV2[Service Name],
[1]!tblMasterServicesV2[Service ID],
""
)</f>
        <v>#REF!</v>
      </c>
    </row>
    <row r="77" spans="1:7" x14ac:dyDescent="0.35">
      <c r="A77" t="s">
        <v>5192</v>
      </c>
      <c r="B77" t="s">
        <v>4862</v>
      </c>
      <c r="C77" t="s">
        <v>5101</v>
      </c>
      <c r="D77" s="72" t="b">
        <v>1</v>
      </c>
      <c r="E77" s="73"/>
      <c r="G77" s="57" t="e">
        <f>_xlfn.XLOOKUP(
F77,
[1]!tblMasterServicesV2[Service Name],
[1]!tblMasterServicesV2[Service ID],
""
)</f>
        <v>#REF!</v>
      </c>
    </row>
    <row r="78" spans="1:7" x14ac:dyDescent="0.35">
      <c r="A78" t="s">
        <v>5193</v>
      </c>
      <c r="B78" t="s">
        <v>4862</v>
      </c>
      <c r="C78" t="s">
        <v>5099</v>
      </c>
      <c r="D78" s="72" t="b">
        <v>1</v>
      </c>
      <c r="E78" s="73"/>
      <c r="G78" s="57" t="e">
        <f>_xlfn.XLOOKUP(
F78,
[1]!tblMasterServicesV2[Service Name],
[1]!tblMasterServicesV2[Service ID],
""
)</f>
        <v>#REF!</v>
      </c>
    </row>
    <row r="79" spans="1:7" x14ac:dyDescent="0.35">
      <c r="A79" t="s">
        <v>5194</v>
      </c>
      <c r="B79" t="s">
        <v>4862</v>
      </c>
      <c r="C79" t="s">
        <v>5070</v>
      </c>
      <c r="D79" s="72" t="b">
        <v>1</v>
      </c>
      <c r="E79" s="75"/>
      <c r="G79" s="76" t="e">
        <f>_xlfn.XLOOKUP(
F79,
[1]!tblMasterServicesV2[Service Name],
[1]!tblMasterServicesV2[Service ID],
""
)</f>
        <v>#REF!</v>
      </c>
    </row>
    <row r="80" spans="1:7" x14ac:dyDescent="0.35">
      <c r="A80" t="s">
        <v>5195</v>
      </c>
      <c r="B80" t="s">
        <v>4862</v>
      </c>
      <c r="C80" t="s">
        <v>5007</v>
      </c>
      <c r="D80" s="72" t="b">
        <v>1</v>
      </c>
      <c r="E80" s="73"/>
      <c r="G80" s="57" t="e">
        <f>_xlfn.XLOOKUP(
F80,
[1]!tblMasterServicesV2[Service Name],
[1]!tblMasterServicesV2[Service ID],
""
)</f>
        <v>#REF!</v>
      </c>
    </row>
    <row r="81" spans="1:7" x14ac:dyDescent="0.35">
      <c r="A81" t="s">
        <v>5196</v>
      </c>
      <c r="B81" t="s">
        <v>4862</v>
      </c>
      <c r="C81" t="s">
        <v>5038</v>
      </c>
      <c r="D81" s="72" t="b">
        <v>1</v>
      </c>
      <c r="E81" s="75"/>
      <c r="G81" s="57" t="e">
        <f>_xlfn.XLOOKUP(
F81,
[1]!tblMasterServicesV2[Service Name],
[1]!tblMasterServicesV2[Service ID],
""
)</f>
        <v>#REF!</v>
      </c>
    </row>
    <row r="82" spans="1:7" x14ac:dyDescent="0.35">
      <c r="A82" t="s">
        <v>5197</v>
      </c>
      <c r="B82" t="s">
        <v>4862</v>
      </c>
      <c r="C82" t="s">
        <v>5054</v>
      </c>
      <c r="D82" s="72" t="b">
        <v>1</v>
      </c>
      <c r="E82" s="73"/>
      <c r="G82" s="57" t="e">
        <f>_xlfn.XLOOKUP(
F82,
[1]!tblMasterServicesV2[Service Name],
[1]!tblMasterServicesV2[Service ID],
""
)</f>
        <v>#REF!</v>
      </c>
    </row>
    <row r="83" spans="1:7" x14ac:dyDescent="0.35">
      <c r="A83" t="s">
        <v>5198</v>
      </c>
      <c r="B83" t="s">
        <v>4862</v>
      </c>
      <c r="C83" t="s">
        <v>5056</v>
      </c>
      <c r="D83" s="72" t="b">
        <v>1</v>
      </c>
      <c r="E83" s="75"/>
      <c r="G83" s="57" t="e">
        <f>_xlfn.XLOOKUP(
F83,
[1]!tblMasterServicesV2[Service Name],
[1]!tblMasterServicesV2[Service ID],
""
)</f>
        <v>#REF!</v>
      </c>
    </row>
    <row r="84" spans="1:7" x14ac:dyDescent="0.35">
      <c r="A84" t="s">
        <v>5199</v>
      </c>
      <c r="B84" t="s">
        <v>4862</v>
      </c>
      <c r="C84" t="s">
        <v>5046</v>
      </c>
      <c r="D84" s="72" t="b">
        <v>1</v>
      </c>
      <c r="E84" s="73"/>
      <c r="G84" s="57" t="e">
        <f>_xlfn.XLOOKUP(
F84,
[1]!tblMasterServicesV2[Service Name],
[1]!tblMasterServicesV2[Service ID],
""
)</f>
        <v>#REF!</v>
      </c>
    </row>
    <row r="85" spans="1:7" x14ac:dyDescent="0.35">
      <c r="C85" s="57"/>
      <c r="D85" s="56"/>
      <c r="E85" s="75"/>
    </row>
    <row r="86" spans="1:7" x14ac:dyDescent="0.35">
      <c r="C86" s="57"/>
      <c r="D86" s="72"/>
      <c r="E86" s="73"/>
    </row>
    <row r="87" spans="1:7" x14ac:dyDescent="0.35">
      <c r="C87" s="57"/>
      <c r="D87" s="56"/>
      <c r="E87" s="75"/>
    </row>
    <row r="88" spans="1:7" x14ac:dyDescent="0.35">
      <c r="C88" s="57"/>
      <c r="D88" s="72"/>
      <c r="E88" s="73"/>
    </row>
    <row r="89" spans="1:7" x14ac:dyDescent="0.35">
      <c r="C89" s="57"/>
      <c r="D89" s="56"/>
      <c r="E89" s="75"/>
    </row>
    <row r="90" spans="1:7" x14ac:dyDescent="0.35">
      <c r="C90" s="57"/>
      <c r="D90" s="72"/>
      <c r="E90" s="73"/>
    </row>
    <row r="91" spans="1:7" x14ac:dyDescent="0.35">
      <c r="C91" s="57"/>
      <c r="D91" s="56"/>
      <c r="E91" s="75"/>
    </row>
    <row r="92" spans="1:7" x14ac:dyDescent="0.35">
      <c r="C92" s="57"/>
      <c r="D92" s="72"/>
      <c r="E92" s="73"/>
    </row>
    <row r="93" spans="1:7" x14ac:dyDescent="0.35">
      <c r="C93" s="57"/>
      <c r="D93" s="56"/>
      <c r="E93" s="75"/>
    </row>
    <row r="94" spans="1:7" x14ac:dyDescent="0.35">
      <c r="C94" s="57"/>
      <c r="D94" s="72"/>
      <c r="E94" s="73"/>
    </row>
    <row r="95" spans="1:7" x14ac:dyDescent="0.35">
      <c r="C95" s="57"/>
      <c r="D95" s="56"/>
      <c r="E95" s="75"/>
    </row>
    <row r="96" spans="1:7" x14ac:dyDescent="0.35">
      <c r="C96" s="57"/>
      <c r="D96" s="72"/>
      <c r="E96" s="73"/>
    </row>
    <row r="97" spans="3:5" x14ac:dyDescent="0.35">
      <c r="C97" s="57"/>
      <c r="D97" s="56"/>
      <c r="E97" s="75"/>
    </row>
    <row r="98" spans="3:5" x14ac:dyDescent="0.35">
      <c r="C98" s="57"/>
      <c r="D98" s="72"/>
      <c r="E98" s="73"/>
    </row>
    <row r="99" spans="3:5" x14ac:dyDescent="0.35">
      <c r="C99" s="57"/>
      <c r="D99" s="56"/>
      <c r="E99" s="75"/>
    </row>
    <row r="100" spans="3:5" x14ac:dyDescent="0.35">
      <c r="C100" s="57"/>
      <c r="D100" s="72"/>
      <c r="E100" s="73"/>
    </row>
    <row r="101" spans="3:5" x14ac:dyDescent="0.35">
      <c r="C101" s="57"/>
      <c r="D101" s="56"/>
      <c r="E101" s="75"/>
    </row>
    <row r="102" spans="3:5" x14ac:dyDescent="0.35">
      <c r="C102" s="57"/>
      <c r="D102" s="72"/>
      <c r="E102" s="73"/>
    </row>
    <row r="103" spans="3:5" x14ac:dyDescent="0.35">
      <c r="C103" s="57"/>
      <c r="D103" s="56"/>
      <c r="E103" s="75"/>
    </row>
    <row r="104" spans="3:5" x14ac:dyDescent="0.35">
      <c r="C104" s="57"/>
      <c r="D104" s="72"/>
      <c r="E104" s="73"/>
    </row>
    <row r="105" spans="3:5" x14ac:dyDescent="0.35">
      <c r="C105" s="57"/>
      <c r="D105" s="56"/>
      <c r="E105" s="75"/>
    </row>
    <row r="106" spans="3:5" x14ac:dyDescent="0.35">
      <c r="C106" s="57"/>
      <c r="D106" s="72"/>
      <c r="E106" s="73"/>
    </row>
    <row r="107" spans="3:5" x14ac:dyDescent="0.35">
      <c r="C107" s="57"/>
      <c r="D107" s="56"/>
      <c r="E107" s="75"/>
    </row>
    <row r="108" spans="3:5" x14ac:dyDescent="0.35">
      <c r="C108" s="57"/>
      <c r="D108" s="72"/>
      <c r="E108" s="73"/>
    </row>
    <row r="109" spans="3:5" x14ac:dyDescent="0.35">
      <c r="C109" s="57"/>
      <c r="D109" s="56"/>
      <c r="E109" s="75"/>
    </row>
    <row r="110" spans="3:5" x14ac:dyDescent="0.35">
      <c r="C110" s="57"/>
      <c r="D110" s="72"/>
      <c r="E110" s="73"/>
    </row>
    <row r="111" spans="3:5" x14ac:dyDescent="0.35">
      <c r="C111" s="57"/>
      <c r="D111" s="56"/>
      <c r="E111" s="75"/>
    </row>
    <row r="112" spans="3:5" x14ac:dyDescent="0.35">
      <c r="C112" s="57"/>
      <c r="D112" s="72"/>
      <c r="E112" s="73"/>
    </row>
    <row r="113" spans="3:5" x14ac:dyDescent="0.35">
      <c r="C113" s="57"/>
      <c r="D113" s="56"/>
      <c r="E113" s="75"/>
    </row>
    <row r="114" spans="3:5" x14ac:dyDescent="0.35">
      <c r="C114" s="57"/>
      <c r="D114" s="72"/>
      <c r="E114" s="73"/>
    </row>
    <row r="115" spans="3:5" x14ac:dyDescent="0.35">
      <c r="C115" s="57"/>
      <c r="D115" s="56"/>
      <c r="E115" s="75"/>
    </row>
    <row r="116" spans="3:5" x14ac:dyDescent="0.35">
      <c r="C116" s="57"/>
      <c r="D116" s="72"/>
      <c r="E116" s="73"/>
    </row>
    <row r="117" spans="3:5" x14ac:dyDescent="0.35">
      <c r="C117" s="57"/>
      <c r="D117" s="56"/>
      <c r="E117" s="75"/>
    </row>
    <row r="118" spans="3:5" x14ac:dyDescent="0.35">
      <c r="C118" s="57"/>
      <c r="D118" s="72"/>
      <c r="E118" s="73"/>
    </row>
    <row r="119" spans="3:5" x14ac:dyDescent="0.35">
      <c r="C119" s="57"/>
      <c r="D119" s="56"/>
      <c r="E119" s="75"/>
    </row>
    <row r="120" spans="3:5" x14ac:dyDescent="0.35">
      <c r="C120" s="57"/>
      <c r="D120" s="72"/>
      <c r="E120" s="73"/>
    </row>
    <row r="121" spans="3:5" x14ac:dyDescent="0.35">
      <c r="C121" s="57"/>
      <c r="D121" s="56"/>
      <c r="E121" s="75"/>
    </row>
    <row r="122" spans="3:5" x14ac:dyDescent="0.35">
      <c r="C122" s="57"/>
      <c r="D122" s="72"/>
      <c r="E122" s="73"/>
    </row>
    <row r="123" spans="3:5" x14ac:dyDescent="0.35">
      <c r="C123" s="57"/>
      <c r="D123" s="56"/>
      <c r="E123" s="75"/>
    </row>
    <row r="124" spans="3:5" x14ac:dyDescent="0.35">
      <c r="C124" s="57"/>
      <c r="D124" s="72"/>
      <c r="E124" s="73"/>
    </row>
    <row r="125" spans="3:5" x14ac:dyDescent="0.35">
      <c r="C125" s="57"/>
      <c r="D125" s="56"/>
      <c r="E125" s="75"/>
    </row>
    <row r="126" spans="3:5" x14ac:dyDescent="0.35">
      <c r="C126" s="57"/>
      <c r="D126" s="72"/>
      <c r="E126" s="73"/>
    </row>
    <row r="127" spans="3:5" x14ac:dyDescent="0.35">
      <c r="C127" s="57"/>
      <c r="D127" s="56"/>
      <c r="E127" s="75"/>
    </row>
    <row r="128" spans="3:5" x14ac:dyDescent="0.35">
      <c r="C128" s="57"/>
      <c r="D128" s="72"/>
      <c r="E128" s="73"/>
    </row>
    <row r="129" spans="3:5" x14ac:dyDescent="0.35">
      <c r="C129" s="57"/>
      <c r="D129" s="56"/>
      <c r="E129" s="75"/>
    </row>
    <row r="130" spans="3:5" x14ac:dyDescent="0.35">
      <c r="C130" s="57"/>
      <c r="D130" s="72"/>
      <c r="E130" s="73"/>
    </row>
    <row r="131" spans="3:5" x14ac:dyDescent="0.35">
      <c r="C131" s="57"/>
      <c r="D131" s="56"/>
      <c r="E131" s="75"/>
    </row>
    <row r="132" spans="3:5" x14ac:dyDescent="0.35">
      <c r="C132" s="57"/>
      <c r="D132" s="72"/>
      <c r="E132" s="73"/>
    </row>
    <row r="133" spans="3:5" x14ac:dyDescent="0.35">
      <c r="C133" s="57"/>
      <c r="D133" s="56"/>
      <c r="E133" s="75"/>
    </row>
    <row r="134" spans="3:5" x14ac:dyDescent="0.35">
      <c r="C134" s="57"/>
      <c r="D134" s="72"/>
      <c r="E134" s="73"/>
    </row>
    <row r="135" spans="3:5" x14ac:dyDescent="0.35">
      <c r="C135" s="57"/>
      <c r="D135" s="56"/>
      <c r="E135" s="75"/>
    </row>
    <row r="136" spans="3:5" x14ac:dyDescent="0.35">
      <c r="C136" s="57"/>
      <c r="D136" s="72"/>
      <c r="E136" s="73"/>
    </row>
    <row r="137" spans="3:5" x14ac:dyDescent="0.35">
      <c r="C137" s="57"/>
      <c r="D137" s="56"/>
      <c r="E137" s="75"/>
    </row>
    <row r="138" spans="3:5" x14ac:dyDescent="0.35">
      <c r="C138" s="57"/>
      <c r="D138" s="72"/>
      <c r="E138" s="73"/>
    </row>
    <row r="139" spans="3:5" x14ac:dyDescent="0.35">
      <c r="C139" s="57"/>
      <c r="D139" s="56"/>
      <c r="E139" s="75"/>
    </row>
    <row r="140" spans="3:5" x14ac:dyDescent="0.35">
      <c r="C140" s="57"/>
      <c r="D140" s="72"/>
      <c r="E140" s="73"/>
    </row>
    <row r="141" spans="3:5" x14ac:dyDescent="0.35">
      <c r="C141" s="57"/>
      <c r="D141" s="56"/>
      <c r="E141" s="75"/>
    </row>
    <row r="142" spans="3:5" x14ac:dyDescent="0.35">
      <c r="C142" s="57"/>
      <c r="D142" s="72"/>
      <c r="E142" s="73"/>
    </row>
    <row r="143" spans="3:5" x14ac:dyDescent="0.35">
      <c r="C143" s="57"/>
      <c r="D143" s="56"/>
      <c r="E143" s="75"/>
    </row>
    <row r="144" spans="3:5" x14ac:dyDescent="0.35">
      <c r="C144" s="57"/>
      <c r="D144" s="72"/>
      <c r="E144" s="73"/>
    </row>
  </sheetData>
  <dataValidations count="3">
    <dataValidation type="list" allowBlank="1" showInputMessage="1" showErrorMessage="1" sqref="D3:D84" xr:uid="{3BC716E7-4392-4081-B0DE-35A941393488}">
      <formula1>IstBoolean</formula1>
    </dataValidation>
    <dataValidation type="list" allowBlank="1" showInputMessage="1" showErrorMessage="1" sqref="B3:B84" xr:uid="{69CDF211-C0A3-4DD1-8EE9-02A8E619A88C}">
      <formula1>IstDeviceFamilies</formula1>
    </dataValidation>
    <dataValidation type="list" allowBlank="1" showInputMessage="1" showErrorMessage="1" sqref="G3:G58 G80:G84 G68:G78 C85:C144" xr:uid="{A37017B3-F831-417F-8771-31EBC68B9052}">
      <formula1>Service_ID</formula1>
    </dataValidation>
  </dataValidations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2DBFE-9D40-4619-919D-5E5D90A7F84A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79086-163C-4D5E-AF13-273F2B2D720F}">
  <sheetPr>
    <tabColor rgb="FFFFC000"/>
  </sheetPr>
  <dimension ref="A2:J2"/>
  <sheetViews>
    <sheetView workbookViewId="0">
      <selection activeCell="A3" sqref="A3:J3"/>
    </sheetView>
  </sheetViews>
  <sheetFormatPr defaultRowHeight="14.5" x14ac:dyDescent="0.35"/>
  <cols>
    <col min="1" max="1" width="16.6328125" bestFit="1" customWidth="1"/>
    <col min="2" max="2" width="15.36328125" bestFit="1" customWidth="1"/>
    <col min="3" max="3" width="17.08984375" bestFit="1" customWidth="1"/>
    <col min="4" max="4" width="16.54296875" bestFit="1" customWidth="1"/>
    <col min="5" max="5" width="15.81640625" bestFit="1" customWidth="1"/>
    <col min="6" max="6" width="5.453125" bestFit="1" customWidth="1"/>
    <col min="7" max="7" width="5.08984375" bestFit="1" customWidth="1"/>
    <col min="8" max="8" width="9.6328125" bestFit="1" customWidth="1"/>
    <col min="9" max="9" width="20.81640625" bestFit="1" customWidth="1"/>
    <col min="10" max="10" width="8.81640625" bestFit="1" customWidth="1"/>
  </cols>
  <sheetData>
    <row r="2" spans="1:10" x14ac:dyDescent="0.35">
      <c r="A2" s="58" t="s">
        <v>9</v>
      </c>
      <c r="B2" s="58" t="s">
        <v>10</v>
      </c>
      <c r="C2" s="58" t="s">
        <v>8</v>
      </c>
      <c r="D2" s="58" t="s">
        <v>3751</v>
      </c>
      <c r="E2" s="58" t="s">
        <v>4990</v>
      </c>
      <c r="F2" s="92" t="s">
        <v>5296</v>
      </c>
      <c r="G2" s="92" t="s">
        <v>5307</v>
      </c>
      <c r="H2" s="92" t="s">
        <v>5285</v>
      </c>
      <c r="I2" s="58" t="s">
        <v>5308</v>
      </c>
      <c r="J2" s="58" t="s">
        <v>5309</v>
      </c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C369-7EDE-459A-9428-9D07073219DE}">
  <sheetPr>
    <tabColor rgb="FFFFC000"/>
  </sheetPr>
  <dimension ref="A1"/>
  <sheetViews>
    <sheetView workbookViewId="0">
      <selection activeCell="A2" sqref="A2:XFD2"/>
    </sheetView>
  </sheetViews>
  <sheetFormatPr defaultRowHeight="14.5" x14ac:dyDescent="0.3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B7E-862A-49C2-B13E-C2C63F85E96B}">
  <sheetPr>
    <tabColor rgb="FFFFC000"/>
  </sheetPr>
  <dimension ref="A2:C11"/>
  <sheetViews>
    <sheetView workbookViewId="0">
      <selection activeCell="A3" sqref="A3:C11"/>
    </sheetView>
  </sheetViews>
  <sheetFormatPr defaultRowHeight="14.5" x14ac:dyDescent="0.35"/>
  <cols>
    <col min="2" max="2" width="21.26953125" bestFit="1" customWidth="1"/>
    <col min="3" max="3" width="26.54296875" bestFit="1" customWidth="1"/>
    <col min="4" max="4" width="10.6328125" bestFit="1" customWidth="1"/>
  </cols>
  <sheetData>
    <row r="2" spans="1:3" x14ac:dyDescent="0.35">
      <c r="A2" s="58" t="s">
        <v>5267</v>
      </c>
      <c r="B2" s="58" t="s">
        <v>5251</v>
      </c>
      <c r="C2" s="58" t="s">
        <v>3723</v>
      </c>
    </row>
    <row r="3" spans="1:3" x14ac:dyDescent="0.35">
      <c r="A3" s="57" t="s">
        <v>5268</v>
      </c>
      <c r="B3" s="57" t="s">
        <v>5269</v>
      </c>
      <c r="C3" s="57"/>
    </row>
    <row r="4" spans="1:3" x14ac:dyDescent="0.35">
      <c r="A4" s="57" t="s">
        <v>5270</v>
      </c>
      <c r="B4" s="57" t="s">
        <v>5271</v>
      </c>
      <c r="C4" s="57"/>
    </row>
    <row r="5" spans="1:3" x14ac:dyDescent="0.35">
      <c r="A5" s="57" t="s">
        <v>5272</v>
      </c>
      <c r="B5" s="57" t="s">
        <v>5273</v>
      </c>
      <c r="C5" s="57"/>
    </row>
    <row r="6" spans="1:3" x14ac:dyDescent="0.35">
      <c r="A6" s="57" t="s">
        <v>5274</v>
      </c>
      <c r="B6" s="57" t="s">
        <v>5275</v>
      </c>
      <c r="C6" s="57"/>
    </row>
    <row r="7" spans="1:3" x14ac:dyDescent="0.35">
      <c r="A7" s="57" t="s">
        <v>5276</v>
      </c>
      <c r="B7" s="57" t="s">
        <v>5277</v>
      </c>
      <c r="C7" s="57"/>
    </row>
    <row r="8" spans="1:3" x14ac:dyDescent="0.35">
      <c r="A8" s="57" t="s">
        <v>5278</v>
      </c>
      <c r="B8" s="57" t="s">
        <v>5279</v>
      </c>
      <c r="C8" s="57"/>
    </row>
    <row r="9" spans="1:3" x14ac:dyDescent="0.35">
      <c r="A9" s="57" t="s">
        <v>5280</v>
      </c>
      <c r="B9" s="57" t="s">
        <v>5281</v>
      </c>
      <c r="C9" s="57"/>
    </row>
    <row r="10" spans="1:3" x14ac:dyDescent="0.35">
      <c r="A10" s="57" t="s">
        <v>5282</v>
      </c>
      <c r="B10" s="57" t="s">
        <v>5281</v>
      </c>
      <c r="C10" s="57"/>
    </row>
    <row r="11" spans="1:3" x14ac:dyDescent="0.35">
      <c r="A11" s="57" t="s">
        <v>5283</v>
      </c>
      <c r="B11" s="57" t="s">
        <v>5281</v>
      </c>
      <c r="C11" s="57"/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0AC1C-6DBF-4F19-9520-3F1078B5C30D}">
  <sheetPr>
    <tabColor rgb="FFFFC000"/>
  </sheetPr>
  <dimension ref="A1:G5"/>
  <sheetViews>
    <sheetView workbookViewId="0">
      <selection activeCell="A2" sqref="A2:XFD2"/>
    </sheetView>
  </sheetViews>
  <sheetFormatPr defaultRowHeight="14.5" x14ac:dyDescent="0.35"/>
  <cols>
    <col min="1" max="7" width="10.453125" customWidth="1"/>
  </cols>
  <sheetData>
    <row r="1" spans="1:7" x14ac:dyDescent="0.35">
      <c r="A1" s="2" t="s">
        <v>12</v>
      </c>
    </row>
    <row r="4" spans="1:7" x14ac:dyDescent="0.35">
      <c r="A4" t="s">
        <v>5317</v>
      </c>
    </row>
    <row r="5" spans="1:7" x14ac:dyDescent="0.35">
      <c r="A5" t="s">
        <v>5316</v>
      </c>
      <c r="B5" t="s">
        <v>5315</v>
      </c>
      <c r="C5" t="s">
        <v>5314</v>
      </c>
      <c r="D5" t="s">
        <v>5313</v>
      </c>
      <c r="E5" t="s">
        <v>5312</v>
      </c>
      <c r="F5" t="s">
        <v>5311</v>
      </c>
      <c r="G5" t="s">
        <v>5310</v>
      </c>
    </row>
  </sheetData>
  <hyperlinks>
    <hyperlink ref="A1" location="'TOC - Table of Contents'!A5" display="⬅ Return to Table of Contents" xr:uid="{9097080B-9DB6-415B-AE3B-07257DEB2CDE}"/>
  </hyperlinks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40244-B879-435E-B00E-720DFE344089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D1E12-BBBF-44BF-95F9-8DD0F4509E79}">
  <sheetPr>
    <tabColor rgb="FF00B050"/>
  </sheetPr>
  <dimension ref="B2:V41"/>
  <sheetViews>
    <sheetView topLeftCell="B1" workbookViewId="0">
      <selection activeCell="B28" sqref="B28"/>
    </sheetView>
  </sheetViews>
  <sheetFormatPr defaultRowHeight="14.5" x14ac:dyDescent="0.35"/>
  <cols>
    <col min="2" max="2" width="26.1796875" customWidth="1"/>
    <col min="3" max="3" width="12.08984375" bestFit="1" customWidth="1"/>
    <col min="4" max="4" width="14.26953125" bestFit="1" customWidth="1"/>
    <col min="5" max="5" width="15.08984375" bestFit="1" customWidth="1"/>
    <col min="6" max="6" width="12.54296875" bestFit="1" customWidth="1"/>
    <col min="7" max="7" width="16.36328125" bestFit="1" customWidth="1"/>
    <col min="8" max="8" width="16.7265625" bestFit="1" customWidth="1"/>
    <col min="9" max="9" width="12.6328125" customWidth="1"/>
    <col min="10" max="10" width="19.36328125" bestFit="1" customWidth="1"/>
    <col min="11" max="11" width="10.7265625" bestFit="1" customWidth="1"/>
    <col min="13" max="13" width="14.36328125" customWidth="1"/>
    <col min="14" max="14" width="14.6328125" customWidth="1"/>
    <col min="15" max="15" width="24" bestFit="1" customWidth="1"/>
    <col min="16" max="16" width="10.453125" bestFit="1" customWidth="1"/>
    <col min="17" max="17" width="14.453125" bestFit="1" customWidth="1"/>
  </cols>
  <sheetData>
    <row r="2" spans="2:22" x14ac:dyDescent="0.35">
      <c r="B2" t="s">
        <v>5303</v>
      </c>
      <c r="M2" s="58"/>
      <c r="N2" s="58"/>
      <c r="O2" s="58"/>
      <c r="P2" s="58"/>
      <c r="Q2" s="58"/>
      <c r="R2" s="58"/>
      <c r="S2" s="58"/>
      <c r="T2" s="58"/>
      <c r="U2" s="58"/>
      <c r="V2" s="58"/>
    </row>
    <row r="3" spans="2:22" x14ac:dyDescent="0.35">
      <c r="B3" s="58" t="s">
        <v>4990</v>
      </c>
      <c r="C3" s="92" t="s">
        <v>5302</v>
      </c>
      <c r="D3" s="92" t="s">
        <v>5301</v>
      </c>
      <c r="M3" s="65"/>
      <c r="N3" s="65"/>
      <c r="O3" s="65"/>
      <c r="P3" s="91"/>
      <c r="Q3" s="65"/>
      <c r="R3" s="65"/>
      <c r="S3" s="65"/>
      <c r="T3" s="65"/>
      <c r="U3" s="65"/>
      <c r="V3" s="65"/>
    </row>
    <row r="4" spans="2:22" x14ac:dyDescent="0.35">
      <c r="B4" s="57" t="s">
        <v>2147</v>
      </c>
      <c r="C4" s="87">
        <v>95</v>
      </c>
      <c r="D4" s="87">
        <v>60</v>
      </c>
    </row>
    <row r="5" spans="2:22" x14ac:dyDescent="0.35">
      <c r="B5" s="57" t="s">
        <v>2142</v>
      </c>
      <c r="C5" s="87">
        <v>75</v>
      </c>
      <c r="D5" s="87">
        <v>45</v>
      </c>
    </row>
    <row r="6" spans="2:22" x14ac:dyDescent="0.35">
      <c r="B6" s="57" t="s">
        <v>4977</v>
      </c>
      <c r="C6" s="87">
        <v>95</v>
      </c>
      <c r="D6" s="87">
        <v>60</v>
      </c>
    </row>
    <row r="7" spans="2:22" x14ac:dyDescent="0.35">
      <c r="B7" s="57" t="s">
        <v>4975</v>
      </c>
      <c r="C7" s="87">
        <v>75</v>
      </c>
      <c r="D7" s="87">
        <v>45</v>
      </c>
    </row>
    <row r="8" spans="2:22" x14ac:dyDescent="0.35">
      <c r="B8" s="57" t="s">
        <v>4974</v>
      </c>
      <c r="C8" s="87">
        <v>75</v>
      </c>
      <c r="D8" s="87">
        <v>45</v>
      </c>
    </row>
    <row r="9" spans="2:22" x14ac:dyDescent="0.35">
      <c r="B9" s="57" t="s">
        <v>4971</v>
      </c>
      <c r="C9" s="87">
        <v>65</v>
      </c>
      <c r="D9" s="87">
        <v>45</v>
      </c>
    </row>
    <row r="10" spans="2:22" x14ac:dyDescent="0.35">
      <c r="B10" s="57" t="s">
        <v>4972</v>
      </c>
      <c r="C10" s="87">
        <v>125</v>
      </c>
      <c r="D10" s="87">
        <v>120</v>
      </c>
    </row>
    <row r="11" spans="2:22" ht="19" customHeight="1" x14ac:dyDescent="0.35">
      <c r="B11" s="57" t="s">
        <v>4928</v>
      </c>
      <c r="C11" s="87">
        <v>35</v>
      </c>
      <c r="D11" s="87">
        <v>30</v>
      </c>
    </row>
    <row r="12" spans="2:22" ht="19" customHeight="1" x14ac:dyDescent="0.35">
      <c r="B12" s="57" t="s">
        <v>1923</v>
      </c>
      <c r="C12" s="87">
        <v>65</v>
      </c>
      <c r="D12" s="87">
        <v>45</v>
      </c>
    </row>
    <row r="13" spans="2:22" ht="19" customHeight="1" x14ac:dyDescent="0.35">
      <c r="B13" s="57" t="s">
        <v>1918</v>
      </c>
      <c r="C13" s="87">
        <v>50</v>
      </c>
      <c r="D13" s="87">
        <v>30</v>
      </c>
    </row>
    <row r="14" spans="2:22" ht="19" customHeight="1" x14ac:dyDescent="0.35"/>
    <row r="15" spans="2:22" ht="19" customHeight="1" x14ac:dyDescent="0.35"/>
    <row r="16" spans="2:22" ht="19" customHeight="1" x14ac:dyDescent="0.35">
      <c r="B16" t="s">
        <v>5300</v>
      </c>
    </row>
    <row r="17" spans="2:6" ht="19" customHeight="1" x14ac:dyDescent="0.35">
      <c r="B17" s="52" t="s">
        <v>9</v>
      </c>
      <c r="C17" s="52" t="s">
        <v>3751</v>
      </c>
      <c r="D17" s="52" t="s">
        <v>5295</v>
      </c>
      <c r="E17" s="66" t="s">
        <v>5299</v>
      </c>
    </row>
    <row r="18" spans="2:6" x14ac:dyDescent="0.35">
      <c r="B18" s="65" t="s">
        <v>801</v>
      </c>
      <c r="C18" s="65" t="s">
        <v>3111</v>
      </c>
      <c r="D18" s="65" t="s">
        <v>5298</v>
      </c>
      <c r="E18" s="91">
        <v>180</v>
      </c>
    </row>
    <row r="19" spans="2:6" x14ac:dyDescent="0.35">
      <c r="B19" s="65"/>
      <c r="C19" s="65"/>
      <c r="D19" s="65"/>
      <c r="E19" s="91"/>
    </row>
    <row r="20" spans="2:6" x14ac:dyDescent="0.35">
      <c r="B20" s="65"/>
      <c r="C20" s="65"/>
      <c r="D20" s="65"/>
      <c r="E20" s="91"/>
    </row>
    <row r="26" spans="2:6" x14ac:dyDescent="0.35">
      <c r="B26" t="s">
        <v>5297</v>
      </c>
    </row>
    <row r="27" spans="2:6" x14ac:dyDescent="0.35">
      <c r="B27" s="52" t="s">
        <v>4990</v>
      </c>
      <c r="C27" s="52" t="s">
        <v>5296</v>
      </c>
      <c r="D27" s="52" t="s">
        <v>5295</v>
      </c>
      <c r="E27" s="52" t="s">
        <v>5294</v>
      </c>
      <c r="F27" s="52" t="s">
        <v>5293</v>
      </c>
    </row>
    <row r="28" spans="2:6" x14ac:dyDescent="0.35">
      <c r="B28" s="89"/>
      <c r="C28" s="88">
        <v>0</v>
      </c>
      <c r="D28" s="88">
        <v>0</v>
      </c>
      <c r="E28" s="90">
        <v>0</v>
      </c>
      <c r="F28" s="88">
        <f>tblRetailPricing[[#This Row],[Labor]]+tblRetailPricing[[#This Row],[Part]]+tblRetailPricing[[#This Row],[Processing Fees]]</f>
        <v>0</v>
      </c>
    </row>
    <row r="29" spans="2:6" x14ac:dyDescent="0.35">
      <c r="B29" s="89"/>
      <c r="C29" s="88"/>
      <c r="D29" s="88"/>
      <c r="E29" s="89">
        <f>(tblRetailPricing[[#This Row],[Labor]]+tblRetailPricing[[#This Row],[Part]])*0.05</f>
        <v>0</v>
      </c>
      <c r="F29" s="88">
        <f>tblRetailPricing[[#This Row],[Labor]]+tblRetailPricing[[#This Row],[Part]]+tblRetailPricing[[#This Row],[Processing Fees]]</f>
        <v>0</v>
      </c>
    </row>
    <row r="30" spans="2:6" x14ac:dyDescent="0.35">
      <c r="B30" s="89"/>
      <c r="C30" s="88"/>
      <c r="D30" s="88"/>
      <c r="E30" s="89">
        <f>(tblRetailPricing[[#This Row],[Labor]]+tblRetailPricing[[#This Row],[Part]])*0.05</f>
        <v>0</v>
      </c>
      <c r="F30" s="88">
        <f>tblRetailPricing[[#This Row],[Labor]]+tblRetailPricing[[#This Row],[Part]]+tblRetailPricing[[#This Row],[Processing Fees]]</f>
        <v>0</v>
      </c>
    </row>
    <row r="31" spans="2:6" x14ac:dyDescent="0.35">
      <c r="B31" s="89"/>
      <c r="C31" s="88"/>
      <c r="D31" s="88"/>
      <c r="E31" s="89">
        <f>(tblRetailPricing[[#This Row],[Labor]]+tblRetailPricing[[#This Row],[Part]])*0.05</f>
        <v>0</v>
      </c>
      <c r="F31" s="88">
        <f>tblRetailPricing[[#This Row],[Labor]]+tblRetailPricing[[#This Row],[Part]]+tblRetailPricing[[#This Row],[Processing Fees]]</f>
        <v>0</v>
      </c>
    </row>
    <row r="32" spans="2:6" x14ac:dyDescent="0.35">
      <c r="B32" s="89"/>
      <c r="C32" s="88"/>
      <c r="D32" s="88"/>
      <c r="E32" s="89">
        <f>(tblRetailPricing[[#This Row],[Labor]]+tblRetailPricing[[#This Row],[Part]])*0.05</f>
        <v>0</v>
      </c>
      <c r="F32" s="88">
        <f>tblRetailPricing[[#This Row],[Labor]]+tblRetailPricing[[#This Row],[Part]]+tblRetailPricing[[#This Row],[Processing Fees]]</f>
        <v>0</v>
      </c>
    </row>
    <row r="33" spans="2:10" x14ac:dyDescent="0.35">
      <c r="B33" s="89"/>
      <c r="C33" s="88"/>
      <c r="D33" s="88"/>
      <c r="E33" s="89">
        <f>(tblRetailPricing[[#This Row],[Labor]]+tblRetailPricing[[#This Row],[Part]])*0.05</f>
        <v>0</v>
      </c>
      <c r="F33" s="88">
        <f>tblRetailPricing[[#This Row],[Labor]]+tblRetailPricing[[#This Row],[Part]]+tblRetailPricing[[#This Row],[Processing Fees]]</f>
        <v>0</v>
      </c>
    </row>
    <row r="39" spans="2:10" x14ac:dyDescent="0.35">
      <c r="B39" s="57" t="s">
        <v>5267</v>
      </c>
      <c r="C39" s="57" t="s">
        <v>5292</v>
      </c>
      <c r="D39" s="57" t="s">
        <v>5291</v>
      </c>
      <c r="E39" s="57" t="s">
        <v>5290</v>
      </c>
      <c r="F39" s="57" t="s">
        <v>5289</v>
      </c>
      <c r="G39" s="57" t="s">
        <v>5288</v>
      </c>
      <c r="H39" s="57" t="s">
        <v>5287</v>
      </c>
      <c r="I39" s="87" t="s">
        <v>5286</v>
      </c>
      <c r="J39" s="57" t="s">
        <v>5285</v>
      </c>
    </row>
    <row r="40" spans="2:10" x14ac:dyDescent="0.35">
      <c r="B40" s="83" t="s">
        <v>5284</v>
      </c>
      <c r="C40" s="83"/>
      <c r="D40" s="83"/>
      <c r="E40" s="83">
        <v>100</v>
      </c>
      <c r="F40" s="83">
        <v>50</v>
      </c>
      <c r="G40" s="86">
        <v>0.01</v>
      </c>
      <c r="H40" s="86"/>
      <c r="I40" s="83">
        <f>(tblProfitMargin[[#This Row],[Supplier Cost]]+tblProfitMargin[[#This Row],[Labor Cost]])*(1+tblProfitMargin[[#This Row],[Profit Margin %]])</f>
        <v>150</v>
      </c>
      <c r="J40" s="83">
        <f>ROUND(I40+G40,2)</f>
        <v>150.01</v>
      </c>
    </row>
    <row r="41" spans="2:10" x14ac:dyDescent="0.35">
      <c r="B41" s="83" t="s">
        <v>1732</v>
      </c>
      <c r="C41" s="83"/>
      <c r="D41" s="83"/>
      <c r="E41" s="83">
        <v>120</v>
      </c>
      <c r="F41" s="83">
        <v>80</v>
      </c>
      <c r="G41" s="85">
        <f>(tblProfitMargin[[#This Row],[Supplier Cost]]+tblProfitMargin[[#This Row],[Labor Cost]])*3.5%</f>
        <v>7.0000000000000009</v>
      </c>
      <c r="H41" s="84">
        <v>0.25</v>
      </c>
      <c r="I41" s="83">
        <f>(tblProfitMargin[[#This Row],[Supplier Cost]]+tblProfitMargin[[#This Row],[Labor Cost]])*(1+tblProfitMargin[[#This Row],[Profit Margin %]])</f>
        <v>250</v>
      </c>
      <c r="J41" s="83">
        <f>ROUND(I41+G41,2)</f>
        <v>257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BAD17-3DBE-4A89-8765-57581E9DE79E}">
  <sheetPr>
    <tabColor rgb="FF00B050"/>
  </sheetPr>
  <dimension ref="A1"/>
  <sheetViews>
    <sheetView workbookViewId="0">
      <selection activeCell="B18" sqref="B18"/>
    </sheetView>
  </sheetViews>
  <sheetFormatPr defaultRowHeight="14.5" x14ac:dyDescent="0.3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C8618-D562-47A0-A7A5-C0F0891D2AD4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5304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9E385DFD-E8D4-4EC2-8945-9F337B3069C2}"/>
  </hyperlinks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E36DB-2260-44AF-A878-70EDB20EE039}">
  <sheetPr>
    <tabColor rgb="FF00B050"/>
  </sheetPr>
  <dimension ref="A1:E7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5" spans="1:5" x14ac:dyDescent="0.35">
      <c r="A5" t="s">
        <v>5305</v>
      </c>
    </row>
    <row r="6" spans="1:5" x14ac:dyDescent="0.35">
      <c r="A6" s="54" t="s">
        <v>3740</v>
      </c>
      <c r="B6" s="54" t="s">
        <v>3739</v>
      </c>
      <c r="C6" s="54" t="s">
        <v>3738</v>
      </c>
      <c r="D6" s="54" t="s">
        <v>3737</v>
      </c>
      <c r="E6" s="54" t="s">
        <v>3356</v>
      </c>
    </row>
    <row r="7" spans="1:5" x14ac:dyDescent="0.35">
      <c r="A7" s="53"/>
      <c r="B7" s="53"/>
      <c r="C7" s="53"/>
      <c r="D7" s="53"/>
      <c r="E7" s="53"/>
    </row>
  </sheetData>
  <hyperlinks>
    <hyperlink ref="A1" location="'TOC - Table of Contents'!A5" display="⬅ Return to Table of Contents" xr:uid="{2F72FAC7-B2BF-4416-875F-813A8DBAD3E4}"/>
  </hyperlinks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63F1C-B314-419D-83F1-A885A8C25EA5}">
  <sheetPr>
    <tabColor rgb="FF00B050"/>
  </sheetPr>
  <dimension ref="A1:E6"/>
  <sheetViews>
    <sheetView workbookViewId="0">
      <selection activeCell="B18" sqref="B18"/>
    </sheetView>
  </sheetViews>
  <sheetFormatPr defaultRowHeight="14.5" x14ac:dyDescent="0.35"/>
  <cols>
    <col min="1" max="1" width="12.81640625" customWidth="1"/>
    <col min="2" max="2" width="11.453125" customWidth="1"/>
    <col min="3" max="3" width="11.1796875" customWidth="1"/>
  </cols>
  <sheetData>
    <row r="1" spans="1:5" x14ac:dyDescent="0.35">
      <c r="A1" s="2" t="s">
        <v>12</v>
      </c>
    </row>
    <row r="4" spans="1:5" x14ac:dyDescent="0.35">
      <c r="A4" t="s">
        <v>5306</v>
      </c>
    </row>
    <row r="5" spans="1:5" x14ac:dyDescent="0.35">
      <c r="A5" s="54" t="s">
        <v>3740</v>
      </c>
      <c r="B5" s="54" t="s">
        <v>3739</v>
      </c>
      <c r="C5" s="54" t="s">
        <v>3738</v>
      </c>
      <c r="D5" s="54" t="s">
        <v>3737</v>
      </c>
      <c r="E5" s="54" t="s">
        <v>3356</v>
      </c>
    </row>
    <row r="6" spans="1:5" x14ac:dyDescent="0.35">
      <c r="A6" s="53"/>
      <c r="B6" s="53"/>
      <c r="C6" s="53"/>
      <c r="D6" s="53"/>
      <c r="E6" s="53"/>
    </row>
  </sheetData>
  <hyperlinks>
    <hyperlink ref="A1" location="'TOC - Table of Contents'!A5" display="⬅ Return to Table of Contents" xr:uid="{CE70F1F1-710B-444F-90C2-049C3DA869E3}"/>
  </hyperlinks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07497-FBA2-4A6B-B1FB-C148E5F430F2}">
  <sheetPr>
    <tabColor rgb="FFFF0000"/>
  </sheetPr>
  <dimension ref="A1"/>
  <sheetViews>
    <sheetView workbookViewId="0"/>
  </sheetViews>
  <sheetFormatPr defaultRowHeight="14.5" x14ac:dyDescent="0.35"/>
  <sheetData>
    <row r="1" spans="1:1" x14ac:dyDescent="0.35">
      <c r="A1" t="s">
        <v>5318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CC3A-FA75-42AE-A2AA-5284B3762E6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5E22BC92-80DE-4838-83CF-19E3FD7F72F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861B4-E0E9-4629-9B13-0E0C5C71E22B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8B7EAE8-C47F-402F-9574-B1814C21ADC4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B3E12-EFE7-4783-BC7E-F2B277411B75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C1D58141-8C62-4EF7-A19C-A827D515B98A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03DE-30B9-487F-A25F-041EF2011D4C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F9FC9743-A3BE-4ACD-B2E3-197697262AB4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F76D1-8D6B-4F12-8550-BE72EBD498F9}">
  <sheetPr>
    <tabColor theme="8" tint="0.39997558519241921"/>
  </sheetPr>
  <dimension ref="A1"/>
  <sheetViews>
    <sheetView workbookViewId="0"/>
  </sheetViews>
  <sheetFormatPr defaultRowHeight="14.5" x14ac:dyDescent="0.35"/>
  <sheetData>
    <row r="1" spans="1:1" x14ac:dyDescent="0.35">
      <c r="A1" s="2" t="s">
        <v>12</v>
      </c>
    </row>
  </sheetData>
  <hyperlinks>
    <hyperlink ref="A1" location="'TOC - Table of Contents'!A5" display="⬅ Return to Table of Contents" xr:uid="{292474B4-E085-4D81-ABC5-EBFFA014EFD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41</vt:i4>
      </vt:variant>
      <vt:variant>
        <vt:lpstr>Named Ranges</vt:lpstr>
      </vt:variant>
      <vt:variant>
        <vt:i4>5</vt:i4>
      </vt:variant>
    </vt:vector>
  </HeadingPairs>
  <TitlesOfParts>
    <vt:vector size="46" baseType="lpstr">
      <vt:lpstr>Table of Contents</vt:lpstr>
      <vt:lpstr>00 Dashboard</vt:lpstr>
      <vt:lpstr>01 Documentation</vt:lpstr>
      <vt:lpstr>02 Configuration</vt:lpstr>
      <vt:lpstr>03 Lookup Lists</vt:lpstr>
      <vt:lpstr>Customer System</vt:lpstr>
      <vt:lpstr>10 Customers</vt:lpstr>
      <vt:lpstr>11 Customer Devices</vt:lpstr>
      <vt:lpstr>12 Addresses</vt:lpstr>
      <vt:lpstr>13 Communications</vt:lpstr>
      <vt:lpstr>Repair System</vt:lpstr>
      <vt:lpstr>20 Repair Tickets</vt:lpstr>
      <vt:lpstr>21 Diagnostics</vt:lpstr>
      <vt:lpstr>22 Repair Notes</vt:lpstr>
      <vt:lpstr>23 Parts Used</vt:lpstr>
      <vt:lpstr>24 Quality Control</vt:lpstr>
      <vt:lpstr>25 Repair Timeline</vt:lpstr>
      <vt:lpstr>Catalog System</vt:lpstr>
      <vt:lpstr>30 Manufacturers</vt:lpstr>
      <vt:lpstr>31 Device Families</vt:lpstr>
      <vt:lpstr>32 Devices</vt:lpstr>
      <vt:lpstr>33 Service Types</vt:lpstr>
      <vt:lpstr>34 Master Services</vt:lpstr>
      <vt:lpstr>35 Compatibility Matrix</vt:lpstr>
      <vt:lpstr>Inventory</vt:lpstr>
      <vt:lpstr>40 Parts</vt:lpstr>
      <vt:lpstr>41 Inventory</vt:lpstr>
      <vt:lpstr>42 Suppliers</vt:lpstr>
      <vt:lpstr>43 Purchase Orders</vt:lpstr>
      <vt:lpstr>Financial</vt:lpstr>
      <vt:lpstr>50 Pricing</vt:lpstr>
      <vt:lpstr>51 Labor</vt:lpstr>
      <vt:lpstr>52 Estimates</vt:lpstr>
      <vt:lpstr>53 Invoices</vt:lpstr>
      <vt:lpstr>54 Payments</vt:lpstr>
      <vt:lpstr>Reports</vt:lpstr>
      <vt:lpstr>60.1 Business Analytics</vt:lpstr>
      <vt:lpstr>60.2 Customer Analytics</vt:lpstr>
      <vt:lpstr>61.1 Business Reports</vt:lpstr>
      <vt:lpstr>61.2 Financial Reports</vt:lpstr>
      <vt:lpstr>62 Repair Statistics</vt:lpstr>
      <vt:lpstr>Device_Family_Code</vt:lpstr>
      <vt:lpstr>IstDeviceFamilies</vt:lpstr>
      <vt:lpstr>LookupGroupIDs</vt:lpstr>
      <vt:lpstr>Manufacturer_ID</vt:lpstr>
      <vt:lpstr>Service_ID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Brown</dc:creator>
  <cp:lastModifiedBy>Ryan Brown</cp:lastModifiedBy>
  <dcterms:created xsi:type="dcterms:W3CDTF">2026-07-19T02:48:38Z</dcterms:created>
  <dcterms:modified xsi:type="dcterms:W3CDTF">2026-07-21T03:34:13Z</dcterms:modified>
</cp:coreProperties>
</file>